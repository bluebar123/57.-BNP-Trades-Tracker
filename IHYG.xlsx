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07E9C06C-0BDE-4060-9103-EC0443037CF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ividends" sheetId="6" r:id="rId1"/>
    <sheet name="13a" sheetId="3" r:id="rId2"/>
    <sheet name="13" sheetId="2" r:id="rId3"/>
    <sheet name="13a (2)" sheetId="4" r:id="rId4"/>
    <sheet name="13 (2)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4" l="1" a="1"/>
  <c r="D6" i="6" a="1"/>
  <c r="A6" i="6" a="1"/>
  <c r="G6" i="6" a="1"/>
  <c r="O3" i="3" a="1"/>
  <c r="O3" i="4" a="1"/>
  <c r="O3" i="2" a="1"/>
  <c r="O3" i="5" a="1"/>
  <c r="Q3" i="3" a="1"/>
  <c r="Q3" i="5" a="1"/>
  <c r="Q3" i="2" a="1"/>
  <c r="Q3" i="4" a="1"/>
  <c r="S3" i="3" a="1"/>
  <c r="S3" i="4" a="1"/>
  <c r="S3" i="5" a="1"/>
  <c r="S3" i="2" a="1"/>
  <c r="Z3" i="3" a="1"/>
  <c r="AB3" i="3" a="1"/>
  <c r="AB3" i="5" a="1"/>
  <c r="Z3" i="5" a="1"/>
  <c r="Z3" i="4" a="1"/>
  <c r="AB3" i="2" a="1"/>
  <c r="X4" i="3" a="1"/>
  <c r="AB3" i="4" a="1"/>
  <c r="Z3" i="2" a="1"/>
  <c r="X4" i="5" a="1"/>
  <c r="X4" i="4" a="1"/>
  <c r="X4" i="2" a="1"/>
  <c r="C7" i="3" a="1"/>
  <c r="AI3" i="4" l="1"/>
  <c r="G6" i="6"/>
  <c r="A6" i="6"/>
  <c r="D6" i="6"/>
  <c r="O3" i="4"/>
  <c r="O3" i="3"/>
  <c r="O3" i="5"/>
  <c r="O3" i="2"/>
  <c r="Q3" i="4"/>
  <c r="Q3" i="2"/>
  <c r="Q3" i="5"/>
  <c r="Q3" i="3"/>
  <c r="S3" i="2"/>
  <c r="S3" i="5"/>
  <c r="S3" i="4"/>
  <c r="S3" i="3"/>
  <c r="X4" i="2"/>
  <c r="X4" i="4"/>
  <c r="X4" i="5"/>
  <c r="Z3" i="2"/>
  <c r="AB3" i="4"/>
  <c r="X4" i="3"/>
  <c r="AB3" i="2"/>
  <c r="Z3" i="4"/>
  <c r="Z3" i="5"/>
  <c r="AB3" i="5"/>
  <c r="AB3" i="3"/>
  <c r="Z3" i="3"/>
  <c r="C7" i="3"/>
  <c r="C7" i="4" a="1"/>
  <c r="C7" i="4"/>
  <c r="C7" i="2" a="1"/>
  <c r="C7" i="2"/>
  <c r="B7" i="2" a="1"/>
  <c r="B7" i="2"/>
  <c r="C7" i="5" a="1"/>
  <c r="C7" i="5"/>
  <c r="B7" i="5" a="1"/>
  <c r="B7" i="5"/>
  <c r="B9" i="3" a="1"/>
  <c r="B9" i="3"/>
  <c r="B9" i="4" a="1"/>
  <c r="B9" i="4"/>
  <c r="C9" i="3" a="1"/>
  <c r="C9" i="3"/>
  <c r="C9" i="4" a="1"/>
  <c r="C9" i="4"/>
  <c r="C9" i="2" a="1"/>
  <c r="C9" i="2"/>
  <c r="C9" i="5" a="1"/>
  <c r="C9" i="5"/>
  <c r="B9" i="2" a="1"/>
  <c r="B9" i="2"/>
  <c r="B9" i="5" a="1"/>
  <c r="B9" i="5"/>
  <c r="D9" i="3" a="1"/>
  <c r="D9" i="3"/>
  <c r="D9" i="4" a="1"/>
  <c r="D9" i="4"/>
  <c r="D9" i="2" a="1"/>
  <c r="D9" i="2"/>
  <c r="D9" i="5" a="1"/>
  <c r="D9" i="5"/>
  <c r="D5" i="5" l="1"/>
  <c r="C5" i="5"/>
  <c r="B5" i="5"/>
  <c r="D5" i="4"/>
  <c r="C5" i="4"/>
  <c r="B5" i="4"/>
  <c r="J14" i="3"/>
  <c r="D5" i="3"/>
  <c r="C5" i="3"/>
  <c r="B5" i="3"/>
  <c r="I3" i="3"/>
  <c r="H3" i="3"/>
  <c r="J14" i="2"/>
  <c r="D5" i="2"/>
  <c r="C5" i="2"/>
  <c r="B5" i="2"/>
  <c r="H2" i="2"/>
  <c r="U101" i="5" l="1"/>
  <c r="V101" i="5" s="1"/>
  <c r="U89" i="5"/>
  <c r="V89" i="5" s="1"/>
  <c r="U100" i="5"/>
  <c r="V100" i="5" s="1"/>
  <c r="U102" i="5"/>
  <c r="V102" i="5" s="1"/>
  <c r="U97" i="5"/>
  <c r="V97" i="5" s="1"/>
  <c r="U79" i="5"/>
  <c r="V79" i="5" s="1"/>
  <c r="U45" i="5"/>
  <c r="V45" i="5" s="1"/>
  <c r="U68" i="5"/>
  <c r="V68" i="5" s="1"/>
  <c r="U47" i="5"/>
  <c r="V47" i="5" s="1"/>
  <c r="U81" i="5"/>
  <c r="V81" i="5" s="1"/>
  <c r="U70" i="5"/>
  <c r="V70" i="5" s="1"/>
  <c r="U90" i="5"/>
  <c r="V90" i="5" s="1"/>
  <c r="U49" i="5"/>
  <c r="V49" i="5" s="1"/>
  <c r="U51" i="5"/>
  <c r="V51" i="5" s="1"/>
  <c r="U94" i="5"/>
  <c r="V94" i="5" s="1"/>
  <c r="U61" i="5"/>
  <c r="V61" i="5" s="1"/>
  <c r="U85" i="5"/>
  <c r="V85" i="5" s="1"/>
  <c r="U71" i="5"/>
  <c r="V71" i="5" s="1"/>
  <c r="U55" i="5"/>
  <c r="V55" i="5" s="1"/>
  <c r="U50" i="5"/>
  <c r="V50" i="5" s="1"/>
  <c r="U35" i="5"/>
  <c r="V35" i="5" s="1"/>
  <c r="U30" i="5"/>
  <c r="V30" i="5" s="1"/>
  <c r="U42" i="5"/>
  <c r="V42" i="5" s="1"/>
  <c r="U65" i="5"/>
  <c r="V65" i="5" s="1"/>
  <c r="U18" i="5"/>
  <c r="V18" i="5" s="1"/>
  <c r="U37" i="5"/>
  <c r="V37" i="5" s="1"/>
  <c r="U20" i="5"/>
  <c r="V20" i="5" s="1"/>
  <c r="U23" i="5"/>
  <c r="V23" i="5" s="1"/>
  <c r="U16" i="5"/>
  <c r="V16" i="5" s="1"/>
  <c r="U13" i="5"/>
  <c r="V13" i="5" s="1"/>
  <c r="U103" i="5"/>
  <c r="V103" i="5" s="1"/>
  <c r="U11" i="5"/>
  <c r="V11" i="5" s="1"/>
  <c r="U88" i="5"/>
  <c r="V88" i="5" s="1"/>
  <c r="U82" i="5"/>
  <c r="V82" i="5" s="1"/>
  <c r="U60" i="5"/>
  <c r="V60" i="5" s="1"/>
  <c r="U12" i="5"/>
  <c r="V12" i="5" s="1"/>
  <c r="U76" i="5"/>
  <c r="V76" i="5" s="1"/>
  <c r="U32" i="5"/>
  <c r="V32" i="5" s="1"/>
  <c r="U25" i="5"/>
  <c r="V25" i="5" s="1"/>
  <c r="U57" i="5"/>
  <c r="V57" i="5" s="1"/>
  <c r="U52" i="5"/>
  <c r="V52" i="5" s="1"/>
  <c r="U4" i="5"/>
  <c r="V4" i="5" s="1"/>
  <c r="U96" i="5"/>
  <c r="V96" i="5" s="1"/>
  <c r="U93" i="5"/>
  <c r="V93" i="5" s="1"/>
  <c r="U87" i="5"/>
  <c r="V87" i="5" s="1"/>
  <c r="U73" i="5"/>
  <c r="V73" i="5" s="1"/>
  <c r="U34" i="5"/>
  <c r="V34" i="5" s="1"/>
  <c r="U10" i="5"/>
  <c r="V10" i="5" s="1"/>
  <c r="U27" i="5"/>
  <c r="V27" i="5" s="1"/>
  <c r="U99" i="5"/>
  <c r="V99" i="5" s="1"/>
  <c r="U44" i="5"/>
  <c r="V44" i="5" s="1"/>
  <c r="U78" i="5"/>
  <c r="V78" i="5" s="1"/>
  <c r="U46" i="5"/>
  <c r="V46" i="5" s="1"/>
  <c r="U8" i="5"/>
  <c r="V8" i="5" s="1"/>
  <c r="U92" i="5"/>
  <c r="V92" i="5" s="1"/>
  <c r="U95" i="5"/>
  <c r="V95" i="5" s="1"/>
  <c r="U56" i="5"/>
  <c r="V56" i="5" s="1"/>
  <c r="U31" i="5"/>
  <c r="V31" i="5" s="1"/>
  <c r="U38" i="5"/>
  <c r="V38" i="5" s="1"/>
  <c r="U26" i="5"/>
  <c r="V26" i="5" s="1"/>
  <c r="U75" i="5"/>
  <c r="V75" i="5" s="1"/>
  <c r="U58" i="5"/>
  <c r="V58" i="5" s="1"/>
  <c r="U5" i="5"/>
  <c r="V5" i="5" s="1"/>
  <c r="U80" i="5"/>
  <c r="V80" i="5" s="1"/>
  <c r="U72" i="5"/>
  <c r="V72" i="5" s="1"/>
  <c r="U17" i="5"/>
  <c r="V17" i="5" s="1"/>
  <c r="U24" i="5"/>
  <c r="V24" i="5" s="1"/>
  <c r="U84" i="5"/>
  <c r="V84" i="5" s="1"/>
  <c r="U63" i="5"/>
  <c r="V63" i="5" s="1"/>
  <c r="U36" i="5"/>
  <c r="V36" i="5" s="1"/>
  <c r="U15" i="5"/>
  <c r="V15" i="5" s="1"/>
  <c r="U41" i="5"/>
  <c r="V41" i="5" s="1"/>
  <c r="U19" i="5"/>
  <c r="V19" i="5" s="1"/>
  <c r="U74" i="5"/>
  <c r="V74" i="5" s="1"/>
  <c r="U14" i="5"/>
  <c r="V14" i="5" s="1"/>
  <c r="U29" i="5"/>
  <c r="V29" i="5" s="1"/>
  <c r="U59" i="5"/>
  <c r="V59" i="5" s="1"/>
  <c r="U53" i="5"/>
  <c r="V53" i="5" s="1"/>
  <c r="U86" i="5"/>
  <c r="V86" i="5" s="1"/>
  <c r="U62" i="5"/>
  <c r="V62" i="5" s="1"/>
  <c r="U48" i="5"/>
  <c r="V48" i="5" s="1"/>
  <c r="U40" i="5"/>
  <c r="V40" i="5" s="1"/>
  <c r="U98" i="5"/>
  <c r="V98" i="5" s="1"/>
  <c r="U69" i="5"/>
  <c r="V69" i="5" s="1"/>
  <c r="U22" i="5"/>
  <c r="V22" i="5" s="1"/>
  <c r="U67" i="5"/>
  <c r="V67" i="5" s="1"/>
  <c r="U21" i="5"/>
  <c r="V21" i="5" s="1"/>
  <c r="U3" i="5"/>
  <c r="V3" i="5" s="1"/>
  <c r="U43" i="5"/>
  <c r="V43" i="5" s="1"/>
  <c r="U39" i="5"/>
  <c r="V39" i="5" s="1"/>
  <c r="U77" i="5"/>
  <c r="V77" i="5" s="1"/>
  <c r="U91" i="5"/>
  <c r="V91" i="5" s="1"/>
  <c r="U9" i="5"/>
  <c r="V9" i="5" s="1"/>
  <c r="U64" i="5"/>
  <c r="V64" i="5" s="1"/>
  <c r="U28" i="5"/>
  <c r="V28" i="5" s="1"/>
  <c r="U83" i="5"/>
  <c r="V83" i="5" s="1"/>
  <c r="U66" i="5"/>
  <c r="V66" i="5" s="1"/>
  <c r="U54" i="5"/>
  <c r="V54" i="5" s="1"/>
  <c r="U33" i="5"/>
  <c r="V33" i="5" s="1"/>
  <c r="U104" i="5"/>
  <c r="V104" i="5" s="1"/>
  <c r="U7" i="5"/>
  <c r="V7" i="5" s="1"/>
  <c r="U6" i="5"/>
  <c r="V6" i="5" s="1"/>
  <c r="AD263" i="5"/>
  <c r="AD144" i="4"/>
  <c r="AD285" i="4"/>
  <c r="AD253" i="4"/>
  <c r="AD221" i="4"/>
  <c r="AD189" i="4"/>
  <c r="AD142" i="4"/>
  <c r="AD126" i="4"/>
  <c r="AD110" i="4"/>
  <c r="AD78" i="4"/>
  <c r="AD274" i="4"/>
  <c r="AD242" i="4"/>
  <c r="AD178" i="4"/>
  <c r="AD167" i="4"/>
  <c r="AD151" i="4"/>
  <c r="AD135" i="4"/>
  <c r="AD273" i="4"/>
  <c r="AD241" i="4"/>
  <c r="AD209" i="4"/>
  <c r="AD177" i="4"/>
  <c r="AD160" i="4"/>
  <c r="AD128" i="4"/>
  <c r="AD153" i="4"/>
  <c r="AD137" i="4"/>
  <c r="AD121" i="4"/>
  <c r="AD272" i="4"/>
  <c r="AD240" i="4"/>
  <c r="AD208" i="4"/>
  <c r="AD176" i="4"/>
  <c r="AD293" i="4"/>
  <c r="AD229" i="4"/>
  <c r="AD197" i="4"/>
  <c r="AD162" i="4"/>
  <c r="AD146" i="4"/>
  <c r="AD114" i="4"/>
  <c r="AD282" i="4"/>
  <c r="AD218" i="4"/>
  <c r="AD186" i="4"/>
  <c r="AD271" i="4"/>
  <c r="AD239" i="4"/>
  <c r="AD207" i="4"/>
  <c r="AD175" i="4"/>
  <c r="AD155" i="4"/>
  <c r="AD139" i="4"/>
  <c r="AD107" i="4"/>
  <c r="AD196" i="4"/>
  <c r="AD281" i="4"/>
  <c r="AD249" i="4"/>
  <c r="AD217" i="4"/>
  <c r="AD185" i="4"/>
  <c r="AD164" i="4"/>
  <c r="AD148" i="4"/>
  <c r="AD132" i="4"/>
  <c r="AD116" i="4"/>
  <c r="AD291" i="4"/>
  <c r="AD259" i="4"/>
  <c r="AD227" i="4"/>
  <c r="AD195" i="4"/>
  <c r="AD269" i="4"/>
  <c r="AD237" i="4"/>
  <c r="AD205" i="4"/>
  <c r="AD166" i="4"/>
  <c r="AD247" i="4"/>
  <c r="AD215" i="4"/>
  <c r="AD183" i="4"/>
  <c r="AD278" i="4"/>
  <c r="AD267" i="4"/>
  <c r="AD235" i="4"/>
  <c r="AD203" i="4"/>
  <c r="AD171" i="4"/>
  <c r="AD145" i="4"/>
  <c r="AD211" i="4"/>
  <c r="AD290" i="4"/>
  <c r="AD248" i="4"/>
  <c r="AD230" i="4"/>
  <c r="AD190" i="4"/>
  <c r="AD170" i="4"/>
  <c r="AD92" i="4"/>
  <c r="AD82" i="4"/>
  <c r="AD65" i="4"/>
  <c r="AD37" i="4"/>
  <c r="AD21" i="4"/>
  <c r="AD268" i="4"/>
  <c r="AD105" i="4"/>
  <c r="AD97" i="4"/>
  <c r="AD53" i="4"/>
  <c r="AD30" i="4"/>
  <c r="AD14" i="4"/>
  <c r="AD77" i="4"/>
  <c r="AD46" i="4"/>
  <c r="AD288" i="4"/>
  <c r="AD226" i="4"/>
  <c r="AD206" i="4"/>
  <c r="AD188" i="4"/>
  <c r="AD169" i="4"/>
  <c r="AD102" i="4"/>
  <c r="AD60" i="4"/>
  <c r="AD224" i="4"/>
  <c r="AD265" i="4"/>
  <c r="AD149" i="4"/>
  <c r="AD286" i="4"/>
  <c r="AD163" i="4"/>
  <c r="AD99" i="4"/>
  <c r="AD223" i="4"/>
  <c r="AD264" i="4"/>
  <c r="AD202" i="4"/>
  <c r="AD138" i="4"/>
  <c r="AD91" i="4"/>
  <c r="AD57" i="4"/>
  <c r="AD284" i="4"/>
  <c r="AD243" i="4"/>
  <c r="AD181" i="4"/>
  <c r="AD262" i="4"/>
  <c r="AD222" i="4"/>
  <c r="AD141" i="4"/>
  <c r="AD118" i="4"/>
  <c r="AD96" i="4"/>
  <c r="AD201" i="4"/>
  <c r="AD280" i="4"/>
  <c r="AD180" i="4"/>
  <c r="AD258" i="4"/>
  <c r="AD238" i="4"/>
  <c r="AD220" i="4"/>
  <c r="AD200" i="4"/>
  <c r="AD255" i="4"/>
  <c r="AD214" i="4"/>
  <c r="AD125" i="4"/>
  <c r="AD79" i="4"/>
  <c r="AD18" i="4"/>
  <c r="AD56" i="4"/>
  <c r="AD23" i="4"/>
  <c r="AD140" i="4"/>
  <c r="AD134" i="4"/>
  <c r="AD115" i="4"/>
  <c r="AD111" i="4"/>
  <c r="AD100" i="4"/>
  <c r="AD59" i="4"/>
  <c r="AD45" i="4"/>
  <c r="AD26" i="4"/>
  <c r="AD212" i="4"/>
  <c r="AD213" i="4"/>
  <c r="AD174" i="4"/>
  <c r="AD89" i="4"/>
  <c r="AD72" i="4"/>
  <c r="AD34" i="4"/>
  <c r="AD254" i="4"/>
  <c r="AD120" i="4"/>
  <c r="AD252" i="4"/>
  <c r="AD172" i="4"/>
  <c r="AD42" i="4"/>
  <c r="AD39" i="4"/>
  <c r="AD150" i="4"/>
  <c r="AD124" i="4"/>
  <c r="AD103" i="4"/>
  <c r="AD31" i="4"/>
  <c r="AD74" i="4"/>
  <c r="AD58" i="4"/>
  <c r="AD41" i="4"/>
  <c r="AD246" i="4"/>
  <c r="AD75" i="4"/>
  <c r="AD20" i="4"/>
  <c r="AD8" i="4"/>
  <c r="AD17" i="4"/>
  <c r="AD44" i="4"/>
  <c r="AD119" i="4"/>
  <c r="AD68" i="4"/>
  <c r="AD52" i="4"/>
  <c r="AD287" i="4"/>
  <c r="AD245" i="4"/>
  <c r="AD204" i="4"/>
  <c r="AD85" i="4"/>
  <c r="AD71" i="4"/>
  <c r="AD47" i="4"/>
  <c r="AD88" i="4"/>
  <c r="AD55" i="4"/>
  <c r="AD36" i="4"/>
  <c r="AD236" i="4"/>
  <c r="AD198" i="4"/>
  <c r="AD168" i="4"/>
  <c r="AD81" i="4"/>
  <c r="AD64" i="4"/>
  <c r="AD28" i="4"/>
  <c r="AD25" i="4"/>
  <c r="AD6" i="4"/>
  <c r="AD277" i="4"/>
  <c r="AD106" i="4"/>
  <c r="AD95" i="4"/>
  <c r="AD61" i="4"/>
  <c r="AD194" i="4"/>
  <c r="AD276" i="4"/>
  <c r="AD154" i="4"/>
  <c r="AD234" i="4"/>
  <c r="AD193" i="4"/>
  <c r="AD109" i="4"/>
  <c r="AD84" i="4"/>
  <c r="AD22" i="4"/>
  <c r="AD159" i="4"/>
  <c r="AD143" i="4"/>
  <c r="AD133" i="4"/>
  <c r="AD67" i="4"/>
  <c r="AD49" i="4"/>
  <c r="AD275" i="4"/>
  <c r="AD192" i="4"/>
  <c r="AD127" i="4"/>
  <c r="AD233" i="4"/>
  <c r="AD122" i="4"/>
  <c r="AD113" i="4"/>
  <c r="AD27" i="4"/>
  <c r="AD257" i="4"/>
  <c r="AD83" i="4"/>
  <c r="AD50" i="4"/>
  <c r="AD43" i="4"/>
  <c r="AD9" i="4"/>
  <c r="AD256" i="4"/>
  <c r="AD12" i="4"/>
  <c r="AD76" i="4"/>
  <c r="AD73" i="4"/>
  <c r="AD24" i="4"/>
  <c r="AD5" i="4"/>
  <c r="AD266" i="4"/>
  <c r="AD101" i="4"/>
  <c r="AD32" i="4"/>
  <c r="AD117" i="4"/>
  <c r="AD11" i="4"/>
  <c r="AD232" i="4"/>
  <c r="AD112" i="4"/>
  <c r="AD63" i="4"/>
  <c r="AD29" i="4"/>
  <c r="AD48" i="4"/>
  <c r="AD108" i="4"/>
  <c r="AD66" i="4"/>
  <c r="AD4" i="4"/>
  <c r="AD16" i="4"/>
  <c r="AD225" i="4"/>
  <c r="AD80" i="4"/>
  <c r="AD19" i="4"/>
  <c r="AD270" i="4"/>
  <c r="AD90" i="4"/>
  <c r="AD35" i="4"/>
  <c r="AD216" i="4"/>
  <c r="AD33" i="4"/>
  <c r="AD131" i="4"/>
  <c r="AD157" i="4"/>
  <c r="AD70" i="4"/>
  <c r="AD54" i="4"/>
  <c r="AD191" i="4"/>
  <c r="AD86" i="4"/>
  <c r="AD15" i="4"/>
  <c r="AD147" i="4"/>
  <c r="AD51" i="4"/>
  <c r="AD3" i="4"/>
  <c r="AD152" i="4"/>
  <c r="AD87" i="4"/>
  <c r="AD38" i="4"/>
  <c r="AD69" i="4"/>
  <c r="AD40" i="4"/>
  <c r="AD182" i="4"/>
  <c r="AD93" i="4"/>
  <c r="AD184" i="4"/>
  <c r="AD136" i="4"/>
  <c r="AD165" i="4"/>
  <c r="AD13" i="4"/>
  <c r="AD104" i="4"/>
  <c r="AD10" i="4"/>
  <c r="AD179" i="4"/>
  <c r="U53" i="4"/>
  <c r="V53" i="4" s="1"/>
  <c r="U51" i="4"/>
  <c r="V51" i="4" s="1"/>
  <c r="U3" i="4"/>
  <c r="V3" i="4" s="1"/>
  <c r="U44" i="4"/>
  <c r="V44" i="4" s="1"/>
  <c r="U28" i="4"/>
  <c r="V28" i="4" s="1"/>
  <c r="U7" i="4"/>
  <c r="V7" i="4" s="1"/>
  <c r="U37" i="4"/>
  <c r="V37" i="4" s="1"/>
  <c r="U21" i="4"/>
  <c r="V21" i="4" s="1"/>
  <c r="U29" i="4"/>
  <c r="V29" i="4" s="1"/>
  <c r="U9" i="4"/>
  <c r="V9" i="4" s="1"/>
  <c r="U34" i="4"/>
  <c r="V34" i="4" s="1"/>
  <c r="U18" i="4"/>
  <c r="V18" i="4" s="1"/>
  <c r="U45" i="4"/>
  <c r="V45" i="4" s="1"/>
  <c r="U50" i="4"/>
  <c r="V50" i="4" s="1"/>
  <c r="U15" i="4"/>
  <c r="V15" i="4" s="1"/>
  <c r="U31" i="4"/>
  <c r="V31" i="4" s="1"/>
  <c r="U42" i="4"/>
  <c r="V42" i="4" s="1"/>
  <c r="U39" i="4"/>
  <c r="V39" i="4" s="1"/>
  <c r="U20" i="4"/>
  <c r="V20" i="4" s="1"/>
  <c r="U8" i="4"/>
  <c r="V8" i="4" s="1"/>
  <c r="U25" i="4"/>
  <c r="V25" i="4" s="1"/>
  <c r="U47" i="4"/>
  <c r="V47" i="4" s="1"/>
  <c r="U55" i="4"/>
  <c r="V55" i="4" s="1"/>
  <c r="U36" i="4"/>
  <c r="V36" i="4" s="1"/>
  <c r="U6" i="4"/>
  <c r="V6" i="4" s="1"/>
  <c r="U52" i="4"/>
  <c r="V52" i="4" s="1"/>
  <c r="U41" i="4"/>
  <c r="V41" i="4" s="1"/>
  <c r="U5" i="4"/>
  <c r="V5" i="4" s="1"/>
  <c r="U30" i="4"/>
  <c r="V30" i="4" s="1"/>
  <c r="U33" i="4"/>
  <c r="V33" i="4" s="1"/>
  <c r="U49" i="4"/>
  <c r="V49" i="4" s="1"/>
  <c r="U46" i="4"/>
  <c r="V46" i="4" s="1"/>
  <c r="U13" i="4"/>
  <c r="V13" i="4" s="1"/>
  <c r="U43" i="4"/>
  <c r="V43" i="4" s="1"/>
  <c r="U24" i="4"/>
  <c r="V24" i="4" s="1"/>
  <c r="U17" i="4"/>
  <c r="V17" i="4" s="1"/>
  <c r="U10" i="4"/>
  <c r="V10" i="4" s="1"/>
  <c r="U16" i="4"/>
  <c r="V16" i="4" s="1"/>
  <c r="U35" i="4"/>
  <c r="V35" i="4" s="1"/>
  <c r="U12" i="4"/>
  <c r="V12" i="4" s="1"/>
  <c r="U23" i="4"/>
  <c r="V23" i="4" s="1"/>
  <c r="U4" i="4"/>
  <c r="V4" i="4" s="1"/>
  <c r="U22" i="4"/>
  <c r="V22" i="4" s="1"/>
  <c r="U48" i="4"/>
  <c r="V48" i="4" s="1"/>
  <c r="U38" i="4"/>
  <c r="V38" i="4" s="1"/>
  <c r="U54" i="4"/>
  <c r="V54" i="4" s="1"/>
  <c r="U26" i="4"/>
  <c r="V26" i="4" s="1"/>
  <c r="U27" i="4"/>
  <c r="V27" i="4" s="1"/>
  <c r="U14" i="4"/>
  <c r="V14" i="4" s="1"/>
  <c r="U40" i="4"/>
  <c r="V40" i="4" s="1"/>
  <c r="U19" i="4"/>
  <c r="V19" i="4" s="1"/>
  <c r="U11" i="4"/>
  <c r="V11" i="4" s="1"/>
  <c r="U32" i="4"/>
  <c r="V32" i="4" s="1"/>
  <c r="AD271" i="3"/>
  <c r="AD275" i="3"/>
  <c r="AD55" i="3"/>
  <c r="AD97" i="3"/>
  <c r="AD206" i="3"/>
  <c r="AD53" i="3"/>
  <c r="AD138" i="3"/>
  <c r="AD178" i="3"/>
  <c r="U17" i="3"/>
  <c r="V17" i="3" s="1"/>
  <c r="AD146" i="3"/>
  <c r="AD126" i="2"/>
  <c r="AD239" i="2"/>
  <c r="AD260" i="2"/>
  <c r="AD214" i="2"/>
  <c r="AD30" i="2"/>
  <c r="AD92" i="2"/>
  <c r="AD57" i="2"/>
  <c r="AD46" i="2"/>
  <c r="AD190" i="2"/>
  <c r="AD94" i="2"/>
  <c r="AD133" i="2"/>
  <c r="AD97" i="2"/>
  <c r="AD113" i="2"/>
  <c r="U17" i="2"/>
  <c r="V17" i="2" s="1"/>
  <c r="U101" i="2"/>
  <c r="V101" i="2" s="1"/>
  <c r="U8" i="2"/>
  <c r="V8" i="2" s="1"/>
  <c r="U52" i="2"/>
  <c r="V52" i="2" s="1"/>
  <c r="U91" i="2"/>
  <c r="V91" i="2" s="1"/>
  <c r="U23" i="2"/>
  <c r="V23" i="2" s="1"/>
  <c r="U36" i="2"/>
  <c r="V36" i="2" s="1"/>
  <c r="U95" i="2"/>
  <c r="V95" i="2" s="1"/>
  <c r="U20" i="2"/>
  <c r="V20" i="2" s="1"/>
  <c r="U89" i="2"/>
  <c r="V89" i="2" s="1"/>
  <c r="U80" i="2"/>
  <c r="V80" i="2" s="1"/>
  <c r="U30" i="2"/>
  <c r="V30" i="2" s="1"/>
  <c r="U58" i="2"/>
  <c r="V58" i="2" s="1"/>
  <c r="U78" i="2"/>
  <c r="V78" i="2" s="1"/>
  <c r="U53" i="2"/>
  <c r="V53" i="2" s="1"/>
  <c r="U19" i="2"/>
  <c r="V19" i="2" s="1"/>
  <c r="U6" i="2"/>
  <c r="V6" i="2" s="1"/>
  <c r="U94" i="2"/>
  <c r="V94" i="2" s="1"/>
  <c r="U103" i="2"/>
  <c r="V103" i="2" s="1"/>
  <c r="U75" i="2"/>
  <c r="V75" i="2" s="1"/>
  <c r="U14" i="2"/>
  <c r="V14" i="2" s="1"/>
  <c r="U43" i="2"/>
  <c r="V43" i="2" s="1"/>
  <c r="U61" i="2"/>
  <c r="V61" i="2" s="1"/>
  <c r="AD10" i="2"/>
  <c r="U21" i="2" l="1"/>
  <c r="V21" i="2" s="1"/>
  <c r="AD68" i="2"/>
  <c r="U39" i="3"/>
  <c r="V39" i="3" s="1"/>
  <c r="U7" i="3"/>
  <c r="V7" i="3" s="1"/>
  <c r="AD181" i="5"/>
  <c r="AD54" i="5"/>
  <c r="U37" i="2"/>
  <c r="V37" i="2" s="1"/>
  <c r="AD24" i="2"/>
  <c r="AD49" i="2"/>
  <c r="U33" i="3"/>
  <c r="V33" i="3" s="1"/>
  <c r="AD279" i="4"/>
  <c r="AD250" i="4"/>
  <c r="AD199" i="4"/>
  <c r="AD33" i="5"/>
  <c r="U85" i="2"/>
  <c r="V85" i="2" s="1"/>
  <c r="AD84" i="2"/>
  <c r="AD63" i="2"/>
  <c r="U22" i="3"/>
  <c r="V22" i="3" s="1"/>
  <c r="AD231" i="4"/>
  <c r="AD56" i="5"/>
  <c r="U20" i="3"/>
  <c r="V20" i="3" s="1"/>
  <c r="AD93" i="2"/>
  <c r="AD99" i="2"/>
  <c r="U25" i="3"/>
  <c r="V25" i="3" s="1"/>
  <c r="AD289" i="4"/>
  <c r="AD173" i="4"/>
  <c r="AD98" i="4"/>
  <c r="AD263" i="4"/>
  <c r="AD35" i="5"/>
  <c r="AD118" i="2"/>
  <c r="U44" i="3"/>
  <c r="V44" i="3" s="1"/>
  <c r="AD19" i="5"/>
  <c r="U30" i="3"/>
  <c r="V30" i="3" s="1"/>
  <c r="AD162" i="2"/>
  <c r="U13" i="2"/>
  <c r="V13" i="2" s="1"/>
  <c r="AD271" i="2"/>
  <c r="AD185" i="2"/>
  <c r="U3" i="3"/>
  <c r="V3" i="3" s="1"/>
  <c r="AD130" i="4"/>
  <c r="AD210" i="4"/>
  <c r="AD15" i="5"/>
  <c r="AD143" i="2"/>
  <c r="U42" i="3"/>
  <c r="V42" i="3" s="1"/>
  <c r="AD131" i="5"/>
  <c r="U64" i="2"/>
  <c r="V64" i="2" s="1"/>
  <c r="AD123" i="2"/>
  <c r="U53" i="3"/>
  <c r="V53" i="3" s="1"/>
  <c r="AD62" i="4"/>
  <c r="AD195" i="5"/>
  <c r="AD152" i="2"/>
  <c r="U68" i="2"/>
  <c r="V68" i="2" s="1"/>
  <c r="AD148" i="2"/>
  <c r="AD266" i="2"/>
  <c r="U24" i="3"/>
  <c r="V24" i="3" s="1"/>
  <c r="AD120" i="5"/>
  <c r="AD156" i="5"/>
  <c r="U29" i="3"/>
  <c r="V29" i="3" s="1"/>
  <c r="AD24" i="5"/>
  <c r="U42" i="2"/>
  <c r="V42" i="2" s="1"/>
  <c r="U77" i="2"/>
  <c r="V77" i="2" s="1"/>
  <c r="AD19" i="2"/>
  <c r="AD218" i="2"/>
  <c r="U11" i="3"/>
  <c r="V11" i="3" s="1"/>
  <c r="AD261" i="4"/>
  <c r="AD94" i="4"/>
  <c r="AD160" i="5"/>
  <c r="U23" i="3"/>
  <c r="V23" i="3" s="1"/>
  <c r="AD193" i="2"/>
  <c r="AD145" i="2"/>
  <c r="AD10" i="5"/>
  <c r="AD39" i="2"/>
  <c r="AD269" i="2"/>
  <c r="U83" i="2"/>
  <c r="V83" i="2" s="1"/>
  <c r="AD160" i="2"/>
  <c r="AD265" i="2"/>
  <c r="AD158" i="4"/>
  <c r="U98" i="2"/>
  <c r="V98" i="2" s="1"/>
  <c r="AD62" i="2"/>
  <c r="AD142" i="2"/>
  <c r="AD106" i="2"/>
  <c r="AD138" i="2"/>
  <c r="AD187" i="4"/>
  <c r="U49" i="2"/>
  <c r="V49" i="2" s="1"/>
  <c r="U33" i="2"/>
  <c r="V33" i="2" s="1"/>
  <c r="U10" i="2"/>
  <c r="V10" i="2" s="1"/>
  <c r="AD53" i="2"/>
  <c r="AD32" i="3"/>
  <c r="AD244" i="4"/>
  <c r="AD7" i="4"/>
  <c r="AD228" i="4"/>
  <c r="AD219" i="4"/>
  <c r="AD50" i="2"/>
  <c r="AD45" i="3"/>
  <c r="AD260" i="4"/>
  <c r="AD251" i="4"/>
  <c r="U60" i="2"/>
  <c r="V60" i="2" s="1"/>
  <c r="AD116" i="2"/>
  <c r="U3" i="2"/>
  <c r="V3" i="2" s="1"/>
  <c r="AD136" i="2"/>
  <c r="AD129" i="4"/>
  <c r="AD292" i="4"/>
  <c r="AD283" i="4"/>
  <c r="AD242" i="5"/>
  <c r="AD11" i="2"/>
  <c r="AD252" i="3"/>
  <c r="U45" i="2"/>
  <c r="V45" i="2" s="1"/>
  <c r="AD257" i="2"/>
  <c r="AD156" i="4"/>
  <c r="AD161" i="4"/>
  <c r="AD123" i="4"/>
  <c r="U59" i="2"/>
  <c r="V59" i="2" s="1"/>
  <c r="AD183" i="2"/>
  <c r="AD247" i="5"/>
  <c r="AD249" i="5"/>
  <c r="AD239" i="5"/>
  <c r="AD81" i="5"/>
  <c r="AD45" i="5"/>
  <c r="AD230" i="5"/>
  <c r="AD8" i="5"/>
  <c r="AD91" i="5"/>
  <c r="AD275" i="5"/>
  <c r="AD142" i="5"/>
  <c r="AD266" i="5"/>
  <c r="AD257" i="5"/>
  <c r="AD135" i="5"/>
  <c r="AD47" i="5"/>
  <c r="AD268" i="5"/>
  <c r="AD17" i="5"/>
  <c r="AD36" i="5"/>
  <c r="AD116" i="5"/>
  <c r="AD18" i="5"/>
  <c r="AD173" i="5"/>
  <c r="AD277" i="5"/>
  <c r="AD164" i="5"/>
  <c r="AD49" i="5"/>
  <c r="AD276" i="5"/>
  <c r="AD66" i="5"/>
  <c r="AD65" i="5"/>
  <c r="AD286" i="5"/>
  <c r="AD180" i="5"/>
  <c r="AD262" i="5"/>
  <c r="AD53" i="5"/>
  <c r="AD210" i="5"/>
  <c r="AD216" i="5"/>
  <c r="AD155" i="5"/>
  <c r="AD176" i="5"/>
  <c r="AD188" i="5"/>
  <c r="AD92" i="5"/>
  <c r="AD55" i="5"/>
  <c r="AD233" i="5"/>
  <c r="AD105" i="5"/>
  <c r="AD196" i="5"/>
  <c r="AD237" i="5"/>
  <c r="AD264" i="5"/>
  <c r="AD174" i="5"/>
  <c r="AD292" i="5"/>
  <c r="AD103" i="5"/>
  <c r="AD187" i="5"/>
  <c r="AD209" i="5"/>
  <c r="AD122" i="5"/>
  <c r="AD57" i="5"/>
  <c r="AD279" i="5"/>
  <c r="AD227" i="5"/>
  <c r="AD94" i="5"/>
  <c r="AD100" i="5"/>
  <c r="AD14" i="5"/>
  <c r="AD199" i="5"/>
  <c r="AD9" i="5"/>
  <c r="AD138" i="5"/>
  <c r="AD250" i="5"/>
  <c r="AD225" i="5"/>
  <c r="AD127" i="5"/>
  <c r="AD109" i="5"/>
  <c r="AD154" i="5"/>
  <c r="AD30" i="5"/>
  <c r="AD26" i="5"/>
  <c r="AD214" i="5"/>
  <c r="AD22" i="5"/>
  <c r="AD152" i="5"/>
  <c r="AD269" i="5"/>
  <c r="AD169" i="5"/>
  <c r="AD90" i="5"/>
  <c r="AD148" i="5"/>
  <c r="AD171" i="5"/>
  <c r="AD128" i="5"/>
  <c r="AD29" i="5"/>
  <c r="AD61" i="5"/>
  <c r="AD255" i="5"/>
  <c r="AD62" i="5"/>
  <c r="AD248" i="5"/>
  <c r="AD235" i="5"/>
  <c r="AD194" i="5"/>
  <c r="AD117" i="5"/>
  <c r="AD261" i="5"/>
  <c r="AD186" i="5"/>
  <c r="AD5" i="5"/>
  <c r="AD84" i="5"/>
  <c r="AD93" i="5"/>
  <c r="AD203" i="5"/>
  <c r="AD158" i="5"/>
  <c r="AD115" i="5"/>
  <c r="AD37" i="5"/>
  <c r="AD157" i="5"/>
  <c r="AD136" i="5"/>
  <c r="AD163" i="5"/>
  <c r="AD151" i="5"/>
  <c r="AD129" i="5"/>
  <c r="AD165" i="5"/>
  <c r="AD278" i="5"/>
  <c r="AD189" i="5"/>
  <c r="AD110" i="5"/>
  <c r="AD222" i="5"/>
  <c r="AD32" i="5"/>
  <c r="AD134" i="5"/>
  <c r="AD240" i="5"/>
  <c r="AD85" i="5"/>
  <c r="AD265" i="5"/>
  <c r="AD44" i="5"/>
  <c r="AD12" i="5"/>
  <c r="AD201" i="5"/>
  <c r="AD211" i="5"/>
  <c r="AD245" i="5"/>
  <c r="AD132" i="5"/>
  <c r="AD256" i="5"/>
  <c r="AD51" i="5"/>
  <c r="AD175" i="5"/>
  <c r="AD283" i="5"/>
  <c r="AD119" i="5"/>
  <c r="AD113" i="5"/>
  <c r="AD42" i="5"/>
  <c r="AD219" i="5"/>
  <c r="AD259" i="5"/>
  <c r="AD282" i="5"/>
  <c r="AD205" i="5"/>
  <c r="AD291" i="5"/>
  <c r="AD60" i="5"/>
  <c r="AD251" i="5"/>
  <c r="AD83" i="5"/>
  <c r="AD244" i="5"/>
  <c r="AD217" i="5"/>
  <c r="AD231" i="5"/>
  <c r="AD223" i="5"/>
  <c r="AD34" i="5"/>
  <c r="AD114" i="5"/>
  <c r="AD270" i="5"/>
  <c r="AD145" i="5"/>
  <c r="AD258" i="5"/>
  <c r="AD229" i="5"/>
  <c r="AD413" i="5"/>
  <c r="AD381" i="5"/>
  <c r="AD349" i="5"/>
  <c r="AD317" i="5"/>
  <c r="AD402" i="5"/>
  <c r="AD370" i="5"/>
  <c r="AD338" i="5"/>
  <c r="AD306" i="5"/>
  <c r="AD391" i="5"/>
  <c r="AD359" i="5"/>
  <c r="AD327" i="5"/>
  <c r="AD295" i="5"/>
  <c r="AD401" i="5"/>
  <c r="AD369" i="5"/>
  <c r="AD337" i="5"/>
  <c r="AD305" i="5"/>
  <c r="AD411" i="5"/>
  <c r="AD379" i="5"/>
  <c r="AD421" i="5"/>
  <c r="AD389" i="5"/>
  <c r="AD357" i="5"/>
  <c r="AD399" i="5"/>
  <c r="AD367" i="5"/>
  <c r="AD409" i="5"/>
  <c r="AD419" i="5"/>
  <c r="AD397" i="5"/>
  <c r="AD407" i="5"/>
  <c r="AD365" i="5"/>
  <c r="AD315" i="5"/>
  <c r="AD303" i="5"/>
  <c r="AD393" i="5"/>
  <c r="AD378" i="5"/>
  <c r="AD352" i="5"/>
  <c r="AD340" i="5"/>
  <c r="AD328" i="5"/>
  <c r="AD406" i="5"/>
  <c r="AD377" i="5"/>
  <c r="AD364" i="5"/>
  <c r="AD392" i="5"/>
  <c r="AD405" i="5"/>
  <c r="AD404" i="5"/>
  <c r="AD420" i="5"/>
  <c r="AD388" i="5"/>
  <c r="AD348" i="5"/>
  <c r="AD403" i="5"/>
  <c r="AD398" i="5"/>
  <c r="AD382" i="5"/>
  <c r="AD321" i="5"/>
  <c r="AD363" i="5"/>
  <c r="AD334" i="5"/>
  <c r="AD347" i="5"/>
  <c r="AD307" i="5"/>
  <c r="AD380" i="5"/>
  <c r="AD320" i="5"/>
  <c r="AD362" i="5"/>
  <c r="AD418" i="5"/>
  <c r="AD396" i="5"/>
  <c r="AD346" i="5"/>
  <c r="AD361" i="5"/>
  <c r="AD417" i="5"/>
  <c r="AD376" i="5"/>
  <c r="AD395" i="5"/>
  <c r="AD345" i="5"/>
  <c r="AD416" i="5"/>
  <c r="AD375" i="5"/>
  <c r="AD360" i="5"/>
  <c r="AD412" i="5"/>
  <c r="AD385" i="5"/>
  <c r="AD323" i="5"/>
  <c r="AD308" i="5"/>
  <c r="AD341" i="5"/>
  <c r="AD415" i="5"/>
  <c r="AD384" i="5"/>
  <c r="AD356" i="5"/>
  <c r="AD322" i="5"/>
  <c r="AD339" i="5"/>
  <c r="AD304" i="5"/>
  <c r="AD414" i="5"/>
  <c r="AD383" i="5"/>
  <c r="AD355" i="5"/>
  <c r="AD410" i="5"/>
  <c r="AD319" i="5"/>
  <c r="AD374" i="5"/>
  <c r="AD354" i="5"/>
  <c r="AD336" i="5"/>
  <c r="AD400" i="5"/>
  <c r="AD386" i="5"/>
  <c r="AD325" i="5"/>
  <c r="AD300" i="5"/>
  <c r="AD350" i="5"/>
  <c r="AD299" i="5"/>
  <c r="AD324" i="5"/>
  <c r="AD373" i="5"/>
  <c r="AD318" i="5"/>
  <c r="AD298" i="5"/>
  <c r="AD344" i="5"/>
  <c r="AD372" i="5"/>
  <c r="AD316" i="5"/>
  <c r="AD297" i="5"/>
  <c r="AD335" i="5"/>
  <c r="AD312" i="5"/>
  <c r="AD408" i="5"/>
  <c r="AD333" i="5"/>
  <c r="AD311" i="5"/>
  <c r="AD366" i="5"/>
  <c r="AD332" i="5"/>
  <c r="AD331" i="5"/>
  <c r="AD310" i="5"/>
  <c r="AD394" i="5"/>
  <c r="AD358" i="5"/>
  <c r="AD330" i="5"/>
  <c r="AD309" i="5"/>
  <c r="AD390" i="5"/>
  <c r="AD302" i="5"/>
  <c r="AD301" i="5"/>
  <c r="AD387" i="5"/>
  <c r="AD296" i="5"/>
  <c r="AD294" i="5"/>
  <c r="AD371" i="5"/>
  <c r="AD353" i="5"/>
  <c r="AD351" i="5"/>
  <c r="AD343" i="5"/>
  <c r="AD342" i="5"/>
  <c r="AD313" i="5"/>
  <c r="AD368" i="5"/>
  <c r="AD326" i="5"/>
  <c r="AD329" i="5"/>
  <c r="AD314" i="5"/>
  <c r="AD67" i="5"/>
  <c r="AD271" i="5"/>
  <c r="AD73" i="5"/>
  <c r="AD146" i="5"/>
  <c r="AD182" i="5"/>
  <c r="AD153" i="5"/>
  <c r="AD272" i="5"/>
  <c r="AD241" i="5"/>
  <c r="AD274" i="5"/>
  <c r="AD133" i="5"/>
  <c r="AD11" i="5"/>
  <c r="AD190" i="5"/>
  <c r="AD161" i="5"/>
  <c r="AD287" i="5"/>
  <c r="AD202" i="5"/>
  <c r="AD221" i="5"/>
  <c r="AD86" i="5"/>
  <c r="AD167" i="5"/>
  <c r="AD25" i="5"/>
  <c r="AD220" i="5"/>
  <c r="AD226" i="5"/>
  <c r="AD288" i="5"/>
  <c r="AD254" i="5"/>
  <c r="AD253" i="5"/>
  <c r="AD69" i="5"/>
  <c r="AD31" i="5"/>
  <c r="AD16" i="5"/>
  <c r="AD58" i="5"/>
  <c r="AD98" i="5"/>
  <c r="AD238" i="5"/>
  <c r="AD68" i="5"/>
  <c r="AD236" i="5"/>
  <c r="AD260" i="5"/>
  <c r="AD111" i="5"/>
  <c r="AD280" i="5"/>
  <c r="AD285" i="5"/>
  <c r="AD6" i="5"/>
  <c r="AD28" i="5"/>
  <c r="AD74" i="5"/>
  <c r="AD112" i="5"/>
  <c r="AD27" i="5"/>
  <c r="AD76" i="5"/>
  <c r="AD126" i="5"/>
  <c r="AD243" i="5"/>
  <c r="AD170" i="5"/>
  <c r="AD108" i="5"/>
  <c r="AD20" i="5"/>
  <c r="AD159" i="5"/>
  <c r="AD96" i="5"/>
  <c r="AD143" i="5"/>
  <c r="AD204" i="5"/>
  <c r="AD72" i="5"/>
  <c r="AD183" i="5"/>
  <c r="AD267" i="5"/>
  <c r="AD139" i="5"/>
  <c r="AD48" i="5"/>
  <c r="AD46" i="5"/>
  <c r="AD89" i="5"/>
  <c r="AD125" i="5"/>
  <c r="AD213" i="5"/>
  <c r="AD63" i="5"/>
  <c r="AD104" i="5"/>
  <c r="AD191" i="5"/>
  <c r="AD293" i="5"/>
  <c r="AD107" i="5"/>
  <c r="AD178" i="5"/>
  <c r="AD59" i="5"/>
  <c r="AD80" i="5"/>
  <c r="AD95" i="5"/>
  <c r="AD79" i="5"/>
  <c r="AD252" i="5"/>
  <c r="AD101" i="5"/>
  <c r="AD172" i="5"/>
  <c r="AD232" i="5"/>
  <c r="AD87" i="5"/>
  <c r="AD144" i="5"/>
  <c r="AD118" i="5"/>
  <c r="AD64" i="5"/>
  <c r="AD121" i="5"/>
  <c r="AD52" i="5"/>
  <c r="AD106" i="5"/>
  <c r="AD197" i="5"/>
  <c r="AD246" i="5"/>
  <c r="AD130" i="5"/>
  <c r="AD77" i="5"/>
  <c r="AD149" i="5"/>
  <c r="AD7" i="5"/>
  <c r="AD78" i="5"/>
  <c r="AD75" i="5"/>
  <c r="AD179" i="5"/>
  <c r="AD4" i="5"/>
  <c r="AD124" i="5"/>
  <c r="AD200" i="5"/>
  <c r="AD289" i="5"/>
  <c r="AD168" i="5"/>
  <c r="AD185" i="5"/>
  <c r="AD82" i="5"/>
  <c r="AD166" i="5"/>
  <c r="AD212" i="5"/>
  <c r="AD234" i="5"/>
  <c r="AD177" i="5"/>
  <c r="AD23" i="5"/>
  <c r="AD38" i="5"/>
  <c r="AD13" i="5"/>
  <c r="AD228" i="5"/>
  <c r="AD162" i="5"/>
  <c r="AD88" i="5"/>
  <c r="AD208" i="5"/>
  <c r="AD99" i="5"/>
  <c r="AD290" i="5"/>
  <c r="AD184" i="5"/>
  <c r="U403" i="5"/>
  <c r="V403" i="5" s="1"/>
  <c r="U371" i="5"/>
  <c r="V371" i="5" s="1"/>
  <c r="U339" i="5"/>
  <c r="V339" i="5" s="1"/>
  <c r="U307" i="5"/>
  <c r="V307" i="5" s="1"/>
  <c r="U275" i="5"/>
  <c r="V275" i="5" s="1"/>
  <c r="U243" i="5"/>
  <c r="V243" i="5" s="1"/>
  <c r="U211" i="5"/>
  <c r="V211" i="5" s="1"/>
  <c r="U569" i="5"/>
  <c r="V569" i="5" s="1"/>
  <c r="U553" i="5"/>
  <c r="V553" i="5" s="1"/>
  <c r="U537" i="5"/>
  <c r="V537" i="5" s="1"/>
  <c r="U521" i="5"/>
  <c r="V521" i="5" s="1"/>
  <c r="U505" i="5"/>
  <c r="V505" i="5" s="1"/>
  <c r="U489" i="5"/>
  <c r="V489" i="5" s="1"/>
  <c r="U473" i="5"/>
  <c r="V473" i="5" s="1"/>
  <c r="U457" i="5"/>
  <c r="V457" i="5" s="1"/>
  <c r="U441" i="5"/>
  <c r="V441" i="5" s="1"/>
  <c r="U425" i="5"/>
  <c r="V425" i="5" s="1"/>
  <c r="U392" i="5"/>
  <c r="V392" i="5" s="1"/>
  <c r="U360" i="5"/>
  <c r="V360" i="5" s="1"/>
  <c r="U328" i="5"/>
  <c r="V328" i="5" s="1"/>
  <c r="U296" i="5"/>
  <c r="V296" i="5" s="1"/>
  <c r="U264" i="5"/>
  <c r="V264" i="5" s="1"/>
  <c r="U413" i="5"/>
  <c r="V413" i="5" s="1"/>
  <c r="U381" i="5"/>
  <c r="V381" i="5" s="1"/>
  <c r="U349" i="5"/>
  <c r="V349" i="5" s="1"/>
  <c r="U317" i="5"/>
  <c r="V317" i="5" s="1"/>
  <c r="U285" i="5"/>
  <c r="V285" i="5" s="1"/>
  <c r="U253" i="5"/>
  <c r="V253" i="5" s="1"/>
  <c r="U221" i="5"/>
  <c r="V221" i="5" s="1"/>
  <c r="U568" i="5"/>
  <c r="V568" i="5" s="1"/>
  <c r="U552" i="5"/>
  <c r="V552" i="5" s="1"/>
  <c r="U536" i="5"/>
  <c r="V536" i="5" s="1"/>
  <c r="U520" i="5"/>
  <c r="V520" i="5" s="1"/>
  <c r="U504" i="5"/>
  <c r="V504" i="5" s="1"/>
  <c r="U488" i="5"/>
  <c r="V488" i="5" s="1"/>
  <c r="U472" i="5"/>
  <c r="V472" i="5" s="1"/>
  <c r="U456" i="5"/>
  <c r="V456" i="5" s="1"/>
  <c r="U391" i="5"/>
  <c r="V391" i="5" s="1"/>
  <c r="U359" i="5"/>
  <c r="V359" i="5" s="1"/>
  <c r="U327" i="5"/>
  <c r="V327" i="5" s="1"/>
  <c r="U295" i="5"/>
  <c r="V295" i="5" s="1"/>
  <c r="U567" i="5"/>
  <c r="V567" i="5" s="1"/>
  <c r="U551" i="5"/>
  <c r="V551" i="5" s="1"/>
  <c r="U535" i="5"/>
  <c r="V535" i="5" s="1"/>
  <c r="U519" i="5"/>
  <c r="V519" i="5" s="1"/>
  <c r="U503" i="5"/>
  <c r="V503" i="5" s="1"/>
  <c r="U487" i="5"/>
  <c r="V487" i="5" s="1"/>
  <c r="U471" i="5"/>
  <c r="V471" i="5" s="1"/>
  <c r="U455" i="5"/>
  <c r="V455" i="5" s="1"/>
  <c r="U439" i="5"/>
  <c r="V439" i="5" s="1"/>
  <c r="U423" i="5"/>
  <c r="V423" i="5" s="1"/>
  <c r="U412" i="5"/>
  <c r="V412" i="5" s="1"/>
  <c r="U401" i="5"/>
  <c r="V401" i="5" s="1"/>
  <c r="U369" i="5"/>
  <c r="V369" i="5" s="1"/>
  <c r="U566" i="5"/>
  <c r="V566" i="5" s="1"/>
  <c r="U550" i="5"/>
  <c r="V550" i="5" s="1"/>
  <c r="U534" i="5"/>
  <c r="V534" i="5" s="1"/>
  <c r="U518" i="5"/>
  <c r="V518" i="5" s="1"/>
  <c r="U502" i="5"/>
  <c r="V502" i="5" s="1"/>
  <c r="U486" i="5"/>
  <c r="V486" i="5" s="1"/>
  <c r="U470" i="5"/>
  <c r="V470" i="5" s="1"/>
  <c r="U411" i="5"/>
  <c r="V411" i="5" s="1"/>
  <c r="U379" i="5"/>
  <c r="V379" i="5" s="1"/>
  <c r="U565" i="5"/>
  <c r="V565" i="5" s="1"/>
  <c r="U549" i="5"/>
  <c r="V549" i="5" s="1"/>
  <c r="U533" i="5"/>
  <c r="V533" i="5" s="1"/>
  <c r="U517" i="5"/>
  <c r="V517" i="5" s="1"/>
  <c r="U501" i="5"/>
  <c r="V501" i="5" s="1"/>
  <c r="U485" i="5"/>
  <c r="V485" i="5" s="1"/>
  <c r="U469" i="5"/>
  <c r="V469" i="5" s="1"/>
  <c r="U421" i="5"/>
  <c r="V421" i="5" s="1"/>
  <c r="U389" i="5"/>
  <c r="V389" i="5" s="1"/>
  <c r="U357" i="5"/>
  <c r="V357" i="5" s="1"/>
  <c r="U564" i="5"/>
  <c r="V564" i="5" s="1"/>
  <c r="U548" i="5"/>
  <c r="V548" i="5" s="1"/>
  <c r="U532" i="5"/>
  <c r="V532" i="5" s="1"/>
  <c r="U516" i="5"/>
  <c r="V516" i="5" s="1"/>
  <c r="U500" i="5"/>
  <c r="V500" i="5" s="1"/>
  <c r="U409" i="5"/>
  <c r="V409" i="5" s="1"/>
  <c r="U562" i="5"/>
  <c r="V562" i="5" s="1"/>
  <c r="U546" i="5"/>
  <c r="V546" i="5" s="1"/>
  <c r="U530" i="5"/>
  <c r="V530" i="5" s="1"/>
  <c r="U514" i="5"/>
  <c r="V514" i="5" s="1"/>
  <c r="U419" i="5"/>
  <c r="V419" i="5" s="1"/>
  <c r="U561" i="5"/>
  <c r="V561" i="5" s="1"/>
  <c r="U545" i="5"/>
  <c r="V545" i="5" s="1"/>
  <c r="U529" i="5"/>
  <c r="V529" i="5" s="1"/>
  <c r="U560" i="5"/>
  <c r="V560" i="5" s="1"/>
  <c r="U559" i="5"/>
  <c r="V559" i="5" s="1"/>
  <c r="U417" i="5"/>
  <c r="V417" i="5" s="1"/>
  <c r="U558" i="5"/>
  <c r="V558" i="5" s="1"/>
  <c r="U563" i="5"/>
  <c r="V563" i="5" s="1"/>
  <c r="U490" i="5"/>
  <c r="V490" i="5" s="1"/>
  <c r="U458" i="5"/>
  <c r="V458" i="5" s="1"/>
  <c r="U394" i="5"/>
  <c r="V394" i="5" s="1"/>
  <c r="U353" i="5"/>
  <c r="V353" i="5" s="1"/>
  <c r="U341" i="5"/>
  <c r="V341" i="5" s="1"/>
  <c r="U329" i="5"/>
  <c r="V329" i="5" s="1"/>
  <c r="U280" i="5"/>
  <c r="V280" i="5" s="1"/>
  <c r="U234" i="5"/>
  <c r="V234" i="5" s="1"/>
  <c r="U201" i="5"/>
  <c r="V201" i="5" s="1"/>
  <c r="U184" i="5"/>
  <c r="V184" i="5" s="1"/>
  <c r="U169" i="5"/>
  <c r="V169" i="5" s="1"/>
  <c r="U152" i="5"/>
  <c r="V152" i="5" s="1"/>
  <c r="U523" i="5"/>
  <c r="V523" i="5" s="1"/>
  <c r="U484" i="5"/>
  <c r="V484" i="5" s="1"/>
  <c r="U454" i="5"/>
  <c r="V454" i="5" s="1"/>
  <c r="U428" i="5"/>
  <c r="V428" i="5" s="1"/>
  <c r="U407" i="5"/>
  <c r="V407" i="5" s="1"/>
  <c r="U268" i="5"/>
  <c r="V268" i="5" s="1"/>
  <c r="U245" i="5"/>
  <c r="V245" i="5" s="1"/>
  <c r="U483" i="5"/>
  <c r="V483" i="5" s="1"/>
  <c r="U453" i="5"/>
  <c r="V453" i="5" s="1"/>
  <c r="U378" i="5"/>
  <c r="V378" i="5" s="1"/>
  <c r="U365" i="5"/>
  <c r="V365" i="5" s="1"/>
  <c r="U315" i="5"/>
  <c r="V315" i="5" s="1"/>
  <c r="U557" i="5"/>
  <c r="V557" i="5" s="1"/>
  <c r="U522" i="5"/>
  <c r="V522" i="5" s="1"/>
  <c r="U482" i="5"/>
  <c r="V482" i="5" s="1"/>
  <c r="U452" i="5"/>
  <c r="V452" i="5" s="1"/>
  <c r="U427" i="5"/>
  <c r="V427" i="5" s="1"/>
  <c r="U393" i="5"/>
  <c r="V393" i="5" s="1"/>
  <c r="U515" i="5"/>
  <c r="V515" i="5" s="1"/>
  <c r="U481" i="5"/>
  <c r="V481" i="5" s="1"/>
  <c r="U451" i="5"/>
  <c r="V451" i="5" s="1"/>
  <c r="U406" i="5"/>
  <c r="V406" i="5" s="1"/>
  <c r="U556" i="5"/>
  <c r="V556" i="5" s="1"/>
  <c r="U513" i="5"/>
  <c r="V513" i="5" s="1"/>
  <c r="U480" i="5"/>
  <c r="V480" i="5" s="1"/>
  <c r="U450" i="5"/>
  <c r="V450" i="5" s="1"/>
  <c r="U426" i="5"/>
  <c r="V426" i="5" s="1"/>
  <c r="U512" i="5"/>
  <c r="V512" i="5" s="1"/>
  <c r="U449" i="5"/>
  <c r="V449" i="5" s="1"/>
  <c r="U424" i="5"/>
  <c r="V424" i="5" s="1"/>
  <c r="U555" i="5"/>
  <c r="V555" i="5" s="1"/>
  <c r="U479" i="5"/>
  <c r="V479" i="5" s="1"/>
  <c r="U448" i="5"/>
  <c r="V448" i="5" s="1"/>
  <c r="U422" i="5"/>
  <c r="V422" i="5" s="1"/>
  <c r="U405" i="5"/>
  <c r="V405" i="5" s="1"/>
  <c r="U511" i="5"/>
  <c r="V511" i="5" s="1"/>
  <c r="U478" i="5"/>
  <c r="V478" i="5" s="1"/>
  <c r="U376" i="5"/>
  <c r="V376" i="5" s="1"/>
  <c r="U554" i="5"/>
  <c r="V554" i="5" s="1"/>
  <c r="U510" i="5"/>
  <c r="V510" i="5" s="1"/>
  <c r="U447" i="5"/>
  <c r="V447" i="5" s="1"/>
  <c r="U547" i="5"/>
  <c r="V547" i="5" s="1"/>
  <c r="U477" i="5"/>
  <c r="V477" i="5" s="1"/>
  <c r="U446" i="5"/>
  <c r="V446" i="5" s="1"/>
  <c r="U420" i="5"/>
  <c r="V420" i="5" s="1"/>
  <c r="U404" i="5"/>
  <c r="V404" i="5" s="1"/>
  <c r="U265" i="5"/>
  <c r="V265" i="5" s="1"/>
  <c r="U544" i="5"/>
  <c r="V544" i="5" s="1"/>
  <c r="U509" i="5"/>
  <c r="V509" i="5" s="1"/>
  <c r="U476" i="5"/>
  <c r="V476" i="5" s="1"/>
  <c r="U445" i="5"/>
  <c r="V445" i="5" s="1"/>
  <c r="U506" i="5"/>
  <c r="V506" i="5" s="1"/>
  <c r="U498" i="5"/>
  <c r="V498" i="5" s="1"/>
  <c r="U539" i="5"/>
  <c r="V539" i="5" s="1"/>
  <c r="U496" i="5"/>
  <c r="V496" i="5" s="1"/>
  <c r="U543" i="5"/>
  <c r="V543" i="5" s="1"/>
  <c r="U475" i="5"/>
  <c r="V475" i="5" s="1"/>
  <c r="U364" i="5"/>
  <c r="V364" i="5" s="1"/>
  <c r="U350" i="5"/>
  <c r="V350" i="5" s="1"/>
  <c r="U335" i="5"/>
  <c r="V335" i="5" s="1"/>
  <c r="U294" i="5"/>
  <c r="V294" i="5" s="1"/>
  <c r="U200" i="5"/>
  <c r="V200" i="5" s="1"/>
  <c r="U159" i="5"/>
  <c r="V159" i="5" s="1"/>
  <c r="U150" i="5"/>
  <c r="V150" i="5" s="1"/>
  <c r="U542" i="5"/>
  <c r="V542" i="5" s="1"/>
  <c r="U431" i="5"/>
  <c r="V431" i="5" s="1"/>
  <c r="U348" i="5"/>
  <c r="V348" i="5" s="1"/>
  <c r="U308" i="5"/>
  <c r="V308" i="5" s="1"/>
  <c r="U281" i="5"/>
  <c r="V281" i="5" s="1"/>
  <c r="U255" i="5"/>
  <c r="V255" i="5" s="1"/>
  <c r="U141" i="5"/>
  <c r="V141" i="5" s="1"/>
  <c r="U119" i="5"/>
  <c r="V119" i="5" s="1"/>
  <c r="U106" i="5"/>
  <c r="V106" i="5" s="1"/>
  <c r="U474" i="5"/>
  <c r="V474" i="5" s="1"/>
  <c r="U430" i="5"/>
  <c r="V430" i="5" s="1"/>
  <c r="U398" i="5"/>
  <c r="V398" i="5" s="1"/>
  <c r="U382" i="5"/>
  <c r="V382" i="5" s="1"/>
  <c r="U321" i="5"/>
  <c r="V321" i="5" s="1"/>
  <c r="U242" i="5"/>
  <c r="V242" i="5" s="1"/>
  <c r="U230" i="5"/>
  <c r="V230" i="5" s="1"/>
  <c r="U218" i="5"/>
  <c r="V218" i="5" s="1"/>
  <c r="U206" i="5"/>
  <c r="V206" i="5" s="1"/>
  <c r="U193" i="5"/>
  <c r="V193" i="5" s="1"/>
  <c r="U177" i="5"/>
  <c r="V177" i="5" s="1"/>
  <c r="U168" i="5"/>
  <c r="V168" i="5" s="1"/>
  <c r="U541" i="5"/>
  <c r="V541" i="5" s="1"/>
  <c r="U468" i="5"/>
  <c r="V468" i="5" s="1"/>
  <c r="U363" i="5"/>
  <c r="V363" i="5" s="1"/>
  <c r="U334" i="5"/>
  <c r="V334" i="5" s="1"/>
  <c r="U293" i="5"/>
  <c r="V293" i="5" s="1"/>
  <c r="U267" i="5"/>
  <c r="V267" i="5" s="1"/>
  <c r="U108" i="5"/>
  <c r="V108" i="5" s="1"/>
  <c r="U540" i="5"/>
  <c r="V540" i="5" s="1"/>
  <c r="U467" i="5"/>
  <c r="V467" i="5" s="1"/>
  <c r="U429" i="5"/>
  <c r="V429" i="5" s="1"/>
  <c r="U397" i="5"/>
  <c r="V397" i="5" s="1"/>
  <c r="U380" i="5"/>
  <c r="V380" i="5" s="1"/>
  <c r="U538" i="5"/>
  <c r="V538" i="5" s="1"/>
  <c r="U466" i="5"/>
  <c r="V466" i="5" s="1"/>
  <c r="U362" i="5"/>
  <c r="V362" i="5" s="1"/>
  <c r="U531" i="5"/>
  <c r="V531" i="5" s="1"/>
  <c r="U465" i="5"/>
  <c r="V465" i="5" s="1"/>
  <c r="U418" i="5"/>
  <c r="V418" i="5" s="1"/>
  <c r="U377" i="5"/>
  <c r="V377" i="5" s="1"/>
  <c r="U333" i="5"/>
  <c r="V333" i="5" s="1"/>
  <c r="U528" i="5"/>
  <c r="V528" i="5" s="1"/>
  <c r="U464" i="5"/>
  <c r="V464" i="5" s="1"/>
  <c r="U396" i="5"/>
  <c r="V396" i="5" s="1"/>
  <c r="U361" i="5"/>
  <c r="V361" i="5" s="1"/>
  <c r="U319" i="5"/>
  <c r="V319" i="5" s="1"/>
  <c r="U527" i="5"/>
  <c r="V527" i="5" s="1"/>
  <c r="U463" i="5"/>
  <c r="V463" i="5" s="1"/>
  <c r="U526" i="5"/>
  <c r="V526" i="5" s="1"/>
  <c r="U462" i="5"/>
  <c r="V462" i="5" s="1"/>
  <c r="U395" i="5"/>
  <c r="V395" i="5" s="1"/>
  <c r="U375" i="5"/>
  <c r="V375" i="5" s="1"/>
  <c r="U416" i="5"/>
  <c r="V416" i="5" s="1"/>
  <c r="U507" i="5"/>
  <c r="V507" i="5" s="1"/>
  <c r="U414" i="5"/>
  <c r="V414" i="5" s="1"/>
  <c r="U497" i="5"/>
  <c r="V497" i="5" s="1"/>
  <c r="U495" i="5"/>
  <c r="V495" i="5" s="1"/>
  <c r="U525" i="5"/>
  <c r="V525" i="5" s="1"/>
  <c r="U433" i="5"/>
  <c r="V433" i="5" s="1"/>
  <c r="U342" i="5"/>
  <c r="V342" i="5" s="1"/>
  <c r="U291" i="5"/>
  <c r="V291" i="5" s="1"/>
  <c r="U277" i="5"/>
  <c r="V277" i="5" s="1"/>
  <c r="U235" i="5"/>
  <c r="V235" i="5" s="1"/>
  <c r="U207" i="5"/>
  <c r="V207" i="5" s="1"/>
  <c r="U143" i="5"/>
  <c r="V143" i="5" s="1"/>
  <c r="U131" i="5"/>
  <c r="V131" i="5" s="1"/>
  <c r="U114" i="5"/>
  <c r="V114" i="5" s="1"/>
  <c r="U432" i="5"/>
  <c r="V432" i="5" s="1"/>
  <c r="U358" i="5"/>
  <c r="V358" i="5" s="1"/>
  <c r="U306" i="5"/>
  <c r="V306" i="5" s="1"/>
  <c r="U248" i="5"/>
  <c r="V248" i="5" s="1"/>
  <c r="U220" i="5"/>
  <c r="V220" i="5" s="1"/>
  <c r="U524" i="5"/>
  <c r="V524" i="5" s="1"/>
  <c r="U385" i="5"/>
  <c r="V385" i="5" s="1"/>
  <c r="U323" i="5"/>
  <c r="V323" i="5" s="1"/>
  <c r="U276" i="5"/>
  <c r="V276" i="5" s="1"/>
  <c r="U261" i="5"/>
  <c r="V261" i="5" s="1"/>
  <c r="U508" i="5"/>
  <c r="V508" i="5" s="1"/>
  <c r="U340" i="5"/>
  <c r="V340" i="5" s="1"/>
  <c r="U305" i="5"/>
  <c r="V305" i="5" s="1"/>
  <c r="U415" i="5"/>
  <c r="V415" i="5" s="1"/>
  <c r="U247" i="5"/>
  <c r="V247" i="5" s="1"/>
  <c r="U499" i="5"/>
  <c r="V499" i="5" s="1"/>
  <c r="U384" i="5"/>
  <c r="V384" i="5" s="1"/>
  <c r="U356" i="5"/>
  <c r="V356" i="5" s="1"/>
  <c r="U322" i="5"/>
  <c r="V322" i="5" s="1"/>
  <c r="U274" i="5"/>
  <c r="V274" i="5" s="1"/>
  <c r="U260" i="5"/>
  <c r="V260" i="5" s="1"/>
  <c r="U204" i="5"/>
  <c r="V204" i="5" s="1"/>
  <c r="U338" i="5"/>
  <c r="V338" i="5" s="1"/>
  <c r="U304" i="5"/>
  <c r="V304" i="5" s="1"/>
  <c r="U289" i="5"/>
  <c r="V289" i="5" s="1"/>
  <c r="U494" i="5"/>
  <c r="V494" i="5" s="1"/>
  <c r="U320" i="5"/>
  <c r="V320" i="5" s="1"/>
  <c r="U303" i="5"/>
  <c r="V303" i="5" s="1"/>
  <c r="U246" i="5"/>
  <c r="V246" i="5" s="1"/>
  <c r="U383" i="5"/>
  <c r="V383" i="5" s="1"/>
  <c r="U355" i="5"/>
  <c r="V355" i="5" s="1"/>
  <c r="U337" i="5"/>
  <c r="V337" i="5" s="1"/>
  <c r="U493" i="5"/>
  <c r="V493" i="5" s="1"/>
  <c r="U410" i="5"/>
  <c r="V410" i="5" s="1"/>
  <c r="U216" i="5"/>
  <c r="V216" i="5" s="1"/>
  <c r="U461" i="5"/>
  <c r="V461" i="5" s="1"/>
  <c r="U400" i="5"/>
  <c r="V400" i="5" s="1"/>
  <c r="U399" i="5"/>
  <c r="V399" i="5" s="1"/>
  <c r="U459" i="5"/>
  <c r="V459" i="5" s="1"/>
  <c r="U444" i="5"/>
  <c r="V444" i="5" s="1"/>
  <c r="U387" i="5"/>
  <c r="V387" i="5" s="1"/>
  <c r="U326" i="5"/>
  <c r="V326" i="5" s="1"/>
  <c r="U301" i="5"/>
  <c r="V301" i="5" s="1"/>
  <c r="U263" i="5"/>
  <c r="V263" i="5" s="1"/>
  <c r="U228" i="5"/>
  <c r="V228" i="5" s="1"/>
  <c r="U178" i="5"/>
  <c r="V178" i="5" s="1"/>
  <c r="U130" i="5"/>
  <c r="V130" i="5" s="1"/>
  <c r="U492" i="5"/>
  <c r="V492" i="5" s="1"/>
  <c r="U351" i="5"/>
  <c r="V351" i="5" s="1"/>
  <c r="U213" i="5"/>
  <c r="V213" i="5" s="1"/>
  <c r="U186" i="5"/>
  <c r="V186" i="5" s="1"/>
  <c r="U156" i="5"/>
  <c r="V156" i="5" s="1"/>
  <c r="U135" i="5"/>
  <c r="V135" i="5" s="1"/>
  <c r="U300" i="5"/>
  <c r="V300" i="5" s="1"/>
  <c r="U282" i="5"/>
  <c r="V282" i="5" s="1"/>
  <c r="U244" i="5"/>
  <c r="V244" i="5" s="1"/>
  <c r="U189" i="5"/>
  <c r="V189" i="5" s="1"/>
  <c r="U175" i="5"/>
  <c r="V175" i="5" s="1"/>
  <c r="U117" i="5"/>
  <c r="V117" i="5" s="1"/>
  <c r="U109" i="5"/>
  <c r="V109" i="5" s="1"/>
  <c r="U491" i="5"/>
  <c r="V491" i="5" s="1"/>
  <c r="U386" i="5"/>
  <c r="V386" i="5" s="1"/>
  <c r="U325" i="5"/>
  <c r="V325" i="5" s="1"/>
  <c r="U262" i="5"/>
  <c r="V262" i="5" s="1"/>
  <c r="U227" i="5"/>
  <c r="V227" i="5" s="1"/>
  <c r="U164" i="5"/>
  <c r="V164" i="5" s="1"/>
  <c r="U347" i="5"/>
  <c r="V347" i="5" s="1"/>
  <c r="U212" i="5"/>
  <c r="V212" i="5" s="1"/>
  <c r="U197" i="5"/>
  <c r="V197" i="5" s="1"/>
  <c r="U183" i="5"/>
  <c r="V183" i="5" s="1"/>
  <c r="U172" i="5"/>
  <c r="V172" i="5" s="1"/>
  <c r="U148" i="5"/>
  <c r="V148" i="5" s="1"/>
  <c r="U122" i="5"/>
  <c r="V122" i="5" s="1"/>
  <c r="U374" i="5"/>
  <c r="V374" i="5" s="1"/>
  <c r="U346" i="5"/>
  <c r="V346" i="5" s="1"/>
  <c r="U324" i="5"/>
  <c r="V324" i="5" s="1"/>
  <c r="U299" i="5"/>
  <c r="V299" i="5" s="1"/>
  <c r="U279" i="5"/>
  <c r="V279" i="5" s="1"/>
  <c r="U241" i="5"/>
  <c r="V241" i="5" s="1"/>
  <c r="U161" i="5"/>
  <c r="V161" i="5" s="1"/>
  <c r="U145" i="5"/>
  <c r="V145" i="5" s="1"/>
  <c r="U140" i="5"/>
  <c r="V140" i="5" s="1"/>
  <c r="U460" i="5"/>
  <c r="V460" i="5" s="1"/>
  <c r="U259" i="5"/>
  <c r="V259" i="5" s="1"/>
  <c r="U226" i="5"/>
  <c r="V226" i="5" s="1"/>
  <c r="U210" i="5"/>
  <c r="V210" i="5" s="1"/>
  <c r="U153" i="5"/>
  <c r="V153" i="5" s="1"/>
  <c r="U345" i="5"/>
  <c r="V345" i="5" s="1"/>
  <c r="U194" i="5"/>
  <c r="V194" i="5" s="1"/>
  <c r="U132" i="5"/>
  <c r="V132" i="5" s="1"/>
  <c r="U443" i="5"/>
  <c r="V443" i="5" s="1"/>
  <c r="U373" i="5"/>
  <c r="V373" i="5" s="1"/>
  <c r="U318" i="5"/>
  <c r="V318" i="5" s="1"/>
  <c r="U298" i="5"/>
  <c r="V298" i="5" s="1"/>
  <c r="U278" i="5"/>
  <c r="V278" i="5" s="1"/>
  <c r="U258" i="5"/>
  <c r="V258" i="5" s="1"/>
  <c r="U240" i="5"/>
  <c r="V240" i="5" s="1"/>
  <c r="U225" i="5"/>
  <c r="V225" i="5" s="1"/>
  <c r="U209" i="5"/>
  <c r="V209" i="5" s="1"/>
  <c r="U442" i="5"/>
  <c r="V442" i="5" s="1"/>
  <c r="U344" i="5"/>
  <c r="V344" i="5" s="1"/>
  <c r="U316" i="5"/>
  <c r="V316" i="5" s="1"/>
  <c r="U202" i="5"/>
  <c r="V202" i="5" s="1"/>
  <c r="U191" i="5"/>
  <c r="V191" i="5" s="1"/>
  <c r="U188" i="5"/>
  <c r="V188" i="5" s="1"/>
  <c r="U180" i="5"/>
  <c r="V180" i="5" s="1"/>
  <c r="U158" i="5"/>
  <c r="V158" i="5" s="1"/>
  <c r="U111" i="5"/>
  <c r="V111" i="5" s="1"/>
  <c r="U368" i="5"/>
  <c r="V368" i="5" s="1"/>
  <c r="U237" i="5"/>
  <c r="V237" i="5" s="1"/>
  <c r="U160" i="5"/>
  <c r="V160" i="5" s="1"/>
  <c r="U312" i="5"/>
  <c r="V312" i="5" s="1"/>
  <c r="U292" i="5"/>
  <c r="V292" i="5" s="1"/>
  <c r="U271" i="5"/>
  <c r="V271" i="5" s="1"/>
  <c r="U252" i="5"/>
  <c r="V252" i="5" s="1"/>
  <c r="U179" i="5"/>
  <c r="V179" i="5" s="1"/>
  <c r="U139" i="5"/>
  <c r="V139" i="5" s="1"/>
  <c r="U408" i="5"/>
  <c r="V408" i="5" s="1"/>
  <c r="U367" i="5"/>
  <c r="V367" i="5" s="1"/>
  <c r="U290" i="5"/>
  <c r="V290" i="5" s="1"/>
  <c r="U288" i="5"/>
  <c r="V288" i="5" s="1"/>
  <c r="U236" i="5"/>
  <c r="V236" i="5" s="1"/>
  <c r="U190" i="5"/>
  <c r="V190" i="5" s="1"/>
  <c r="U182" i="5"/>
  <c r="V182" i="5" s="1"/>
  <c r="U402" i="5"/>
  <c r="V402" i="5" s="1"/>
  <c r="U332" i="5"/>
  <c r="V332" i="5" s="1"/>
  <c r="U311" i="5"/>
  <c r="V311" i="5" s="1"/>
  <c r="U270" i="5"/>
  <c r="V270" i="5" s="1"/>
  <c r="U251" i="5"/>
  <c r="V251" i="5" s="1"/>
  <c r="U219" i="5"/>
  <c r="V219" i="5" s="1"/>
  <c r="U165" i="5"/>
  <c r="V165" i="5" s="1"/>
  <c r="U366" i="5"/>
  <c r="V366" i="5" s="1"/>
  <c r="U287" i="5"/>
  <c r="V287" i="5" s="1"/>
  <c r="U217" i="5"/>
  <c r="V217" i="5" s="1"/>
  <c r="U136" i="5"/>
  <c r="V136" i="5" s="1"/>
  <c r="U331" i="5"/>
  <c r="V331" i="5" s="1"/>
  <c r="U310" i="5"/>
  <c r="V310" i="5" s="1"/>
  <c r="U269" i="5"/>
  <c r="V269" i="5" s="1"/>
  <c r="U250" i="5"/>
  <c r="V250" i="5" s="1"/>
  <c r="U286" i="5"/>
  <c r="V286" i="5" s="1"/>
  <c r="U232" i="5"/>
  <c r="V232" i="5" s="1"/>
  <c r="U354" i="5"/>
  <c r="V354" i="5" s="1"/>
  <c r="U388" i="5"/>
  <c r="V388" i="5" s="1"/>
  <c r="U302" i="5"/>
  <c r="V302" i="5" s="1"/>
  <c r="U440" i="5"/>
  <c r="V440" i="5" s="1"/>
  <c r="U214" i="5"/>
  <c r="V214" i="5" s="1"/>
  <c r="U199" i="5"/>
  <c r="V199" i="5" s="1"/>
  <c r="U174" i="5"/>
  <c r="V174" i="5" s="1"/>
  <c r="U126" i="5"/>
  <c r="V126" i="5" s="1"/>
  <c r="U438" i="5"/>
  <c r="V438" i="5" s="1"/>
  <c r="U313" i="5"/>
  <c r="V313" i="5" s="1"/>
  <c r="U118" i="5"/>
  <c r="V118" i="5" s="1"/>
  <c r="U437" i="5"/>
  <c r="V437" i="5" s="1"/>
  <c r="U309" i="5"/>
  <c r="V309" i="5" s="1"/>
  <c r="U249" i="5"/>
  <c r="V249" i="5" s="1"/>
  <c r="U147" i="5"/>
  <c r="V147" i="5" s="1"/>
  <c r="U436" i="5"/>
  <c r="V436" i="5" s="1"/>
  <c r="U208" i="5"/>
  <c r="V208" i="5" s="1"/>
  <c r="U107" i="5"/>
  <c r="V107" i="5" s="1"/>
  <c r="U435" i="5"/>
  <c r="V435" i="5" s="1"/>
  <c r="U157" i="5"/>
  <c r="V157" i="5" s="1"/>
  <c r="U434" i="5"/>
  <c r="V434" i="5" s="1"/>
  <c r="U173" i="5"/>
  <c r="V173" i="5" s="1"/>
  <c r="U138" i="5"/>
  <c r="V138" i="5" s="1"/>
  <c r="U110" i="5"/>
  <c r="V110" i="5" s="1"/>
  <c r="U390" i="5"/>
  <c r="V390" i="5" s="1"/>
  <c r="U297" i="5"/>
  <c r="V297" i="5" s="1"/>
  <c r="U198" i="5"/>
  <c r="V198" i="5" s="1"/>
  <c r="U192" i="5"/>
  <c r="V192" i="5" s="1"/>
  <c r="U162" i="5"/>
  <c r="V162" i="5" s="1"/>
  <c r="U142" i="5"/>
  <c r="V142" i="5" s="1"/>
  <c r="U129" i="5"/>
  <c r="V129" i="5" s="1"/>
  <c r="U121" i="5"/>
  <c r="V121" i="5" s="1"/>
  <c r="U239" i="5"/>
  <c r="V239" i="5" s="1"/>
  <c r="U205" i="5"/>
  <c r="V205" i="5" s="1"/>
  <c r="U185" i="5"/>
  <c r="V185" i="5" s="1"/>
  <c r="U137" i="5"/>
  <c r="V137" i="5" s="1"/>
  <c r="U372" i="5"/>
  <c r="V372" i="5" s="1"/>
  <c r="U133" i="5"/>
  <c r="V133" i="5" s="1"/>
  <c r="U125" i="5"/>
  <c r="V125" i="5" s="1"/>
  <c r="U238" i="5"/>
  <c r="V238" i="5" s="1"/>
  <c r="U167" i="5"/>
  <c r="V167" i="5" s="1"/>
  <c r="U113" i="5"/>
  <c r="V113" i="5" s="1"/>
  <c r="U370" i="5"/>
  <c r="V370" i="5" s="1"/>
  <c r="U151" i="5"/>
  <c r="V151" i="5" s="1"/>
  <c r="U155" i="5"/>
  <c r="V155" i="5" s="1"/>
  <c r="U124" i="5"/>
  <c r="V124" i="5" s="1"/>
  <c r="U352" i="5"/>
  <c r="V352" i="5" s="1"/>
  <c r="U283" i="5"/>
  <c r="V283" i="5" s="1"/>
  <c r="U231" i="5"/>
  <c r="V231" i="5" s="1"/>
  <c r="U229" i="5"/>
  <c r="V229" i="5" s="1"/>
  <c r="U196" i="5"/>
  <c r="V196" i="5" s="1"/>
  <c r="U171" i="5"/>
  <c r="V171" i="5" s="1"/>
  <c r="U128" i="5"/>
  <c r="V128" i="5" s="1"/>
  <c r="U120" i="5"/>
  <c r="V120" i="5" s="1"/>
  <c r="U273" i="5"/>
  <c r="V273" i="5" s="1"/>
  <c r="U105" i="5"/>
  <c r="V105" i="5" s="1"/>
  <c r="U272" i="5"/>
  <c r="V272" i="5" s="1"/>
  <c r="U224" i="5"/>
  <c r="V224" i="5" s="1"/>
  <c r="U176" i="5"/>
  <c r="V176" i="5" s="1"/>
  <c r="U170" i="5"/>
  <c r="V170" i="5" s="1"/>
  <c r="U154" i="5"/>
  <c r="V154" i="5" s="1"/>
  <c r="U149" i="5"/>
  <c r="V149" i="5" s="1"/>
  <c r="U123" i="5"/>
  <c r="V123" i="5" s="1"/>
  <c r="U336" i="5"/>
  <c r="V336" i="5" s="1"/>
  <c r="U266" i="5"/>
  <c r="V266" i="5" s="1"/>
  <c r="U127" i="5"/>
  <c r="V127" i="5" s="1"/>
  <c r="U112" i="5"/>
  <c r="V112" i="5" s="1"/>
  <c r="U330" i="5"/>
  <c r="V330" i="5" s="1"/>
  <c r="U223" i="5"/>
  <c r="V223" i="5" s="1"/>
  <c r="U256" i="5"/>
  <c r="V256" i="5" s="1"/>
  <c r="U215" i="5"/>
  <c r="V215" i="5" s="1"/>
  <c r="U314" i="5"/>
  <c r="V314" i="5" s="1"/>
  <c r="U254" i="5"/>
  <c r="V254" i="5" s="1"/>
  <c r="U343" i="5"/>
  <c r="V343" i="5" s="1"/>
  <c r="U195" i="5"/>
  <c r="V195" i="5" s="1"/>
  <c r="U115" i="5"/>
  <c r="V115" i="5" s="1"/>
  <c r="U116" i="5"/>
  <c r="V116" i="5" s="1"/>
  <c r="U284" i="5"/>
  <c r="V284" i="5" s="1"/>
  <c r="U166" i="5"/>
  <c r="V166" i="5" s="1"/>
  <c r="U257" i="5"/>
  <c r="V257" i="5" s="1"/>
  <c r="U187" i="5"/>
  <c r="V187" i="5" s="1"/>
  <c r="U233" i="5"/>
  <c r="V233" i="5" s="1"/>
  <c r="U163" i="5"/>
  <c r="V163" i="5" s="1"/>
  <c r="U134" i="5"/>
  <c r="V134" i="5" s="1"/>
  <c r="U222" i="5"/>
  <c r="V222" i="5" s="1"/>
  <c r="U146" i="5"/>
  <c r="V146" i="5" s="1"/>
  <c r="U181" i="5"/>
  <c r="V181" i="5" s="1"/>
  <c r="U144" i="5"/>
  <c r="V144" i="5" s="1"/>
  <c r="U203" i="5"/>
  <c r="V203" i="5" s="1"/>
  <c r="AD281" i="5"/>
  <c r="AD273" i="5"/>
  <c r="AD192" i="5"/>
  <c r="AD97" i="5"/>
  <c r="AD224" i="5"/>
  <c r="AD140" i="5"/>
  <c r="AD39" i="5"/>
  <c r="AD193" i="5"/>
  <c r="AD141" i="5"/>
  <c r="AD123" i="5"/>
  <c r="AD21" i="5"/>
  <c r="AD215" i="5"/>
  <c r="AD50" i="5"/>
  <c r="AD71" i="5"/>
  <c r="AD40" i="5"/>
  <c r="AD102" i="5"/>
  <c r="AD198" i="5"/>
  <c r="AD147" i="5"/>
  <c r="AD137" i="5"/>
  <c r="AD3" i="5"/>
  <c r="AD41" i="5"/>
  <c r="AD206" i="5"/>
  <c r="AD207" i="5"/>
  <c r="AD284" i="5"/>
  <c r="AD150" i="5"/>
  <c r="AD70" i="5"/>
  <c r="AD43" i="5"/>
  <c r="AD218" i="5"/>
  <c r="U403" i="4"/>
  <c r="V403" i="4" s="1"/>
  <c r="U371" i="4"/>
  <c r="V371" i="4" s="1"/>
  <c r="U339" i="4"/>
  <c r="V339" i="4" s="1"/>
  <c r="U307" i="4"/>
  <c r="V307" i="4" s="1"/>
  <c r="U275" i="4"/>
  <c r="V275" i="4" s="1"/>
  <c r="U243" i="4"/>
  <c r="V243" i="4" s="1"/>
  <c r="U211" i="4"/>
  <c r="V211" i="4" s="1"/>
  <c r="U179" i="4"/>
  <c r="V179" i="4" s="1"/>
  <c r="U165" i="4"/>
  <c r="V165" i="4" s="1"/>
  <c r="U149" i="4"/>
  <c r="V149" i="4" s="1"/>
  <c r="U133" i="4"/>
  <c r="V133" i="4" s="1"/>
  <c r="U117" i="4"/>
  <c r="V117" i="4" s="1"/>
  <c r="U101" i="4"/>
  <c r="V101" i="4" s="1"/>
  <c r="U85" i="4"/>
  <c r="V85" i="4" s="1"/>
  <c r="U69" i="4"/>
  <c r="V69" i="4" s="1"/>
  <c r="U569" i="4"/>
  <c r="V569" i="4" s="1"/>
  <c r="U553" i="4"/>
  <c r="V553" i="4" s="1"/>
  <c r="U537" i="4"/>
  <c r="V537" i="4" s="1"/>
  <c r="U521" i="4"/>
  <c r="V521" i="4" s="1"/>
  <c r="U505" i="4"/>
  <c r="V505" i="4" s="1"/>
  <c r="U489" i="4"/>
  <c r="V489" i="4" s="1"/>
  <c r="U473" i="4"/>
  <c r="V473" i="4" s="1"/>
  <c r="U457" i="4"/>
  <c r="V457" i="4" s="1"/>
  <c r="U441" i="4"/>
  <c r="V441" i="4" s="1"/>
  <c r="U425" i="4"/>
  <c r="V425" i="4" s="1"/>
  <c r="U392" i="4"/>
  <c r="V392" i="4" s="1"/>
  <c r="U360" i="4"/>
  <c r="V360" i="4" s="1"/>
  <c r="U328" i="4"/>
  <c r="V328" i="4" s="1"/>
  <c r="U296" i="4"/>
  <c r="V296" i="4" s="1"/>
  <c r="U264" i="4"/>
  <c r="V264" i="4" s="1"/>
  <c r="U232" i="4"/>
  <c r="V232" i="4" s="1"/>
  <c r="U200" i="4"/>
  <c r="V200" i="4" s="1"/>
  <c r="U168" i="4"/>
  <c r="V168" i="4" s="1"/>
  <c r="U413" i="4"/>
  <c r="V413" i="4" s="1"/>
  <c r="U381" i="4"/>
  <c r="V381" i="4" s="1"/>
  <c r="U349" i="4"/>
  <c r="V349" i="4" s="1"/>
  <c r="U317" i="4"/>
  <c r="V317" i="4" s="1"/>
  <c r="U285" i="4"/>
  <c r="V285" i="4" s="1"/>
  <c r="U253" i="4"/>
  <c r="V253" i="4" s="1"/>
  <c r="U221" i="4"/>
  <c r="V221" i="4" s="1"/>
  <c r="U189" i="4"/>
  <c r="V189" i="4" s="1"/>
  <c r="U158" i="4"/>
  <c r="V158" i="4" s="1"/>
  <c r="U142" i="4"/>
  <c r="V142" i="4" s="1"/>
  <c r="U126" i="4"/>
  <c r="V126" i="4" s="1"/>
  <c r="U568" i="4"/>
  <c r="V568" i="4" s="1"/>
  <c r="U552" i="4"/>
  <c r="V552" i="4" s="1"/>
  <c r="U536" i="4"/>
  <c r="V536" i="4" s="1"/>
  <c r="U520" i="4"/>
  <c r="V520" i="4" s="1"/>
  <c r="U504" i="4"/>
  <c r="V504" i="4" s="1"/>
  <c r="U488" i="4"/>
  <c r="V488" i="4" s="1"/>
  <c r="U472" i="4"/>
  <c r="V472" i="4" s="1"/>
  <c r="U456" i="4"/>
  <c r="V456" i="4" s="1"/>
  <c r="U440" i="4"/>
  <c r="V440" i="4" s="1"/>
  <c r="U424" i="4"/>
  <c r="V424" i="4" s="1"/>
  <c r="U402" i="4"/>
  <c r="V402" i="4" s="1"/>
  <c r="U391" i="4"/>
  <c r="V391" i="4" s="1"/>
  <c r="U359" i="4"/>
  <c r="V359" i="4" s="1"/>
  <c r="U327" i="4"/>
  <c r="V327" i="4" s="1"/>
  <c r="U295" i="4"/>
  <c r="V295" i="4" s="1"/>
  <c r="U263" i="4"/>
  <c r="V263" i="4" s="1"/>
  <c r="U231" i="4"/>
  <c r="V231" i="4" s="1"/>
  <c r="U199" i="4"/>
  <c r="V199" i="4" s="1"/>
  <c r="U167" i="4"/>
  <c r="V167" i="4" s="1"/>
  <c r="U151" i="4"/>
  <c r="V151" i="4" s="1"/>
  <c r="U135" i="4"/>
  <c r="V135" i="4" s="1"/>
  <c r="U119" i="4"/>
  <c r="V119" i="4" s="1"/>
  <c r="U567" i="4"/>
  <c r="V567" i="4" s="1"/>
  <c r="U551" i="4"/>
  <c r="V551" i="4" s="1"/>
  <c r="U535" i="4"/>
  <c r="V535" i="4" s="1"/>
  <c r="U519" i="4"/>
  <c r="V519" i="4" s="1"/>
  <c r="U503" i="4"/>
  <c r="V503" i="4" s="1"/>
  <c r="U487" i="4"/>
  <c r="V487" i="4" s="1"/>
  <c r="U471" i="4"/>
  <c r="V471" i="4" s="1"/>
  <c r="U455" i="4"/>
  <c r="V455" i="4" s="1"/>
  <c r="U439" i="4"/>
  <c r="V439" i="4" s="1"/>
  <c r="U423" i="4"/>
  <c r="V423" i="4" s="1"/>
  <c r="U401" i="4"/>
  <c r="V401" i="4" s="1"/>
  <c r="U369" i="4"/>
  <c r="V369" i="4" s="1"/>
  <c r="U337" i="4"/>
  <c r="V337" i="4" s="1"/>
  <c r="U305" i="4"/>
  <c r="V305" i="4" s="1"/>
  <c r="U273" i="4"/>
  <c r="V273" i="4" s="1"/>
  <c r="U241" i="4"/>
  <c r="V241" i="4" s="1"/>
  <c r="U209" i="4"/>
  <c r="V209" i="4" s="1"/>
  <c r="U177" i="4"/>
  <c r="V177" i="4" s="1"/>
  <c r="U160" i="4"/>
  <c r="V160" i="4" s="1"/>
  <c r="U144" i="4"/>
  <c r="V144" i="4" s="1"/>
  <c r="U128" i="4"/>
  <c r="V128" i="4" s="1"/>
  <c r="U112" i="4"/>
  <c r="V112" i="4" s="1"/>
  <c r="U566" i="4"/>
  <c r="V566" i="4" s="1"/>
  <c r="U550" i="4"/>
  <c r="V550" i="4" s="1"/>
  <c r="U534" i="4"/>
  <c r="V534" i="4" s="1"/>
  <c r="U518" i="4"/>
  <c r="V518" i="4" s="1"/>
  <c r="U502" i="4"/>
  <c r="V502" i="4" s="1"/>
  <c r="U486" i="4"/>
  <c r="V486" i="4" s="1"/>
  <c r="U470" i="4"/>
  <c r="V470" i="4" s="1"/>
  <c r="U454" i="4"/>
  <c r="V454" i="4" s="1"/>
  <c r="U438" i="4"/>
  <c r="V438" i="4" s="1"/>
  <c r="U422" i="4"/>
  <c r="V422" i="4" s="1"/>
  <c r="U390" i="4"/>
  <c r="V390" i="4" s="1"/>
  <c r="U358" i="4"/>
  <c r="V358" i="4" s="1"/>
  <c r="U326" i="4"/>
  <c r="V326" i="4" s="1"/>
  <c r="U294" i="4"/>
  <c r="V294" i="4" s="1"/>
  <c r="U262" i="4"/>
  <c r="V262" i="4" s="1"/>
  <c r="U230" i="4"/>
  <c r="V230" i="4" s="1"/>
  <c r="U198" i="4"/>
  <c r="V198" i="4" s="1"/>
  <c r="U411" i="4"/>
  <c r="V411" i="4" s="1"/>
  <c r="U379" i="4"/>
  <c r="V379" i="4" s="1"/>
  <c r="U347" i="4"/>
  <c r="V347" i="4" s="1"/>
  <c r="U315" i="4"/>
  <c r="V315" i="4" s="1"/>
  <c r="U283" i="4"/>
  <c r="V283" i="4" s="1"/>
  <c r="U251" i="4"/>
  <c r="V251" i="4" s="1"/>
  <c r="U219" i="4"/>
  <c r="V219" i="4" s="1"/>
  <c r="U187" i="4"/>
  <c r="V187" i="4" s="1"/>
  <c r="U153" i="4"/>
  <c r="V153" i="4" s="1"/>
  <c r="U137" i="4"/>
  <c r="V137" i="4" s="1"/>
  <c r="U121" i="4"/>
  <c r="V121" i="4" s="1"/>
  <c r="U105" i="4"/>
  <c r="V105" i="4" s="1"/>
  <c r="U565" i="4"/>
  <c r="V565" i="4" s="1"/>
  <c r="U549" i="4"/>
  <c r="V549" i="4" s="1"/>
  <c r="U533" i="4"/>
  <c r="V533" i="4" s="1"/>
  <c r="U517" i="4"/>
  <c r="V517" i="4" s="1"/>
  <c r="U501" i="4"/>
  <c r="V501" i="4" s="1"/>
  <c r="U485" i="4"/>
  <c r="V485" i="4" s="1"/>
  <c r="U469" i="4"/>
  <c r="V469" i="4" s="1"/>
  <c r="U453" i="4"/>
  <c r="V453" i="4" s="1"/>
  <c r="U437" i="4"/>
  <c r="V437" i="4" s="1"/>
  <c r="U400" i="4"/>
  <c r="V400" i="4" s="1"/>
  <c r="U368" i="4"/>
  <c r="V368" i="4" s="1"/>
  <c r="U336" i="4"/>
  <c r="V336" i="4" s="1"/>
  <c r="U304" i="4"/>
  <c r="V304" i="4" s="1"/>
  <c r="U272" i="4"/>
  <c r="V272" i="4" s="1"/>
  <c r="U240" i="4"/>
  <c r="V240" i="4" s="1"/>
  <c r="U208" i="4"/>
  <c r="V208" i="4" s="1"/>
  <c r="U176" i="4"/>
  <c r="V176" i="4" s="1"/>
  <c r="U421" i="4"/>
  <c r="V421" i="4" s="1"/>
  <c r="U389" i="4"/>
  <c r="V389" i="4" s="1"/>
  <c r="U357" i="4"/>
  <c r="V357" i="4" s="1"/>
  <c r="U325" i="4"/>
  <c r="V325" i="4" s="1"/>
  <c r="U293" i="4"/>
  <c r="V293" i="4" s="1"/>
  <c r="U261" i="4"/>
  <c r="V261" i="4" s="1"/>
  <c r="U229" i="4"/>
  <c r="V229" i="4" s="1"/>
  <c r="U197" i="4"/>
  <c r="V197" i="4" s="1"/>
  <c r="U162" i="4"/>
  <c r="V162" i="4" s="1"/>
  <c r="U146" i="4"/>
  <c r="V146" i="4" s="1"/>
  <c r="U130" i="4"/>
  <c r="V130" i="4" s="1"/>
  <c r="U114" i="4"/>
  <c r="V114" i="4" s="1"/>
  <c r="U564" i="4"/>
  <c r="V564" i="4" s="1"/>
  <c r="U548" i="4"/>
  <c r="V548" i="4" s="1"/>
  <c r="U532" i="4"/>
  <c r="V532" i="4" s="1"/>
  <c r="U516" i="4"/>
  <c r="V516" i="4" s="1"/>
  <c r="U500" i="4"/>
  <c r="V500" i="4" s="1"/>
  <c r="U484" i="4"/>
  <c r="V484" i="4" s="1"/>
  <c r="U468" i="4"/>
  <c r="V468" i="4" s="1"/>
  <c r="U452" i="4"/>
  <c r="V452" i="4" s="1"/>
  <c r="U436" i="4"/>
  <c r="V436" i="4" s="1"/>
  <c r="U410" i="4"/>
  <c r="V410" i="4" s="1"/>
  <c r="U378" i="4"/>
  <c r="V378" i="4" s="1"/>
  <c r="U346" i="4"/>
  <c r="V346" i="4" s="1"/>
  <c r="U314" i="4"/>
  <c r="V314" i="4" s="1"/>
  <c r="U282" i="4"/>
  <c r="V282" i="4" s="1"/>
  <c r="U250" i="4"/>
  <c r="V250" i="4" s="1"/>
  <c r="U218" i="4"/>
  <c r="V218" i="4" s="1"/>
  <c r="U186" i="4"/>
  <c r="V186" i="4" s="1"/>
  <c r="U399" i="4"/>
  <c r="V399" i="4" s="1"/>
  <c r="U367" i="4"/>
  <c r="V367" i="4" s="1"/>
  <c r="U335" i="4"/>
  <c r="V335" i="4" s="1"/>
  <c r="U303" i="4"/>
  <c r="V303" i="4" s="1"/>
  <c r="U271" i="4"/>
  <c r="V271" i="4" s="1"/>
  <c r="U239" i="4"/>
  <c r="V239" i="4" s="1"/>
  <c r="U207" i="4"/>
  <c r="V207" i="4" s="1"/>
  <c r="U175" i="4"/>
  <c r="V175" i="4" s="1"/>
  <c r="U155" i="4"/>
  <c r="V155" i="4" s="1"/>
  <c r="U139" i="4"/>
  <c r="V139" i="4" s="1"/>
  <c r="U123" i="4"/>
  <c r="V123" i="4" s="1"/>
  <c r="U563" i="4"/>
  <c r="V563" i="4" s="1"/>
  <c r="U547" i="4"/>
  <c r="V547" i="4" s="1"/>
  <c r="U531" i="4"/>
  <c r="V531" i="4" s="1"/>
  <c r="U515" i="4"/>
  <c r="V515" i="4" s="1"/>
  <c r="U499" i="4"/>
  <c r="V499" i="4" s="1"/>
  <c r="U483" i="4"/>
  <c r="V483" i="4" s="1"/>
  <c r="U467" i="4"/>
  <c r="V467" i="4" s="1"/>
  <c r="U451" i="4"/>
  <c r="V451" i="4" s="1"/>
  <c r="U435" i="4"/>
  <c r="V435" i="4" s="1"/>
  <c r="U420" i="4"/>
  <c r="V420" i="4" s="1"/>
  <c r="U388" i="4"/>
  <c r="V388" i="4" s="1"/>
  <c r="U409" i="4"/>
  <c r="V409" i="4" s="1"/>
  <c r="U377" i="4"/>
  <c r="V377" i="4" s="1"/>
  <c r="U345" i="4"/>
  <c r="V345" i="4" s="1"/>
  <c r="U313" i="4"/>
  <c r="V313" i="4" s="1"/>
  <c r="U281" i="4"/>
  <c r="V281" i="4" s="1"/>
  <c r="U249" i="4"/>
  <c r="V249" i="4" s="1"/>
  <c r="U217" i="4"/>
  <c r="V217" i="4" s="1"/>
  <c r="U185" i="4"/>
  <c r="V185" i="4" s="1"/>
  <c r="U562" i="4"/>
  <c r="V562" i="4" s="1"/>
  <c r="U546" i="4"/>
  <c r="V546" i="4" s="1"/>
  <c r="U530" i="4"/>
  <c r="V530" i="4" s="1"/>
  <c r="U514" i="4"/>
  <c r="V514" i="4" s="1"/>
  <c r="U498" i="4"/>
  <c r="V498" i="4" s="1"/>
  <c r="U482" i="4"/>
  <c r="V482" i="4" s="1"/>
  <c r="U466" i="4"/>
  <c r="V466" i="4" s="1"/>
  <c r="U450" i="4"/>
  <c r="V450" i="4" s="1"/>
  <c r="U434" i="4"/>
  <c r="V434" i="4" s="1"/>
  <c r="U398" i="4"/>
  <c r="V398" i="4" s="1"/>
  <c r="U419" i="4"/>
  <c r="V419" i="4" s="1"/>
  <c r="U387" i="4"/>
  <c r="V387" i="4" s="1"/>
  <c r="U355" i="4"/>
  <c r="V355" i="4" s="1"/>
  <c r="U323" i="4"/>
  <c r="V323" i="4" s="1"/>
  <c r="U291" i="4"/>
  <c r="V291" i="4" s="1"/>
  <c r="U259" i="4"/>
  <c r="V259" i="4" s="1"/>
  <c r="U227" i="4"/>
  <c r="V227" i="4" s="1"/>
  <c r="U195" i="4"/>
  <c r="V195" i="4" s="1"/>
  <c r="U157" i="4"/>
  <c r="V157" i="4" s="1"/>
  <c r="U561" i="4"/>
  <c r="V561" i="4" s="1"/>
  <c r="U545" i="4"/>
  <c r="V545" i="4" s="1"/>
  <c r="U529" i="4"/>
  <c r="V529" i="4" s="1"/>
  <c r="U513" i="4"/>
  <c r="V513" i="4" s="1"/>
  <c r="U497" i="4"/>
  <c r="V497" i="4" s="1"/>
  <c r="U481" i="4"/>
  <c r="V481" i="4" s="1"/>
  <c r="U465" i="4"/>
  <c r="V465" i="4" s="1"/>
  <c r="U449" i="4"/>
  <c r="V449" i="4" s="1"/>
  <c r="U433" i="4"/>
  <c r="V433" i="4" s="1"/>
  <c r="U408" i="4"/>
  <c r="V408" i="4" s="1"/>
  <c r="U376" i="4"/>
  <c r="V376" i="4" s="1"/>
  <c r="U344" i="4"/>
  <c r="V344" i="4" s="1"/>
  <c r="U397" i="4"/>
  <c r="V397" i="4" s="1"/>
  <c r="U365" i="4"/>
  <c r="V365" i="4" s="1"/>
  <c r="U333" i="4"/>
  <c r="V333" i="4" s="1"/>
  <c r="U301" i="4"/>
  <c r="V301" i="4" s="1"/>
  <c r="U269" i="4"/>
  <c r="V269" i="4" s="1"/>
  <c r="U237" i="4"/>
  <c r="V237" i="4" s="1"/>
  <c r="U205" i="4"/>
  <c r="V205" i="4" s="1"/>
  <c r="U173" i="4"/>
  <c r="V173" i="4" s="1"/>
  <c r="U560" i="4"/>
  <c r="V560" i="4" s="1"/>
  <c r="U544" i="4"/>
  <c r="V544" i="4" s="1"/>
  <c r="U528" i="4"/>
  <c r="V528" i="4" s="1"/>
  <c r="U512" i="4"/>
  <c r="V512" i="4" s="1"/>
  <c r="U496" i="4"/>
  <c r="V496" i="4" s="1"/>
  <c r="U480" i="4"/>
  <c r="V480" i="4" s="1"/>
  <c r="U464" i="4"/>
  <c r="V464" i="4" s="1"/>
  <c r="U448" i="4"/>
  <c r="V448" i="4" s="1"/>
  <c r="U432" i="4"/>
  <c r="V432" i="4" s="1"/>
  <c r="U418" i="4"/>
  <c r="V418" i="4" s="1"/>
  <c r="U386" i="4"/>
  <c r="V386" i="4" s="1"/>
  <c r="U407" i="4"/>
  <c r="V407" i="4" s="1"/>
  <c r="U375" i="4"/>
  <c r="V375" i="4" s="1"/>
  <c r="U559" i="4"/>
  <c r="V559" i="4" s="1"/>
  <c r="U543" i="4"/>
  <c r="V543" i="4" s="1"/>
  <c r="U527" i="4"/>
  <c r="V527" i="4" s="1"/>
  <c r="U511" i="4"/>
  <c r="V511" i="4" s="1"/>
  <c r="U495" i="4"/>
  <c r="V495" i="4" s="1"/>
  <c r="U479" i="4"/>
  <c r="V479" i="4" s="1"/>
  <c r="U463" i="4"/>
  <c r="V463" i="4" s="1"/>
  <c r="U447" i="4"/>
  <c r="V447" i="4" s="1"/>
  <c r="U431" i="4"/>
  <c r="V431" i="4" s="1"/>
  <c r="U396" i="4"/>
  <c r="V396" i="4" s="1"/>
  <c r="U364" i="4"/>
  <c r="V364" i="4" s="1"/>
  <c r="U332" i="4"/>
  <c r="V332" i="4" s="1"/>
  <c r="U300" i="4"/>
  <c r="V300" i="4" s="1"/>
  <c r="U268" i="4"/>
  <c r="V268" i="4" s="1"/>
  <c r="U417" i="4"/>
  <c r="V417" i="4" s="1"/>
  <c r="U385" i="4"/>
  <c r="V385" i="4" s="1"/>
  <c r="U353" i="4"/>
  <c r="V353" i="4" s="1"/>
  <c r="U321" i="4"/>
  <c r="V321" i="4" s="1"/>
  <c r="U289" i="4"/>
  <c r="V289" i="4" s="1"/>
  <c r="U257" i="4"/>
  <c r="V257" i="4" s="1"/>
  <c r="U225" i="4"/>
  <c r="V225" i="4" s="1"/>
  <c r="U193" i="4"/>
  <c r="V193" i="4" s="1"/>
  <c r="U152" i="4"/>
  <c r="V152" i="4" s="1"/>
  <c r="U136" i="4"/>
  <c r="V136" i="4" s="1"/>
  <c r="U120" i="4"/>
  <c r="V120" i="4" s="1"/>
  <c r="U558" i="4"/>
  <c r="V558" i="4" s="1"/>
  <c r="U542" i="4"/>
  <c r="V542" i="4" s="1"/>
  <c r="U526" i="4"/>
  <c r="V526" i="4" s="1"/>
  <c r="U510" i="4"/>
  <c r="V510" i="4" s="1"/>
  <c r="U494" i="4"/>
  <c r="V494" i="4" s="1"/>
  <c r="U478" i="4"/>
  <c r="V478" i="4" s="1"/>
  <c r="U462" i="4"/>
  <c r="V462" i="4" s="1"/>
  <c r="U446" i="4"/>
  <c r="V446" i="4" s="1"/>
  <c r="U430" i="4"/>
  <c r="V430" i="4" s="1"/>
  <c r="U406" i="4"/>
  <c r="V406" i="4" s="1"/>
  <c r="U374" i="4"/>
  <c r="V374" i="4" s="1"/>
  <c r="U393" i="4"/>
  <c r="V393" i="4" s="1"/>
  <c r="U334" i="4"/>
  <c r="V334" i="4" s="1"/>
  <c r="U270" i="4"/>
  <c r="V270" i="4" s="1"/>
  <c r="U191" i="4"/>
  <c r="V191" i="4" s="1"/>
  <c r="U171" i="4"/>
  <c r="V171" i="4" s="1"/>
  <c r="U164" i="4"/>
  <c r="V164" i="4" s="1"/>
  <c r="U557" i="4"/>
  <c r="V557" i="4" s="1"/>
  <c r="U493" i="4"/>
  <c r="V493" i="4" s="1"/>
  <c r="U429" i="4"/>
  <c r="V429" i="4" s="1"/>
  <c r="U312" i="4"/>
  <c r="V312" i="4" s="1"/>
  <c r="U108" i="4"/>
  <c r="V108" i="4" s="1"/>
  <c r="U87" i="4"/>
  <c r="V87" i="4" s="1"/>
  <c r="U70" i="4"/>
  <c r="V70" i="4" s="1"/>
  <c r="U58" i="4"/>
  <c r="V58" i="4" s="1"/>
  <c r="U290" i="4"/>
  <c r="V290" i="4" s="1"/>
  <c r="U248" i="4"/>
  <c r="V248" i="4" s="1"/>
  <c r="U228" i="4"/>
  <c r="V228" i="4" s="1"/>
  <c r="U210" i="4"/>
  <c r="V210" i="4" s="1"/>
  <c r="U556" i="4"/>
  <c r="V556" i="4" s="1"/>
  <c r="U492" i="4"/>
  <c r="V492" i="4" s="1"/>
  <c r="U428" i="4"/>
  <c r="V428" i="4" s="1"/>
  <c r="U356" i="4"/>
  <c r="V356" i="4" s="1"/>
  <c r="U311" i="4"/>
  <c r="V311" i="4" s="1"/>
  <c r="U190" i="4"/>
  <c r="V190" i="4" s="1"/>
  <c r="U170" i="4"/>
  <c r="V170" i="4" s="1"/>
  <c r="U92" i="4"/>
  <c r="V92" i="4" s="1"/>
  <c r="U82" i="4"/>
  <c r="V82" i="4" s="1"/>
  <c r="U65" i="4"/>
  <c r="V65" i="4" s="1"/>
  <c r="U310" i="4"/>
  <c r="V310" i="4" s="1"/>
  <c r="U247" i="4"/>
  <c r="V247" i="4" s="1"/>
  <c r="U129" i="4"/>
  <c r="V129" i="4" s="1"/>
  <c r="U97" i="4"/>
  <c r="V97" i="4" s="1"/>
  <c r="U555" i="4"/>
  <c r="V555" i="4" s="1"/>
  <c r="U491" i="4"/>
  <c r="V491" i="4" s="1"/>
  <c r="U383" i="4"/>
  <c r="V383" i="4" s="1"/>
  <c r="U330" i="4"/>
  <c r="V330" i="4" s="1"/>
  <c r="U266" i="4"/>
  <c r="V266" i="4" s="1"/>
  <c r="U184" i="4"/>
  <c r="V184" i="4" s="1"/>
  <c r="U113" i="4"/>
  <c r="V113" i="4" s="1"/>
  <c r="U94" i="4"/>
  <c r="V94" i="4" s="1"/>
  <c r="U541" i="4"/>
  <c r="V541" i="4" s="1"/>
  <c r="U477" i="4"/>
  <c r="V477" i="4" s="1"/>
  <c r="U416" i="4"/>
  <c r="V416" i="4" s="1"/>
  <c r="U287" i="4"/>
  <c r="V287" i="4" s="1"/>
  <c r="U245" i="4"/>
  <c r="V245" i="4" s="1"/>
  <c r="U204" i="4"/>
  <c r="V204" i="4" s="1"/>
  <c r="U125" i="4"/>
  <c r="V125" i="4" s="1"/>
  <c r="U122" i="4"/>
  <c r="V122" i="4" s="1"/>
  <c r="U110" i="4"/>
  <c r="V110" i="4" s="1"/>
  <c r="U351" i="4"/>
  <c r="V351" i="4" s="1"/>
  <c r="U308" i="4"/>
  <c r="V308" i="4" s="1"/>
  <c r="U224" i="4"/>
  <c r="V224" i="4" s="1"/>
  <c r="U183" i="4"/>
  <c r="V183" i="4" s="1"/>
  <c r="U156" i="4"/>
  <c r="V156" i="4" s="1"/>
  <c r="U107" i="4"/>
  <c r="V107" i="4" s="1"/>
  <c r="U62" i="4"/>
  <c r="V62" i="4" s="1"/>
  <c r="U540" i="4"/>
  <c r="V540" i="4" s="1"/>
  <c r="U476" i="4"/>
  <c r="V476" i="4" s="1"/>
  <c r="U382" i="4"/>
  <c r="V382" i="4" s="1"/>
  <c r="U329" i="4"/>
  <c r="V329" i="4" s="1"/>
  <c r="U265" i="4"/>
  <c r="V265" i="4" s="1"/>
  <c r="U203" i="4"/>
  <c r="V203" i="4" s="1"/>
  <c r="U415" i="4"/>
  <c r="V415" i="4" s="1"/>
  <c r="U286" i="4"/>
  <c r="V286" i="4" s="1"/>
  <c r="U244" i="4"/>
  <c r="V244" i="4" s="1"/>
  <c r="U182" i="4"/>
  <c r="V182" i="4" s="1"/>
  <c r="U163" i="4"/>
  <c r="V163" i="4" s="1"/>
  <c r="U99" i="4"/>
  <c r="V99" i="4" s="1"/>
  <c r="U539" i="4"/>
  <c r="V539" i="4" s="1"/>
  <c r="U475" i="4"/>
  <c r="V475" i="4" s="1"/>
  <c r="U380" i="4"/>
  <c r="V380" i="4" s="1"/>
  <c r="U350" i="4"/>
  <c r="V350" i="4" s="1"/>
  <c r="U306" i="4"/>
  <c r="V306" i="4" s="1"/>
  <c r="U223" i="4"/>
  <c r="V223" i="4" s="1"/>
  <c r="U159" i="4"/>
  <c r="V159" i="4" s="1"/>
  <c r="U145" i="4"/>
  <c r="V145" i="4" s="1"/>
  <c r="U284" i="4"/>
  <c r="V284" i="4" s="1"/>
  <c r="U202" i="4"/>
  <c r="V202" i="4" s="1"/>
  <c r="U138" i="4"/>
  <c r="V138" i="4" s="1"/>
  <c r="U91" i="4"/>
  <c r="V91" i="4" s="1"/>
  <c r="U538" i="4"/>
  <c r="V538" i="4" s="1"/>
  <c r="U474" i="4"/>
  <c r="V474" i="4" s="1"/>
  <c r="U414" i="4"/>
  <c r="V414" i="4" s="1"/>
  <c r="U348" i="4"/>
  <c r="V348" i="4" s="1"/>
  <c r="U324" i="4"/>
  <c r="V324" i="4" s="1"/>
  <c r="U260" i="4"/>
  <c r="V260" i="4" s="1"/>
  <c r="U242" i="4"/>
  <c r="V242" i="4" s="1"/>
  <c r="U181" i="4"/>
  <c r="V181" i="4" s="1"/>
  <c r="U166" i="4"/>
  <c r="V166" i="4" s="1"/>
  <c r="U412" i="4"/>
  <c r="V412" i="4" s="1"/>
  <c r="U373" i="4"/>
  <c r="V373" i="4" s="1"/>
  <c r="U302" i="4"/>
  <c r="V302" i="4" s="1"/>
  <c r="U222" i="4"/>
  <c r="V222" i="4" s="1"/>
  <c r="U525" i="4"/>
  <c r="V525" i="4" s="1"/>
  <c r="U461" i="4"/>
  <c r="V461" i="4" s="1"/>
  <c r="U280" i="4"/>
  <c r="V280" i="4" s="1"/>
  <c r="U201" i="4"/>
  <c r="V201" i="4" s="1"/>
  <c r="U322" i="4"/>
  <c r="V322" i="4" s="1"/>
  <c r="U258" i="4"/>
  <c r="V258" i="4" s="1"/>
  <c r="U238" i="4"/>
  <c r="V238" i="4" s="1"/>
  <c r="U220" i="4"/>
  <c r="V220" i="4" s="1"/>
  <c r="U180" i="4"/>
  <c r="V180" i="4" s="1"/>
  <c r="U554" i="4"/>
  <c r="V554" i="4" s="1"/>
  <c r="U341" i="4"/>
  <c r="V341" i="4" s="1"/>
  <c r="U298" i="4"/>
  <c r="V298" i="4" s="1"/>
  <c r="U340" i="4"/>
  <c r="V340" i="4" s="1"/>
  <c r="U96" i="4"/>
  <c r="V96" i="4" s="1"/>
  <c r="U213" i="4"/>
  <c r="V213" i="4" s="1"/>
  <c r="U72" i="4"/>
  <c r="V72" i="4" s="1"/>
  <c r="U524" i="4"/>
  <c r="V524" i="4" s="1"/>
  <c r="U404" i="4"/>
  <c r="V404" i="4" s="1"/>
  <c r="U214" i="4"/>
  <c r="V214" i="4" s="1"/>
  <c r="U79" i="4"/>
  <c r="V79" i="4" s="1"/>
  <c r="U297" i="4"/>
  <c r="V297" i="4" s="1"/>
  <c r="U89" i="4"/>
  <c r="V89" i="4" s="1"/>
  <c r="U59" i="4"/>
  <c r="V59" i="4" s="1"/>
  <c r="U174" i="4"/>
  <c r="V174" i="4" s="1"/>
  <c r="U255" i="4"/>
  <c r="V255" i="4" s="1"/>
  <c r="U523" i="4"/>
  <c r="V523" i="4" s="1"/>
  <c r="U100" i="4"/>
  <c r="V100" i="4" s="1"/>
  <c r="U395" i="4"/>
  <c r="V395" i="4" s="1"/>
  <c r="U254" i="4"/>
  <c r="V254" i="4" s="1"/>
  <c r="U522" i="4"/>
  <c r="V522" i="4" s="1"/>
  <c r="U338" i="4"/>
  <c r="V338" i="4" s="1"/>
  <c r="U61" i="4"/>
  <c r="V61" i="4" s="1"/>
  <c r="U509" i="4"/>
  <c r="V509" i="4" s="1"/>
  <c r="U292" i="4"/>
  <c r="V292" i="4" s="1"/>
  <c r="U252" i="4"/>
  <c r="V252" i="4" s="1"/>
  <c r="U212" i="4"/>
  <c r="V212" i="4" s="1"/>
  <c r="U140" i="4"/>
  <c r="V140" i="4" s="1"/>
  <c r="U134" i="4"/>
  <c r="V134" i="4" s="1"/>
  <c r="U115" i="4"/>
  <c r="V115" i="4" s="1"/>
  <c r="U111" i="4"/>
  <c r="V111" i="4" s="1"/>
  <c r="U394" i="4"/>
  <c r="V394" i="4" s="1"/>
  <c r="U206" i="4"/>
  <c r="V206" i="4" s="1"/>
  <c r="U172" i="4"/>
  <c r="V172" i="4" s="1"/>
  <c r="U288" i="4"/>
  <c r="V288" i="4" s="1"/>
  <c r="U150" i="4"/>
  <c r="V150" i="4" s="1"/>
  <c r="U124" i="4"/>
  <c r="V124" i="4" s="1"/>
  <c r="U103" i="4"/>
  <c r="V103" i="4" s="1"/>
  <c r="U508" i="4"/>
  <c r="V508" i="4" s="1"/>
  <c r="U331" i="4"/>
  <c r="V331" i="4" s="1"/>
  <c r="U246" i="4"/>
  <c r="V246" i="4" s="1"/>
  <c r="U75" i="4"/>
  <c r="V75" i="4" s="1"/>
  <c r="U507" i="4"/>
  <c r="V507" i="4" s="1"/>
  <c r="U384" i="4"/>
  <c r="V384" i="4" s="1"/>
  <c r="U279" i="4"/>
  <c r="V279" i="4" s="1"/>
  <c r="U169" i="4"/>
  <c r="V169" i="4" s="1"/>
  <c r="U161" i="4"/>
  <c r="V161" i="4" s="1"/>
  <c r="U78" i="4"/>
  <c r="V78" i="4" s="1"/>
  <c r="U68" i="4"/>
  <c r="V68" i="4" s="1"/>
  <c r="U278" i="4"/>
  <c r="V278" i="4" s="1"/>
  <c r="U71" i="4"/>
  <c r="V71" i="4" s="1"/>
  <c r="U506" i="4"/>
  <c r="V506" i="4" s="1"/>
  <c r="U372" i="4"/>
  <c r="V372" i="4" s="1"/>
  <c r="U196" i="4"/>
  <c r="V196" i="4" s="1"/>
  <c r="U88" i="4"/>
  <c r="V88" i="4" s="1"/>
  <c r="U81" i="4"/>
  <c r="V81" i="4" s="1"/>
  <c r="U64" i="4"/>
  <c r="V64" i="4" s="1"/>
  <c r="U106" i="4"/>
  <c r="V106" i="4" s="1"/>
  <c r="U490" i="4"/>
  <c r="V490" i="4" s="1"/>
  <c r="U320" i="4"/>
  <c r="V320" i="4" s="1"/>
  <c r="U236" i="4"/>
  <c r="V236" i="4" s="1"/>
  <c r="U118" i="4"/>
  <c r="V118" i="4" s="1"/>
  <c r="U95" i="4"/>
  <c r="V95" i="4" s="1"/>
  <c r="U460" i="4"/>
  <c r="V460" i="4" s="1"/>
  <c r="U277" i="4"/>
  <c r="V277" i="4" s="1"/>
  <c r="U148" i="4"/>
  <c r="V148" i="4" s="1"/>
  <c r="U102" i="4"/>
  <c r="V102" i="4" s="1"/>
  <c r="U370" i="4"/>
  <c r="V370" i="4" s="1"/>
  <c r="U235" i="4"/>
  <c r="V235" i="4" s="1"/>
  <c r="U194" i="4"/>
  <c r="V194" i="4" s="1"/>
  <c r="U459" i="4"/>
  <c r="V459" i="4" s="1"/>
  <c r="U319" i="4"/>
  <c r="V319" i="4" s="1"/>
  <c r="U84" i="4"/>
  <c r="V84" i="4" s="1"/>
  <c r="U366" i="4"/>
  <c r="V366" i="4" s="1"/>
  <c r="U276" i="4"/>
  <c r="V276" i="4" s="1"/>
  <c r="U154" i="4"/>
  <c r="V154" i="4" s="1"/>
  <c r="U98" i="4"/>
  <c r="V98" i="4" s="1"/>
  <c r="U458" i="4"/>
  <c r="V458" i="4" s="1"/>
  <c r="U363" i="4"/>
  <c r="V363" i="4" s="1"/>
  <c r="U234" i="4"/>
  <c r="V234" i="4" s="1"/>
  <c r="U109" i="4"/>
  <c r="V109" i="4" s="1"/>
  <c r="U67" i="4"/>
  <c r="V67" i="4" s="1"/>
  <c r="U318" i="4"/>
  <c r="V318" i="4" s="1"/>
  <c r="U143" i="4"/>
  <c r="V143" i="4" s="1"/>
  <c r="U132" i="4"/>
  <c r="V132" i="4" s="1"/>
  <c r="U77" i="4"/>
  <c r="V77" i="4" s="1"/>
  <c r="U445" i="4"/>
  <c r="V445" i="4" s="1"/>
  <c r="U274" i="4"/>
  <c r="V274" i="4" s="1"/>
  <c r="U192" i="4"/>
  <c r="V192" i="4" s="1"/>
  <c r="U127" i="4"/>
  <c r="V127" i="4" s="1"/>
  <c r="U362" i="4"/>
  <c r="V362" i="4" s="1"/>
  <c r="U316" i="4"/>
  <c r="V316" i="4" s="1"/>
  <c r="U444" i="4"/>
  <c r="V444" i="4" s="1"/>
  <c r="U83" i="4"/>
  <c r="V83" i="4" s="1"/>
  <c r="U93" i="4"/>
  <c r="V93" i="4" s="1"/>
  <c r="U443" i="4"/>
  <c r="V443" i="4" s="1"/>
  <c r="U74" i="4"/>
  <c r="V74" i="4" s="1"/>
  <c r="U73" i="4"/>
  <c r="V73" i="4" s="1"/>
  <c r="U178" i="4"/>
  <c r="V178" i="4" s="1"/>
  <c r="U66" i="4"/>
  <c r="V66" i="4" s="1"/>
  <c r="U442" i="4"/>
  <c r="V442" i="4" s="1"/>
  <c r="U256" i="4"/>
  <c r="V256" i="4" s="1"/>
  <c r="U427" i="4"/>
  <c r="V427" i="4" s="1"/>
  <c r="U233" i="4"/>
  <c r="V233" i="4" s="1"/>
  <c r="U141" i="4"/>
  <c r="V141" i="4" s="1"/>
  <c r="U86" i="4"/>
  <c r="V86" i="4" s="1"/>
  <c r="U104" i="4"/>
  <c r="V104" i="4" s="1"/>
  <c r="U426" i="4"/>
  <c r="V426" i="4" s="1"/>
  <c r="U56" i="4"/>
  <c r="V56" i="4" s="1"/>
  <c r="U405" i="4"/>
  <c r="V405" i="4" s="1"/>
  <c r="U226" i="4"/>
  <c r="V226" i="4" s="1"/>
  <c r="U116" i="4"/>
  <c r="V116" i="4" s="1"/>
  <c r="U63" i="4"/>
  <c r="V63" i="4" s="1"/>
  <c r="U147" i="4"/>
  <c r="V147" i="4" s="1"/>
  <c r="U80" i="4"/>
  <c r="V80" i="4" s="1"/>
  <c r="U361" i="4"/>
  <c r="V361" i="4" s="1"/>
  <c r="U90" i="4"/>
  <c r="V90" i="4" s="1"/>
  <c r="U267" i="4"/>
  <c r="V267" i="4" s="1"/>
  <c r="U354" i="4"/>
  <c r="V354" i="4" s="1"/>
  <c r="U216" i="4"/>
  <c r="V216" i="4" s="1"/>
  <c r="U352" i="4"/>
  <c r="V352" i="4" s="1"/>
  <c r="U343" i="4"/>
  <c r="V343" i="4" s="1"/>
  <c r="U215" i="4"/>
  <c r="V215" i="4" s="1"/>
  <c r="U342" i="4"/>
  <c r="V342" i="4" s="1"/>
  <c r="U60" i="4"/>
  <c r="V60" i="4" s="1"/>
  <c r="U131" i="4"/>
  <c r="V131" i="4" s="1"/>
  <c r="U188" i="4"/>
  <c r="V188" i="4" s="1"/>
  <c r="U299" i="4"/>
  <c r="V299" i="4" s="1"/>
  <c r="U57" i="4"/>
  <c r="V57" i="4" s="1"/>
  <c r="U309" i="4"/>
  <c r="V309" i="4" s="1"/>
  <c r="U76" i="4"/>
  <c r="V76" i="4" s="1"/>
  <c r="AD413" i="4"/>
  <c r="AD381" i="4"/>
  <c r="AD349" i="4"/>
  <c r="AD317" i="4"/>
  <c r="AD402" i="4"/>
  <c r="AD370" i="4"/>
  <c r="AD338" i="4"/>
  <c r="AD306" i="4"/>
  <c r="AD391" i="4"/>
  <c r="AD359" i="4"/>
  <c r="AD327" i="4"/>
  <c r="AD295" i="4"/>
  <c r="AD412" i="4"/>
  <c r="AD401" i="4"/>
  <c r="AD369" i="4"/>
  <c r="AD337" i="4"/>
  <c r="AD305" i="4"/>
  <c r="AD411" i="4"/>
  <c r="AD379" i="4"/>
  <c r="AD347" i="4"/>
  <c r="AD315" i="4"/>
  <c r="AD400" i="4"/>
  <c r="AD368" i="4"/>
  <c r="AD336" i="4"/>
  <c r="AD304" i="4"/>
  <c r="AD421" i="4"/>
  <c r="AD389" i="4"/>
  <c r="AD357" i="4"/>
  <c r="AD325" i="4"/>
  <c r="AD410" i="4"/>
  <c r="AD378" i="4"/>
  <c r="AD346" i="4"/>
  <c r="AD314" i="4"/>
  <c r="AD399" i="4"/>
  <c r="AD367" i="4"/>
  <c r="AD335" i="4"/>
  <c r="AD303" i="4"/>
  <c r="AD420" i="4"/>
  <c r="AD388" i="4"/>
  <c r="AD356" i="4"/>
  <c r="AD324" i="4"/>
  <c r="AD409" i="4"/>
  <c r="AD377" i="4"/>
  <c r="AD345" i="4"/>
  <c r="AD313" i="4"/>
  <c r="AD398" i="4"/>
  <c r="AD366" i="4"/>
  <c r="AD419" i="4"/>
  <c r="AD387" i="4"/>
  <c r="AD355" i="4"/>
  <c r="AD323" i="4"/>
  <c r="AD408" i="4"/>
  <c r="AD376" i="4"/>
  <c r="AD397" i="4"/>
  <c r="AD365" i="4"/>
  <c r="AD333" i="4"/>
  <c r="AD301" i="4"/>
  <c r="AD418" i="4"/>
  <c r="AD386" i="4"/>
  <c r="AD354" i="4"/>
  <c r="AD407" i="4"/>
  <c r="AD375" i="4"/>
  <c r="AD343" i="4"/>
  <c r="AD311" i="4"/>
  <c r="AD396" i="4"/>
  <c r="AD364" i="4"/>
  <c r="AD417" i="4"/>
  <c r="AD385" i="4"/>
  <c r="AD353" i="4"/>
  <c r="AD406" i="4"/>
  <c r="AD374" i="4"/>
  <c r="AD342" i="4"/>
  <c r="AD310" i="4"/>
  <c r="AD395" i="4"/>
  <c r="AD363" i="4"/>
  <c r="AD331" i="4"/>
  <c r="AD299" i="4"/>
  <c r="AD416" i="4"/>
  <c r="AD384" i="4"/>
  <c r="AD352" i="4"/>
  <c r="AD360" i="4"/>
  <c r="AD312" i="4"/>
  <c r="AD392" i="4"/>
  <c r="AD358" i="4"/>
  <c r="AD332" i="4"/>
  <c r="AD390" i="4"/>
  <c r="AD383" i="4"/>
  <c r="AD330" i="4"/>
  <c r="AD351" i="4"/>
  <c r="AD308" i="4"/>
  <c r="AD382" i="4"/>
  <c r="AD329" i="4"/>
  <c r="AD415" i="4"/>
  <c r="AD350" i="4"/>
  <c r="AD307" i="4"/>
  <c r="AD380" i="4"/>
  <c r="AD328" i="4"/>
  <c r="AD414" i="4"/>
  <c r="AD373" i="4"/>
  <c r="AD348" i="4"/>
  <c r="AD326" i="4"/>
  <c r="AD302" i="4"/>
  <c r="AD405" i="4"/>
  <c r="AD372" i="4"/>
  <c r="AD344" i="4"/>
  <c r="AD322" i="4"/>
  <c r="AD300" i="4"/>
  <c r="AD340" i="4"/>
  <c r="AD297" i="4"/>
  <c r="AD403" i="4"/>
  <c r="AD296" i="4"/>
  <c r="AD339" i="4"/>
  <c r="AD394" i="4"/>
  <c r="AD294" i="4"/>
  <c r="AD334" i="4"/>
  <c r="AD393" i="4"/>
  <c r="AD321" i="4"/>
  <c r="AD320" i="4"/>
  <c r="AD371" i="4"/>
  <c r="AD319" i="4"/>
  <c r="AD318" i="4"/>
  <c r="AD362" i="4"/>
  <c r="AD316" i="4"/>
  <c r="AD404" i="4"/>
  <c r="AD361" i="4"/>
  <c r="AD341" i="4"/>
  <c r="AD309" i="4"/>
  <c r="AD298" i="4"/>
  <c r="AD132" i="3"/>
  <c r="AD245" i="3"/>
  <c r="AD281" i="3"/>
  <c r="AD15" i="3"/>
  <c r="AD50" i="3"/>
  <c r="AD63" i="3"/>
  <c r="AD202" i="3"/>
  <c r="AD262" i="3"/>
  <c r="AD267" i="3"/>
  <c r="AD156" i="3"/>
  <c r="AD174" i="3"/>
  <c r="AD196" i="3"/>
  <c r="AD23" i="3"/>
  <c r="AD176" i="3"/>
  <c r="AD67" i="3"/>
  <c r="AD42" i="3"/>
  <c r="AD80" i="3"/>
  <c r="AD268" i="3"/>
  <c r="AD170" i="3"/>
  <c r="AD216" i="3"/>
  <c r="AD228" i="3"/>
  <c r="AD193" i="3"/>
  <c r="U403" i="3"/>
  <c r="V403" i="3" s="1"/>
  <c r="U371" i="3"/>
  <c r="V371" i="3" s="1"/>
  <c r="U339" i="3"/>
  <c r="V339" i="3" s="1"/>
  <c r="U307" i="3"/>
  <c r="V307" i="3" s="1"/>
  <c r="U275" i="3"/>
  <c r="V275" i="3" s="1"/>
  <c r="U243" i="3"/>
  <c r="V243" i="3" s="1"/>
  <c r="U211" i="3"/>
  <c r="V211" i="3" s="1"/>
  <c r="U179" i="3"/>
  <c r="V179" i="3" s="1"/>
  <c r="U165" i="3"/>
  <c r="V165" i="3" s="1"/>
  <c r="U149" i="3"/>
  <c r="V149" i="3" s="1"/>
  <c r="U569" i="3"/>
  <c r="V569" i="3" s="1"/>
  <c r="U553" i="3"/>
  <c r="V553" i="3" s="1"/>
  <c r="U537" i="3"/>
  <c r="V537" i="3" s="1"/>
  <c r="U521" i="3"/>
  <c r="V521" i="3" s="1"/>
  <c r="U505" i="3"/>
  <c r="V505" i="3" s="1"/>
  <c r="U489" i="3"/>
  <c r="V489" i="3" s="1"/>
  <c r="U473" i="3"/>
  <c r="V473" i="3" s="1"/>
  <c r="U457" i="3"/>
  <c r="V457" i="3" s="1"/>
  <c r="U441" i="3"/>
  <c r="V441" i="3" s="1"/>
  <c r="U425" i="3"/>
  <c r="V425" i="3" s="1"/>
  <c r="U413" i="3"/>
  <c r="V413" i="3" s="1"/>
  <c r="U381" i="3"/>
  <c r="V381" i="3" s="1"/>
  <c r="U349" i="3"/>
  <c r="V349" i="3" s="1"/>
  <c r="U317" i="3"/>
  <c r="V317" i="3" s="1"/>
  <c r="U285" i="3"/>
  <c r="V285" i="3" s="1"/>
  <c r="U253" i="3"/>
  <c r="V253" i="3" s="1"/>
  <c r="U221" i="3"/>
  <c r="V221" i="3" s="1"/>
  <c r="U189" i="3"/>
  <c r="V189" i="3" s="1"/>
  <c r="U568" i="3"/>
  <c r="V568" i="3" s="1"/>
  <c r="U552" i="3"/>
  <c r="V552" i="3" s="1"/>
  <c r="U536" i="3"/>
  <c r="V536" i="3" s="1"/>
  <c r="U520" i="3"/>
  <c r="V520" i="3" s="1"/>
  <c r="U504" i="3"/>
  <c r="V504" i="3" s="1"/>
  <c r="U488" i="3"/>
  <c r="V488" i="3" s="1"/>
  <c r="U472" i="3"/>
  <c r="V472" i="3" s="1"/>
  <c r="U456" i="3"/>
  <c r="V456" i="3" s="1"/>
  <c r="U440" i="3"/>
  <c r="V440" i="3" s="1"/>
  <c r="U424" i="3"/>
  <c r="V424" i="3" s="1"/>
  <c r="U391" i="3"/>
  <c r="V391" i="3" s="1"/>
  <c r="U359" i="3"/>
  <c r="V359" i="3" s="1"/>
  <c r="U567" i="3"/>
  <c r="V567" i="3" s="1"/>
  <c r="U551" i="3"/>
  <c r="V551" i="3" s="1"/>
  <c r="U535" i="3"/>
  <c r="V535" i="3" s="1"/>
  <c r="U519" i="3"/>
  <c r="V519" i="3" s="1"/>
  <c r="U503" i="3"/>
  <c r="V503" i="3" s="1"/>
  <c r="U487" i="3"/>
  <c r="V487" i="3" s="1"/>
  <c r="U471" i="3"/>
  <c r="V471" i="3" s="1"/>
  <c r="U455" i="3"/>
  <c r="V455" i="3" s="1"/>
  <c r="U439" i="3"/>
  <c r="V439" i="3" s="1"/>
  <c r="U423" i="3"/>
  <c r="V423" i="3" s="1"/>
  <c r="U401" i="3"/>
  <c r="V401" i="3" s="1"/>
  <c r="U369" i="3"/>
  <c r="V369" i="3" s="1"/>
  <c r="U337" i="3"/>
  <c r="V337" i="3" s="1"/>
  <c r="U305" i="3"/>
  <c r="V305" i="3" s="1"/>
  <c r="U273" i="3"/>
  <c r="V273" i="3" s="1"/>
  <c r="U566" i="3"/>
  <c r="V566" i="3" s="1"/>
  <c r="U550" i="3"/>
  <c r="V550" i="3" s="1"/>
  <c r="U534" i="3"/>
  <c r="V534" i="3" s="1"/>
  <c r="U518" i="3"/>
  <c r="V518" i="3" s="1"/>
  <c r="U502" i="3"/>
  <c r="V502" i="3" s="1"/>
  <c r="U486" i="3"/>
  <c r="V486" i="3" s="1"/>
  <c r="U470" i="3"/>
  <c r="V470" i="3" s="1"/>
  <c r="U454" i="3"/>
  <c r="V454" i="3" s="1"/>
  <c r="U438" i="3"/>
  <c r="V438" i="3" s="1"/>
  <c r="U422" i="3"/>
  <c r="V422" i="3" s="1"/>
  <c r="U411" i="3"/>
  <c r="V411" i="3" s="1"/>
  <c r="U379" i="3"/>
  <c r="V379" i="3" s="1"/>
  <c r="U347" i="3"/>
  <c r="V347" i="3" s="1"/>
  <c r="U315" i="3"/>
  <c r="V315" i="3" s="1"/>
  <c r="U283" i="3"/>
  <c r="V283" i="3" s="1"/>
  <c r="U251" i="3"/>
  <c r="V251" i="3" s="1"/>
  <c r="U219" i="3"/>
  <c r="V219" i="3" s="1"/>
  <c r="U187" i="3"/>
  <c r="V187" i="3" s="1"/>
  <c r="U153" i="3"/>
  <c r="V153" i="3" s="1"/>
  <c r="U137" i="3"/>
  <c r="V137" i="3" s="1"/>
  <c r="U121" i="3"/>
  <c r="V121" i="3" s="1"/>
  <c r="U565" i="3"/>
  <c r="V565" i="3" s="1"/>
  <c r="U549" i="3"/>
  <c r="V549" i="3" s="1"/>
  <c r="U533" i="3"/>
  <c r="V533" i="3" s="1"/>
  <c r="U517" i="3"/>
  <c r="V517" i="3" s="1"/>
  <c r="U501" i="3"/>
  <c r="V501" i="3" s="1"/>
  <c r="U485" i="3"/>
  <c r="V485" i="3" s="1"/>
  <c r="U469" i="3"/>
  <c r="V469" i="3" s="1"/>
  <c r="U453" i="3"/>
  <c r="V453" i="3" s="1"/>
  <c r="U437" i="3"/>
  <c r="V437" i="3" s="1"/>
  <c r="U421" i="3"/>
  <c r="V421" i="3" s="1"/>
  <c r="U389" i="3"/>
  <c r="V389" i="3" s="1"/>
  <c r="U357" i="3"/>
  <c r="V357" i="3" s="1"/>
  <c r="U325" i="3"/>
  <c r="V325" i="3" s="1"/>
  <c r="U293" i="3"/>
  <c r="V293" i="3" s="1"/>
  <c r="U261" i="3"/>
  <c r="V261" i="3" s="1"/>
  <c r="U229" i="3"/>
  <c r="V229" i="3" s="1"/>
  <c r="U197" i="3"/>
  <c r="V197" i="3" s="1"/>
  <c r="U162" i="3"/>
  <c r="V162" i="3" s="1"/>
  <c r="U146" i="3"/>
  <c r="V146" i="3" s="1"/>
  <c r="U130" i="3"/>
  <c r="V130" i="3" s="1"/>
  <c r="U114" i="3"/>
  <c r="V114" i="3" s="1"/>
  <c r="U98" i="3"/>
  <c r="V98" i="3" s="1"/>
  <c r="U82" i="3"/>
  <c r="V82" i="3" s="1"/>
  <c r="U564" i="3"/>
  <c r="V564" i="3" s="1"/>
  <c r="U548" i="3"/>
  <c r="V548" i="3" s="1"/>
  <c r="U532" i="3"/>
  <c r="V532" i="3" s="1"/>
  <c r="U516" i="3"/>
  <c r="V516" i="3" s="1"/>
  <c r="U500" i="3"/>
  <c r="V500" i="3" s="1"/>
  <c r="U484" i="3"/>
  <c r="V484" i="3" s="1"/>
  <c r="U468" i="3"/>
  <c r="V468" i="3" s="1"/>
  <c r="U452" i="3"/>
  <c r="V452" i="3" s="1"/>
  <c r="U436" i="3"/>
  <c r="V436" i="3" s="1"/>
  <c r="U410" i="3"/>
  <c r="V410" i="3" s="1"/>
  <c r="U378" i="3"/>
  <c r="V378" i="3" s="1"/>
  <c r="U346" i="3"/>
  <c r="V346" i="3" s="1"/>
  <c r="U314" i="3"/>
  <c r="V314" i="3" s="1"/>
  <c r="U282" i="3"/>
  <c r="V282" i="3" s="1"/>
  <c r="U250" i="3"/>
  <c r="V250" i="3" s="1"/>
  <c r="U218" i="3"/>
  <c r="V218" i="3" s="1"/>
  <c r="U186" i="3"/>
  <c r="V186" i="3" s="1"/>
  <c r="U399" i="3"/>
  <c r="V399" i="3" s="1"/>
  <c r="U367" i="3"/>
  <c r="V367" i="3" s="1"/>
  <c r="U335" i="3"/>
  <c r="V335" i="3" s="1"/>
  <c r="U303" i="3"/>
  <c r="V303" i="3" s="1"/>
  <c r="U271" i="3"/>
  <c r="V271" i="3" s="1"/>
  <c r="U239" i="3"/>
  <c r="V239" i="3" s="1"/>
  <c r="U207" i="3"/>
  <c r="V207" i="3" s="1"/>
  <c r="U175" i="3"/>
  <c r="V175" i="3" s="1"/>
  <c r="U155" i="3"/>
  <c r="V155" i="3" s="1"/>
  <c r="U563" i="3"/>
  <c r="V563" i="3" s="1"/>
  <c r="U547" i="3"/>
  <c r="V547" i="3" s="1"/>
  <c r="U531" i="3"/>
  <c r="V531" i="3" s="1"/>
  <c r="U515" i="3"/>
  <c r="V515" i="3" s="1"/>
  <c r="U499" i="3"/>
  <c r="V499" i="3" s="1"/>
  <c r="U483" i="3"/>
  <c r="V483" i="3" s="1"/>
  <c r="U467" i="3"/>
  <c r="V467" i="3" s="1"/>
  <c r="U451" i="3"/>
  <c r="V451" i="3" s="1"/>
  <c r="U435" i="3"/>
  <c r="V435" i="3" s="1"/>
  <c r="U409" i="3"/>
  <c r="V409" i="3" s="1"/>
  <c r="U377" i="3"/>
  <c r="V377" i="3" s="1"/>
  <c r="U345" i="3"/>
  <c r="V345" i="3" s="1"/>
  <c r="U313" i="3"/>
  <c r="V313" i="3" s="1"/>
  <c r="U281" i="3"/>
  <c r="V281" i="3" s="1"/>
  <c r="U249" i="3"/>
  <c r="V249" i="3" s="1"/>
  <c r="U217" i="3"/>
  <c r="V217" i="3" s="1"/>
  <c r="U185" i="3"/>
  <c r="V185" i="3" s="1"/>
  <c r="U164" i="3"/>
  <c r="V164" i="3" s="1"/>
  <c r="U562" i="3"/>
  <c r="V562" i="3" s="1"/>
  <c r="U546" i="3"/>
  <c r="V546" i="3" s="1"/>
  <c r="U530" i="3"/>
  <c r="V530" i="3" s="1"/>
  <c r="U514" i="3"/>
  <c r="V514" i="3" s="1"/>
  <c r="U498" i="3"/>
  <c r="V498" i="3" s="1"/>
  <c r="U482" i="3"/>
  <c r="V482" i="3" s="1"/>
  <c r="U466" i="3"/>
  <c r="V466" i="3" s="1"/>
  <c r="U450" i="3"/>
  <c r="V450" i="3" s="1"/>
  <c r="U434" i="3"/>
  <c r="V434" i="3" s="1"/>
  <c r="U398" i="3"/>
  <c r="V398" i="3" s="1"/>
  <c r="U419" i="3"/>
  <c r="V419" i="3" s="1"/>
  <c r="U387" i="3"/>
  <c r="V387" i="3" s="1"/>
  <c r="U355" i="3"/>
  <c r="V355" i="3" s="1"/>
  <c r="U323" i="3"/>
  <c r="V323" i="3" s="1"/>
  <c r="U291" i="3"/>
  <c r="V291" i="3" s="1"/>
  <c r="U259" i="3"/>
  <c r="V259" i="3" s="1"/>
  <c r="U227" i="3"/>
  <c r="V227" i="3" s="1"/>
  <c r="U561" i="3"/>
  <c r="V561" i="3" s="1"/>
  <c r="U545" i="3"/>
  <c r="V545" i="3" s="1"/>
  <c r="U529" i="3"/>
  <c r="V529" i="3" s="1"/>
  <c r="U513" i="3"/>
  <c r="V513" i="3" s="1"/>
  <c r="U497" i="3"/>
  <c r="V497" i="3" s="1"/>
  <c r="U481" i="3"/>
  <c r="V481" i="3" s="1"/>
  <c r="U465" i="3"/>
  <c r="V465" i="3" s="1"/>
  <c r="U449" i="3"/>
  <c r="V449" i="3" s="1"/>
  <c r="U433" i="3"/>
  <c r="V433" i="3" s="1"/>
  <c r="U397" i="3"/>
  <c r="V397" i="3" s="1"/>
  <c r="U365" i="3"/>
  <c r="V365" i="3" s="1"/>
  <c r="U333" i="3"/>
  <c r="V333" i="3" s="1"/>
  <c r="U301" i="3"/>
  <c r="V301" i="3" s="1"/>
  <c r="U269" i="3"/>
  <c r="V269" i="3" s="1"/>
  <c r="U237" i="3"/>
  <c r="V237" i="3" s="1"/>
  <c r="U205" i="3"/>
  <c r="V205" i="3" s="1"/>
  <c r="U173" i="3"/>
  <c r="V173" i="3" s="1"/>
  <c r="U166" i="3"/>
  <c r="V166" i="3" s="1"/>
  <c r="U150" i="3"/>
  <c r="V150" i="3" s="1"/>
  <c r="U134" i="3"/>
  <c r="V134" i="3" s="1"/>
  <c r="U560" i="3"/>
  <c r="V560" i="3" s="1"/>
  <c r="U544" i="3"/>
  <c r="V544" i="3" s="1"/>
  <c r="U528" i="3"/>
  <c r="V528" i="3" s="1"/>
  <c r="U512" i="3"/>
  <c r="V512" i="3" s="1"/>
  <c r="U496" i="3"/>
  <c r="V496" i="3" s="1"/>
  <c r="U480" i="3"/>
  <c r="V480" i="3" s="1"/>
  <c r="U464" i="3"/>
  <c r="V464" i="3" s="1"/>
  <c r="U448" i="3"/>
  <c r="V448" i="3" s="1"/>
  <c r="U407" i="3"/>
  <c r="V407" i="3" s="1"/>
  <c r="U375" i="3"/>
  <c r="V375" i="3" s="1"/>
  <c r="U343" i="3"/>
  <c r="V343" i="3" s="1"/>
  <c r="U311" i="3"/>
  <c r="V311" i="3" s="1"/>
  <c r="U279" i="3"/>
  <c r="V279" i="3" s="1"/>
  <c r="U247" i="3"/>
  <c r="V247" i="3" s="1"/>
  <c r="U559" i="3"/>
  <c r="V559" i="3" s="1"/>
  <c r="U543" i="3"/>
  <c r="V543" i="3" s="1"/>
  <c r="U527" i="3"/>
  <c r="V527" i="3" s="1"/>
  <c r="U511" i="3"/>
  <c r="V511" i="3" s="1"/>
  <c r="U495" i="3"/>
  <c r="V495" i="3" s="1"/>
  <c r="U479" i="3"/>
  <c r="V479" i="3" s="1"/>
  <c r="U463" i="3"/>
  <c r="V463" i="3" s="1"/>
  <c r="U447" i="3"/>
  <c r="V447" i="3" s="1"/>
  <c r="U431" i="3"/>
  <c r="V431" i="3" s="1"/>
  <c r="U396" i="3"/>
  <c r="V396" i="3" s="1"/>
  <c r="U364" i="3"/>
  <c r="V364" i="3" s="1"/>
  <c r="U417" i="3"/>
  <c r="V417" i="3" s="1"/>
  <c r="U385" i="3"/>
  <c r="V385" i="3" s="1"/>
  <c r="U558" i="3"/>
  <c r="V558" i="3" s="1"/>
  <c r="U542" i="3"/>
  <c r="V542" i="3" s="1"/>
  <c r="U526" i="3"/>
  <c r="V526" i="3" s="1"/>
  <c r="U510" i="3"/>
  <c r="V510" i="3" s="1"/>
  <c r="U494" i="3"/>
  <c r="V494" i="3" s="1"/>
  <c r="U395" i="3"/>
  <c r="V395" i="3" s="1"/>
  <c r="U555" i="3"/>
  <c r="V555" i="3" s="1"/>
  <c r="U539" i="3"/>
  <c r="V539" i="3" s="1"/>
  <c r="U523" i="3"/>
  <c r="V523" i="3" s="1"/>
  <c r="U507" i="3"/>
  <c r="V507" i="3" s="1"/>
  <c r="U491" i="3"/>
  <c r="V491" i="3" s="1"/>
  <c r="U475" i="3"/>
  <c r="V475" i="3" s="1"/>
  <c r="U459" i="3"/>
  <c r="V459" i="3" s="1"/>
  <c r="U393" i="3"/>
  <c r="V393" i="3" s="1"/>
  <c r="U361" i="3"/>
  <c r="V361" i="3" s="1"/>
  <c r="U329" i="3"/>
  <c r="V329" i="3" s="1"/>
  <c r="U297" i="3"/>
  <c r="V297" i="3" s="1"/>
  <c r="U265" i="3"/>
  <c r="V265" i="3" s="1"/>
  <c r="U554" i="3"/>
  <c r="V554" i="3" s="1"/>
  <c r="U538" i="3"/>
  <c r="V538" i="3" s="1"/>
  <c r="U557" i="3"/>
  <c r="V557" i="3" s="1"/>
  <c r="U460" i="3"/>
  <c r="V460" i="3" s="1"/>
  <c r="U388" i="3"/>
  <c r="V388" i="3" s="1"/>
  <c r="U368" i="3"/>
  <c r="V368" i="3" s="1"/>
  <c r="U350" i="3"/>
  <c r="V350" i="3" s="1"/>
  <c r="U331" i="3"/>
  <c r="V331" i="3" s="1"/>
  <c r="U233" i="3"/>
  <c r="V233" i="3" s="1"/>
  <c r="U190" i="3"/>
  <c r="V190" i="3" s="1"/>
  <c r="U176" i="3"/>
  <c r="V176" i="3" s="1"/>
  <c r="U163" i="3"/>
  <c r="V163" i="3" s="1"/>
  <c r="U157" i="3"/>
  <c r="V157" i="3" s="1"/>
  <c r="U118" i="3"/>
  <c r="V118" i="3" s="1"/>
  <c r="U101" i="3"/>
  <c r="V101" i="3" s="1"/>
  <c r="U79" i="3"/>
  <c r="V79" i="3" s="1"/>
  <c r="U60" i="3"/>
  <c r="V60" i="3" s="1"/>
  <c r="U263" i="3"/>
  <c r="V263" i="3" s="1"/>
  <c r="U203" i="3"/>
  <c r="V203" i="3" s="1"/>
  <c r="U556" i="3"/>
  <c r="V556" i="3" s="1"/>
  <c r="U458" i="3"/>
  <c r="V458" i="3" s="1"/>
  <c r="U386" i="3"/>
  <c r="V386" i="3" s="1"/>
  <c r="U366" i="3"/>
  <c r="V366" i="3" s="1"/>
  <c r="U446" i="3"/>
  <c r="V446" i="3" s="1"/>
  <c r="U408" i="3"/>
  <c r="V408" i="3" s="1"/>
  <c r="U348" i="3"/>
  <c r="V348" i="3" s="1"/>
  <c r="U330" i="3"/>
  <c r="V330" i="3" s="1"/>
  <c r="U312" i="3"/>
  <c r="V312" i="3" s="1"/>
  <c r="U296" i="3"/>
  <c r="V296" i="3" s="1"/>
  <c r="U278" i="3"/>
  <c r="V278" i="3" s="1"/>
  <c r="U216" i="3"/>
  <c r="V216" i="3" s="1"/>
  <c r="U154" i="3"/>
  <c r="V154" i="3" s="1"/>
  <c r="U541" i="3"/>
  <c r="V541" i="3" s="1"/>
  <c r="U445" i="3"/>
  <c r="V445" i="3" s="1"/>
  <c r="U262" i="3"/>
  <c r="V262" i="3" s="1"/>
  <c r="U231" i="3"/>
  <c r="V231" i="3" s="1"/>
  <c r="U202" i="3"/>
  <c r="V202" i="3" s="1"/>
  <c r="U188" i="3"/>
  <c r="V188" i="3" s="1"/>
  <c r="U138" i="3"/>
  <c r="V138" i="3" s="1"/>
  <c r="U108" i="3"/>
  <c r="V108" i="3" s="1"/>
  <c r="U86" i="3"/>
  <c r="V86" i="3" s="1"/>
  <c r="U406" i="3"/>
  <c r="V406" i="3" s="1"/>
  <c r="U384" i="3"/>
  <c r="V384" i="3" s="1"/>
  <c r="U540" i="3"/>
  <c r="V540" i="3" s="1"/>
  <c r="U444" i="3"/>
  <c r="V444" i="3" s="1"/>
  <c r="U405" i="3"/>
  <c r="V405" i="3" s="1"/>
  <c r="U363" i="3"/>
  <c r="V363" i="3" s="1"/>
  <c r="U525" i="3"/>
  <c r="V525" i="3" s="1"/>
  <c r="U443" i="3"/>
  <c r="V443" i="3" s="1"/>
  <c r="U383" i="3"/>
  <c r="V383" i="3" s="1"/>
  <c r="U344" i="3"/>
  <c r="V344" i="3" s="1"/>
  <c r="U244" i="3"/>
  <c r="V244" i="3" s="1"/>
  <c r="U214" i="3"/>
  <c r="V214" i="3" s="1"/>
  <c r="U115" i="3"/>
  <c r="V115" i="3" s="1"/>
  <c r="U93" i="3"/>
  <c r="V93" i="3" s="1"/>
  <c r="U442" i="3"/>
  <c r="V442" i="3" s="1"/>
  <c r="U327" i="3"/>
  <c r="V327" i="3" s="1"/>
  <c r="U292" i="3"/>
  <c r="V292" i="3" s="1"/>
  <c r="U276" i="3"/>
  <c r="V276" i="3" s="1"/>
  <c r="U258" i="3"/>
  <c r="V258" i="3" s="1"/>
  <c r="U228" i="3"/>
  <c r="V228" i="3" s="1"/>
  <c r="U200" i="3"/>
  <c r="V200" i="3" s="1"/>
  <c r="U148" i="3"/>
  <c r="V148" i="3" s="1"/>
  <c r="U57" i="3"/>
  <c r="V57" i="3" s="1"/>
  <c r="U524" i="3"/>
  <c r="V524" i="3" s="1"/>
  <c r="U432" i="3"/>
  <c r="V432" i="3" s="1"/>
  <c r="U404" i="3"/>
  <c r="V404" i="3" s="1"/>
  <c r="U382" i="3"/>
  <c r="V382" i="3" s="1"/>
  <c r="U362" i="3"/>
  <c r="V362" i="3" s="1"/>
  <c r="U309" i="3"/>
  <c r="V309" i="3" s="1"/>
  <c r="U171" i="3"/>
  <c r="V171" i="3" s="1"/>
  <c r="U159" i="3"/>
  <c r="V159" i="3" s="1"/>
  <c r="U135" i="3"/>
  <c r="V135" i="3" s="1"/>
  <c r="U110" i="3"/>
  <c r="V110" i="3" s="1"/>
  <c r="U88" i="3"/>
  <c r="V88" i="3" s="1"/>
  <c r="U64" i="3"/>
  <c r="V64" i="3" s="1"/>
  <c r="U71" i="3"/>
  <c r="V71" i="3" s="1"/>
  <c r="U430" i="3"/>
  <c r="V430" i="3" s="1"/>
  <c r="U326" i="3"/>
  <c r="V326" i="3" s="1"/>
  <c r="U257" i="3"/>
  <c r="V257" i="3" s="1"/>
  <c r="U213" i="3"/>
  <c r="V213" i="3" s="1"/>
  <c r="U199" i="3"/>
  <c r="V199" i="3" s="1"/>
  <c r="U184" i="3"/>
  <c r="V184" i="3" s="1"/>
  <c r="U522" i="3"/>
  <c r="V522" i="3" s="1"/>
  <c r="U429" i="3"/>
  <c r="V429" i="3" s="1"/>
  <c r="U342" i="3"/>
  <c r="V342" i="3" s="1"/>
  <c r="U290" i="3"/>
  <c r="V290" i="3" s="1"/>
  <c r="U274" i="3"/>
  <c r="V274" i="3" s="1"/>
  <c r="U509" i="3"/>
  <c r="V509" i="3" s="1"/>
  <c r="U402" i="3"/>
  <c r="V402" i="3" s="1"/>
  <c r="U380" i="3"/>
  <c r="V380" i="3" s="1"/>
  <c r="U324" i="3"/>
  <c r="V324" i="3" s="1"/>
  <c r="U308" i="3"/>
  <c r="V308" i="3" s="1"/>
  <c r="U183" i="3"/>
  <c r="V183" i="3" s="1"/>
  <c r="U170" i="3"/>
  <c r="V170" i="3" s="1"/>
  <c r="U156" i="3"/>
  <c r="V156" i="3" s="1"/>
  <c r="U428" i="3"/>
  <c r="V428" i="3" s="1"/>
  <c r="U360" i="3"/>
  <c r="V360" i="3" s="1"/>
  <c r="U289" i="3"/>
  <c r="V289" i="3" s="1"/>
  <c r="U256" i="3"/>
  <c r="V256" i="3" s="1"/>
  <c r="U212" i="3"/>
  <c r="V212" i="3" s="1"/>
  <c r="U198" i="3"/>
  <c r="V198" i="3" s="1"/>
  <c r="U145" i="3"/>
  <c r="V145" i="3" s="1"/>
  <c r="U117" i="3"/>
  <c r="V117" i="3" s="1"/>
  <c r="U508" i="3"/>
  <c r="V508" i="3" s="1"/>
  <c r="U341" i="3"/>
  <c r="V341" i="3" s="1"/>
  <c r="U241" i="3"/>
  <c r="V241" i="3" s="1"/>
  <c r="U225" i="3"/>
  <c r="V225" i="3" s="1"/>
  <c r="U506" i="3"/>
  <c r="V506" i="3" s="1"/>
  <c r="U426" i="3"/>
  <c r="V426" i="3" s="1"/>
  <c r="U376" i="3"/>
  <c r="V376" i="3" s="1"/>
  <c r="U358" i="3"/>
  <c r="V358" i="3" s="1"/>
  <c r="U288" i="3"/>
  <c r="V288" i="3" s="1"/>
  <c r="U255" i="3"/>
  <c r="V255" i="3" s="1"/>
  <c r="U240" i="3"/>
  <c r="V240" i="3" s="1"/>
  <c r="U493" i="3"/>
  <c r="V493" i="3" s="1"/>
  <c r="U340" i="3"/>
  <c r="V340" i="3" s="1"/>
  <c r="U321" i="3"/>
  <c r="V321" i="3" s="1"/>
  <c r="U270" i="3"/>
  <c r="V270" i="3" s="1"/>
  <c r="U224" i="3"/>
  <c r="V224" i="3" s="1"/>
  <c r="U210" i="3"/>
  <c r="V210" i="3" s="1"/>
  <c r="U195" i="3"/>
  <c r="V195" i="3" s="1"/>
  <c r="U168" i="3"/>
  <c r="V168" i="3" s="1"/>
  <c r="U420" i="3"/>
  <c r="V420" i="3" s="1"/>
  <c r="U356" i="3"/>
  <c r="V356" i="3" s="1"/>
  <c r="U238" i="3"/>
  <c r="V238" i="3" s="1"/>
  <c r="U181" i="3"/>
  <c r="V181" i="3" s="1"/>
  <c r="U492" i="3"/>
  <c r="V492" i="3" s="1"/>
  <c r="U374" i="3"/>
  <c r="V374" i="3" s="1"/>
  <c r="U304" i="3"/>
  <c r="V304" i="3" s="1"/>
  <c r="U287" i="3"/>
  <c r="V287" i="3" s="1"/>
  <c r="U254" i="3"/>
  <c r="V254" i="3" s="1"/>
  <c r="U194" i="3"/>
  <c r="V194" i="3" s="1"/>
  <c r="U418" i="3"/>
  <c r="V418" i="3" s="1"/>
  <c r="U338" i="3"/>
  <c r="V338" i="3" s="1"/>
  <c r="U320" i="3"/>
  <c r="V320" i="3" s="1"/>
  <c r="U490" i="3"/>
  <c r="V490" i="3" s="1"/>
  <c r="U354" i="3"/>
  <c r="V354" i="3" s="1"/>
  <c r="U302" i="3"/>
  <c r="V302" i="3" s="1"/>
  <c r="U286" i="3"/>
  <c r="V286" i="3" s="1"/>
  <c r="U478" i="3"/>
  <c r="V478" i="3" s="1"/>
  <c r="U416" i="3"/>
  <c r="V416" i="3" s="1"/>
  <c r="U394" i="3"/>
  <c r="V394" i="3" s="1"/>
  <c r="U373" i="3"/>
  <c r="V373" i="3" s="1"/>
  <c r="U236" i="3"/>
  <c r="V236" i="3" s="1"/>
  <c r="U208" i="3"/>
  <c r="V208" i="3" s="1"/>
  <c r="U193" i="3"/>
  <c r="V193" i="3" s="1"/>
  <c r="U477" i="3"/>
  <c r="V477" i="3" s="1"/>
  <c r="U353" i="3"/>
  <c r="V353" i="3" s="1"/>
  <c r="U336" i="3"/>
  <c r="V336" i="3" s="1"/>
  <c r="U300" i="3"/>
  <c r="V300" i="3" s="1"/>
  <c r="U206" i="3"/>
  <c r="V206" i="3" s="1"/>
  <c r="U476" i="3"/>
  <c r="V476" i="3" s="1"/>
  <c r="U415" i="3"/>
  <c r="V415" i="3" s="1"/>
  <c r="U372" i="3"/>
  <c r="V372" i="3" s="1"/>
  <c r="U334" i="3"/>
  <c r="V334" i="3" s="1"/>
  <c r="U392" i="3"/>
  <c r="V392" i="3" s="1"/>
  <c r="U352" i="3"/>
  <c r="V352" i="3" s="1"/>
  <c r="U474" i="3"/>
  <c r="V474" i="3" s="1"/>
  <c r="U414" i="3"/>
  <c r="V414" i="3" s="1"/>
  <c r="U316" i="3"/>
  <c r="V316" i="3" s="1"/>
  <c r="U266" i="3"/>
  <c r="V266" i="3" s="1"/>
  <c r="U174" i="3"/>
  <c r="V174" i="3" s="1"/>
  <c r="U158" i="3"/>
  <c r="V158" i="3" s="1"/>
  <c r="U103" i="3"/>
  <c r="V103" i="3" s="1"/>
  <c r="U462" i="3"/>
  <c r="V462" i="3" s="1"/>
  <c r="U232" i="3"/>
  <c r="V232" i="3" s="1"/>
  <c r="U59" i="3"/>
  <c r="V59" i="3" s="1"/>
  <c r="U68" i="3"/>
  <c r="V68" i="3" s="1"/>
  <c r="U56" i="3"/>
  <c r="V56" i="3" s="1"/>
  <c r="U109" i="3"/>
  <c r="V109" i="3" s="1"/>
  <c r="U461" i="3"/>
  <c r="V461" i="3" s="1"/>
  <c r="U201" i="3"/>
  <c r="V201" i="3" s="1"/>
  <c r="U119" i="3"/>
  <c r="V119" i="3" s="1"/>
  <c r="U172" i="3"/>
  <c r="V172" i="3" s="1"/>
  <c r="U427" i="3"/>
  <c r="V427" i="3" s="1"/>
  <c r="U310" i="3"/>
  <c r="V310" i="3" s="1"/>
  <c r="U264" i="3"/>
  <c r="V264" i="3" s="1"/>
  <c r="U230" i="3"/>
  <c r="V230" i="3" s="1"/>
  <c r="U196" i="3"/>
  <c r="V196" i="3" s="1"/>
  <c r="U126" i="3"/>
  <c r="V126" i="3" s="1"/>
  <c r="U65" i="3"/>
  <c r="V65" i="3" s="1"/>
  <c r="U306" i="3"/>
  <c r="V306" i="3" s="1"/>
  <c r="U226" i="3"/>
  <c r="V226" i="3" s="1"/>
  <c r="U169" i="3"/>
  <c r="V169" i="3" s="1"/>
  <c r="U141" i="3"/>
  <c r="V141" i="3" s="1"/>
  <c r="U77" i="3"/>
  <c r="V77" i="3" s="1"/>
  <c r="U74" i="3"/>
  <c r="V74" i="3" s="1"/>
  <c r="U122" i="3"/>
  <c r="V122" i="3" s="1"/>
  <c r="U96" i="3"/>
  <c r="V96" i="3" s="1"/>
  <c r="U83" i="3"/>
  <c r="V83" i="3" s="1"/>
  <c r="U129" i="3"/>
  <c r="V129" i="3" s="1"/>
  <c r="U112" i="3"/>
  <c r="V112" i="3" s="1"/>
  <c r="U80" i="3"/>
  <c r="V80" i="3" s="1"/>
  <c r="U412" i="3"/>
  <c r="V412" i="3" s="1"/>
  <c r="U260" i="3"/>
  <c r="V260" i="3" s="1"/>
  <c r="U223" i="3"/>
  <c r="V223" i="3" s="1"/>
  <c r="U167" i="3"/>
  <c r="V167" i="3" s="1"/>
  <c r="U133" i="3"/>
  <c r="V133" i="3" s="1"/>
  <c r="U102" i="3"/>
  <c r="V102" i="3" s="1"/>
  <c r="U400" i="3"/>
  <c r="V400" i="3" s="1"/>
  <c r="U299" i="3"/>
  <c r="V299" i="3" s="1"/>
  <c r="U222" i="3"/>
  <c r="V222" i="3" s="1"/>
  <c r="U192" i="3"/>
  <c r="V192" i="3" s="1"/>
  <c r="U390" i="3"/>
  <c r="V390" i="3" s="1"/>
  <c r="U105" i="3"/>
  <c r="V105" i="3" s="1"/>
  <c r="U248" i="3"/>
  <c r="V248" i="3" s="1"/>
  <c r="U215" i="3"/>
  <c r="V215" i="3" s="1"/>
  <c r="U351" i="3"/>
  <c r="V351" i="3" s="1"/>
  <c r="U284" i="3"/>
  <c r="V284" i="3" s="1"/>
  <c r="U245" i="3"/>
  <c r="V245" i="3" s="1"/>
  <c r="U332" i="3"/>
  <c r="V332" i="3" s="1"/>
  <c r="U252" i="3"/>
  <c r="V252" i="3" s="1"/>
  <c r="U120" i="3"/>
  <c r="V120" i="3" s="1"/>
  <c r="U136" i="3"/>
  <c r="V136" i="3" s="1"/>
  <c r="U81" i="3"/>
  <c r="V81" i="3" s="1"/>
  <c r="U191" i="3"/>
  <c r="V191" i="3" s="1"/>
  <c r="U246" i="3"/>
  <c r="V246" i="3" s="1"/>
  <c r="U204" i="3"/>
  <c r="V204" i="3" s="1"/>
  <c r="U131" i="3"/>
  <c r="V131" i="3" s="1"/>
  <c r="U104" i="3"/>
  <c r="V104" i="3" s="1"/>
  <c r="U143" i="3"/>
  <c r="V143" i="3" s="1"/>
  <c r="U90" i="3"/>
  <c r="V90" i="3" s="1"/>
  <c r="U370" i="3"/>
  <c r="V370" i="3" s="1"/>
  <c r="U99" i="3"/>
  <c r="V99" i="3" s="1"/>
  <c r="U85" i="3"/>
  <c r="V85" i="3" s="1"/>
  <c r="U76" i="3"/>
  <c r="V76" i="3" s="1"/>
  <c r="U72" i="3"/>
  <c r="V72" i="3" s="1"/>
  <c r="U235" i="3"/>
  <c r="V235" i="3" s="1"/>
  <c r="U89" i="3"/>
  <c r="V89" i="3" s="1"/>
  <c r="U182" i="3"/>
  <c r="V182" i="3" s="1"/>
  <c r="U124" i="3"/>
  <c r="V124" i="3" s="1"/>
  <c r="U94" i="3"/>
  <c r="V94" i="3" s="1"/>
  <c r="U67" i="3"/>
  <c r="V67" i="3" s="1"/>
  <c r="U113" i="3"/>
  <c r="V113" i="3" s="1"/>
  <c r="U328" i="3"/>
  <c r="V328" i="3" s="1"/>
  <c r="U242" i="3"/>
  <c r="V242" i="3" s="1"/>
  <c r="U142" i="3"/>
  <c r="V142" i="3" s="1"/>
  <c r="U318" i="3"/>
  <c r="V318" i="3" s="1"/>
  <c r="U63" i="3"/>
  <c r="V63" i="3" s="1"/>
  <c r="U322" i="3"/>
  <c r="V322" i="3" s="1"/>
  <c r="U107" i="3"/>
  <c r="V107" i="3" s="1"/>
  <c r="U319" i="3"/>
  <c r="V319" i="3" s="1"/>
  <c r="U161" i="3"/>
  <c r="V161" i="3" s="1"/>
  <c r="U180" i="3"/>
  <c r="V180" i="3" s="1"/>
  <c r="U147" i="3"/>
  <c r="V147" i="3" s="1"/>
  <c r="U123" i="3"/>
  <c r="V123" i="3" s="1"/>
  <c r="U97" i="3"/>
  <c r="V97" i="3" s="1"/>
  <c r="U70" i="3"/>
  <c r="V70" i="3" s="1"/>
  <c r="U58" i="3"/>
  <c r="V58" i="3" s="1"/>
  <c r="U294" i="3"/>
  <c r="V294" i="3" s="1"/>
  <c r="U220" i="3"/>
  <c r="V220" i="3" s="1"/>
  <c r="U178" i="3"/>
  <c r="V178" i="3" s="1"/>
  <c r="U128" i="3"/>
  <c r="V128" i="3" s="1"/>
  <c r="U152" i="3"/>
  <c r="V152" i="3" s="1"/>
  <c r="U66" i="3"/>
  <c r="V66" i="3" s="1"/>
  <c r="U62" i="3"/>
  <c r="V62" i="3" s="1"/>
  <c r="U160" i="3"/>
  <c r="V160" i="3" s="1"/>
  <c r="U111" i="3"/>
  <c r="V111" i="3" s="1"/>
  <c r="U92" i="3"/>
  <c r="V92" i="3" s="1"/>
  <c r="U177" i="3"/>
  <c r="V177" i="3" s="1"/>
  <c r="U139" i="3"/>
  <c r="V139" i="3" s="1"/>
  <c r="U144" i="3"/>
  <c r="V144" i="3" s="1"/>
  <c r="U84" i="3"/>
  <c r="V84" i="3" s="1"/>
  <c r="U280" i="3"/>
  <c r="V280" i="3" s="1"/>
  <c r="U127" i="3"/>
  <c r="V127" i="3" s="1"/>
  <c r="U106" i="3"/>
  <c r="V106" i="3" s="1"/>
  <c r="U132" i="3"/>
  <c r="V132" i="3" s="1"/>
  <c r="U61" i="3"/>
  <c r="V61" i="3" s="1"/>
  <c r="U151" i="3"/>
  <c r="V151" i="3" s="1"/>
  <c r="U78" i="3"/>
  <c r="V78" i="3" s="1"/>
  <c r="U73" i="3"/>
  <c r="V73" i="3" s="1"/>
  <c r="U277" i="3"/>
  <c r="V277" i="3" s="1"/>
  <c r="U116" i="3"/>
  <c r="V116" i="3" s="1"/>
  <c r="U87" i="3"/>
  <c r="V87" i="3" s="1"/>
  <c r="U95" i="3"/>
  <c r="V95" i="3" s="1"/>
  <c r="U69" i="3"/>
  <c r="V69" i="3" s="1"/>
  <c r="U75" i="3"/>
  <c r="V75" i="3" s="1"/>
  <c r="U209" i="3"/>
  <c r="V209" i="3" s="1"/>
  <c r="U91" i="3"/>
  <c r="V91" i="3" s="1"/>
  <c r="U268" i="3"/>
  <c r="V268" i="3" s="1"/>
  <c r="U272" i="3"/>
  <c r="V272" i="3" s="1"/>
  <c r="U100" i="3"/>
  <c r="V100" i="3" s="1"/>
  <c r="U267" i="3"/>
  <c r="V267" i="3" s="1"/>
  <c r="U140" i="3"/>
  <c r="V140" i="3" s="1"/>
  <c r="U125" i="3"/>
  <c r="V125" i="3" s="1"/>
  <c r="U298" i="3"/>
  <c r="V298" i="3" s="1"/>
  <c r="U295" i="3"/>
  <c r="V295" i="3" s="1"/>
  <c r="U234" i="3"/>
  <c r="V234" i="3" s="1"/>
  <c r="U52" i="3"/>
  <c r="V52" i="3" s="1"/>
  <c r="AD205" i="3"/>
  <c r="AD104" i="3"/>
  <c r="AD187" i="3"/>
  <c r="AD64" i="3"/>
  <c r="AD112" i="3"/>
  <c r="AD161" i="3"/>
  <c r="AD226" i="3"/>
  <c r="AD232" i="3"/>
  <c r="AD260" i="3"/>
  <c r="AD154" i="3"/>
  <c r="AD149" i="3"/>
  <c r="AD167" i="3"/>
  <c r="AD242" i="3"/>
  <c r="AD278" i="3"/>
  <c r="AD292" i="3"/>
  <c r="AD20" i="3"/>
  <c r="AD240" i="3"/>
  <c r="AD114" i="3"/>
  <c r="U18" i="3"/>
  <c r="V18" i="3" s="1"/>
  <c r="U9" i="3"/>
  <c r="V9" i="3" s="1"/>
  <c r="AD36" i="3"/>
  <c r="AD61" i="3"/>
  <c r="AD8" i="3"/>
  <c r="AD150" i="3"/>
  <c r="AD198" i="3"/>
  <c r="AD194" i="3"/>
  <c r="AD274" i="3"/>
  <c r="AD74" i="3"/>
  <c r="AD75" i="3"/>
  <c r="U51" i="3"/>
  <c r="V51" i="3" s="1"/>
  <c r="U41" i="3"/>
  <c r="V41" i="3" s="1"/>
  <c r="AD46" i="3"/>
  <c r="AD78" i="3"/>
  <c r="AD22" i="3"/>
  <c r="AD131" i="3"/>
  <c r="AD264" i="3"/>
  <c r="AD209" i="3"/>
  <c r="AD290" i="3"/>
  <c r="AD96" i="3"/>
  <c r="AD91" i="3"/>
  <c r="AD151" i="3"/>
  <c r="AD38" i="3"/>
  <c r="AD180" i="3"/>
  <c r="AD4" i="3"/>
  <c r="AD223" i="3"/>
  <c r="AD52" i="3"/>
  <c r="AD113" i="3"/>
  <c r="AD107" i="3"/>
  <c r="AD218" i="3"/>
  <c r="U10" i="3"/>
  <c r="V10" i="3" s="1"/>
  <c r="AD208" i="3"/>
  <c r="AD280" i="3"/>
  <c r="AD98" i="3"/>
  <c r="AD244" i="3"/>
  <c r="AD65" i="3"/>
  <c r="AD129" i="3"/>
  <c r="AD83" i="3"/>
  <c r="AD128" i="3"/>
  <c r="AD123" i="3"/>
  <c r="AD101" i="3"/>
  <c r="AD188" i="3"/>
  <c r="AD282" i="3"/>
  <c r="AD126" i="3"/>
  <c r="AD142" i="3"/>
  <c r="AD100" i="3"/>
  <c r="AD133" i="3"/>
  <c r="AD139" i="3"/>
  <c r="U49" i="3"/>
  <c r="V49" i="3" s="1"/>
  <c r="U26" i="3"/>
  <c r="V26" i="3" s="1"/>
  <c r="AD70" i="3"/>
  <c r="U46" i="3"/>
  <c r="V46" i="3" s="1"/>
  <c r="U4" i="3"/>
  <c r="V4" i="3" s="1"/>
  <c r="AD79" i="3"/>
  <c r="AD284" i="3"/>
  <c r="AD19" i="3"/>
  <c r="AD286" i="3"/>
  <c r="AD230" i="3"/>
  <c r="AD238" i="3"/>
  <c r="AD105" i="3"/>
  <c r="AD160" i="3"/>
  <c r="AD155" i="3"/>
  <c r="AD35" i="3"/>
  <c r="AD89" i="3"/>
  <c r="AD137" i="3"/>
  <c r="AD254" i="3"/>
  <c r="AD140" i="3"/>
  <c r="AD246" i="3"/>
  <c r="AD175" i="3"/>
  <c r="AD207" i="3"/>
  <c r="AD136" i="3"/>
  <c r="AD12" i="3"/>
  <c r="AD24" i="3"/>
  <c r="AD165" i="3"/>
  <c r="AD257" i="3"/>
  <c r="AD239" i="3"/>
  <c r="AD29" i="3"/>
  <c r="AD289" i="3"/>
  <c r="U12" i="3"/>
  <c r="V12" i="3" s="1"/>
  <c r="U45" i="3"/>
  <c r="V45" i="3" s="1"/>
  <c r="AD166" i="3"/>
  <c r="AD5" i="3"/>
  <c r="AD190" i="3"/>
  <c r="AD191" i="3"/>
  <c r="AD37" i="3"/>
  <c r="AD68" i="3"/>
  <c r="AD213" i="3"/>
  <c r="AD143" i="3"/>
  <c r="AD130" i="3"/>
  <c r="AD33" i="3"/>
  <c r="AD40" i="3"/>
  <c r="AD184" i="3"/>
  <c r="U36" i="3"/>
  <c r="V36" i="3" s="1"/>
  <c r="U15" i="3"/>
  <c r="V15" i="3" s="1"/>
  <c r="AD212" i="3"/>
  <c r="AD177" i="3"/>
  <c r="AD124" i="3"/>
  <c r="AD220" i="3"/>
  <c r="AD106" i="3"/>
  <c r="AD168" i="3"/>
  <c r="AD243" i="3"/>
  <c r="AD159" i="3"/>
  <c r="AD413" i="3"/>
  <c r="AD381" i="3"/>
  <c r="AD349" i="3"/>
  <c r="AD317" i="3"/>
  <c r="AD391" i="3"/>
  <c r="AD359" i="3"/>
  <c r="AD327" i="3"/>
  <c r="AD295" i="3"/>
  <c r="AD401" i="3"/>
  <c r="AD369" i="3"/>
  <c r="AD337" i="3"/>
  <c r="AD411" i="3"/>
  <c r="AD379" i="3"/>
  <c r="AD347" i="3"/>
  <c r="AD315" i="3"/>
  <c r="AD421" i="3"/>
  <c r="AD389" i="3"/>
  <c r="AD357" i="3"/>
  <c r="AD325" i="3"/>
  <c r="AD399" i="3"/>
  <c r="AD367" i="3"/>
  <c r="AD335" i="3"/>
  <c r="AD303" i="3"/>
  <c r="AD420" i="3"/>
  <c r="AD388" i="3"/>
  <c r="AD356" i="3"/>
  <c r="AD324" i="3"/>
  <c r="AD409" i="3"/>
  <c r="AD377" i="3"/>
  <c r="AD345" i="3"/>
  <c r="AD313" i="3"/>
  <c r="AD419" i="3"/>
  <c r="AD387" i="3"/>
  <c r="AD355" i="3"/>
  <c r="AD323" i="3"/>
  <c r="AD408" i="3"/>
  <c r="AD376" i="3"/>
  <c r="AD397" i="3"/>
  <c r="AD365" i="3"/>
  <c r="AD333" i="3"/>
  <c r="AD301" i="3"/>
  <c r="AD407" i="3"/>
  <c r="AD375" i="3"/>
  <c r="AD343" i="3"/>
  <c r="AD311" i="3"/>
  <c r="AD417" i="3"/>
  <c r="AD385" i="3"/>
  <c r="AD353" i="3"/>
  <c r="AD321" i="3"/>
  <c r="AD406" i="3"/>
  <c r="AD374" i="3"/>
  <c r="AD395" i="3"/>
  <c r="AD405" i="3"/>
  <c r="AD403" i="3"/>
  <c r="AD371" i="3"/>
  <c r="AD339" i="3"/>
  <c r="AD307" i="3"/>
  <c r="AD314" i="3"/>
  <c r="AD297" i="3"/>
  <c r="AD410" i="3"/>
  <c r="AD386" i="3"/>
  <c r="AD366" i="3"/>
  <c r="AD330" i="3"/>
  <c r="AD348" i="3"/>
  <c r="AD312" i="3"/>
  <c r="AD296" i="3"/>
  <c r="AD384" i="3"/>
  <c r="AD364" i="3"/>
  <c r="AD329" i="3"/>
  <c r="AD363" i="3"/>
  <c r="AD346" i="3"/>
  <c r="AD383" i="3"/>
  <c r="AD328" i="3"/>
  <c r="AD344" i="3"/>
  <c r="AD404" i="3"/>
  <c r="AD362" i="3"/>
  <c r="AD309" i="3"/>
  <c r="AD382" i="3"/>
  <c r="AD342" i="3"/>
  <c r="AD326" i="3"/>
  <c r="AD361" i="3"/>
  <c r="AD308" i="3"/>
  <c r="AD402" i="3"/>
  <c r="AD380" i="3"/>
  <c r="AD360" i="3"/>
  <c r="AD341" i="3"/>
  <c r="AD400" i="3"/>
  <c r="AD378" i="3"/>
  <c r="AD322" i="3"/>
  <c r="AD306" i="3"/>
  <c r="AD398" i="3"/>
  <c r="AD305" i="3"/>
  <c r="AD396" i="3"/>
  <c r="AD320" i="3"/>
  <c r="AD304" i="3"/>
  <c r="AD418" i="3"/>
  <c r="AD338" i="3"/>
  <c r="AD394" i="3"/>
  <c r="AD373" i="3"/>
  <c r="AD354" i="3"/>
  <c r="AD416" i="3"/>
  <c r="AD319" i="3"/>
  <c r="AD336" i="3"/>
  <c r="AD415" i="3"/>
  <c r="AD393" i="3"/>
  <c r="AD372" i="3"/>
  <c r="AD352" i="3"/>
  <c r="AD334" i="3"/>
  <c r="AD318" i="3"/>
  <c r="AD392" i="3"/>
  <c r="AD414" i="3"/>
  <c r="AD370" i="3"/>
  <c r="AD351" i="3"/>
  <c r="AD310" i="3"/>
  <c r="AD412" i="3"/>
  <c r="AD302" i="3"/>
  <c r="AD300" i="3"/>
  <c r="AD299" i="3"/>
  <c r="AD390" i="3"/>
  <c r="AD298" i="3"/>
  <c r="AD350" i="3"/>
  <c r="AD340" i="3"/>
  <c r="AD332" i="3"/>
  <c r="AD368" i="3"/>
  <c r="AD358" i="3"/>
  <c r="AD331" i="3"/>
  <c r="AD316" i="3"/>
  <c r="AD294" i="3"/>
  <c r="AD118" i="3"/>
  <c r="AD276" i="3"/>
  <c r="AD26" i="3"/>
  <c r="U8" i="3"/>
  <c r="V8" i="3" s="1"/>
  <c r="U31" i="3"/>
  <c r="V31" i="3" s="1"/>
  <c r="AD17" i="3"/>
  <c r="AD219" i="3"/>
  <c r="AD60" i="3"/>
  <c r="AD3" i="3"/>
  <c r="AD109" i="3"/>
  <c r="AD181" i="3"/>
  <c r="AD110" i="3"/>
  <c r="AD183" i="3"/>
  <c r="AD162" i="3"/>
  <c r="AD57" i="3"/>
  <c r="AD88" i="3"/>
  <c r="AD117" i="3"/>
  <c r="U27" i="3"/>
  <c r="V27" i="3" s="1"/>
  <c r="U47" i="3"/>
  <c r="V47" i="3" s="1"/>
  <c r="AD30" i="3"/>
  <c r="AD31" i="3"/>
  <c r="AD76" i="3"/>
  <c r="AD92" i="3"/>
  <c r="AD145" i="3"/>
  <c r="AD210" i="3"/>
  <c r="AD135" i="3"/>
  <c r="AD215" i="3"/>
  <c r="AD197" i="3"/>
  <c r="AD152" i="3"/>
  <c r="U43" i="3"/>
  <c r="V43" i="3" s="1"/>
  <c r="U54" i="3"/>
  <c r="V54" i="3" s="1"/>
  <c r="AD73" i="3"/>
  <c r="AD49" i="3"/>
  <c r="AD9" i="3"/>
  <c r="AD256" i="3"/>
  <c r="AD172" i="3"/>
  <c r="AD270" i="3"/>
  <c r="AD171" i="3"/>
  <c r="AD247" i="3"/>
  <c r="AD229" i="3"/>
  <c r="AD95" i="3"/>
  <c r="AD85" i="3"/>
  <c r="AD18" i="3"/>
  <c r="AD265" i="3"/>
  <c r="AD211" i="3"/>
  <c r="AD200" i="3"/>
  <c r="AD279" i="3"/>
  <c r="AD261" i="3"/>
  <c r="AD16" i="3"/>
  <c r="AD258" i="3"/>
  <c r="AD237" i="3"/>
  <c r="AD293" i="3"/>
  <c r="AD287" i="3"/>
  <c r="AD82" i="3"/>
  <c r="AD39" i="3"/>
  <c r="AD250" i="3"/>
  <c r="AD69" i="3"/>
  <c r="AD269" i="3"/>
  <c r="AD283" i="3"/>
  <c r="U28" i="3"/>
  <c r="V28" i="3" s="1"/>
  <c r="U32" i="3"/>
  <c r="V32" i="3" s="1"/>
  <c r="AD14" i="3"/>
  <c r="AD47" i="3"/>
  <c r="AD84" i="3"/>
  <c r="AD115" i="3"/>
  <c r="AD56" i="3"/>
  <c r="AD288" i="3"/>
  <c r="AD81" i="3"/>
  <c r="AD157" i="3"/>
  <c r="AD199" i="3"/>
  <c r="AD51" i="3"/>
  <c r="U5" i="3"/>
  <c r="V5" i="3" s="1"/>
  <c r="AD27" i="3"/>
  <c r="AD222" i="3"/>
  <c r="AD231" i="3"/>
  <c r="AD7" i="3"/>
  <c r="AD71" i="3"/>
  <c r="U14" i="3"/>
  <c r="V14" i="3" s="1"/>
  <c r="AD6" i="3"/>
  <c r="AD54" i="3"/>
  <c r="AD255" i="3"/>
  <c r="U16" i="3"/>
  <c r="V16" i="3" s="1"/>
  <c r="AD86" i="3"/>
  <c r="U48" i="3"/>
  <c r="V48" i="3" s="1"/>
  <c r="AD66" i="3"/>
  <c r="AD148" i="3"/>
  <c r="AD59" i="3"/>
  <c r="AD153" i="3"/>
  <c r="AD103" i="3"/>
  <c r="AD195" i="3"/>
  <c r="U37" i="3"/>
  <c r="V37" i="3" s="1"/>
  <c r="AD43" i="3"/>
  <c r="AD234" i="3"/>
  <c r="AD94" i="3"/>
  <c r="AD192" i="3"/>
  <c r="AD93" i="3"/>
  <c r="AD169" i="3"/>
  <c r="AD120" i="3"/>
  <c r="AD227" i="3"/>
  <c r="AD263" i="3"/>
  <c r="AD272" i="3"/>
  <c r="AD87" i="3"/>
  <c r="AD108" i="3"/>
  <c r="AD119" i="3"/>
  <c r="AD125" i="3"/>
  <c r="AD158" i="3"/>
  <c r="AD203" i="3"/>
  <c r="U50" i="3"/>
  <c r="V50" i="3" s="1"/>
  <c r="AD111" i="3"/>
  <c r="AD13" i="3"/>
  <c r="U6" i="3"/>
  <c r="V6" i="3" s="1"/>
  <c r="AD44" i="3"/>
  <c r="AD224" i="3"/>
  <c r="AD182" i="3"/>
  <c r="AD259" i="3"/>
  <c r="U21" i="3"/>
  <c r="V21" i="3" s="1"/>
  <c r="AD116" i="3"/>
  <c r="AD147" i="3"/>
  <c r="AD72" i="3"/>
  <c r="AD102" i="3"/>
  <c r="AD163" i="3"/>
  <c r="AD225" i="3"/>
  <c r="AD277" i="3"/>
  <c r="AD291" i="3"/>
  <c r="AD189" i="3"/>
  <c r="AD121" i="3"/>
  <c r="AD235" i="3"/>
  <c r="AD248" i="3"/>
  <c r="AD11" i="3"/>
  <c r="AD201" i="3"/>
  <c r="AD241" i="3"/>
  <c r="AD25" i="3"/>
  <c r="AD164" i="3"/>
  <c r="AD221" i="3"/>
  <c r="AD144" i="3"/>
  <c r="AD141" i="3"/>
  <c r="U13" i="3"/>
  <c r="V13" i="3" s="1"/>
  <c r="U40" i="3"/>
  <c r="V40" i="3" s="1"/>
  <c r="AD233" i="3"/>
  <c r="AD214" i="3"/>
  <c r="AD21" i="3"/>
  <c r="AD251" i="3"/>
  <c r="AD273" i="3"/>
  <c r="AD41" i="3"/>
  <c r="AD185" i="3"/>
  <c r="AD253" i="3"/>
  <c r="U55" i="3"/>
  <c r="V55" i="3" s="1"/>
  <c r="U34" i="3"/>
  <c r="V34" i="3" s="1"/>
  <c r="U38" i="3"/>
  <c r="V38" i="3" s="1"/>
  <c r="AD186" i="3"/>
  <c r="AD204" i="3"/>
  <c r="AD236" i="3"/>
  <c r="AD266" i="3"/>
  <c r="AD285" i="3"/>
  <c r="AD10" i="3"/>
  <c r="U19" i="3"/>
  <c r="V19" i="3" s="1"/>
  <c r="AD58" i="3"/>
  <c r="AD90" i="3"/>
  <c r="AD34" i="3"/>
  <c r="AD122" i="3"/>
  <c r="AD62" i="3"/>
  <c r="AD217" i="3"/>
  <c r="U35" i="3"/>
  <c r="V35" i="3" s="1"/>
  <c r="AD77" i="3"/>
  <c r="AD134" i="3"/>
  <c r="AD48" i="3"/>
  <c r="AD28" i="3"/>
  <c r="AD99" i="3"/>
  <c r="AD179" i="3"/>
  <c r="AD127" i="3"/>
  <c r="AD173" i="3"/>
  <c r="AD249" i="3"/>
  <c r="AD279" i="2"/>
  <c r="AD149" i="2"/>
  <c r="AD233" i="2"/>
  <c r="AD255" i="2"/>
  <c r="AD156" i="2"/>
  <c r="AD154" i="2"/>
  <c r="AD27" i="2"/>
  <c r="AD280" i="2"/>
  <c r="AD287" i="2"/>
  <c r="AD201" i="2"/>
  <c r="AD159" i="2"/>
  <c r="U41" i="2"/>
  <c r="V41" i="2" s="1"/>
  <c r="U92" i="2"/>
  <c r="V92" i="2" s="1"/>
  <c r="U81" i="2"/>
  <c r="V81" i="2" s="1"/>
  <c r="AD48" i="2"/>
  <c r="AD6" i="2"/>
  <c r="AD232" i="2"/>
  <c r="AD158" i="2"/>
  <c r="AD277" i="2"/>
  <c r="AD38" i="2"/>
  <c r="AD282" i="2"/>
  <c r="AD225" i="2"/>
  <c r="AD226" i="2"/>
  <c r="U86" i="2"/>
  <c r="V86" i="2" s="1"/>
  <c r="AD88" i="2"/>
  <c r="AD165" i="2"/>
  <c r="AD129" i="2"/>
  <c r="AD235" i="2"/>
  <c r="AD41" i="2"/>
  <c r="AD47" i="2"/>
  <c r="AD207" i="2"/>
  <c r="AD270" i="2"/>
  <c r="AD278" i="2"/>
  <c r="AD51" i="2"/>
  <c r="AD69" i="2"/>
  <c r="AD54" i="2"/>
  <c r="AD222" i="2"/>
  <c r="AD21" i="2"/>
  <c r="AD291" i="2"/>
  <c r="AD73" i="2"/>
  <c r="AD250" i="2"/>
  <c r="AD52" i="2"/>
  <c r="AD261" i="2"/>
  <c r="AD5" i="2"/>
  <c r="AD87" i="2"/>
  <c r="AD35" i="2"/>
  <c r="AD102" i="2"/>
  <c r="AD101" i="2"/>
  <c r="AD103" i="2"/>
  <c r="AD67" i="2"/>
  <c r="AD293" i="2"/>
  <c r="AD120" i="2"/>
  <c r="AD127" i="2"/>
  <c r="AD153" i="2"/>
  <c r="AD219" i="2"/>
  <c r="U100" i="2"/>
  <c r="V100" i="2" s="1"/>
  <c r="AD85" i="2"/>
  <c r="AD121" i="2"/>
  <c r="AD146" i="2"/>
  <c r="AD137" i="2"/>
  <c r="AD161" i="2"/>
  <c r="AD251" i="2"/>
  <c r="U46" i="2"/>
  <c r="V46" i="2" s="1"/>
  <c r="AD37" i="2"/>
  <c r="U57" i="2"/>
  <c r="V57" i="2" s="1"/>
  <c r="AD14" i="2"/>
  <c r="U71" i="2"/>
  <c r="V71" i="2" s="1"/>
  <c r="U56" i="2"/>
  <c r="V56" i="2" s="1"/>
  <c r="AD74" i="2"/>
  <c r="AD220" i="2"/>
  <c r="AD82" i="2"/>
  <c r="AD80" i="2"/>
  <c r="AD186" i="2"/>
  <c r="AD168" i="2"/>
  <c r="AD155" i="2"/>
  <c r="AD174" i="2"/>
  <c r="AD283" i="2"/>
  <c r="AD267" i="2"/>
  <c r="AD15" i="2"/>
  <c r="U34" i="2"/>
  <c r="V34" i="2" s="1"/>
  <c r="AD77" i="2"/>
  <c r="U16" i="2"/>
  <c r="V16" i="2" s="1"/>
  <c r="U15" i="2"/>
  <c r="V15" i="2" s="1"/>
  <c r="U54" i="2"/>
  <c r="V54" i="2" s="1"/>
  <c r="AD79" i="2"/>
  <c r="AD157" i="2"/>
  <c r="AD122" i="2"/>
  <c r="AD89" i="2"/>
  <c r="AD215" i="2"/>
  <c r="AD203" i="2"/>
  <c r="AD176" i="2"/>
  <c r="AD275" i="2"/>
  <c r="AD209" i="2"/>
  <c r="AD169" i="2"/>
  <c r="AD20" i="2"/>
  <c r="U22" i="2"/>
  <c r="V22" i="2" s="1"/>
  <c r="U62" i="2"/>
  <c r="V62" i="2" s="1"/>
  <c r="U38" i="2"/>
  <c r="V38" i="2" s="1"/>
  <c r="U69" i="2"/>
  <c r="V69" i="2" s="1"/>
  <c r="AD125" i="2"/>
  <c r="AD34" i="2"/>
  <c r="AD187" i="2"/>
  <c r="AD95" i="2"/>
  <c r="AD246" i="2"/>
  <c r="AD217" i="2"/>
  <c r="AD189" i="2"/>
  <c r="AD288" i="2"/>
  <c r="AD241" i="2"/>
  <c r="AD240" i="2"/>
  <c r="AD60" i="2"/>
  <c r="AD292" i="2"/>
  <c r="AD236" i="2"/>
  <c r="AD249" i="2"/>
  <c r="AD273" i="2"/>
  <c r="AD83" i="2"/>
  <c r="AD28" i="2"/>
  <c r="AD175" i="2"/>
  <c r="AD252" i="2"/>
  <c r="AD71" i="2"/>
  <c r="AD231" i="2"/>
  <c r="AD64" i="2"/>
  <c r="AD194" i="2"/>
  <c r="AD228" i="2"/>
  <c r="AD98" i="2"/>
  <c r="AD9" i="2"/>
  <c r="AD262" i="2"/>
  <c r="AD284" i="2"/>
  <c r="AD86" i="2"/>
  <c r="AD263" i="2"/>
  <c r="AD31" i="2"/>
  <c r="U67" i="2"/>
  <c r="V67" i="2" s="1"/>
  <c r="AD197" i="2"/>
  <c r="AD210" i="2"/>
  <c r="AD3" i="2"/>
  <c r="AD7" i="2"/>
  <c r="AD110" i="2"/>
  <c r="U28" i="2"/>
  <c r="V28" i="2" s="1"/>
  <c r="U5" i="2"/>
  <c r="V5" i="2" s="1"/>
  <c r="U44" i="2"/>
  <c r="V44" i="2" s="1"/>
  <c r="U84" i="2"/>
  <c r="V84" i="2" s="1"/>
  <c r="AD61" i="2"/>
  <c r="AD247" i="2"/>
  <c r="AD141" i="2"/>
  <c r="AD131" i="2"/>
  <c r="AD44" i="2"/>
  <c r="AD25" i="2"/>
  <c r="AD268" i="2"/>
  <c r="AD128" i="2"/>
  <c r="AD242" i="2"/>
  <c r="AD18" i="2"/>
  <c r="U35" i="2"/>
  <c r="V35" i="2" s="1"/>
  <c r="U11" i="2"/>
  <c r="V11" i="2" s="1"/>
  <c r="U72" i="2"/>
  <c r="V72" i="2" s="1"/>
  <c r="U99" i="2"/>
  <c r="V99" i="2" s="1"/>
  <c r="AD202" i="2"/>
  <c r="AD205" i="2"/>
  <c r="AD179" i="2"/>
  <c r="AD195" i="2"/>
  <c r="AD72" i="2"/>
  <c r="AD104" i="2"/>
  <c r="AD33" i="2"/>
  <c r="AD144" i="2"/>
  <c r="AD274" i="2"/>
  <c r="AD224" i="2"/>
  <c r="U27" i="2"/>
  <c r="V27" i="2" s="1"/>
  <c r="AD70" i="2"/>
  <c r="AD12" i="2"/>
  <c r="AD188" i="2"/>
  <c r="AD211" i="2"/>
  <c r="AD105" i="2"/>
  <c r="AD243" i="2"/>
  <c r="AD58" i="2"/>
  <c r="AD177" i="2"/>
  <c r="AD4" i="2"/>
  <c r="U403" i="2"/>
  <c r="V403" i="2" s="1"/>
  <c r="U371" i="2"/>
  <c r="V371" i="2" s="1"/>
  <c r="U339" i="2"/>
  <c r="V339" i="2" s="1"/>
  <c r="U307" i="2"/>
  <c r="V307" i="2" s="1"/>
  <c r="U275" i="2"/>
  <c r="V275" i="2" s="1"/>
  <c r="U243" i="2"/>
  <c r="V243" i="2" s="1"/>
  <c r="U211" i="2"/>
  <c r="V211" i="2" s="1"/>
  <c r="U232" i="2"/>
  <c r="V232" i="2" s="1"/>
  <c r="U569" i="2"/>
  <c r="V569" i="2" s="1"/>
  <c r="U553" i="2"/>
  <c r="V553" i="2" s="1"/>
  <c r="U537" i="2"/>
  <c r="V537" i="2" s="1"/>
  <c r="U521" i="2"/>
  <c r="V521" i="2" s="1"/>
  <c r="U505" i="2"/>
  <c r="V505" i="2" s="1"/>
  <c r="U489" i="2"/>
  <c r="V489" i="2" s="1"/>
  <c r="U473" i="2"/>
  <c r="V473" i="2" s="1"/>
  <c r="U457" i="2"/>
  <c r="V457" i="2" s="1"/>
  <c r="U441" i="2"/>
  <c r="V441" i="2" s="1"/>
  <c r="U425" i="2"/>
  <c r="V425" i="2" s="1"/>
  <c r="U392" i="2"/>
  <c r="V392" i="2" s="1"/>
  <c r="U360" i="2"/>
  <c r="V360" i="2" s="1"/>
  <c r="U328" i="2"/>
  <c r="V328" i="2" s="1"/>
  <c r="U296" i="2"/>
  <c r="V296" i="2" s="1"/>
  <c r="U264" i="2"/>
  <c r="V264" i="2" s="1"/>
  <c r="U413" i="2"/>
  <c r="V413" i="2" s="1"/>
  <c r="U381" i="2"/>
  <c r="V381" i="2" s="1"/>
  <c r="U349" i="2"/>
  <c r="V349" i="2" s="1"/>
  <c r="U317" i="2"/>
  <c r="V317" i="2" s="1"/>
  <c r="U285" i="2"/>
  <c r="V285" i="2" s="1"/>
  <c r="U253" i="2"/>
  <c r="V253" i="2" s="1"/>
  <c r="U221" i="2"/>
  <c r="V221" i="2" s="1"/>
  <c r="U568" i="2"/>
  <c r="V568" i="2" s="1"/>
  <c r="U552" i="2"/>
  <c r="V552" i="2" s="1"/>
  <c r="U536" i="2"/>
  <c r="V536" i="2" s="1"/>
  <c r="U520" i="2"/>
  <c r="V520" i="2" s="1"/>
  <c r="U504" i="2"/>
  <c r="V504" i="2" s="1"/>
  <c r="U488" i="2"/>
  <c r="V488" i="2" s="1"/>
  <c r="U472" i="2"/>
  <c r="V472" i="2" s="1"/>
  <c r="U456" i="2"/>
  <c r="V456" i="2" s="1"/>
  <c r="U440" i="2"/>
  <c r="V440" i="2" s="1"/>
  <c r="U424" i="2"/>
  <c r="V424" i="2" s="1"/>
  <c r="U402" i="2"/>
  <c r="V402" i="2" s="1"/>
  <c r="U391" i="2"/>
  <c r="V391" i="2" s="1"/>
  <c r="U359" i="2"/>
  <c r="V359" i="2" s="1"/>
  <c r="U327" i="2"/>
  <c r="V327" i="2" s="1"/>
  <c r="U295" i="2"/>
  <c r="V295" i="2" s="1"/>
  <c r="U263" i="2"/>
  <c r="V263" i="2" s="1"/>
  <c r="U231" i="2"/>
  <c r="V231" i="2" s="1"/>
  <c r="U567" i="2"/>
  <c r="V567" i="2" s="1"/>
  <c r="U551" i="2"/>
  <c r="V551" i="2" s="1"/>
  <c r="U535" i="2"/>
  <c r="V535" i="2" s="1"/>
  <c r="U519" i="2"/>
  <c r="V519" i="2" s="1"/>
  <c r="U503" i="2"/>
  <c r="V503" i="2" s="1"/>
  <c r="U487" i="2"/>
  <c r="V487" i="2" s="1"/>
  <c r="U471" i="2"/>
  <c r="V471" i="2" s="1"/>
  <c r="U455" i="2"/>
  <c r="V455" i="2" s="1"/>
  <c r="U439" i="2"/>
  <c r="V439" i="2" s="1"/>
  <c r="U423" i="2"/>
  <c r="V423" i="2" s="1"/>
  <c r="U401" i="2"/>
  <c r="V401" i="2" s="1"/>
  <c r="U369" i="2"/>
  <c r="V369" i="2" s="1"/>
  <c r="U337" i="2"/>
  <c r="V337" i="2" s="1"/>
  <c r="U305" i="2"/>
  <c r="V305" i="2" s="1"/>
  <c r="U273" i="2"/>
  <c r="V273" i="2" s="1"/>
  <c r="U241" i="2"/>
  <c r="V241" i="2" s="1"/>
  <c r="U209" i="2"/>
  <c r="V209" i="2" s="1"/>
  <c r="U566" i="2"/>
  <c r="V566" i="2" s="1"/>
  <c r="U550" i="2"/>
  <c r="V550" i="2" s="1"/>
  <c r="U534" i="2"/>
  <c r="V534" i="2" s="1"/>
  <c r="U518" i="2"/>
  <c r="V518" i="2" s="1"/>
  <c r="U502" i="2"/>
  <c r="V502" i="2" s="1"/>
  <c r="U486" i="2"/>
  <c r="V486" i="2" s="1"/>
  <c r="U470" i="2"/>
  <c r="V470" i="2" s="1"/>
  <c r="U454" i="2"/>
  <c r="V454" i="2" s="1"/>
  <c r="U438" i="2"/>
  <c r="V438" i="2" s="1"/>
  <c r="U422" i="2"/>
  <c r="V422" i="2" s="1"/>
  <c r="U390" i="2"/>
  <c r="V390" i="2" s="1"/>
  <c r="U411" i="2"/>
  <c r="V411" i="2" s="1"/>
  <c r="U379" i="2"/>
  <c r="V379" i="2" s="1"/>
  <c r="U347" i="2"/>
  <c r="V347" i="2" s="1"/>
  <c r="U315" i="2"/>
  <c r="V315" i="2" s="1"/>
  <c r="U283" i="2"/>
  <c r="V283" i="2" s="1"/>
  <c r="U251" i="2"/>
  <c r="V251" i="2" s="1"/>
  <c r="U565" i="2"/>
  <c r="V565" i="2" s="1"/>
  <c r="U549" i="2"/>
  <c r="V549" i="2" s="1"/>
  <c r="U421" i="2"/>
  <c r="V421" i="2" s="1"/>
  <c r="U564" i="2"/>
  <c r="V564" i="2" s="1"/>
  <c r="U548" i="2"/>
  <c r="V548" i="2" s="1"/>
  <c r="U532" i="2"/>
  <c r="V532" i="2" s="1"/>
  <c r="U516" i="2"/>
  <c r="V516" i="2" s="1"/>
  <c r="U500" i="2"/>
  <c r="V500" i="2" s="1"/>
  <c r="U484" i="2"/>
  <c r="V484" i="2" s="1"/>
  <c r="U468" i="2"/>
  <c r="V468" i="2" s="1"/>
  <c r="U452" i="2"/>
  <c r="V452" i="2" s="1"/>
  <c r="U436" i="2"/>
  <c r="V436" i="2" s="1"/>
  <c r="U410" i="2"/>
  <c r="V410" i="2" s="1"/>
  <c r="U399" i="2"/>
  <c r="V399" i="2" s="1"/>
  <c r="U367" i="2"/>
  <c r="V367" i="2" s="1"/>
  <c r="U335" i="2"/>
  <c r="V335" i="2" s="1"/>
  <c r="U563" i="2"/>
  <c r="V563" i="2" s="1"/>
  <c r="U547" i="2"/>
  <c r="V547" i="2" s="1"/>
  <c r="U531" i="2"/>
  <c r="V531" i="2" s="1"/>
  <c r="U515" i="2"/>
  <c r="V515" i="2" s="1"/>
  <c r="U499" i="2"/>
  <c r="V499" i="2" s="1"/>
  <c r="U483" i="2"/>
  <c r="V483" i="2" s="1"/>
  <c r="U467" i="2"/>
  <c r="V467" i="2" s="1"/>
  <c r="U451" i="2"/>
  <c r="V451" i="2" s="1"/>
  <c r="U435" i="2"/>
  <c r="V435" i="2" s="1"/>
  <c r="U409" i="2"/>
  <c r="V409" i="2" s="1"/>
  <c r="U377" i="2"/>
  <c r="V377" i="2" s="1"/>
  <c r="U345" i="2"/>
  <c r="V345" i="2" s="1"/>
  <c r="U313" i="2"/>
  <c r="V313" i="2" s="1"/>
  <c r="U281" i="2"/>
  <c r="V281" i="2" s="1"/>
  <c r="U562" i="2"/>
  <c r="V562" i="2" s="1"/>
  <c r="U546" i="2"/>
  <c r="V546" i="2" s="1"/>
  <c r="U419" i="2"/>
  <c r="V419" i="2" s="1"/>
  <c r="U387" i="2"/>
  <c r="V387" i="2" s="1"/>
  <c r="U355" i="2"/>
  <c r="V355" i="2" s="1"/>
  <c r="U561" i="2"/>
  <c r="V561" i="2" s="1"/>
  <c r="U545" i="2"/>
  <c r="V545" i="2" s="1"/>
  <c r="U529" i="2"/>
  <c r="V529" i="2" s="1"/>
  <c r="U513" i="2"/>
  <c r="V513" i="2" s="1"/>
  <c r="U497" i="2"/>
  <c r="V497" i="2" s="1"/>
  <c r="U481" i="2"/>
  <c r="V481" i="2" s="1"/>
  <c r="U465" i="2"/>
  <c r="V465" i="2" s="1"/>
  <c r="U449" i="2"/>
  <c r="V449" i="2" s="1"/>
  <c r="U433" i="2"/>
  <c r="V433" i="2" s="1"/>
  <c r="U397" i="2"/>
  <c r="V397" i="2" s="1"/>
  <c r="U365" i="2"/>
  <c r="V365" i="2" s="1"/>
  <c r="U560" i="2"/>
  <c r="V560" i="2" s="1"/>
  <c r="U544" i="2"/>
  <c r="V544" i="2" s="1"/>
  <c r="U528" i="2"/>
  <c r="V528" i="2" s="1"/>
  <c r="U512" i="2"/>
  <c r="V512" i="2" s="1"/>
  <c r="U496" i="2"/>
  <c r="V496" i="2" s="1"/>
  <c r="U480" i="2"/>
  <c r="V480" i="2" s="1"/>
  <c r="U464" i="2"/>
  <c r="V464" i="2" s="1"/>
  <c r="U407" i="2"/>
  <c r="V407" i="2" s="1"/>
  <c r="U375" i="2"/>
  <c r="V375" i="2" s="1"/>
  <c r="U559" i="2"/>
  <c r="V559" i="2" s="1"/>
  <c r="U543" i="2"/>
  <c r="V543" i="2" s="1"/>
  <c r="U527" i="2"/>
  <c r="V527" i="2" s="1"/>
  <c r="U511" i="2"/>
  <c r="V511" i="2" s="1"/>
  <c r="U495" i="2"/>
  <c r="V495" i="2" s="1"/>
  <c r="U417" i="2"/>
  <c r="V417" i="2" s="1"/>
  <c r="U385" i="2"/>
  <c r="V385" i="2" s="1"/>
  <c r="U558" i="2"/>
  <c r="V558" i="2" s="1"/>
  <c r="U542" i="2"/>
  <c r="V542" i="2" s="1"/>
  <c r="U526" i="2"/>
  <c r="V526" i="2" s="1"/>
  <c r="U510" i="2"/>
  <c r="V510" i="2" s="1"/>
  <c r="U395" i="2"/>
  <c r="V395" i="2" s="1"/>
  <c r="U557" i="2"/>
  <c r="V557" i="2" s="1"/>
  <c r="U541" i="2"/>
  <c r="V541" i="2" s="1"/>
  <c r="U525" i="2"/>
  <c r="V525" i="2" s="1"/>
  <c r="U405" i="2"/>
  <c r="V405" i="2" s="1"/>
  <c r="U556" i="2"/>
  <c r="V556" i="2" s="1"/>
  <c r="U490" i="2"/>
  <c r="V490" i="2" s="1"/>
  <c r="U437" i="2"/>
  <c r="V437" i="2" s="1"/>
  <c r="U384" i="2"/>
  <c r="V384" i="2" s="1"/>
  <c r="U334" i="2"/>
  <c r="V334" i="2" s="1"/>
  <c r="U306" i="2"/>
  <c r="V306" i="2" s="1"/>
  <c r="U292" i="2"/>
  <c r="V292" i="2" s="1"/>
  <c r="U266" i="2"/>
  <c r="V266" i="2" s="1"/>
  <c r="U252" i="2"/>
  <c r="V252" i="2" s="1"/>
  <c r="U239" i="2"/>
  <c r="V239" i="2" s="1"/>
  <c r="U175" i="2"/>
  <c r="V175" i="2" s="1"/>
  <c r="U168" i="2"/>
  <c r="V168" i="2" s="1"/>
  <c r="U555" i="2"/>
  <c r="V555" i="2" s="1"/>
  <c r="U485" i="2"/>
  <c r="V485" i="2" s="1"/>
  <c r="U434" i="2"/>
  <c r="V434" i="2" s="1"/>
  <c r="U320" i="2"/>
  <c r="V320" i="2" s="1"/>
  <c r="U214" i="2"/>
  <c r="V214" i="2" s="1"/>
  <c r="U201" i="2"/>
  <c r="V201" i="2" s="1"/>
  <c r="U194" i="2"/>
  <c r="V194" i="2" s="1"/>
  <c r="U482" i="2"/>
  <c r="V482" i="2" s="1"/>
  <c r="U432" i="2"/>
  <c r="V432" i="2" s="1"/>
  <c r="U364" i="2"/>
  <c r="V364" i="2" s="1"/>
  <c r="U350" i="2"/>
  <c r="V350" i="2" s="1"/>
  <c r="U333" i="2"/>
  <c r="V333" i="2" s="1"/>
  <c r="U291" i="2"/>
  <c r="V291" i="2" s="1"/>
  <c r="U278" i="2"/>
  <c r="V278" i="2" s="1"/>
  <c r="U554" i="2"/>
  <c r="V554" i="2" s="1"/>
  <c r="U479" i="2"/>
  <c r="V479" i="2" s="1"/>
  <c r="U431" i="2"/>
  <c r="V431" i="2" s="1"/>
  <c r="U404" i="2"/>
  <c r="V404" i="2" s="1"/>
  <c r="U383" i="2"/>
  <c r="V383" i="2" s="1"/>
  <c r="U304" i="2"/>
  <c r="V304" i="2" s="1"/>
  <c r="U540" i="2"/>
  <c r="V540" i="2" s="1"/>
  <c r="U478" i="2"/>
  <c r="V478" i="2" s="1"/>
  <c r="U430" i="2"/>
  <c r="V430" i="2" s="1"/>
  <c r="U348" i="2"/>
  <c r="V348" i="2" s="1"/>
  <c r="U319" i="2"/>
  <c r="V319" i="2" s="1"/>
  <c r="U250" i="2"/>
  <c r="V250" i="2" s="1"/>
  <c r="U213" i="2"/>
  <c r="V213" i="2" s="1"/>
  <c r="U151" i="2"/>
  <c r="V151" i="2" s="1"/>
  <c r="U477" i="2"/>
  <c r="V477" i="2" s="1"/>
  <c r="U429" i="2"/>
  <c r="V429" i="2" s="1"/>
  <c r="U363" i="2"/>
  <c r="V363" i="2" s="1"/>
  <c r="U332" i="2"/>
  <c r="V332" i="2" s="1"/>
  <c r="U290" i="2"/>
  <c r="V290" i="2" s="1"/>
  <c r="U277" i="2"/>
  <c r="V277" i="2" s="1"/>
  <c r="U539" i="2"/>
  <c r="V539" i="2" s="1"/>
  <c r="U476" i="2"/>
  <c r="V476" i="2" s="1"/>
  <c r="U428" i="2"/>
  <c r="V428" i="2" s="1"/>
  <c r="U382" i="2"/>
  <c r="V382" i="2" s="1"/>
  <c r="U303" i="2"/>
  <c r="V303" i="2" s="1"/>
  <c r="U400" i="2"/>
  <c r="V400" i="2" s="1"/>
  <c r="U380" i="2"/>
  <c r="V380" i="2" s="1"/>
  <c r="U318" i="2"/>
  <c r="V318" i="2" s="1"/>
  <c r="U262" i="2"/>
  <c r="V262" i="2" s="1"/>
  <c r="U538" i="2"/>
  <c r="V538" i="2" s="1"/>
  <c r="U475" i="2"/>
  <c r="V475" i="2" s="1"/>
  <c r="U427" i="2"/>
  <c r="V427" i="2" s="1"/>
  <c r="U362" i="2"/>
  <c r="V362" i="2" s="1"/>
  <c r="U346" i="2"/>
  <c r="V346" i="2" s="1"/>
  <c r="U331" i="2"/>
  <c r="V331" i="2" s="1"/>
  <c r="U533" i="2"/>
  <c r="V533" i="2" s="1"/>
  <c r="U316" i="2"/>
  <c r="V316" i="2" s="1"/>
  <c r="U261" i="2"/>
  <c r="V261" i="2" s="1"/>
  <c r="U236" i="2"/>
  <c r="V236" i="2" s="1"/>
  <c r="U530" i="2"/>
  <c r="V530" i="2" s="1"/>
  <c r="U474" i="2"/>
  <c r="V474" i="2" s="1"/>
  <c r="U426" i="2"/>
  <c r="V426" i="2" s="1"/>
  <c r="U398" i="2"/>
  <c r="V398" i="2" s="1"/>
  <c r="U378" i="2"/>
  <c r="V378" i="2" s="1"/>
  <c r="U524" i="2"/>
  <c r="V524" i="2" s="1"/>
  <c r="U469" i="2"/>
  <c r="V469" i="2" s="1"/>
  <c r="U361" i="2"/>
  <c r="V361" i="2" s="1"/>
  <c r="U344" i="2"/>
  <c r="V344" i="2" s="1"/>
  <c r="U330" i="2"/>
  <c r="V330" i="2" s="1"/>
  <c r="U466" i="2"/>
  <c r="V466" i="2" s="1"/>
  <c r="U420" i="2"/>
  <c r="V420" i="2" s="1"/>
  <c r="U522" i="2"/>
  <c r="V522" i="2" s="1"/>
  <c r="U461" i="2"/>
  <c r="V461" i="2" s="1"/>
  <c r="U418" i="2"/>
  <c r="V418" i="2" s="1"/>
  <c r="U514" i="2"/>
  <c r="V514" i="2" s="1"/>
  <c r="U394" i="2"/>
  <c r="V394" i="2" s="1"/>
  <c r="U509" i="2"/>
  <c r="V509" i="2" s="1"/>
  <c r="U508" i="2"/>
  <c r="V508" i="2" s="1"/>
  <c r="U458" i="2"/>
  <c r="V458" i="2" s="1"/>
  <c r="U523" i="2"/>
  <c r="V523" i="2" s="1"/>
  <c r="U353" i="2"/>
  <c r="V353" i="2" s="1"/>
  <c r="U309" i="2"/>
  <c r="V309" i="2" s="1"/>
  <c r="U271" i="2"/>
  <c r="V271" i="2" s="1"/>
  <c r="U226" i="2"/>
  <c r="V226" i="2" s="1"/>
  <c r="U195" i="2"/>
  <c r="V195" i="2" s="1"/>
  <c r="U182" i="2"/>
  <c r="V182" i="2" s="1"/>
  <c r="U148" i="2"/>
  <c r="V148" i="2" s="1"/>
  <c r="U138" i="2"/>
  <c r="V138" i="2" s="1"/>
  <c r="U416" i="2"/>
  <c r="V416" i="2" s="1"/>
  <c r="U376" i="2"/>
  <c r="V376" i="2" s="1"/>
  <c r="U326" i="2"/>
  <c r="V326" i="2" s="1"/>
  <c r="U288" i="2"/>
  <c r="V288" i="2" s="1"/>
  <c r="U256" i="2"/>
  <c r="V256" i="2" s="1"/>
  <c r="U240" i="2"/>
  <c r="V240" i="2" s="1"/>
  <c r="U212" i="2"/>
  <c r="V212" i="2" s="1"/>
  <c r="U161" i="2"/>
  <c r="V161" i="2" s="1"/>
  <c r="U517" i="2"/>
  <c r="V517" i="2" s="1"/>
  <c r="U225" i="2"/>
  <c r="V225" i="2" s="1"/>
  <c r="U374" i="2"/>
  <c r="V374" i="2" s="1"/>
  <c r="U287" i="2"/>
  <c r="V287" i="2" s="1"/>
  <c r="U255" i="2"/>
  <c r="V255" i="2" s="1"/>
  <c r="U210" i="2"/>
  <c r="V210" i="2" s="1"/>
  <c r="U200" i="2"/>
  <c r="V200" i="2" s="1"/>
  <c r="U130" i="2"/>
  <c r="V130" i="2" s="1"/>
  <c r="U506" i="2"/>
  <c r="V506" i="2" s="1"/>
  <c r="U324" i="2"/>
  <c r="V324" i="2" s="1"/>
  <c r="U238" i="2"/>
  <c r="V238" i="2" s="1"/>
  <c r="U224" i="2"/>
  <c r="V224" i="2" s="1"/>
  <c r="U166" i="2"/>
  <c r="V166" i="2" s="1"/>
  <c r="U501" i="2"/>
  <c r="V501" i="2" s="1"/>
  <c r="U414" i="2"/>
  <c r="V414" i="2" s="1"/>
  <c r="U351" i="2"/>
  <c r="V351" i="2" s="1"/>
  <c r="U302" i="2"/>
  <c r="V302" i="2" s="1"/>
  <c r="U269" i="2"/>
  <c r="V269" i="2" s="1"/>
  <c r="U171" i="2"/>
  <c r="V171" i="2" s="1"/>
  <c r="U498" i="2"/>
  <c r="V498" i="2" s="1"/>
  <c r="U412" i="2"/>
  <c r="V412" i="2" s="1"/>
  <c r="U373" i="2"/>
  <c r="V373" i="2" s="1"/>
  <c r="U323" i="2"/>
  <c r="V323" i="2" s="1"/>
  <c r="U286" i="2"/>
  <c r="V286" i="2" s="1"/>
  <c r="U254" i="2"/>
  <c r="V254" i="2" s="1"/>
  <c r="U237" i="2"/>
  <c r="V237" i="2" s="1"/>
  <c r="U192" i="2"/>
  <c r="V192" i="2" s="1"/>
  <c r="U184" i="2"/>
  <c r="V184" i="2" s="1"/>
  <c r="U163" i="2"/>
  <c r="V163" i="2" s="1"/>
  <c r="U140" i="2"/>
  <c r="V140" i="2" s="1"/>
  <c r="U494" i="2"/>
  <c r="V494" i="2" s="1"/>
  <c r="U343" i="2"/>
  <c r="V343" i="2" s="1"/>
  <c r="U301" i="2"/>
  <c r="V301" i="2" s="1"/>
  <c r="U223" i="2"/>
  <c r="V223" i="2" s="1"/>
  <c r="U208" i="2"/>
  <c r="V208" i="2" s="1"/>
  <c r="U197" i="2"/>
  <c r="V197" i="2" s="1"/>
  <c r="U150" i="2"/>
  <c r="V150" i="2" s="1"/>
  <c r="U493" i="2"/>
  <c r="V493" i="2" s="1"/>
  <c r="U284" i="2"/>
  <c r="V284" i="2" s="1"/>
  <c r="U268" i="2"/>
  <c r="V268" i="2" s="1"/>
  <c r="U189" i="2"/>
  <c r="V189" i="2" s="1"/>
  <c r="U492" i="2"/>
  <c r="V492" i="2" s="1"/>
  <c r="U372" i="2"/>
  <c r="V372" i="2" s="1"/>
  <c r="U408" i="2"/>
  <c r="V408" i="2" s="1"/>
  <c r="U342" i="2"/>
  <c r="V342" i="2" s="1"/>
  <c r="U300" i="2"/>
  <c r="V300" i="2" s="1"/>
  <c r="U222" i="2"/>
  <c r="V222" i="2" s="1"/>
  <c r="U460" i="2"/>
  <c r="V460" i="2" s="1"/>
  <c r="U265" i="2"/>
  <c r="V265" i="2" s="1"/>
  <c r="U199" i="2"/>
  <c r="V199" i="2" s="1"/>
  <c r="U191" i="2"/>
  <c r="V191" i="2" s="1"/>
  <c r="U280" i="2"/>
  <c r="V280" i="2" s="1"/>
  <c r="U453" i="2"/>
  <c r="V453" i="2" s="1"/>
  <c r="U366" i="2"/>
  <c r="V366" i="2" s="1"/>
  <c r="U314" i="2"/>
  <c r="V314" i="2" s="1"/>
  <c r="U450" i="2"/>
  <c r="V450" i="2" s="1"/>
  <c r="U448" i="2"/>
  <c r="V448" i="2" s="1"/>
  <c r="U393" i="2"/>
  <c r="V393" i="2" s="1"/>
  <c r="U447" i="2"/>
  <c r="V447" i="2" s="1"/>
  <c r="U507" i="2"/>
  <c r="V507" i="2" s="1"/>
  <c r="U370" i="2"/>
  <c r="V370" i="2" s="1"/>
  <c r="U165" i="2"/>
  <c r="V165" i="2" s="1"/>
  <c r="U491" i="2"/>
  <c r="V491" i="2" s="1"/>
  <c r="U294" i="2"/>
  <c r="V294" i="2" s="1"/>
  <c r="U244" i="2"/>
  <c r="V244" i="2" s="1"/>
  <c r="U219" i="2"/>
  <c r="V219" i="2" s="1"/>
  <c r="U196" i="2"/>
  <c r="V196" i="2" s="1"/>
  <c r="U172" i="2"/>
  <c r="V172" i="2" s="1"/>
  <c r="U162" i="2"/>
  <c r="V162" i="2" s="1"/>
  <c r="U126" i="2"/>
  <c r="V126" i="2" s="1"/>
  <c r="U123" i="2"/>
  <c r="V123" i="2" s="1"/>
  <c r="U368" i="2"/>
  <c r="V368" i="2" s="1"/>
  <c r="U325" i="2"/>
  <c r="V325" i="2" s="1"/>
  <c r="U112" i="2"/>
  <c r="V112" i="2" s="1"/>
  <c r="U463" i="2"/>
  <c r="V463" i="2" s="1"/>
  <c r="U322" i="2"/>
  <c r="V322" i="2" s="1"/>
  <c r="U293" i="2"/>
  <c r="V293" i="2" s="1"/>
  <c r="U218" i="2"/>
  <c r="V218" i="2" s="1"/>
  <c r="U137" i="2"/>
  <c r="V137" i="2" s="1"/>
  <c r="U462" i="2"/>
  <c r="V462" i="2" s="1"/>
  <c r="U242" i="2"/>
  <c r="V242" i="2" s="1"/>
  <c r="U459" i="2"/>
  <c r="V459" i="2" s="1"/>
  <c r="U358" i="2"/>
  <c r="V358" i="2" s="1"/>
  <c r="U321" i="2"/>
  <c r="V321" i="2" s="1"/>
  <c r="U203" i="2"/>
  <c r="V203" i="2" s="1"/>
  <c r="U155" i="2"/>
  <c r="V155" i="2" s="1"/>
  <c r="U445" i="2"/>
  <c r="V445" i="2" s="1"/>
  <c r="U357" i="2"/>
  <c r="V357" i="2" s="1"/>
  <c r="U260" i="2"/>
  <c r="V260" i="2" s="1"/>
  <c r="U181" i="2"/>
  <c r="V181" i="2" s="1"/>
  <c r="U444" i="2"/>
  <c r="V444" i="2" s="1"/>
  <c r="U443" i="2"/>
  <c r="V443" i="2" s="1"/>
  <c r="U356" i="2"/>
  <c r="V356" i="2" s="1"/>
  <c r="U235" i="2"/>
  <c r="V235" i="2" s="1"/>
  <c r="U216" i="2"/>
  <c r="V216" i="2" s="1"/>
  <c r="U158" i="2"/>
  <c r="V158" i="2" s="1"/>
  <c r="U259" i="2"/>
  <c r="V259" i="2" s="1"/>
  <c r="U442" i="2"/>
  <c r="V442" i="2" s="1"/>
  <c r="U128" i="2"/>
  <c r="V128" i="2" s="1"/>
  <c r="U406" i="2"/>
  <c r="V406" i="2" s="1"/>
  <c r="U396" i="2"/>
  <c r="V396" i="2" s="1"/>
  <c r="U446" i="2"/>
  <c r="V446" i="2" s="1"/>
  <c r="U247" i="2"/>
  <c r="V247" i="2" s="1"/>
  <c r="U246" i="2"/>
  <c r="V246" i="2" s="1"/>
  <c r="U329" i="2"/>
  <c r="V329" i="2" s="1"/>
  <c r="U147" i="2"/>
  <c r="V147" i="2" s="1"/>
  <c r="U143" i="2"/>
  <c r="V143" i="2" s="1"/>
  <c r="U139" i="2"/>
  <c r="V139" i="2" s="1"/>
  <c r="U105" i="2"/>
  <c r="V105" i="2" s="1"/>
  <c r="U415" i="2"/>
  <c r="V415" i="2" s="1"/>
  <c r="U215" i="2"/>
  <c r="V215" i="2" s="1"/>
  <c r="U132" i="2"/>
  <c r="V132" i="2" s="1"/>
  <c r="U121" i="2"/>
  <c r="V121" i="2" s="1"/>
  <c r="U186" i="2"/>
  <c r="V186" i="2" s="1"/>
  <c r="U118" i="2"/>
  <c r="V118" i="2" s="1"/>
  <c r="U279" i="2"/>
  <c r="V279" i="2" s="1"/>
  <c r="U108" i="2"/>
  <c r="V108" i="2" s="1"/>
  <c r="U245" i="2"/>
  <c r="V245" i="2" s="1"/>
  <c r="U167" i="2"/>
  <c r="V167" i="2" s="1"/>
  <c r="U159" i="2"/>
  <c r="V159" i="2" s="1"/>
  <c r="U111" i="2"/>
  <c r="V111" i="2" s="1"/>
  <c r="U276" i="2"/>
  <c r="V276" i="2" s="1"/>
  <c r="U176" i="2"/>
  <c r="V176" i="2" s="1"/>
  <c r="U117" i="2"/>
  <c r="V117" i="2" s="1"/>
  <c r="U114" i="2"/>
  <c r="V114" i="2" s="1"/>
  <c r="U312" i="2"/>
  <c r="V312" i="2" s="1"/>
  <c r="U135" i="2"/>
  <c r="V135" i="2" s="1"/>
  <c r="U131" i="2"/>
  <c r="V131" i="2" s="1"/>
  <c r="U274" i="2"/>
  <c r="V274" i="2" s="1"/>
  <c r="U185" i="2"/>
  <c r="V185" i="2" s="1"/>
  <c r="U146" i="2"/>
  <c r="V146" i="2" s="1"/>
  <c r="U142" i="2"/>
  <c r="V142" i="2" s="1"/>
  <c r="U124" i="2"/>
  <c r="V124" i="2" s="1"/>
  <c r="U389" i="2"/>
  <c r="V389" i="2" s="1"/>
  <c r="U207" i="2"/>
  <c r="V207" i="2" s="1"/>
  <c r="U127" i="2"/>
  <c r="V127" i="2" s="1"/>
  <c r="U388" i="2"/>
  <c r="V388" i="2" s="1"/>
  <c r="U311" i="2"/>
  <c r="V311" i="2" s="1"/>
  <c r="U234" i="2"/>
  <c r="V234" i="2" s="1"/>
  <c r="U154" i="2"/>
  <c r="V154" i="2" s="1"/>
  <c r="U120" i="2"/>
  <c r="V120" i="2" s="1"/>
  <c r="U308" i="2"/>
  <c r="V308" i="2" s="1"/>
  <c r="U267" i="2"/>
  <c r="V267" i="2" s="1"/>
  <c r="U230" i="2"/>
  <c r="V230" i="2" s="1"/>
  <c r="U170" i="2"/>
  <c r="V170" i="2" s="1"/>
  <c r="U157" i="2"/>
  <c r="V157" i="2" s="1"/>
  <c r="U145" i="2"/>
  <c r="V145" i="2" s="1"/>
  <c r="U204" i="2"/>
  <c r="V204" i="2" s="1"/>
  <c r="U354" i="2"/>
  <c r="V354" i="2" s="1"/>
  <c r="U153" i="2"/>
  <c r="V153" i="2" s="1"/>
  <c r="U229" i="2"/>
  <c r="V229" i="2" s="1"/>
  <c r="U188" i="2"/>
  <c r="V188" i="2" s="1"/>
  <c r="U299" i="2"/>
  <c r="V299" i="2" s="1"/>
  <c r="U258" i="2"/>
  <c r="V258" i="2" s="1"/>
  <c r="U174" i="2"/>
  <c r="V174" i="2" s="1"/>
  <c r="U352" i="2"/>
  <c r="V352" i="2" s="1"/>
  <c r="U198" i="2"/>
  <c r="V198" i="2" s="1"/>
  <c r="U298" i="2"/>
  <c r="V298" i="2" s="1"/>
  <c r="U228" i="2"/>
  <c r="V228" i="2" s="1"/>
  <c r="U193" i="2"/>
  <c r="V193" i="2" s="1"/>
  <c r="U257" i="2"/>
  <c r="V257" i="2" s="1"/>
  <c r="U341" i="2"/>
  <c r="V341" i="2" s="1"/>
  <c r="U297" i="2"/>
  <c r="V297" i="2" s="1"/>
  <c r="U340" i="2"/>
  <c r="V340" i="2" s="1"/>
  <c r="U144" i="2"/>
  <c r="V144" i="2" s="1"/>
  <c r="U233" i="2"/>
  <c r="V233" i="2" s="1"/>
  <c r="U187" i="2"/>
  <c r="V187" i="2" s="1"/>
  <c r="U122" i="2"/>
  <c r="V122" i="2" s="1"/>
  <c r="U109" i="2"/>
  <c r="V109" i="2" s="1"/>
  <c r="U386" i="2"/>
  <c r="V386" i="2" s="1"/>
  <c r="U169" i="2"/>
  <c r="V169" i="2" s="1"/>
  <c r="U177" i="2"/>
  <c r="V177" i="2" s="1"/>
  <c r="U129" i="2"/>
  <c r="V129" i="2" s="1"/>
  <c r="U136" i="2"/>
  <c r="V136" i="2" s="1"/>
  <c r="U227" i="2"/>
  <c r="V227" i="2" s="1"/>
  <c r="U133" i="2"/>
  <c r="V133" i="2" s="1"/>
  <c r="U338" i="2"/>
  <c r="V338" i="2" s="1"/>
  <c r="U116" i="2"/>
  <c r="V116" i="2" s="1"/>
  <c r="U106" i="2"/>
  <c r="V106" i="2" s="1"/>
  <c r="U134" i="2"/>
  <c r="V134" i="2" s="1"/>
  <c r="U336" i="2"/>
  <c r="V336" i="2" s="1"/>
  <c r="U110" i="2"/>
  <c r="V110" i="2" s="1"/>
  <c r="U149" i="2"/>
  <c r="V149" i="2" s="1"/>
  <c r="U119" i="2"/>
  <c r="V119" i="2" s="1"/>
  <c r="U248" i="2"/>
  <c r="V248" i="2" s="1"/>
  <c r="U183" i="2"/>
  <c r="V183" i="2" s="1"/>
  <c r="U141" i="2"/>
  <c r="V141" i="2" s="1"/>
  <c r="U310" i="2"/>
  <c r="V310" i="2" s="1"/>
  <c r="U220" i="2"/>
  <c r="V220" i="2" s="1"/>
  <c r="U217" i="2"/>
  <c r="V217" i="2" s="1"/>
  <c r="U206" i="2"/>
  <c r="V206" i="2" s="1"/>
  <c r="U115" i="2"/>
  <c r="V115" i="2" s="1"/>
  <c r="U205" i="2"/>
  <c r="V205" i="2" s="1"/>
  <c r="U289" i="2"/>
  <c r="V289" i="2" s="1"/>
  <c r="U173" i="2"/>
  <c r="V173" i="2" s="1"/>
  <c r="U164" i="2"/>
  <c r="V164" i="2" s="1"/>
  <c r="U160" i="2"/>
  <c r="V160" i="2" s="1"/>
  <c r="U282" i="2"/>
  <c r="V282" i="2" s="1"/>
  <c r="U156" i="2"/>
  <c r="V156" i="2" s="1"/>
  <c r="U202" i="2"/>
  <c r="V202" i="2" s="1"/>
  <c r="U272" i="2"/>
  <c r="V272" i="2" s="1"/>
  <c r="U152" i="2"/>
  <c r="V152" i="2" s="1"/>
  <c r="U190" i="2"/>
  <c r="V190" i="2" s="1"/>
  <c r="U180" i="2"/>
  <c r="V180" i="2" s="1"/>
  <c r="U125" i="2"/>
  <c r="V125" i="2" s="1"/>
  <c r="U270" i="2"/>
  <c r="V270" i="2" s="1"/>
  <c r="U113" i="2"/>
  <c r="V113" i="2" s="1"/>
  <c r="U179" i="2"/>
  <c r="V179" i="2" s="1"/>
  <c r="U178" i="2"/>
  <c r="V178" i="2" s="1"/>
  <c r="U107" i="2"/>
  <c r="V107" i="2" s="1"/>
  <c r="U249" i="2"/>
  <c r="V249" i="2" s="1"/>
  <c r="U47" i="2"/>
  <c r="V47" i="2" s="1"/>
  <c r="U63" i="2"/>
  <c r="V63" i="2" s="1"/>
  <c r="U24" i="2"/>
  <c r="V24" i="2" s="1"/>
  <c r="U4" i="2"/>
  <c r="V4" i="2" s="1"/>
  <c r="U102" i="2"/>
  <c r="V102" i="2" s="1"/>
  <c r="U97" i="2"/>
  <c r="V97" i="2" s="1"/>
  <c r="AD164" i="2"/>
  <c r="AD78" i="2"/>
  <c r="AD259" i="2"/>
  <c r="AD244" i="2"/>
  <c r="AD132" i="2"/>
  <c r="AD36" i="2"/>
  <c r="AD115" i="2"/>
  <c r="AD196" i="2"/>
  <c r="AD413" i="2"/>
  <c r="AD381" i="2"/>
  <c r="AD349" i="2"/>
  <c r="AD317" i="2"/>
  <c r="AD402" i="2"/>
  <c r="AD370" i="2"/>
  <c r="AD338" i="2"/>
  <c r="AD306" i="2"/>
  <c r="AD391" i="2"/>
  <c r="AD359" i="2"/>
  <c r="AD327" i="2"/>
  <c r="AD295" i="2"/>
  <c r="AD412" i="2"/>
  <c r="AD380" i="2"/>
  <c r="AD401" i="2"/>
  <c r="AD369" i="2"/>
  <c r="AD337" i="2"/>
  <c r="AD305" i="2"/>
  <c r="AD411" i="2"/>
  <c r="AD379" i="2"/>
  <c r="AD347" i="2"/>
  <c r="AD315" i="2"/>
  <c r="AD400" i="2"/>
  <c r="AD368" i="2"/>
  <c r="AD421" i="2"/>
  <c r="AD389" i="2"/>
  <c r="AD357" i="2"/>
  <c r="AD325" i="2"/>
  <c r="AD399" i="2"/>
  <c r="AD420" i="2"/>
  <c r="AD409" i="2"/>
  <c r="AD377" i="2"/>
  <c r="AD345" i="2"/>
  <c r="AD313" i="2"/>
  <c r="AD419" i="2"/>
  <c r="AD387" i="2"/>
  <c r="AD355" i="2"/>
  <c r="AD323" i="2"/>
  <c r="AD397" i="2"/>
  <c r="AD365" i="2"/>
  <c r="AD333" i="2"/>
  <c r="AD407" i="2"/>
  <c r="AD375" i="2"/>
  <c r="AD343" i="2"/>
  <c r="AD417" i="2"/>
  <c r="AD385" i="2"/>
  <c r="AD395" i="2"/>
  <c r="AD405" i="2"/>
  <c r="AD415" i="2"/>
  <c r="AD350" i="2"/>
  <c r="AD404" i="2"/>
  <c r="AD383" i="2"/>
  <c r="AD364" i="2"/>
  <c r="AD319" i="2"/>
  <c r="AD304" i="2"/>
  <c r="AD363" i="2"/>
  <c r="AD348" i="2"/>
  <c r="AD332" i="2"/>
  <c r="AD403" i="2"/>
  <c r="AD382" i="2"/>
  <c r="AD303" i="2"/>
  <c r="AD318" i="2"/>
  <c r="AD362" i="2"/>
  <c r="AD346" i="2"/>
  <c r="AD331" i="2"/>
  <c r="AD302" i="2"/>
  <c r="AD378" i="2"/>
  <c r="AD398" i="2"/>
  <c r="AD361" i="2"/>
  <c r="AD330" i="2"/>
  <c r="AD301" i="2"/>
  <c r="AD396" i="2"/>
  <c r="AD376" i="2"/>
  <c r="AD360" i="2"/>
  <c r="AD329" i="2"/>
  <c r="AD416" i="2"/>
  <c r="AD384" i="2"/>
  <c r="AD326" i="2"/>
  <c r="AD352" i="2"/>
  <c r="AD308" i="2"/>
  <c r="AD414" i="2"/>
  <c r="AD351" i="2"/>
  <c r="AD324" i="2"/>
  <c r="AD307" i="2"/>
  <c r="AD373" i="2"/>
  <c r="AD344" i="2"/>
  <c r="AD410" i="2"/>
  <c r="AD372" i="2"/>
  <c r="AD322" i="2"/>
  <c r="AD342" i="2"/>
  <c r="AD300" i="2"/>
  <c r="AD408" i="2"/>
  <c r="AD371" i="2"/>
  <c r="AD321" i="2"/>
  <c r="AD367" i="2"/>
  <c r="AD366" i="2"/>
  <c r="AD339" i="2"/>
  <c r="AD297" i="2"/>
  <c r="AD393" i="2"/>
  <c r="AD358" i="2"/>
  <c r="AD388" i="2"/>
  <c r="AD328" i="2"/>
  <c r="AD294" i="2"/>
  <c r="AD316" i="2"/>
  <c r="AD356" i="2"/>
  <c r="AD312" i="2"/>
  <c r="AD354" i="2"/>
  <c r="AD392" i="2"/>
  <c r="AD335" i="2"/>
  <c r="AD418" i="2"/>
  <c r="AD334" i="2"/>
  <c r="AD406" i="2"/>
  <c r="AD394" i="2"/>
  <c r="AD320" i="2"/>
  <c r="AD314" i="2"/>
  <c r="AD390" i="2"/>
  <c r="AD311" i="2"/>
  <c r="AD299" i="2"/>
  <c r="AD353" i="2"/>
  <c r="AD298" i="2"/>
  <c r="AD341" i="2"/>
  <c r="AD340" i="2"/>
  <c r="AD386" i="2"/>
  <c r="AD336" i="2"/>
  <c r="AD374" i="2"/>
  <c r="AD310" i="2"/>
  <c r="AD309" i="2"/>
  <c r="AD296" i="2"/>
  <c r="AD281" i="2"/>
  <c r="AD198" i="2"/>
  <c r="U29" i="2"/>
  <c r="V29" i="2" s="1"/>
  <c r="U55" i="2"/>
  <c r="V55" i="2" s="1"/>
  <c r="AD17" i="2"/>
  <c r="AD204" i="2"/>
  <c r="AD109" i="2"/>
  <c r="AD229" i="2"/>
  <c r="AD117" i="2"/>
  <c r="AD139" i="2"/>
  <c r="AD66" i="2"/>
  <c r="AD150" i="2"/>
  <c r="AD237" i="2"/>
  <c r="AD221" i="2"/>
  <c r="U93" i="2"/>
  <c r="V93" i="2" s="1"/>
  <c r="U90" i="2"/>
  <c r="V90" i="2" s="1"/>
  <c r="U18" i="2"/>
  <c r="V18" i="2" s="1"/>
  <c r="AD199" i="2"/>
  <c r="AD75" i="2"/>
  <c r="AD16" i="2"/>
  <c r="AD130" i="2"/>
  <c r="AD172" i="2"/>
  <c r="AD147" i="2"/>
  <c r="AD76" i="2"/>
  <c r="AD208" i="2"/>
  <c r="AD264" i="2"/>
  <c r="AD253" i="2"/>
  <c r="AD13" i="2"/>
  <c r="AD290" i="2"/>
  <c r="AD40" i="2"/>
  <c r="AD166" i="2"/>
  <c r="AD212" i="2"/>
  <c r="AD151" i="2"/>
  <c r="AD96" i="2"/>
  <c r="AD223" i="2"/>
  <c r="AD65" i="2"/>
  <c r="AD285" i="2"/>
  <c r="U7" i="2"/>
  <c r="V7" i="2" s="1"/>
  <c r="AD276" i="2"/>
  <c r="AD23" i="2"/>
  <c r="AD171" i="2"/>
  <c r="AD108" i="2"/>
  <c r="AD100" i="2"/>
  <c r="U48" i="2"/>
  <c r="V48" i="2" s="1"/>
  <c r="AD124" i="2"/>
  <c r="U50" i="2"/>
  <c r="V50" i="2" s="1"/>
  <c r="U79" i="2"/>
  <c r="V79" i="2" s="1"/>
  <c r="AD248" i="2"/>
  <c r="AD180" i="2"/>
  <c r="U88" i="2"/>
  <c r="V88" i="2" s="1"/>
  <c r="U26" i="2"/>
  <c r="V26" i="2" s="1"/>
  <c r="U25" i="2"/>
  <c r="V25" i="2" s="1"/>
  <c r="AD200" i="2"/>
  <c r="AD140" i="2"/>
  <c r="AD227" i="2"/>
  <c r="AD206" i="2"/>
  <c r="AD114" i="2"/>
  <c r="AD191" i="2"/>
  <c r="AD45" i="2"/>
  <c r="AD184" i="2"/>
  <c r="AD119" i="2"/>
  <c r="U9" i="2"/>
  <c r="V9" i="2" s="1"/>
  <c r="U73" i="2"/>
  <c r="V73" i="2" s="1"/>
  <c r="U74" i="2"/>
  <c r="V74" i="2" s="1"/>
  <c r="U32" i="2"/>
  <c r="V32" i="2" s="1"/>
  <c r="AD107" i="2"/>
  <c r="AD134" i="2"/>
  <c r="AD181" i="2"/>
  <c r="U65" i="2"/>
  <c r="V65" i="2" s="1"/>
  <c r="U87" i="2"/>
  <c r="V87" i="2" s="1"/>
  <c r="U104" i="2"/>
  <c r="V104" i="2" s="1"/>
  <c r="AD43" i="2"/>
  <c r="AD22" i="2"/>
  <c r="AD230" i="2"/>
  <c r="AD272" i="2"/>
  <c r="AD213" i="2"/>
  <c r="AD258" i="2"/>
  <c r="AD59" i="2"/>
  <c r="AD192" i="2"/>
  <c r="AD135" i="2"/>
  <c r="AD245" i="2"/>
  <c r="AD216" i="2"/>
  <c r="AD81" i="2"/>
  <c r="AD254" i="2"/>
  <c r="AD163" i="2"/>
  <c r="U39" i="2"/>
  <c r="V39" i="2" s="1"/>
  <c r="AD170" i="2"/>
  <c r="U70" i="2"/>
  <c r="V70" i="2" s="1"/>
  <c r="AD256" i="2"/>
  <c r="AD42" i="2"/>
  <c r="AD234" i="2"/>
  <c r="AD111" i="2"/>
  <c r="AD289" i="2"/>
  <c r="AD91" i="2"/>
  <c r="AD286" i="2"/>
  <c r="AD182" i="2"/>
  <c r="U51" i="2"/>
  <c r="V51" i="2" s="1"/>
  <c r="U82" i="2"/>
  <c r="V82" i="2" s="1"/>
  <c r="U66" i="2"/>
  <c r="V66" i="2" s="1"/>
  <c r="AD26" i="2"/>
  <c r="AD173" i="2"/>
  <c r="U12" i="2"/>
  <c r="V12" i="2" s="1"/>
  <c r="U76" i="2"/>
  <c r="V76" i="2" s="1"/>
  <c r="AD29" i="2"/>
  <c r="U40" i="2"/>
  <c r="V40" i="2" s="1"/>
  <c r="U31" i="2"/>
  <c r="V31" i="2" s="1"/>
  <c r="U96" i="2"/>
  <c r="V96" i="2" s="1"/>
  <c r="AD32" i="2"/>
  <c r="AD90" i="2"/>
  <c r="AD55" i="2"/>
  <c r="AD8" i="2"/>
  <c r="AD167" i="2"/>
  <c r="AD178" i="2"/>
  <c r="AD112" i="2"/>
  <c r="AD56" i="2"/>
  <c r="AD238" i="2"/>
  <c r="W2" i="4" l="1" a="1"/>
  <c r="W2" i="2" a="1"/>
  <c r="W2" i="3" a="1"/>
  <c r="W2" i="3" s="1"/>
  <c r="E14" i="3" s="1"/>
  <c r="W2" i="5" a="1"/>
  <c r="W2" i="5" s="1"/>
  <c r="AF1" i="4" a="1"/>
  <c r="AF1" i="4" s="1"/>
  <c r="AF2" i="4" s="1"/>
  <c r="AF1" i="5" a="1"/>
  <c r="AF1" i="5" s="1"/>
  <c r="AF1" i="3" a="1"/>
  <c r="AF1" i="3" s="1"/>
  <c r="AF1" i="2" a="1"/>
  <c r="AF1" i="2" s="1"/>
  <c r="H14" i="5" l="1"/>
  <c r="J14" i="5" s="1"/>
  <c r="E14" i="5"/>
  <c r="B14" i="5"/>
  <c r="H2" i="5" s="1"/>
  <c r="W2" i="4"/>
  <c r="W2" i="2"/>
  <c r="W1" i="2" s="1" a="1"/>
  <c r="W1" i="2" s="1"/>
  <c r="A15" i="2" s="1"/>
  <c r="AF4" i="4"/>
  <c r="W1" i="5" a="1"/>
  <c r="W1" i="5" s="1"/>
  <c r="A15" i="5" s="1"/>
  <c r="AF3" i="4"/>
  <c r="AF3" i="5"/>
  <c r="AF4" i="5"/>
  <c r="AF2" i="5"/>
  <c r="AF4" i="3"/>
  <c r="AF2" i="3"/>
  <c r="AF3" i="3"/>
  <c r="AF2" i="2"/>
  <c r="AF4" i="2"/>
  <c r="AF3" i="2"/>
  <c r="H14" i="4" l="1"/>
  <c r="J14" i="4" s="1"/>
  <c r="E14" i="4"/>
  <c r="H3" i="4"/>
  <c r="I3" i="4" s="1"/>
  <c r="L15" i="5"/>
  <c r="B15" i="5"/>
  <c r="B15" i="2"/>
  <c r="G15" i="2" s="1"/>
  <c r="L15" i="2"/>
  <c r="A16" i="5"/>
  <c r="B16" i="5" s="1"/>
  <c r="E15" i="5"/>
  <c r="H15" i="5"/>
  <c r="I15" i="5" s="1"/>
  <c r="E15" i="2"/>
  <c r="H15" i="2"/>
  <c r="I15" i="2" s="1"/>
  <c r="A16" i="2"/>
  <c r="F15" i="2" l="1"/>
  <c r="H16" i="2"/>
  <c r="L16" i="2"/>
  <c r="C15" i="2"/>
  <c r="D15" i="2"/>
  <c r="A17" i="5"/>
  <c r="L17" i="5" s="1"/>
  <c r="H16" i="5"/>
  <c r="I16" i="5" s="1"/>
  <c r="J16" i="5" s="1"/>
  <c r="K16" i="5" s="1"/>
  <c r="L16" i="5"/>
  <c r="A17" i="2"/>
  <c r="L17" i="2" s="1"/>
  <c r="F15" i="5"/>
  <c r="E16" i="2"/>
  <c r="B16" i="2"/>
  <c r="C16" i="2" s="1"/>
  <c r="E16" i="5"/>
  <c r="F16" i="5" s="1"/>
  <c r="J15" i="2"/>
  <c r="K15" i="2" s="1"/>
  <c r="G15" i="5"/>
  <c r="J15" i="5"/>
  <c r="K15" i="5" s="1"/>
  <c r="D15" i="5"/>
  <c r="C15" i="5"/>
  <c r="I16" i="2"/>
  <c r="J16" i="2" s="1"/>
  <c r="K16" i="2" s="1"/>
  <c r="H17" i="5"/>
  <c r="I17" i="5" s="1"/>
  <c r="B17" i="5"/>
  <c r="E17" i="5"/>
  <c r="A18" i="5"/>
  <c r="L18" i="5" s="1"/>
  <c r="G16" i="5"/>
  <c r="D16" i="5"/>
  <c r="C16" i="5"/>
  <c r="M15" i="2"/>
  <c r="H17" i="2"/>
  <c r="I17" i="2" s="1"/>
  <c r="E17" i="2"/>
  <c r="B17" i="2"/>
  <c r="A18" i="2"/>
  <c r="L18" i="2" s="1"/>
  <c r="G16" i="2" l="1"/>
  <c r="D16" i="2"/>
  <c r="F16" i="2"/>
  <c r="M15" i="5"/>
  <c r="M16" i="5"/>
  <c r="G17" i="5"/>
  <c r="F17" i="5"/>
  <c r="D17" i="5"/>
  <c r="C17" i="5"/>
  <c r="H18" i="5"/>
  <c r="I18" i="5" s="1"/>
  <c r="E18" i="5"/>
  <c r="B18" i="5"/>
  <c r="A19" i="5"/>
  <c r="L19" i="5" s="1"/>
  <c r="J17" i="5"/>
  <c r="K17" i="5" s="1"/>
  <c r="J17" i="2"/>
  <c r="K17" i="2" s="1"/>
  <c r="H18" i="2"/>
  <c r="I18" i="2" s="1"/>
  <c r="E18" i="2"/>
  <c r="B18" i="2"/>
  <c r="A19" i="2"/>
  <c r="L19" i="2" s="1"/>
  <c r="G17" i="2"/>
  <c r="F17" i="2"/>
  <c r="D17" i="2"/>
  <c r="C17" i="2"/>
  <c r="M16" i="2" l="1"/>
  <c r="M17" i="5"/>
  <c r="H19" i="5"/>
  <c r="I19" i="5" s="1"/>
  <c r="B19" i="5"/>
  <c r="E19" i="5"/>
  <c r="A20" i="5"/>
  <c r="L20" i="5" s="1"/>
  <c r="G18" i="5"/>
  <c r="C18" i="5"/>
  <c r="F18" i="5"/>
  <c r="D18" i="5"/>
  <c r="J18" i="5"/>
  <c r="K18" i="5" s="1"/>
  <c r="M17" i="2"/>
  <c r="C18" i="2"/>
  <c r="F18" i="2"/>
  <c r="G18" i="2"/>
  <c r="D18" i="2"/>
  <c r="J18" i="2"/>
  <c r="K18" i="2" s="1"/>
  <c r="H19" i="2"/>
  <c r="I19" i="2" s="1"/>
  <c r="E19" i="2"/>
  <c r="B19" i="2"/>
  <c r="A20" i="2"/>
  <c r="L20" i="2" s="1"/>
  <c r="M18" i="5" l="1"/>
  <c r="C19" i="5"/>
  <c r="G19" i="5"/>
  <c r="F19" i="5"/>
  <c r="D19" i="5"/>
  <c r="J19" i="5"/>
  <c r="K19" i="5" s="1"/>
  <c r="E20" i="5"/>
  <c r="B20" i="5"/>
  <c r="H20" i="5"/>
  <c r="I20" i="5" s="1"/>
  <c r="A21" i="5"/>
  <c r="L21" i="5" s="1"/>
  <c r="M18" i="2"/>
  <c r="H20" i="2"/>
  <c r="I20" i="2" s="1"/>
  <c r="B20" i="2"/>
  <c r="E20" i="2"/>
  <c r="A21" i="2"/>
  <c r="L21" i="2" s="1"/>
  <c r="J19" i="2"/>
  <c r="K19" i="2" s="1"/>
  <c r="G19" i="2"/>
  <c r="F19" i="2"/>
  <c r="D19" i="2"/>
  <c r="C19" i="2"/>
  <c r="M19" i="5" l="1"/>
  <c r="D20" i="5"/>
  <c r="C20" i="5"/>
  <c r="F20" i="5"/>
  <c r="G20" i="5"/>
  <c r="J20" i="5"/>
  <c r="K20" i="5" s="1"/>
  <c r="H21" i="5"/>
  <c r="I21" i="5" s="1"/>
  <c r="E21" i="5"/>
  <c r="B21" i="5"/>
  <c r="A22" i="5"/>
  <c r="L22" i="5" s="1"/>
  <c r="M19" i="2"/>
  <c r="E21" i="2"/>
  <c r="B21" i="2"/>
  <c r="H21" i="2"/>
  <c r="I21" i="2" s="1"/>
  <c r="A22" i="2"/>
  <c r="L22" i="2" s="1"/>
  <c r="C20" i="2"/>
  <c r="F20" i="2"/>
  <c r="G20" i="2"/>
  <c r="D20" i="2"/>
  <c r="J20" i="2"/>
  <c r="K20" i="2" s="1"/>
  <c r="M20" i="5" l="1"/>
  <c r="G21" i="5"/>
  <c r="F21" i="5"/>
  <c r="D21" i="5"/>
  <c r="C21" i="5"/>
  <c r="J21" i="5"/>
  <c r="K21" i="5" s="1"/>
  <c r="E22" i="5"/>
  <c r="H22" i="5"/>
  <c r="I22" i="5" s="1"/>
  <c r="B22" i="5"/>
  <c r="A23" i="5"/>
  <c r="L23" i="5" s="1"/>
  <c r="M20" i="2"/>
  <c r="J21" i="2"/>
  <c r="K21" i="2" s="1"/>
  <c r="G21" i="2"/>
  <c r="D21" i="2"/>
  <c r="F21" i="2"/>
  <c r="C21" i="2"/>
  <c r="E22" i="2"/>
  <c r="H22" i="2"/>
  <c r="I22" i="2" s="1"/>
  <c r="B22" i="2"/>
  <c r="A23" i="2"/>
  <c r="L23" i="2" s="1"/>
  <c r="M21" i="5" l="1"/>
  <c r="H23" i="5"/>
  <c r="I23" i="5" s="1"/>
  <c r="B23" i="5"/>
  <c r="E23" i="5"/>
  <c r="A24" i="5"/>
  <c r="L24" i="5" s="1"/>
  <c r="G22" i="5"/>
  <c r="F22" i="5"/>
  <c r="D22" i="5"/>
  <c r="C22" i="5"/>
  <c r="J22" i="5"/>
  <c r="K22" i="5" s="1"/>
  <c r="M21" i="2"/>
  <c r="J22" i="2"/>
  <c r="K22" i="2" s="1"/>
  <c r="C22" i="2"/>
  <c r="G22" i="2"/>
  <c r="F22" i="2"/>
  <c r="D22" i="2"/>
  <c r="H23" i="2"/>
  <c r="I23" i="2" s="1"/>
  <c r="E23" i="2"/>
  <c r="B23" i="2"/>
  <c r="A24" i="2"/>
  <c r="L24" i="2" s="1"/>
  <c r="M22" i="5" l="1"/>
  <c r="B24" i="5"/>
  <c r="E24" i="5"/>
  <c r="H24" i="5"/>
  <c r="I24" i="5" s="1"/>
  <c r="A25" i="5"/>
  <c r="L25" i="5" s="1"/>
  <c r="G23" i="5"/>
  <c r="F23" i="5"/>
  <c r="D23" i="5"/>
  <c r="C23" i="5"/>
  <c r="J23" i="5"/>
  <c r="K23" i="5" s="1"/>
  <c r="M22" i="2"/>
  <c r="E24" i="2"/>
  <c r="B24" i="2"/>
  <c r="H24" i="2"/>
  <c r="I24" i="2" s="1"/>
  <c r="A25" i="2"/>
  <c r="L25" i="2" s="1"/>
  <c r="F23" i="2"/>
  <c r="D23" i="2"/>
  <c r="G23" i="2"/>
  <c r="C23" i="2"/>
  <c r="J23" i="2"/>
  <c r="K23" i="2" s="1"/>
  <c r="M23" i="5" l="1"/>
  <c r="H25" i="5"/>
  <c r="I25" i="5" s="1"/>
  <c r="E25" i="5"/>
  <c r="B25" i="5"/>
  <c r="A26" i="5"/>
  <c r="L26" i="5" s="1"/>
  <c r="J24" i="5"/>
  <c r="K24" i="5" s="1"/>
  <c r="G24" i="5"/>
  <c r="C24" i="5"/>
  <c r="F24" i="5"/>
  <c r="D24" i="5"/>
  <c r="M23" i="2"/>
  <c r="J24" i="2"/>
  <c r="K24" i="2" s="1"/>
  <c r="E25" i="2"/>
  <c r="H25" i="2"/>
  <c r="I25" i="2" s="1"/>
  <c r="B25" i="2"/>
  <c r="A26" i="2"/>
  <c r="L26" i="2" s="1"/>
  <c r="C24" i="2"/>
  <c r="D24" i="2"/>
  <c r="G24" i="2"/>
  <c r="F24" i="2"/>
  <c r="M24" i="5" l="1"/>
  <c r="D25" i="5"/>
  <c r="G25" i="5"/>
  <c r="F25" i="5"/>
  <c r="C25" i="5"/>
  <c r="B26" i="5"/>
  <c r="H26" i="5"/>
  <c r="I26" i="5" s="1"/>
  <c r="E26" i="5"/>
  <c r="A27" i="5"/>
  <c r="L27" i="5" s="1"/>
  <c r="J25" i="5"/>
  <c r="K25" i="5" s="1"/>
  <c r="M24" i="2"/>
  <c r="B26" i="2"/>
  <c r="H26" i="2"/>
  <c r="I26" i="2" s="1"/>
  <c r="E26" i="2"/>
  <c r="A27" i="2"/>
  <c r="L27" i="2" s="1"/>
  <c r="J25" i="2"/>
  <c r="K25" i="2" s="1"/>
  <c r="F25" i="2"/>
  <c r="G25" i="2"/>
  <c r="D25" i="2"/>
  <c r="C25" i="2"/>
  <c r="M25" i="5" l="1"/>
  <c r="D26" i="5"/>
  <c r="C26" i="5"/>
  <c r="G26" i="5"/>
  <c r="F26" i="5"/>
  <c r="J26" i="5"/>
  <c r="K26" i="5" s="1"/>
  <c r="H27" i="5"/>
  <c r="I27" i="5" s="1"/>
  <c r="B27" i="5"/>
  <c r="E27" i="5"/>
  <c r="A28" i="5"/>
  <c r="L28" i="5" s="1"/>
  <c r="M25" i="2"/>
  <c r="C26" i="2"/>
  <c r="D26" i="2"/>
  <c r="F26" i="2"/>
  <c r="G26" i="2"/>
  <c r="H27" i="2"/>
  <c r="I27" i="2" s="1"/>
  <c r="E27" i="2"/>
  <c r="B27" i="2"/>
  <c r="A28" i="2"/>
  <c r="L28" i="2" s="1"/>
  <c r="J26" i="2"/>
  <c r="K26" i="2" s="1"/>
  <c r="M26" i="5" l="1"/>
  <c r="H28" i="5"/>
  <c r="I28" i="5" s="1"/>
  <c r="E28" i="5"/>
  <c r="B28" i="5"/>
  <c r="A29" i="5"/>
  <c r="L29" i="5" s="1"/>
  <c r="D27" i="5"/>
  <c r="G27" i="5"/>
  <c r="F27" i="5"/>
  <c r="C27" i="5"/>
  <c r="J27" i="5"/>
  <c r="K27" i="5" s="1"/>
  <c r="M26" i="2"/>
  <c r="E28" i="2"/>
  <c r="B28" i="2"/>
  <c r="H28" i="2"/>
  <c r="I28" i="2" s="1"/>
  <c r="A29" i="2"/>
  <c r="L29" i="2" s="1"/>
  <c r="F27" i="2"/>
  <c r="D27" i="2"/>
  <c r="G27" i="2"/>
  <c r="C27" i="2"/>
  <c r="J27" i="2"/>
  <c r="K27" i="2" s="1"/>
  <c r="M27" i="5" l="1"/>
  <c r="D28" i="5"/>
  <c r="C28" i="5"/>
  <c r="G28" i="5"/>
  <c r="F28" i="5"/>
  <c r="H29" i="5"/>
  <c r="I29" i="5" s="1"/>
  <c r="B29" i="5"/>
  <c r="E29" i="5"/>
  <c r="A30" i="5"/>
  <c r="L30" i="5" s="1"/>
  <c r="J28" i="5"/>
  <c r="K28" i="5" s="1"/>
  <c r="M27" i="2"/>
  <c r="B29" i="2"/>
  <c r="E29" i="2"/>
  <c r="H29" i="2"/>
  <c r="I29" i="2" s="1"/>
  <c r="A30" i="2"/>
  <c r="L30" i="2" s="1"/>
  <c r="J28" i="2"/>
  <c r="K28" i="2" s="1"/>
  <c r="C28" i="2"/>
  <c r="D28" i="2"/>
  <c r="F28" i="2"/>
  <c r="G28" i="2"/>
  <c r="M28" i="5" l="1"/>
  <c r="D29" i="5"/>
  <c r="C29" i="5"/>
  <c r="F29" i="5"/>
  <c r="G29" i="5"/>
  <c r="J29" i="5"/>
  <c r="K29" i="5" s="1"/>
  <c r="E30" i="5"/>
  <c r="H30" i="5"/>
  <c r="I30" i="5" s="1"/>
  <c r="B30" i="5"/>
  <c r="A31" i="5"/>
  <c r="L31" i="5" s="1"/>
  <c r="M28" i="2"/>
  <c r="J29" i="2"/>
  <c r="K29" i="2" s="1"/>
  <c r="E30" i="2"/>
  <c r="H30" i="2"/>
  <c r="I30" i="2" s="1"/>
  <c r="B30" i="2"/>
  <c r="A31" i="2"/>
  <c r="L31" i="2" s="1"/>
  <c r="C29" i="2"/>
  <c r="G29" i="2"/>
  <c r="F29" i="2"/>
  <c r="D29" i="2"/>
  <c r="M29" i="5" l="1"/>
  <c r="J30" i="5"/>
  <c r="K30" i="5" s="1"/>
  <c r="H31" i="5"/>
  <c r="I31" i="5" s="1"/>
  <c r="E31" i="5"/>
  <c r="B31" i="5"/>
  <c r="A32" i="5"/>
  <c r="L32" i="5" s="1"/>
  <c r="G30" i="5"/>
  <c r="F30" i="5"/>
  <c r="D30" i="5"/>
  <c r="C30" i="5"/>
  <c r="M29" i="2"/>
  <c r="H31" i="2"/>
  <c r="I31" i="2" s="1"/>
  <c r="B31" i="2"/>
  <c r="E31" i="2"/>
  <c r="A32" i="2"/>
  <c r="L32" i="2" s="1"/>
  <c r="C30" i="2"/>
  <c r="G30" i="2"/>
  <c r="F30" i="2"/>
  <c r="D30" i="2"/>
  <c r="J30" i="2"/>
  <c r="K30" i="2" s="1"/>
  <c r="M30" i="5" l="1"/>
  <c r="D31" i="5"/>
  <c r="G31" i="5"/>
  <c r="C31" i="5"/>
  <c r="F31" i="5"/>
  <c r="J31" i="5"/>
  <c r="K31" i="5" s="1"/>
  <c r="H32" i="5"/>
  <c r="I32" i="5" s="1"/>
  <c r="E32" i="5"/>
  <c r="B32" i="5"/>
  <c r="A33" i="5"/>
  <c r="L33" i="5" s="1"/>
  <c r="M30" i="2"/>
  <c r="F31" i="2"/>
  <c r="G31" i="2"/>
  <c r="D31" i="2"/>
  <c r="C31" i="2"/>
  <c r="H32" i="2"/>
  <c r="I32" i="2" s="1"/>
  <c r="B32" i="2"/>
  <c r="E32" i="2"/>
  <c r="A33" i="2"/>
  <c r="L33" i="2" s="1"/>
  <c r="J31" i="2"/>
  <c r="K31" i="2" s="1"/>
  <c r="M31" i="5" l="1"/>
  <c r="H33" i="5"/>
  <c r="I33" i="5" s="1"/>
  <c r="B33" i="5"/>
  <c r="E33" i="5"/>
  <c r="A34" i="5"/>
  <c r="L34" i="5" s="1"/>
  <c r="C32" i="5"/>
  <c r="G32" i="5"/>
  <c r="F32" i="5"/>
  <c r="D32" i="5"/>
  <c r="J32" i="5"/>
  <c r="K32" i="5" s="1"/>
  <c r="M31" i="2"/>
  <c r="H33" i="2"/>
  <c r="I33" i="2" s="1"/>
  <c r="E33" i="2"/>
  <c r="B33" i="2"/>
  <c r="A34" i="2"/>
  <c r="L34" i="2" s="1"/>
  <c r="J32" i="2"/>
  <c r="K32" i="2" s="1"/>
  <c r="C32" i="2"/>
  <c r="F32" i="2"/>
  <c r="G32" i="2"/>
  <c r="D32" i="2"/>
  <c r="M32" i="5" l="1"/>
  <c r="B34" i="5"/>
  <c r="E34" i="5"/>
  <c r="H34" i="5"/>
  <c r="I34" i="5" s="1"/>
  <c r="A35" i="5"/>
  <c r="L35" i="5" s="1"/>
  <c r="J33" i="5"/>
  <c r="K33" i="5" s="1"/>
  <c r="D33" i="5"/>
  <c r="C33" i="5"/>
  <c r="F33" i="5"/>
  <c r="G33" i="5"/>
  <c r="M32" i="2"/>
  <c r="B34" i="2"/>
  <c r="H34" i="2"/>
  <c r="I34" i="2" s="1"/>
  <c r="E34" i="2"/>
  <c r="A35" i="2"/>
  <c r="L35" i="2" s="1"/>
  <c r="G33" i="2"/>
  <c r="F33" i="2"/>
  <c r="D33" i="2"/>
  <c r="C33" i="2"/>
  <c r="J33" i="2"/>
  <c r="K33" i="2" s="1"/>
  <c r="M33" i="5" l="1"/>
  <c r="J34" i="5"/>
  <c r="K34" i="5" s="1"/>
  <c r="H35" i="5"/>
  <c r="I35" i="5" s="1"/>
  <c r="E35" i="5"/>
  <c r="B35" i="5"/>
  <c r="A36" i="5"/>
  <c r="L36" i="5" s="1"/>
  <c r="F34" i="5"/>
  <c r="C34" i="5"/>
  <c r="D34" i="5"/>
  <c r="G34" i="5"/>
  <c r="M33" i="2"/>
  <c r="J34" i="2"/>
  <c r="K34" i="2" s="1"/>
  <c r="H35" i="2"/>
  <c r="I35" i="2" s="1"/>
  <c r="E35" i="2"/>
  <c r="B35" i="2"/>
  <c r="A36" i="2"/>
  <c r="L36" i="2" s="1"/>
  <c r="C34" i="2"/>
  <c r="G34" i="2"/>
  <c r="D34" i="2"/>
  <c r="F34" i="2"/>
  <c r="M34" i="5" l="1"/>
  <c r="D35" i="5"/>
  <c r="F35" i="5"/>
  <c r="G35" i="5"/>
  <c r="C35" i="5"/>
  <c r="H36" i="5"/>
  <c r="I36" i="5" s="1"/>
  <c r="E36" i="5"/>
  <c r="B36" i="5"/>
  <c r="A37" i="5"/>
  <c r="L37" i="5" s="1"/>
  <c r="J35" i="5"/>
  <c r="K35" i="5" s="1"/>
  <c r="M34" i="2"/>
  <c r="H36" i="2"/>
  <c r="I36" i="2" s="1"/>
  <c r="E36" i="2"/>
  <c r="B36" i="2"/>
  <c r="A37" i="2"/>
  <c r="L37" i="2" s="1"/>
  <c r="G35" i="2"/>
  <c r="F35" i="2"/>
  <c r="D35" i="2"/>
  <c r="C35" i="2"/>
  <c r="J35" i="2"/>
  <c r="K35" i="2" s="1"/>
  <c r="M35" i="5" l="1"/>
  <c r="H37" i="5"/>
  <c r="I37" i="5" s="1"/>
  <c r="E37" i="5"/>
  <c r="B37" i="5"/>
  <c r="A38" i="5"/>
  <c r="L38" i="5" s="1"/>
  <c r="J36" i="5"/>
  <c r="K36" i="5" s="1"/>
  <c r="G36" i="5"/>
  <c r="F36" i="5"/>
  <c r="D36" i="5"/>
  <c r="C36" i="5"/>
  <c r="M35" i="2"/>
  <c r="J36" i="2"/>
  <c r="K36" i="2" s="1"/>
  <c r="C36" i="2"/>
  <c r="F36" i="2"/>
  <c r="D36" i="2"/>
  <c r="G36" i="2"/>
  <c r="B37" i="2"/>
  <c r="H37" i="2"/>
  <c r="I37" i="2" s="1"/>
  <c r="E37" i="2"/>
  <c r="A38" i="2"/>
  <c r="L38" i="2" s="1"/>
  <c r="M36" i="5" l="1"/>
  <c r="D37" i="5"/>
  <c r="G37" i="5"/>
  <c r="F37" i="5"/>
  <c r="C37" i="5"/>
  <c r="B38" i="5"/>
  <c r="H38" i="5"/>
  <c r="I38" i="5" s="1"/>
  <c r="E38" i="5"/>
  <c r="A39" i="5"/>
  <c r="L39" i="5" s="1"/>
  <c r="J37" i="5"/>
  <c r="K37" i="5" s="1"/>
  <c r="M36" i="2"/>
  <c r="B38" i="2"/>
  <c r="E38" i="2"/>
  <c r="H38" i="2"/>
  <c r="I38" i="2" s="1"/>
  <c r="A39" i="2"/>
  <c r="L39" i="2" s="1"/>
  <c r="J37" i="2"/>
  <c r="K37" i="2" s="1"/>
  <c r="G37" i="2"/>
  <c r="F37" i="2"/>
  <c r="C37" i="2"/>
  <c r="D37" i="2"/>
  <c r="M37" i="5" l="1"/>
  <c r="H39" i="5"/>
  <c r="I39" i="5" s="1"/>
  <c r="E39" i="5"/>
  <c r="B39" i="5"/>
  <c r="A40" i="5"/>
  <c r="L40" i="5" s="1"/>
  <c r="D38" i="5"/>
  <c r="C38" i="5"/>
  <c r="G38" i="5"/>
  <c r="F38" i="5"/>
  <c r="J38" i="5"/>
  <c r="K38" i="5" s="1"/>
  <c r="M37" i="2"/>
  <c r="B39" i="2"/>
  <c r="H39" i="2"/>
  <c r="I39" i="2" s="1"/>
  <c r="E39" i="2"/>
  <c r="A40" i="2"/>
  <c r="L40" i="2" s="1"/>
  <c r="J38" i="2"/>
  <c r="K38" i="2" s="1"/>
  <c r="C38" i="2"/>
  <c r="G38" i="2"/>
  <c r="F38" i="2"/>
  <c r="D38" i="2"/>
  <c r="M38" i="5" l="1"/>
  <c r="D39" i="5"/>
  <c r="G39" i="5"/>
  <c r="C39" i="5"/>
  <c r="F39" i="5"/>
  <c r="E40" i="5"/>
  <c r="B40" i="5"/>
  <c r="H40" i="5"/>
  <c r="I40" i="5" s="1"/>
  <c r="A41" i="5"/>
  <c r="L41" i="5" s="1"/>
  <c r="J39" i="5"/>
  <c r="K39" i="5" s="1"/>
  <c r="M38" i="2"/>
  <c r="H40" i="2"/>
  <c r="I40" i="2" s="1"/>
  <c r="E40" i="2"/>
  <c r="B40" i="2"/>
  <c r="A41" i="2"/>
  <c r="L41" i="2" s="1"/>
  <c r="J39" i="2"/>
  <c r="K39" i="2" s="1"/>
  <c r="D39" i="2"/>
  <c r="C39" i="2"/>
  <c r="G39" i="2"/>
  <c r="F39" i="2"/>
  <c r="M39" i="5" l="1"/>
  <c r="E41" i="5"/>
  <c r="B41" i="5"/>
  <c r="H41" i="5"/>
  <c r="I41" i="5" s="1"/>
  <c r="A42" i="5"/>
  <c r="L42" i="5" s="1"/>
  <c r="F40" i="5"/>
  <c r="G40" i="5"/>
  <c r="D40" i="5"/>
  <c r="C40" i="5"/>
  <c r="J40" i="5"/>
  <c r="K40" i="5" s="1"/>
  <c r="M39" i="2"/>
  <c r="C40" i="2"/>
  <c r="F40" i="2"/>
  <c r="D40" i="2"/>
  <c r="G40" i="2"/>
  <c r="H41" i="2"/>
  <c r="I41" i="2" s="1"/>
  <c r="E41" i="2"/>
  <c r="B41" i="2"/>
  <c r="A42" i="2"/>
  <c r="L42" i="2" s="1"/>
  <c r="J40" i="2"/>
  <c r="K40" i="2" s="1"/>
  <c r="M40" i="5" l="1"/>
  <c r="J41" i="5"/>
  <c r="K41" i="5" s="1"/>
  <c r="H42" i="5"/>
  <c r="I42" i="5" s="1"/>
  <c r="E42" i="5"/>
  <c r="B42" i="5"/>
  <c r="A43" i="5"/>
  <c r="L43" i="5" s="1"/>
  <c r="G41" i="5"/>
  <c r="D41" i="5"/>
  <c r="F41" i="5"/>
  <c r="C41" i="5"/>
  <c r="M40" i="2"/>
  <c r="E42" i="2"/>
  <c r="B42" i="2"/>
  <c r="H42" i="2"/>
  <c r="I42" i="2" s="1"/>
  <c r="A43" i="2"/>
  <c r="L43" i="2" s="1"/>
  <c r="J41" i="2"/>
  <c r="K41" i="2" s="1"/>
  <c r="G41" i="2"/>
  <c r="F41" i="2"/>
  <c r="D41" i="2"/>
  <c r="C41" i="2"/>
  <c r="M41" i="5" l="1"/>
  <c r="J42" i="5"/>
  <c r="K42" i="5" s="1"/>
  <c r="G42" i="5"/>
  <c r="C42" i="5"/>
  <c r="D42" i="5"/>
  <c r="F42" i="5"/>
  <c r="B43" i="5"/>
  <c r="H43" i="5"/>
  <c r="I43" i="5" s="1"/>
  <c r="E43" i="5"/>
  <c r="A44" i="5"/>
  <c r="L44" i="5" s="1"/>
  <c r="M41" i="2"/>
  <c r="J42" i="2"/>
  <c r="K42" i="2" s="1"/>
  <c r="C42" i="2"/>
  <c r="G42" i="2"/>
  <c r="D42" i="2"/>
  <c r="F42" i="2"/>
  <c r="H43" i="2"/>
  <c r="I43" i="2" s="1"/>
  <c r="B43" i="2"/>
  <c r="E43" i="2"/>
  <c r="A44" i="2"/>
  <c r="L44" i="2" s="1"/>
  <c r="M42" i="5" l="1"/>
  <c r="J43" i="5"/>
  <c r="K43" i="5" s="1"/>
  <c r="F43" i="5"/>
  <c r="C43" i="5"/>
  <c r="D43" i="5"/>
  <c r="G43" i="5"/>
  <c r="B44" i="5"/>
  <c r="H44" i="5"/>
  <c r="I44" i="5" s="1"/>
  <c r="E44" i="5"/>
  <c r="A45" i="5"/>
  <c r="L45" i="5" s="1"/>
  <c r="M42" i="2"/>
  <c r="D43" i="2"/>
  <c r="C43" i="2"/>
  <c r="F43" i="2"/>
  <c r="G43" i="2"/>
  <c r="H44" i="2"/>
  <c r="I44" i="2" s="1"/>
  <c r="E44" i="2"/>
  <c r="B44" i="2"/>
  <c r="A45" i="2"/>
  <c r="L45" i="2" s="1"/>
  <c r="J43" i="2"/>
  <c r="K43" i="2" s="1"/>
  <c r="M43" i="5" l="1"/>
  <c r="J44" i="5"/>
  <c r="K44" i="5" s="1"/>
  <c r="G44" i="5"/>
  <c r="D44" i="5"/>
  <c r="C44" i="5"/>
  <c r="F44" i="5"/>
  <c r="E45" i="5"/>
  <c r="H45" i="5"/>
  <c r="I45" i="5" s="1"/>
  <c r="B45" i="5"/>
  <c r="A46" i="5"/>
  <c r="L46" i="5" s="1"/>
  <c r="M43" i="2"/>
  <c r="C44" i="2"/>
  <c r="F44" i="2"/>
  <c r="G44" i="2"/>
  <c r="D44" i="2"/>
  <c r="H45" i="2"/>
  <c r="I45" i="2" s="1"/>
  <c r="E45" i="2"/>
  <c r="B45" i="2"/>
  <c r="A46" i="2"/>
  <c r="L46" i="2" s="1"/>
  <c r="J44" i="2"/>
  <c r="K44" i="2" s="1"/>
  <c r="M44" i="5" l="1"/>
  <c r="G45" i="5"/>
  <c r="D45" i="5"/>
  <c r="C45" i="5"/>
  <c r="F45" i="5"/>
  <c r="J45" i="5"/>
  <c r="K45" i="5" s="1"/>
  <c r="H46" i="5"/>
  <c r="I46" i="5" s="1"/>
  <c r="E46" i="5"/>
  <c r="B46" i="5"/>
  <c r="A47" i="5"/>
  <c r="L47" i="5" s="1"/>
  <c r="M44" i="2"/>
  <c r="G45" i="2"/>
  <c r="F45" i="2"/>
  <c r="D45" i="2"/>
  <c r="C45" i="2"/>
  <c r="H46" i="2"/>
  <c r="I46" i="2" s="1"/>
  <c r="E46" i="2"/>
  <c r="B46" i="2"/>
  <c r="A47" i="2"/>
  <c r="L47" i="2" s="1"/>
  <c r="J45" i="2"/>
  <c r="K45" i="2" s="1"/>
  <c r="M45" i="5" l="1"/>
  <c r="C46" i="5"/>
  <c r="G46" i="5"/>
  <c r="F46" i="5"/>
  <c r="D46" i="5"/>
  <c r="H47" i="5"/>
  <c r="I47" i="5" s="1"/>
  <c r="E47" i="5"/>
  <c r="B47" i="5"/>
  <c r="A48" i="5"/>
  <c r="L48" i="5" s="1"/>
  <c r="J46" i="5"/>
  <c r="K46" i="5" s="1"/>
  <c r="M45" i="2"/>
  <c r="C46" i="2"/>
  <c r="G46" i="2"/>
  <c r="D46" i="2"/>
  <c r="F46" i="2"/>
  <c r="H47" i="2"/>
  <c r="I47" i="2" s="1"/>
  <c r="E47" i="2"/>
  <c r="B47" i="2"/>
  <c r="A48" i="2"/>
  <c r="L48" i="2" s="1"/>
  <c r="J46" i="2"/>
  <c r="K46" i="2" s="1"/>
  <c r="M46" i="5" l="1"/>
  <c r="G47" i="5"/>
  <c r="F47" i="5"/>
  <c r="D47" i="5"/>
  <c r="C47" i="5"/>
  <c r="B48" i="5"/>
  <c r="E48" i="5"/>
  <c r="H48" i="5"/>
  <c r="I48" i="5" s="1"/>
  <c r="A49" i="5"/>
  <c r="L49" i="5" s="1"/>
  <c r="J47" i="5"/>
  <c r="K47" i="5" s="1"/>
  <c r="M46" i="2"/>
  <c r="F47" i="2"/>
  <c r="G47" i="2"/>
  <c r="C47" i="2"/>
  <c r="D47" i="2"/>
  <c r="J47" i="2"/>
  <c r="K47" i="2" s="1"/>
  <c r="H48" i="2"/>
  <c r="I48" i="2" s="1"/>
  <c r="E48" i="2"/>
  <c r="B48" i="2"/>
  <c r="A49" i="2"/>
  <c r="L49" i="2" s="1"/>
  <c r="M47" i="5" l="1"/>
  <c r="E49" i="5"/>
  <c r="B49" i="5"/>
  <c r="H49" i="5"/>
  <c r="I49" i="5" s="1"/>
  <c r="A50" i="5"/>
  <c r="L50" i="5" s="1"/>
  <c r="J48" i="5"/>
  <c r="K48" i="5" s="1"/>
  <c r="G48" i="5"/>
  <c r="F48" i="5"/>
  <c r="C48" i="5"/>
  <c r="D48" i="5"/>
  <c r="M47" i="2"/>
  <c r="C48" i="2"/>
  <c r="D48" i="2"/>
  <c r="G48" i="2"/>
  <c r="F48" i="2"/>
  <c r="H49" i="2"/>
  <c r="I49" i="2" s="1"/>
  <c r="E49" i="2"/>
  <c r="B49" i="2"/>
  <c r="A50" i="2"/>
  <c r="L50" i="2" s="1"/>
  <c r="J48" i="2"/>
  <c r="K48" i="2" s="1"/>
  <c r="M48" i="5" l="1"/>
  <c r="F49" i="5"/>
  <c r="G49" i="5"/>
  <c r="D49" i="5"/>
  <c r="C49" i="5"/>
  <c r="H50" i="5"/>
  <c r="I50" i="5" s="1"/>
  <c r="E50" i="5"/>
  <c r="B50" i="5"/>
  <c r="A51" i="5"/>
  <c r="L51" i="5" s="1"/>
  <c r="J49" i="5"/>
  <c r="K49" i="5" s="1"/>
  <c r="M48" i="2"/>
  <c r="G49" i="2"/>
  <c r="F49" i="2"/>
  <c r="D49" i="2"/>
  <c r="C49" i="2"/>
  <c r="H50" i="2"/>
  <c r="I50" i="2" s="1"/>
  <c r="E50" i="2"/>
  <c r="B50" i="2"/>
  <c r="A51" i="2"/>
  <c r="L51" i="2" s="1"/>
  <c r="J49" i="2"/>
  <c r="K49" i="2" s="1"/>
  <c r="M49" i="5" l="1"/>
  <c r="G50" i="5"/>
  <c r="F50" i="5"/>
  <c r="D50" i="5"/>
  <c r="C50" i="5"/>
  <c r="B51" i="5"/>
  <c r="H51" i="5"/>
  <c r="I51" i="5" s="1"/>
  <c r="E51" i="5"/>
  <c r="A52" i="5"/>
  <c r="L52" i="5" s="1"/>
  <c r="J50" i="5"/>
  <c r="K50" i="5" s="1"/>
  <c r="M49" i="2"/>
  <c r="H51" i="2"/>
  <c r="I51" i="2" s="1"/>
  <c r="B51" i="2"/>
  <c r="E51" i="2"/>
  <c r="A52" i="2"/>
  <c r="L52" i="2" s="1"/>
  <c r="C50" i="2"/>
  <c r="G50" i="2"/>
  <c r="F50" i="2"/>
  <c r="D50" i="2"/>
  <c r="J50" i="2"/>
  <c r="K50" i="2" s="1"/>
  <c r="M50" i="5" l="1"/>
  <c r="B52" i="5"/>
  <c r="H52" i="5"/>
  <c r="I52" i="5" s="1"/>
  <c r="E52" i="5"/>
  <c r="A53" i="5"/>
  <c r="L53" i="5" s="1"/>
  <c r="J51" i="5"/>
  <c r="K51" i="5" s="1"/>
  <c r="G51" i="5"/>
  <c r="C51" i="5"/>
  <c r="F51" i="5"/>
  <c r="D51" i="5"/>
  <c r="M50" i="2"/>
  <c r="G51" i="2"/>
  <c r="F51" i="2"/>
  <c r="D51" i="2"/>
  <c r="C51" i="2"/>
  <c r="H52" i="2"/>
  <c r="I52" i="2" s="1"/>
  <c r="E52" i="2"/>
  <c r="B52" i="2"/>
  <c r="A53" i="2"/>
  <c r="L53" i="2" s="1"/>
  <c r="J51" i="2"/>
  <c r="K51" i="2" s="1"/>
  <c r="M51" i="5" l="1"/>
  <c r="H53" i="5"/>
  <c r="I53" i="5" s="1"/>
  <c r="E53" i="5"/>
  <c r="B53" i="5"/>
  <c r="A54" i="5"/>
  <c r="L54" i="5" s="1"/>
  <c r="F52" i="5"/>
  <c r="D52" i="5"/>
  <c r="C52" i="5"/>
  <c r="G52" i="5"/>
  <c r="J52" i="5"/>
  <c r="K52" i="5" s="1"/>
  <c r="M51" i="2"/>
  <c r="C52" i="2"/>
  <c r="F52" i="2"/>
  <c r="D52" i="2"/>
  <c r="G52" i="2"/>
  <c r="B53" i="2"/>
  <c r="H53" i="2"/>
  <c r="I53" i="2" s="1"/>
  <c r="E53" i="2"/>
  <c r="A54" i="2"/>
  <c r="L54" i="2" s="1"/>
  <c r="J52" i="2"/>
  <c r="K52" i="2" s="1"/>
  <c r="M52" i="5" l="1"/>
  <c r="B54" i="5"/>
  <c r="E54" i="5"/>
  <c r="H54" i="5"/>
  <c r="I54" i="5" s="1"/>
  <c r="A55" i="5"/>
  <c r="L55" i="5" s="1"/>
  <c r="D53" i="5"/>
  <c r="C53" i="5"/>
  <c r="G53" i="5"/>
  <c r="F53" i="5"/>
  <c r="J53" i="5"/>
  <c r="K53" i="5" s="1"/>
  <c r="M52" i="2"/>
  <c r="J53" i="2"/>
  <c r="K53" i="2" s="1"/>
  <c r="H54" i="2"/>
  <c r="I54" i="2" s="1"/>
  <c r="E54" i="2"/>
  <c r="B54" i="2"/>
  <c r="A55" i="2"/>
  <c r="L55" i="2" s="1"/>
  <c r="D53" i="2"/>
  <c r="C53" i="2"/>
  <c r="F53" i="2"/>
  <c r="G53" i="2"/>
  <c r="M53" i="5" l="1"/>
  <c r="H55" i="5"/>
  <c r="I55" i="5" s="1"/>
  <c r="E55" i="5"/>
  <c r="B55" i="5"/>
  <c r="A56" i="5"/>
  <c r="L56" i="5" s="1"/>
  <c r="J54" i="5"/>
  <c r="K54" i="5" s="1"/>
  <c r="C54" i="5"/>
  <c r="G54" i="5"/>
  <c r="F54" i="5"/>
  <c r="D54" i="5"/>
  <c r="M53" i="2"/>
  <c r="B55" i="2"/>
  <c r="E55" i="2"/>
  <c r="H55" i="2"/>
  <c r="I55" i="2" s="1"/>
  <c r="A56" i="2"/>
  <c r="L56" i="2" s="1"/>
  <c r="C54" i="2"/>
  <c r="F54" i="2"/>
  <c r="G54" i="2"/>
  <c r="D54" i="2"/>
  <c r="J54" i="2"/>
  <c r="K54" i="2" s="1"/>
  <c r="M54" i="5" l="1"/>
  <c r="F55" i="5"/>
  <c r="G55" i="5"/>
  <c r="D55" i="5"/>
  <c r="C55" i="5"/>
  <c r="B56" i="5"/>
  <c r="H56" i="5"/>
  <c r="I56" i="5" s="1"/>
  <c r="E56" i="5"/>
  <c r="A57" i="5"/>
  <c r="L57" i="5" s="1"/>
  <c r="J55" i="5"/>
  <c r="K55" i="5" s="1"/>
  <c r="M54" i="2"/>
  <c r="J55" i="2"/>
  <c r="K55" i="2" s="1"/>
  <c r="B56" i="2"/>
  <c r="H56" i="2"/>
  <c r="I56" i="2" s="1"/>
  <c r="E56" i="2"/>
  <c r="A57" i="2"/>
  <c r="L57" i="2" s="1"/>
  <c r="D55" i="2"/>
  <c r="C55" i="2"/>
  <c r="G55" i="2"/>
  <c r="F55" i="2"/>
  <c r="M55" i="5" l="1"/>
  <c r="J56" i="5"/>
  <c r="K56" i="5" s="1"/>
  <c r="H57" i="5"/>
  <c r="I57" i="5" s="1"/>
  <c r="B57" i="5"/>
  <c r="E57" i="5"/>
  <c r="A58" i="5"/>
  <c r="L58" i="5" s="1"/>
  <c r="D56" i="5"/>
  <c r="C56" i="5"/>
  <c r="G56" i="5"/>
  <c r="F56" i="5"/>
  <c r="M55" i="2"/>
  <c r="H57" i="2"/>
  <c r="I57" i="2" s="1"/>
  <c r="E57" i="2"/>
  <c r="B57" i="2"/>
  <c r="A58" i="2"/>
  <c r="L58" i="2" s="1"/>
  <c r="J56" i="2"/>
  <c r="K56" i="2" s="1"/>
  <c r="C56" i="2"/>
  <c r="D56" i="2"/>
  <c r="F56" i="2"/>
  <c r="G56" i="2"/>
  <c r="M56" i="5" l="1"/>
  <c r="E58" i="5"/>
  <c r="B58" i="5"/>
  <c r="H58" i="5"/>
  <c r="I58" i="5" s="1"/>
  <c r="A59" i="5"/>
  <c r="L59" i="5" s="1"/>
  <c r="J57" i="5"/>
  <c r="K57" i="5" s="1"/>
  <c r="D57" i="5"/>
  <c r="G57" i="5"/>
  <c r="C57" i="5"/>
  <c r="F57" i="5"/>
  <c r="M56" i="2"/>
  <c r="D57" i="2"/>
  <c r="G57" i="2"/>
  <c r="F57" i="2"/>
  <c r="C57" i="2"/>
  <c r="J57" i="2"/>
  <c r="K57" i="2" s="1"/>
  <c r="H58" i="2"/>
  <c r="I58" i="2" s="1"/>
  <c r="B58" i="2"/>
  <c r="E58" i="2"/>
  <c r="A59" i="2"/>
  <c r="L59" i="2" s="1"/>
  <c r="M57" i="5" l="1"/>
  <c r="E59" i="5"/>
  <c r="B59" i="5"/>
  <c r="H59" i="5"/>
  <c r="I59" i="5" s="1"/>
  <c r="A60" i="5"/>
  <c r="L60" i="5" s="1"/>
  <c r="J58" i="5"/>
  <c r="K58" i="5" s="1"/>
  <c r="D58" i="5"/>
  <c r="C58" i="5"/>
  <c r="F58" i="5"/>
  <c r="G58" i="5"/>
  <c r="M57" i="2"/>
  <c r="B59" i="2"/>
  <c r="H59" i="2"/>
  <c r="I59" i="2" s="1"/>
  <c r="E59" i="2"/>
  <c r="A60" i="2"/>
  <c r="L60" i="2" s="1"/>
  <c r="C58" i="2"/>
  <c r="G58" i="2"/>
  <c r="F58" i="2"/>
  <c r="D58" i="2"/>
  <c r="J58" i="2"/>
  <c r="K58" i="2" s="1"/>
  <c r="M58" i="5" l="1"/>
  <c r="E60" i="5"/>
  <c r="H60" i="5"/>
  <c r="I60" i="5" s="1"/>
  <c r="B60" i="5"/>
  <c r="A61" i="5"/>
  <c r="L61" i="5" s="1"/>
  <c r="J59" i="5"/>
  <c r="K59" i="5" s="1"/>
  <c r="F59" i="5"/>
  <c r="D59" i="5"/>
  <c r="C59" i="5"/>
  <c r="G59" i="5"/>
  <c r="M58" i="2"/>
  <c r="J59" i="2"/>
  <c r="K59" i="2" s="1"/>
  <c r="F59" i="2"/>
  <c r="G59" i="2"/>
  <c r="D59" i="2"/>
  <c r="C59" i="2"/>
  <c r="B60" i="2"/>
  <c r="E60" i="2"/>
  <c r="H60" i="2"/>
  <c r="I60" i="2" s="1"/>
  <c r="A61" i="2"/>
  <c r="L61" i="2" s="1"/>
  <c r="M59" i="5" l="1"/>
  <c r="E61" i="5"/>
  <c r="B61" i="5"/>
  <c r="H61" i="5"/>
  <c r="I61" i="5" s="1"/>
  <c r="A62" i="5"/>
  <c r="L62" i="5" s="1"/>
  <c r="G60" i="5"/>
  <c r="D60" i="5"/>
  <c r="F60" i="5"/>
  <c r="C60" i="5"/>
  <c r="J60" i="5"/>
  <c r="K60" i="5" s="1"/>
  <c r="M59" i="2"/>
  <c r="J60" i="2"/>
  <c r="K60" i="2" s="1"/>
  <c r="H61" i="2"/>
  <c r="I61" i="2" s="1"/>
  <c r="B61" i="2"/>
  <c r="E61" i="2"/>
  <c r="A62" i="2"/>
  <c r="L62" i="2" s="1"/>
  <c r="C60" i="2"/>
  <c r="G60" i="2"/>
  <c r="F60" i="2"/>
  <c r="D60" i="2"/>
  <c r="M60" i="5" l="1"/>
  <c r="B62" i="5"/>
  <c r="H62" i="5"/>
  <c r="I62" i="5" s="1"/>
  <c r="E62" i="5"/>
  <c r="A63" i="5"/>
  <c r="L63" i="5" s="1"/>
  <c r="J61" i="5"/>
  <c r="K61" i="5" s="1"/>
  <c r="G61" i="5"/>
  <c r="F61" i="5"/>
  <c r="D61" i="5"/>
  <c r="C61" i="5"/>
  <c r="M60" i="2"/>
  <c r="E62" i="2"/>
  <c r="B62" i="2"/>
  <c r="H62" i="2"/>
  <c r="I62" i="2" s="1"/>
  <c r="A63" i="2"/>
  <c r="L63" i="2" s="1"/>
  <c r="D61" i="2"/>
  <c r="F61" i="2"/>
  <c r="C61" i="2"/>
  <c r="G61" i="2"/>
  <c r="J61" i="2"/>
  <c r="K61" i="2" s="1"/>
  <c r="M61" i="5" l="1"/>
  <c r="E63" i="5"/>
  <c r="H63" i="5"/>
  <c r="I63" i="5" s="1"/>
  <c r="B63" i="5"/>
  <c r="A64" i="5"/>
  <c r="L64" i="5" s="1"/>
  <c r="J62" i="5"/>
  <c r="K62" i="5" s="1"/>
  <c r="F62" i="5"/>
  <c r="G62" i="5"/>
  <c r="D62" i="5"/>
  <c r="C62" i="5"/>
  <c r="M61" i="2"/>
  <c r="J62" i="2"/>
  <c r="K62" i="2" s="1"/>
  <c r="C62" i="2"/>
  <c r="F62" i="2"/>
  <c r="D62" i="2"/>
  <c r="G62" i="2"/>
  <c r="H63" i="2"/>
  <c r="I63" i="2" s="1"/>
  <c r="E63" i="2"/>
  <c r="B63" i="2"/>
  <c r="A64" i="2"/>
  <c r="L64" i="2" s="1"/>
  <c r="M62" i="5" l="1"/>
  <c r="H64" i="5"/>
  <c r="I64" i="5" s="1"/>
  <c r="B64" i="5"/>
  <c r="E64" i="5"/>
  <c r="A65" i="5"/>
  <c r="L65" i="5" s="1"/>
  <c r="J63" i="5"/>
  <c r="K63" i="5" s="1"/>
  <c r="F63" i="5"/>
  <c r="G63" i="5"/>
  <c r="D63" i="5"/>
  <c r="C63" i="5"/>
  <c r="M62" i="2"/>
  <c r="H64" i="2"/>
  <c r="I64" i="2" s="1"/>
  <c r="B64" i="2"/>
  <c r="E64" i="2"/>
  <c r="A65" i="2"/>
  <c r="L65" i="2" s="1"/>
  <c r="F63" i="2"/>
  <c r="D63" i="2"/>
  <c r="G63" i="2"/>
  <c r="C63" i="2"/>
  <c r="J63" i="2"/>
  <c r="K63" i="2" s="1"/>
  <c r="M63" i="5" l="1"/>
  <c r="E65" i="5"/>
  <c r="H65" i="5"/>
  <c r="I65" i="5" s="1"/>
  <c r="B65" i="5"/>
  <c r="A66" i="5"/>
  <c r="L66" i="5" s="1"/>
  <c r="C64" i="5"/>
  <c r="D64" i="5"/>
  <c r="F64" i="5"/>
  <c r="G64" i="5"/>
  <c r="J64" i="5"/>
  <c r="K64" i="5" s="1"/>
  <c r="M63" i="2"/>
  <c r="H65" i="2"/>
  <c r="I65" i="2" s="1"/>
  <c r="B65" i="2"/>
  <c r="E65" i="2"/>
  <c r="A66" i="2"/>
  <c r="L66" i="2" s="1"/>
  <c r="C64" i="2"/>
  <c r="G64" i="2"/>
  <c r="F64" i="2"/>
  <c r="D64" i="2"/>
  <c r="J64" i="2"/>
  <c r="K64" i="2" s="1"/>
  <c r="M64" i="5" l="1"/>
  <c r="B66" i="5"/>
  <c r="E66" i="5"/>
  <c r="H66" i="5"/>
  <c r="I66" i="5" s="1"/>
  <c r="A67" i="5"/>
  <c r="L67" i="5" s="1"/>
  <c r="C65" i="5"/>
  <c r="D65" i="5"/>
  <c r="G65" i="5"/>
  <c r="F65" i="5"/>
  <c r="J65" i="5"/>
  <c r="K65" i="5" s="1"/>
  <c r="M64" i="2"/>
  <c r="J65" i="2"/>
  <c r="K65" i="2" s="1"/>
  <c r="H66" i="2"/>
  <c r="I66" i="2" s="1"/>
  <c r="B66" i="2"/>
  <c r="E66" i="2"/>
  <c r="A67" i="2"/>
  <c r="L67" i="2" s="1"/>
  <c r="F65" i="2"/>
  <c r="G65" i="2"/>
  <c r="D65" i="2"/>
  <c r="C65" i="2"/>
  <c r="M65" i="5" l="1"/>
  <c r="E67" i="5"/>
  <c r="H67" i="5"/>
  <c r="I67" i="5" s="1"/>
  <c r="B67" i="5"/>
  <c r="A68" i="5"/>
  <c r="L68" i="5" s="1"/>
  <c r="J66" i="5"/>
  <c r="K66" i="5" s="1"/>
  <c r="D66" i="5"/>
  <c r="F66" i="5"/>
  <c r="C66" i="5"/>
  <c r="G66" i="5"/>
  <c r="M65" i="2"/>
  <c r="B67" i="2"/>
  <c r="H67" i="2"/>
  <c r="I67" i="2" s="1"/>
  <c r="E67" i="2"/>
  <c r="A68" i="2"/>
  <c r="L68" i="2" s="1"/>
  <c r="C66" i="2"/>
  <c r="G66" i="2"/>
  <c r="F66" i="2"/>
  <c r="D66" i="2"/>
  <c r="J66" i="2"/>
  <c r="K66" i="2" s="1"/>
  <c r="M66" i="5" l="1"/>
  <c r="E68" i="5"/>
  <c r="H68" i="5"/>
  <c r="I68" i="5" s="1"/>
  <c r="B68" i="5"/>
  <c r="A69" i="5"/>
  <c r="L69" i="5" s="1"/>
  <c r="G67" i="5"/>
  <c r="F67" i="5"/>
  <c r="D67" i="5"/>
  <c r="C67" i="5"/>
  <c r="J67" i="5"/>
  <c r="K67" i="5" s="1"/>
  <c r="M66" i="2"/>
  <c r="J67" i="2"/>
  <c r="K67" i="2" s="1"/>
  <c r="C67" i="2"/>
  <c r="D67" i="2"/>
  <c r="F67" i="2"/>
  <c r="G67" i="2"/>
  <c r="H68" i="2"/>
  <c r="I68" i="2" s="1"/>
  <c r="B68" i="2"/>
  <c r="E68" i="2"/>
  <c r="A69" i="2"/>
  <c r="L69" i="2" s="1"/>
  <c r="M67" i="5" l="1"/>
  <c r="E69" i="5"/>
  <c r="B69" i="5"/>
  <c r="H69" i="5"/>
  <c r="I69" i="5" s="1"/>
  <c r="A70" i="5"/>
  <c r="L70" i="5" s="1"/>
  <c r="D68" i="5"/>
  <c r="G68" i="5"/>
  <c r="F68" i="5"/>
  <c r="C68" i="5"/>
  <c r="J68" i="5"/>
  <c r="K68" i="5" s="1"/>
  <c r="M67" i="2"/>
  <c r="E69" i="2"/>
  <c r="H69" i="2"/>
  <c r="I69" i="2" s="1"/>
  <c r="B69" i="2"/>
  <c r="A70" i="2"/>
  <c r="L70" i="2" s="1"/>
  <c r="J68" i="2"/>
  <c r="K68" i="2" s="1"/>
  <c r="C68" i="2"/>
  <c r="G68" i="2"/>
  <c r="F68" i="2"/>
  <c r="D68" i="2"/>
  <c r="M68" i="5" l="1"/>
  <c r="H70" i="5"/>
  <c r="I70" i="5" s="1"/>
  <c r="E70" i="5"/>
  <c r="B70" i="5"/>
  <c r="A71" i="5"/>
  <c r="L71" i="5" s="1"/>
  <c r="J69" i="5"/>
  <c r="K69" i="5" s="1"/>
  <c r="D69" i="5"/>
  <c r="C69" i="5"/>
  <c r="G69" i="5"/>
  <c r="F69" i="5"/>
  <c r="M68" i="2"/>
  <c r="B70" i="2"/>
  <c r="E70" i="2"/>
  <c r="H70" i="2"/>
  <c r="I70" i="2" s="1"/>
  <c r="A71" i="2"/>
  <c r="L71" i="2" s="1"/>
  <c r="G69" i="2"/>
  <c r="F69" i="2"/>
  <c r="D69" i="2"/>
  <c r="C69" i="2"/>
  <c r="J69" i="2"/>
  <c r="K69" i="2" s="1"/>
  <c r="M69" i="5" l="1"/>
  <c r="E71" i="5"/>
  <c r="H71" i="5"/>
  <c r="I71" i="5" s="1"/>
  <c r="B71" i="5"/>
  <c r="A72" i="5"/>
  <c r="L72" i="5" s="1"/>
  <c r="F70" i="5"/>
  <c r="G70" i="5"/>
  <c r="D70" i="5"/>
  <c r="C70" i="5"/>
  <c r="J70" i="5"/>
  <c r="K70" i="5" s="1"/>
  <c r="M69" i="2"/>
  <c r="J70" i="2"/>
  <c r="K70" i="2" s="1"/>
  <c r="B71" i="2"/>
  <c r="H71" i="2"/>
  <c r="I71" i="2" s="1"/>
  <c r="E71" i="2"/>
  <c r="A72" i="2"/>
  <c r="L72" i="2" s="1"/>
  <c r="C70" i="2"/>
  <c r="D70" i="2"/>
  <c r="G70" i="2"/>
  <c r="F70" i="2"/>
  <c r="M70" i="5" l="1"/>
  <c r="H72" i="5"/>
  <c r="I72" i="5" s="1"/>
  <c r="E72" i="5"/>
  <c r="B72" i="5"/>
  <c r="A73" i="5"/>
  <c r="L73" i="5" s="1"/>
  <c r="G71" i="5"/>
  <c r="F71" i="5"/>
  <c r="D71" i="5"/>
  <c r="C71" i="5"/>
  <c r="J71" i="5"/>
  <c r="K71" i="5" s="1"/>
  <c r="M70" i="2"/>
  <c r="B72" i="2"/>
  <c r="E72" i="2"/>
  <c r="H72" i="2"/>
  <c r="I72" i="2" s="1"/>
  <c r="A73" i="2"/>
  <c r="L73" i="2" s="1"/>
  <c r="J71" i="2"/>
  <c r="K71" i="2" s="1"/>
  <c r="G71" i="2"/>
  <c r="F71" i="2"/>
  <c r="C71" i="2"/>
  <c r="D71" i="2"/>
  <c r="M71" i="5" l="1"/>
  <c r="E73" i="5"/>
  <c r="B73" i="5"/>
  <c r="H73" i="5"/>
  <c r="I73" i="5" s="1"/>
  <c r="A74" i="5"/>
  <c r="L74" i="5" s="1"/>
  <c r="G72" i="5"/>
  <c r="F72" i="5"/>
  <c r="D72" i="5"/>
  <c r="C72" i="5"/>
  <c r="J72" i="5"/>
  <c r="K72" i="5" s="1"/>
  <c r="M71" i="2"/>
  <c r="H73" i="2"/>
  <c r="I73" i="2" s="1"/>
  <c r="E73" i="2"/>
  <c r="B73" i="2"/>
  <c r="A74" i="2"/>
  <c r="L74" i="2" s="1"/>
  <c r="J72" i="2"/>
  <c r="K72" i="2" s="1"/>
  <c r="C72" i="2"/>
  <c r="D72" i="2"/>
  <c r="G72" i="2"/>
  <c r="F72" i="2"/>
  <c r="M72" i="5" l="1"/>
  <c r="H74" i="5"/>
  <c r="I74" i="5" s="1"/>
  <c r="E74" i="5"/>
  <c r="B74" i="5"/>
  <c r="A75" i="5"/>
  <c r="L75" i="5" s="1"/>
  <c r="J73" i="5"/>
  <c r="K73" i="5" s="1"/>
  <c r="C73" i="5"/>
  <c r="F73" i="5"/>
  <c r="D73" i="5"/>
  <c r="G73" i="5"/>
  <c r="M72" i="2"/>
  <c r="B74" i="2"/>
  <c r="H74" i="2"/>
  <c r="I74" i="2" s="1"/>
  <c r="E74" i="2"/>
  <c r="A75" i="2"/>
  <c r="L75" i="2" s="1"/>
  <c r="G73" i="2"/>
  <c r="F73" i="2"/>
  <c r="D73" i="2"/>
  <c r="C73" i="2"/>
  <c r="J73" i="2"/>
  <c r="K73" i="2" s="1"/>
  <c r="M73" i="5" l="1"/>
  <c r="E75" i="5"/>
  <c r="B75" i="5"/>
  <c r="H75" i="5"/>
  <c r="I75" i="5" s="1"/>
  <c r="A76" i="5"/>
  <c r="L76" i="5" s="1"/>
  <c r="G74" i="5"/>
  <c r="F74" i="5"/>
  <c r="D74" i="5"/>
  <c r="C74" i="5"/>
  <c r="J74" i="5"/>
  <c r="K74" i="5" s="1"/>
  <c r="M73" i="2"/>
  <c r="J74" i="2"/>
  <c r="K74" i="2" s="1"/>
  <c r="H75" i="2"/>
  <c r="I75" i="2" s="1"/>
  <c r="E75" i="2"/>
  <c r="B75" i="2"/>
  <c r="A76" i="2"/>
  <c r="L76" i="2" s="1"/>
  <c r="C74" i="2"/>
  <c r="G74" i="2"/>
  <c r="D74" i="2"/>
  <c r="F74" i="2"/>
  <c r="M74" i="5" l="1"/>
  <c r="H76" i="5"/>
  <c r="I76" i="5" s="1"/>
  <c r="E76" i="5"/>
  <c r="B76" i="5"/>
  <c r="A77" i="5"/>
  <c r="L77" i="5" s="1"/>
  <c r="J75" i="5"/>
  <c r="K75" i="5" s="1"/>
  <c r="F75" i="5"/>
  <c r="G75" i="5"/>
  <c r="C75" i="5"/>
  <c r="D75" i="5"/>
  <c r="M74" i="2"/>
  <c r="G75" i="2"/>
  <c r="F75" i="2"/>
  <c r="D75" i="2"/>
  <c r="C75" i="2"/>
  <c r="B76" i="2"/>
  <c r="H76" i="2"/>
  <c r="I76" i="2" s="1"/>
  <c r="E76" i="2"/>
  <c r="A77" i="2"/>
  <c r="L77" i="2" s="1"/>
  <c r="J75" i="2"/>
  <c r="K75" i="2" s="1"/>
  <c r="M75" i="5" l="1"/>
  <c r="E77" i="5"/>
  <c r="H77" i="5"/>
  <c r="I77" i="5" s="1"/>
  <c r="B77" i="5"/>
  <c r="A78" i="5"/>
  <c r="L78" i="5" s="1"/>
  <c r="G76" i="5"/>
  <c r="C76" i="5"/>
  <c r="F76" i="5"/>
  <c r="D76" i="5"/>
  <c r="J76" i="5"/>
  <c r="K76" i="5" s="1"/>
  <c r="M75" i="2"/>
  <c r="B77" i="2"/>
  <c r="E77" i="2"/>
  <c r="H77" i="2"/>
  <c r="I77" i="2" s="1"/>
  <c r="A78" i="2"/>
  <c r="L78" i="2" s="1"/>
  <c r="J76" i="2"/>
  <c r="K76" i="2" s="1"/>
  <c r="C76" i="2"/>
  <c r="F76" i="2"/>
  <c r="D76" i="2"/>
  <c r="G76" i="2"/>
  <c r="M76" i="5" l="1"/>
  <c r="H78" i="5"/>
  <c r="I78" i="5" s="1"/>
  <c r="E78" i="5"/>
  <c r="B78" i="5"/>
  <c r="A79" i="5"/>
  <c r="L79" i="5" s="1"/>
  <c r="G77" i="5"/>
  <c r="F77" i="5"/>
  <c r="D77" i="5"/>
  <c r="C77" i="5"/>
  <c r="J77" i="5"/>
  <c r="K77" i="5" s="1"/>
  <c r="M76" i="2"/>
  <c r="B78" i="2"/>
  <c r="H78" i="2"/>
  <c r="I78" i="2" s="1"/>
  <c r="E78" i="2"/>
  <c r="A79" i="2"/>
  <c r="L79" i="2" s="1"/>
  <c r="J77" i="2"/>
  <c r="K77" i="2" s="1"/>
  <c r="G77" i="2"/>
  <c r="F77" i="2"/>
  <c r="D77" i="2"/>
  <c r="C77" i="2"/>
  <c r="M77" i="5" l="1"/>
  <c r="H79" i="5"/>
  <c r="I79" i="5" s="1"/>
  <c r="E79" i="5"/>
  <c r="B79" i="5"/>
  <c r="A80" i="5"/>
  <c r="L80" i="5" s="1"/>
  <c r="G78" i="5"/>
  <c r="F78" i="5"/>
  <c r="D78" i="5"/>
  <c r="C78" i="5"/>
  <c r="J78" i="5"/>
  <c r="K78" i="5" s="1"/>
  <c r="M77" i="2"/>
  <c r="J78" i="2"/>
  <c r="K78" i="2" s="1"/>
  <c r="E79" i="2"/>
  <c r="H79" i="2"/>
  <c r="I79" i="2" s="1"/>
  <c r="B79" i="2"/>
  <c r="A80" i="2"/>
  <c r="L80" i="2" s="1"/>
  <c r="C78" i="2"/>
  <c r="G78" i="2"/>
  <c r="F78" i="2"/>
  <c r="D78" i="2"/>
  <c r="M78" i="5" l="1"/>
  <c r="B80" i="5"/>
  <c r="E80" i="5"/>
  <c r="H80" i="5"/>
  <c r="I80" i="5" s="1"/>
  <c r="A81" i="5"/>
  <c r="L81" i="5" s="1"/>
  <c r="G79" i="5"/>
  <c r="F79" i="5"/>
  <c r="D79" i="5"/>
  <c r="C79" i="5"/>
  <c r="J79" i="5"/>
  <c r="K79" i="5" s="1"/>
  <c r="M78" i="2"/>
  <c r="B80" i="2"/>
  <c r="H80" i="2"/>
  <c r="I80" i="2" s="1"/>
  <c r="E80" i="2"/>
  <c r="A81" i="2"/>
  <c r="L81" i="2" s="1"/>
  <c r="G79" i="2"/>
  <c r="F79" i="2"/>
  <c r="D79" i="2"/>
  <c r="C79" i="2"/>
  <c r="J79" i="2"/>
  <c r="K79" i="2" s="1"/>
  <c r="M79" i="5" l="1"/>
  <c r="H81" i="5"/>
  <c r="I81" i="5" s="1"/>
  <c r="E81" i="5"/>
  <c r="B81" i="5"/>
  <c r="A82" i="5"/>
  <c r="L82" i="5" s="1"/>
  <c r="J80" i="5"/>
  <c r="K80" i="5" s="1"/>
  <c r="F80" i="5"/>
  <c r="D80" i="5"/>
  <c r="C80" i="5"/>
  <c r="G80" i="5"/>
  <c r="M79" i="2"/>
  <c r="E81" i="2"/>
  <c r="H81" i="2"/>
  <c r="I81" i="2" s="1"/>
  <c r="B81" i="2"/>
  <c r="A82" i="2"/>
  <c r="L82" i="2" s="1"/>
  <c r="J80" i="2"/>
  <c r="K80" i="2" s="1"/>
  <c r="C80" i="2"/>
  <c r="F80" i="2"/>
  <c r="G80" i="2"/>
  <c r="D80" i="2"/>
  <c r="M80" i="5" l="1"/>
  <c r="H82" i="5"/>
  <c r="I82" i="5" s="1"/>
  <c r="E82" i="5"/>
  <c r="B82" i="5"/>
  <c r="A83" i="5"/>
  <c r="L83" i="5" s="1"/>
  <c r="G81" i="5"/>
  <c r="F81" i="5"/>
  <c r="D81" i="5"/>
  <c r="C81" i="5"/>
  <c r="J81" i="5"/>
  <c r="K81" i="5" s="1"/>
  <c r="M80" i="2"/>
  <c r="C81" i="2"/>
  <c r="G81" i="2"/>
  <c r="D81" i="2"/>
  <c r="F81" i="2"/>
  <c r="J81" i="2"/>
  <c r="K81" i="2" s="1"/>
  <c r="B82" i="2"/>
  <c r="H82" i="2"/>
  <c r="I82" i="2" s="1"/>
  <c r="E82" i="2"/>
  <c r="A83" i="2"/>
  <c r="L83" i="2" s="1"/>
  <c r="M81" i="5" l="1"/>
  <c r="H83" i="5"/>
  <c r="I83" i="5" s="1"/>
  <c r="B83" i="5"/>
  <c r="E83" i="5"/>
  <c r="A84" i="5"/>
  <c r="L84" i="5" s="1"/>
  <c r="G82" i="5"/>
  <c r="F82" i="5"/>
  <c r="C82" i="5"/>
  <c r="D82" i="5"/>
  <c r="J82" i="5"/>
  <c r="K82" i="5" s="1"/>
  <c r="M81" i="2"/>
  <c r="B83" i="2"/>
  <c r="H83" i="2"/>
  <c r="I83" i="2" s="1"/>
  <c r="E83" i="2"/>
  <c r="A84" i="2"/>
  <c r="L84" i="2" s="1"/>
  <c r="J82" i="2"/>
  <c r="K82" i="2" s="1"/>
  <c r="C82" i="2"/>
  <c r="G82" i="2"/>
  <c r="F82" i="2"/>
  <c r="D82" i="2"/>
  <c r="M82" i="5" l="1"/>
  <c r="B84" i="5"/>
  <c r="H84" i="5"/>
  <c r="I84" i="5" s="1"/>
  <c r="E84" i="5"/>
  <c r="A85" i="5"/>
  <c r="L85" i="5" s="1"/>
  <c r="C83" i="5"/>
  <c r="G83" i="5"/>
  <c r="F83" i="5"/>
  <c r="D83" i="5"/>
  <c r="J83" i="5"/>
  <c r="K83" i="5" s="1"/>
  <c r="M82" i="2"/>
  <c r="B84" i="2"/>
  <c r="H84" i="2"/>
  <c r="I84" i="2" s="1"/>
  <c r="E84" i="2"/>
  <c r="A85" i="2"/>
  <c r="L85" i="2" s="1"/>
  <c r="J83" i="2"/>
  <c r="K83" i="2" s="1"/>
  <c r="G83" i="2"/>
  <c r="C83" i="2"/>
  <c r="D83" i="2"/>
  <c r="F83" i="2"/>
  <c r="M83" i="5" l="1"/>
  <c r="H85" i="5"/>
  <c r="I85" i="5" s="1"/>
  <c r="E85" i="5"/>
  <c r="B85" i="5"/>
  <c r="A86" i="5"/>
  <c r="L86" i="5" s="1"/>
  <c r="J84" i="5"/>
  <c r="K84" i="5" s="1"/>
  <c r="D84" i="5"/>
  <c r="C84" i="5"/>
  <c r="G84" i="5"/>
  <c r="F84" i="5"/>
  <c r="M83" i="2"/>
  <c r="J84" i="2"/>
  <c r="K84" i="2" s="1"/>
  <c r="H85" i="2"/>
  <c r="I85" i="2" s="1"/>
  <c r="E85" i="2"/>
  <c r="B85" i="2"/>
  <c r="A86" i="2"/>
  <c r="L86" i="2" s="1"/>
  <c r="C84" i="2"/>
  <c r="G84" i="2"/>
  <c r="F84" i="2"/>
  <c r="D84" i="2"/>
  <c r="M84" i="5" l="1"/>
  <c r="H86" i="5"/>
  <c r="I86" i="5" s="1"/>
  <c r="E86" i="5"/>
  <c r="B86" i="5"/>
  <c r="A87" i="5"/>
  <c r="L87" i="5" s="1"/>
  <c r="C85" i="5"/>
  <c r="G85" i="5"/>
  <c r="F85" i="5"/>
  <c r="D85" i="5"/>
  <c r="J85" i="5"/>
  <c r="K85" i="5" s="1"/>
  <c r="M84" i="2"/>
  <c r="G85" i="2"/>
  <c r="F85" i="2"/>
  <c r="D85" i="2"/>
  <c r="C85" i="2"/>
  <c r="B86" i="2"/>
  <c r="H86" i="2"/>
  <c r="I86" i="2" s="1"/>
  <c r="E86" i="2"/>
  <c r="A87" i="2"/>
  <c r="L87" i="2" s="1"/>
  <c r="J85" i="2"/>
  <c r="K85" i="2" s="1"/>
  <c r="M85" i="5" l="1"/>
  <c r="B87" i="5"/>
  <c r="H87" i="5"/>
  <c r="I87" i="5" s="1"/>
  <c r="E87" i="5"/>
  <c r="A88" i="5"/>
  <c r="L88" i="5" s="1"/>
  <c r="D86" i="5"/>
  <c r="G86" i="5"/>
  <c r="F86" i="5"/>
  <c r="C86" i="5"/>
  <c r="J86" i="5"/>
  <c r="K86" i="5" s="1"/>
  <c r="M85" i="2"/>
  <c r="H87" i="2"/>
  <c r="I87" i="2" s="1"/>
  <c r="E87" i="2"/>
  <c r="B87" i="2"/>
  <c r="A88" i="2"/>
  <c r="L88" i="2" s="1"/>
  <c r="C86" i="2"/>
  <c r="F86" i="2"/>
  <c r="G86" i="2"/>
  <c r="D86" i="2"/>
  <c r="J86" i="2"/>
  <c r="K86" i="2" s="1"/>
  <c r="M86" i="5" l="1"/>
  <c r="J87" i="5"/>
  <c r="K87" i="5" s="1"/>
  <c r="H88" i="5"/>
  <c r="I88" i="5" s="1"/>
  <c r="E88" i="5"/>
  <c r="B88" i="5"/>
  <c r="A89" i="5"/>
  <c r="L89" i="5" s="1"/>
  <c r="F87" i="5"/>
  <c r="G87" i="5"/>
  <c r="D87" i="5"/>
  <c r="C87" i="5"/>
  <c r="M86" i="2"/>
  <c r="C87" i="2"/>
  <c r="G87" i="2"/>
  <c r="F87" i="2"/>
  <c r="D87" i="2"/>
  <c r="J87" i="2"/>
  <c r="K87" i="2" s="1"/>
  <c r="B88" i="2"/>
  <c r="E88" i="2"/>
  <c r="H88" i="2"/>
  <c r="I88" i="2" s="1"/>
  <c r="A89" i="2"/>
  <c r="L89" i="2" s="1"/>
  <c r="M87" i="5" l="1"/>
  <c r="G88" i="5"/>
  <c r="D88" i="5"/>
  <c r="F88" i="5"/>
  <c r="C88" i="5"/>
  <c r="E89" i="5"/>
  <c r="B89" i="5"/>
  <c r="H89" i="5"/>
  <c r="I89" i="5" s="1"/>
  <c r="A90" i="5"/>
  <c r="L90" i="5" s="1"/>
  <c r="J88" i="5"/>
  <c r="K88" i="5" s="1"/>
  <c r="M87" i="2"/>
  <c r="E89" i="2"/>
  <c r="B89" i="2"/>
  <c r="H89" i="2"/>
  <c r="I89" i="2" s="1"/>
  <c r="A90" i="2"/>
  <c r="L90" i="2" s="1"/>
  <c r="J88" i="2"/>
  <c r="K88" i="2" s="1"/>
  <c r="C88" i="2"/>
  <c r="G88" i="2"/>
  <c r="D88" i="2"/>
  <c r="F88" i="2"/>
  <c r="M88" i="5" l="1"/>
  <c r="E90" i="5"/>
  <c r="B90" i="5"/>
  <c r="H90" i="5"/>
  <c r="I90" i="5" s="1"/>
  <c r="A91" i="5"/>
  <c r="L91" i="5" s="1"/>
  <c r="G89" i="5"/>
  <c r="D89" i="5"/>
  <c r="F89" i="5"/>
  <c r="C89" i="5"/>
  <c r="J89" i="5"/>
  <c r="K89" i="5" s="1"/>
  <c r="M88" i="2"/>
  <c r="B90" i="2"/>
  <c r="E90" i="2"/>
  <c r="H90" i="2"/>
  <c r="I90" i="2" s="1"/>
  <c r="A91" i="2"/>
  <c r="L91" i="2" s="1"/>
  <c r="J89" i="2"/>
  <c r="K89" i="2" s="1"/>
  <c r="G89" i="2"/>
  <c r="F89" i="2"/>
  <c r="D89" i="2"/>
  <c r="C89" i="2"/>
  <c r="M89" i="5" l="1"/>
  <c r="E91" i="5"/>
  <c r="H91" i="5"/>
  <c r="I91" i="5" s="1"/>
  <c r="B91" i="5"/>
  <c r="A92" i="5"/>
  <c r="L92" i="5" s="1"/>
  <c r="J90" i="5"/>
  <c r="K90" i="5" s="1"/>
  <c r="F90" i="5"/>
  <c r="C90" i="5"/>
  <c r="G90" i="5"/>
  <c r="D90" i="5"/>
  <c r="M89" i="2"/>
  <c r="H91" i="2"/>
  <c r="I91" i="2" s="1"/>
  <c r="E91" i="2"/>
  <c r="B91" i="2"/>
  <c r="A92" i="2"/>
  <c r="L92" i="2" s="1"/>
  <c r="J90" i="2"/>
  <c r="K90" i="2" s="1"/>
  <c r="C90" i="2"/>
  <c r="G90" i="2"/>
  <c r="F90" i="2"/>
  <c r="D90" i="2"/>
  <c r="M90" i="5" l="1"/>
  <c r="B92" i="5"/>
  <c r="H92" i="5"/>
  <c r="I92" i="5" s="1"/>
  <c r="E92" i="5"/>
  <c r="A93" i="5"/>
  <c r="L93" i="5" s="1"/>
  <c r="G91" i="5"/>
  <c r="F91" i="5"/>
  <c r="D91" i="5"/>
  <c r="C91" i="5"/>
  <c r="J91" i="5"/>
  <c r="K91" i="5" s="1"/>
  <c r="M90" i="2"/>
  <c r="G91" i="2"/>
  <c r="D91" i="2"/>
  <c r="F91" i="2"/>
  <c r="C91" i="2"/>
  <c r="J91" i="2"/>
  <c r="K91" i="2" s="1"/>
  <c r="B92" i="2"/>
  <c r="E92" i="2"/>
  <c r="H92" i="2"/>
  <c r="I92" i="2" s="1"/>
  <c r="A93" i="2"/>
  <c r="L93" i="2" s="1"/>
  <c r="M91" i="5" l="1"/>
  <c r="B93" i="5"/>
  <c r="E93" i="5"/>
  <c r="H93" i="5"/>
  <c r="I93" i="5" s="1"/>
  <c r="A94" i="5"/>
  <c r="L94" i="5" s="1"/>
  <c r="J92" i="5"/>
  <c r="K92" i="5" s="1"/>
  <c r="G92" i="5"/>
  <c r="F92" i="5"/>
  <c r="D92" i="5"/>
  <c r="C92" i="5"/>
  <c r="M91" i="2"/>
  <c r="J92" i="2"/>
  <c r="K92" i="2" s="1"/>
  <c r="H93" i="2"/>
  <c r="I93" i="2" s="1"/>
  <c r="E93" i="2"/>
  <c r="B93" i="2"/>
  <c r="A94" i="2"/>
  <c r="L94" i="2" s="1"/>
  <c r="C92" i="2"/>
  <c r="F92" i="2"/>
  <c r="D92" i="2"/>
  <c r="G92" i="2"/>
  <c r="M92" i="5" l="1"/>
  <c r="H94" i="5"/>
  <c r="I94" i="5" s="1"/>
  <c r="E94" i="5"/>
  <c r="B94" i="5"/>
  <c r="A95" i="5"/>
  <c r="L95" i="5" s="1"/>
  <c r="J93" i="5"/>
  <c r="K93" i="5" s="1"/>
  <c r="D93" i="5"/>
  <c r="C93" i="5"/>
  <c r="G93" i="5"/>
  <c r="F93" i="5"/>
  <c r="M92" i="2"/>
  <c r="B94" i="2"/>
  <c r="H94" i="2"/>
  <c r="I94" i="2" s="1"/>
  <c r="E94" i="2"/>
  <c r="A95" i="2"/>
  <c r="L95" i="2" s="1"/>
  <c r="F93" i="2"/>
  <c r="G93" i="2"/>
  <c r="D93" i="2"/>
  <c r="C93" i="2"/>
  <c r="J93" i="2"/>
  <c r="K93" i="2" s="1"/>
  <c r="M93" i="5" l="1"/>
  <c r="H95" i="5"/>
  <c r="I95" i="5" s="1"/>
  <c r="E95" i="5"/>
  <c r="B95" i="5"/>
  <c r="A96" i="5"/>
  <c r="L96" i="5" s="1"/>
  <c r="C94" i="5"/>
  <c r="F94" i="5"/>
  <c r="D94" i="5"/>
  <c r="G94" i="5"/>
  <c r="J94" i="5"/>
  <c r="K94" i="5" s="1"/>
  <c r="M93" i="2"/>
  <c r="J94" i="2"/>
  <c r="K94" i="2" s="1"/>
  <c r="H95" i="2"/>
  <c r="I95" i="2" s="1"/>
  <c r="B95" i="2"/>
  <c r="E95" i="2"/>
  <c r="A96" i="2"/>
  <c r="L96" i="2" s="1"/>
  <c r="C94" i="2"/>
  <c r="G94" i="2"/>
  <c r="F94" i="2"/>
  <c r="D94" i="2"/>
  <c r="M94" i="5" l="1"/>
  <c r="E96" i="5"/>
  <c r="B96" i="5"/>
  <c r="H96" i="5"/>
  <c r="I96" i="5" s="1"/>
  <c r="A97" i="5"/>
  <c r="L97" i="5" s="1"/>
  <c r="G95" i="5"/>
  <c r="D95" i="5"/>
  <c r="F95" i="5"/>
  <c r="C95" i="5"/>
  <c r="J95" i="5"/>
  <c r="K95" i="5" s="1"/>
  <c r="M94" i="2"/>
  <c r="B96" i="2"/>
  <c r="H96" i="2"/>
  <c r="I96" i="2" s="1"/>
  <c r="E96" i="2"/>
  <c r="A97" i="2"/>
  <c r="L97" i="2" s="1"/>
  <c r="C95" i="2"/>
  <c r="G95" i="2"/>
  <c r="F95" i="2"/>
  <c r="D95" i="2"/>
  <c r="J95" i="2"/>
  <c r="K95" i="2" s="1"/>
  <c r="M95" i="5" l="1"/>
  <c r="B97" i="5"/>
  <c r="H97" i="5"/>
  <c r="I97" i="5" s="1"/>
  <c r="E97" i="5"/>
  <c r="A98" i="5"/>
  <c r="L98" i="5" s="1"/>
  <c r="J96" i="5"/>
  <c r="K96" i="5" s="1"/>
  <c r="F96" i="5"/>
  <c r="D96" i="5"/>
  <c r="C96" i="5"/>
  <c r="G96" i="5"/>
  <c r="M95" i="2"/>
  <c r="H97" i="2"/>
  <c r="I97" i="2" s="1"/>
  <c r="B97" i="2"/>
  <c r="E97" i="2"/>
  <c r="A98" i="2"/>
  <c r="L98" i="2" s="1"/>
  <c r="J96" i="2"/>
  <c r="K96" i="2" s="1"/>
  <c r="C96" i="2"/>
  <c r="G96" i="2"/>
  <c r="F96" i="2"/>
  <c r="D96" i="2"/>
  <c r="M96" i="5" l="1"/>
  <c r="H98" i="5"/>
  <c r="I98" i="5" s="1"/>
  <c r="E98" i="5"/>
  <c r="B98" i="5"/>
  <c r="A99" i="5"/>
  <c r="L99" i="5" s="1"/>
  <c r="F97" i="5"/>
  <c r="D97" i="5"/>
  <c r="C97" i="5"/>
  <c r="G97" i="5"/>
  <c r="J97" i="5"/>
  <c r="K97" i="5" s="1"/>
  <c r="M96" i="2"/>
  <c r="B98" i="2"/>
  <c r="H98" i="2"/>
  <c r="I98" i="2" s="1"/>
  <c r="E98" i="2"/>
  <c r="A99" i="2"/>
  <c r="L99" i="2" s="1"/>
  <c r="D97" i="2"/>
  <c r="G97" i="2"/>
  <c r="F97" i="2"/>
  <c r="C97" i="2"/>
  <c r="J97" i="2"/>
  <c r="K97" i="2" s="1"/>
  <c r="M97" i="5" l="1"/>
  <c r="G98" i="5"/>
  <c r="D98" i="5"/>
  <c r="C98" i="5"/>
  <c r="F98" i="5"/>
  <c r="B99" i="5"/>
  <c r="H99" i="5"/>
  <c r="I99" i="5" s="1"/>
  <c r="E99" i="5"/>
  <c r="A100" i="5"/>
  <c r="L100" i="5" s="1"/>
  <c r="J98" i="5"/>
  <c r="K98" i="5" s="1"/>
  <c r="M97" i="2"/>
  <c r="H99" i="2"/>
  <c r="I99" i="2" s="1"/>
  <c r="E99" i="2"/>
  <c r="B99" i="2"/>
  <c r="A100" i="2"/>
  <c r="L100" i="2" s="1"/>
  <c r="J98" i="2"/>
  <c r="K98" i="2" s="1"/>
  <c r="C98" i="2"/>
  <c r="G98" i="2"/>
  <c r="F98" i="2"/>
  <c r="D98" i="2"/>
  <c r="M98" i="5" l="1"/>
  <c r="J99" i="5"/>
  <c r="K99" i="5" s="1"/>
  <c r="F99" i="5"/>
  <c r="D99" i="5"/>
  <c r="C99" i="5"/>
  <c r="G99" i="5"/>
  <c r="H100" i="5"/>
  <c r="I100" i="5" s="1"/>
  <c r="E100" i="5"/>
  <c r="B100" i="5"/>
  <c r="A101" i="5"/>
  <c r="L101" i="5" s="1"/>
  <c r="M98" i="2"/>
  <c r="G99" i="2"/>
  <c r="F99" i="2"/>
  <c r="D99" i="2"/>
  <c r="C99" i="2"/>
  <c r="B100" i="2"/>
  <c r="H100" i="2"/>
  <c r="I100" i="2" s="1"/>
  <c r="E100" i="2"/>
  <c r="A101" i="2"/>
  <c r="L101" i="2" s="1"/>
  <c r="J99" i="2"/>
  <c r="K99" i="2" s="1"/>
  <c r="M99" i="5" l="1"/>
  <c r="B101" i="5"/>
  <c r="H101" i="5"/>
  <c r="I101" i="5" s="1"/>
  <c r="E101" i="5"/>
  <c r="A102" i="5"/>
  <c r="L102" i="5" s="1"/>
  <c r="F100" i="5"/>
  <c r="D100" i="5"/>
  <c r="C100" i="5"/>
  <c r="G100" i="5"/>
  <c r="J100" i="5"/>
  <c r="K100" i="5" s="1"/>
  <c r="M99" i="2"/>
  <c r="J100" i="2"/>
  <c r="K100" i="2" s="1"/>
  <c r="H101" i="2"/>
  <c r="I101" i="2" s="1"/>
  <c r="E101" i="2"/>
  <c r="B101" i="2"/>
  <c r="A102" i="2"/>
  <c r="L102" i="2" s="1"/>
  <c r="C100" i="2"/>
  <c r="D100" i="2"/>
  <c r="G100" i="2"/>
  <c r="F100" i="2"/>
  <c r="M100" i="5" l="1"/>
  <c r="H102" i="5"/>
  <c r="I102" i="5" s="1"/>
  <c r="E102" i="5"/>
  <c r="B102" i="5"/>
  <c r="A103" i="5"/>
  <c r="L103" i="5" s="1"/>
  <c r="J101" i="5"/>
  <c r="K101" i="5" s="1"/>
  <c r="C101" i="5"/>
  <c r="G101" i="5"/>
  <c r="F101" i="5"/>
  <c r="D101" i="5"/>
  <c r="M100" i="2"/>
  <c r="B102" i="2"/>
  <c r="H102" i="2"/>
  <c r="I102" i="2" s="1"/>
  <c r="E102" i="2"/>
  <c r="A103" i="2"/>
  <c r="L103" i="2" s="1"/>
  <c r="J101" i="2"/>
  <c r="K101" i="2" s="1"/>
  <c r="G101" i="2"/>
  <c r="F101" i="2"/>
  <c r="D101" i="2"/>
  <c r="C101" i="2"/>
  <c r="M101" i="5" l="1"/>
  <c r="G102" i="5"/>
  <c r="D102" i="5"/>
  <c r="F102" i="5"/>
  <c r="C102" i="5"/>
  <c r="B103" i="5"/>
  <c r="H103" i="5"/>
  <c r="I103" i="5" s="1"/>
  <c r="E103" i="5"/>
  <c r="A104" i="5"/>
  <c r="L104" i="5" s="1"/>
  <c r="J102" i="5"/>
  <c r="K102" i="5" s="1"/>
  <c r="M101" i="2"/>
  <c r="E103" i="2"/>
  <c r="H103" i="2"/>
  <c r="I103" i="2" s="1"/>
  <c r="B103" i="2"/>
  <c r="A104" i="2"/>
  <c r="L104" i="2" s="1"/>
  <c r="J102" i="2"/>
  <c r="K102" i="2" s="1"/>
  <c r="C102" i="2"/>
  <c r="G102" i="2"/>
  <c r="D102" i="2"/>
  <c r="F102" i="2"/>
  <c r="M102" i="5" l="1"/>
  <c r="H104" i="5"/>
  <c r="I104" i="5" s="1"/>
  <c r="B104" i="5"/>
  <c r="E104" i="5"/>
  <c r="A105" i="5"/>
  <c r="L105" i="5" s="1"/>
  <c r="G103" i="5"/>
  <c r="C103" i="5"/>
  <c r="D103" i="5"/>
  <c r="F103" i="5"/>
  <c r="J103" i="5"/>
  <c r="K103" i="5" s="1"/>
  <c r="M102" i="2"/>
  <c r="D103" i="2"/>
  <c r="C103" i="2"/>
  <c r="G103" i="2"/>
  <c r="F103" i="2"/>
  <c r="J103" i="2"/>
  <c r="K103" i="2" s="1"/>
  <c r="B104" i="2"/>
  <c r="H104" i="2"/>
  <c r="I104" i="2" s="1"/>
  <c r="E104" i="2"/>
  <c r="A105" i="2"/>
  <c r="L105" i="2" s="1"/>
  <c r="M103" i="5" l="1"/>
  <c r="B105" i="5"/>
  <c r="H105" i="5"/>
  <c r="I105" i="5" s="1"/>
  <c r="E105" i="5"/>
  <c r="A106" i="5"/>
  <c r="L106" i="5" s="1"/>
  <c r="G104" i="5"/>
  <c r="D104" i="5"/>
  <c r="C104" i="5"/>
  <c r="F104" i="5"/>
  <c r="J104" i="5"/>
  <c r="K104" i="5" s="1"/>
  <c r="M103" i="2"/>
  <c r="B105" i="2"/>
  <c r="H105" i="2"/>
  <c r="I105" i="2" s="1"/>
  <c r="E105" i="2"/>
  <c r="A106" i="2"/>
  <c r="L106" i="2" s="1"/>
  <c r="J104" i="2"/>
  <c r="K104" i="2" s="1"/>
  <c r="C104" i="2"/>
  <c r="G104" i="2"/>
  <c r="F104" i="2"/>
  <c r="D104" i="2"/>
  <c r="M104" i="5" l="1"/>
  <c r="H106" i="5"/>
  <c r="I106" i="5" s="1"/>
  <c r="B106" i="5"/>
  <c r="E106" i="5"/>
  <c r="A107" i="5"/>
  <c r="L107" i="5" s="1"/>
  <c r="J105" i="5"/>
  <c r="K105" i="5" s="1"/>
  <c r="F105" i="5"/>
  <c r="D105" i="5"/>
  <c r="C105" i="5"/>
  <c r="G105" i="5"/>
  <c r="M104" i="2"/>
  <c r="B106" i="2"/>
  <c r="H106" i="2"/>
  <c r="I106" i="2" s="1"/>
  <c r="E106" i="2"/>
  <c r="A107" i="2"/>
  <c r="L107" i="2" s="1"/>
  <c r="J105" i="2"/>
  <c r="K105" i="2" s="1"/>
  <c r="G105" i="2"/>
  <c r="F105" i="2"/>
  <c r="D105" i="2"/>
  <c r="C105" i="2"/>
  <c r="M105" i="5" l="1"/>
  <c r="H107" i="5"/>
  <c r="I107" i="5" s="1"/>
  <c r="B107" i="5"/>
  <c r="E107" i="5"/>
  <c r="A108" i="5"/>
  <c r="L108" i="5" s="1"/>
  <c r="D106" i="5"/>
  <c r="G106" i="5"/>
  <c r="F106" i="5"/>
  <c r="C106" i="5"/>
  <c r="J106" i="5"/>
  <c r="K106" i="5" s="1"/>
  <c r="M105" i="2"/>
  <c r="H107" i="2"/>
  <c r="I107" i="2" s="1"/>
  <c r="B107" i="2"/>
  <c r="E107" i="2"/>
  <c r="A108" i="2"/>
  <c r="L108" i="2" s="1"/>
  <c r="J106" i="2"/>
  <c r="K106" i="2" s="1"/>
  <c r="C106" i="2"/>
  <c r="G106" i="2"/>
  <c r="F106" i="2"/>
  <c r="D106" i="2"/>
  <c r="M106" i="5" l="1"/>
  <c r="F107" i="5"/>
  <c r="G107" i="5"/>
  <c r="D107" i="5"/>
  <c r="C107" i="5"/>
  <c r="B108" i="5"/>
  <c r="H108" i="5"/>
  <c r="I108" i="5" s="1"/>
  <c r="E108" i="5"/>
  <c r="A109" i="5"/>
  <c r="L109" i="5" s="1"/>
  <c r="J107" i="5"/>
  <c r="K107" i="5" s="1"/>
  <c r="M107" i="5" s="1"/>
  <c r="M106" i="2"/>
  <c r="B108" i="2"/>
  <c r="H108" i="2"/>
  <c r="I108" i="2" s="1"/>
  <c r="E108" i="2"/>
  <c r="A109" i="2"/>
  <c r="L109" i="2" s="1"/>
  <c r="G107" i="2"/>
  <c r="D107" i="2"/>
  <c r="C107" i="2"/>
  <c r="F107" i="2"/>
  <c r="J107" i="2"/>
  <c r="K107" i="2" s="1"/>
  <c r="H109" i="5" l="1"/>
  <c r="I109" i="5" s="1"/>
  <c r="E109" i="5"/>
  <c r="B109" i="5"/>
  <c r="A110" i="5"/>
  <c r="L110" i="5" s="1"/>
  <c r="J108" i="5"/>
  <c r="K108" i="5" s="1"/>
  <c r="C108" i="5"/>
  <c r="G108" i="5"/>
  <c r="F108" i="5"/>
  <c r="D108" i="5"/>
  <c r="M107" i="2"/>
  <c r="B109" i="2"/>
  <c r="E109" i="2"/>
  <c r="H109" i="2"/>
  <c r="I109" i="2" s="1"/>
  <c r="A110" i="2"/>
  <c r="L110" i="2" s="1"/>
  <c r="C108" i="2"/>
  <c r="G108" i="2"/>
  <c r="F108" i="2"/>
  <c r="D108" i="2"/>
  <c r="J108" i="2"/>
  <c r="K108" i="2" s="1"/>
  <c r="M108" i="5" l="1"/>
  <c r="E110" i="5"/>
  <c r="B110" i="5"/>
  <c r="H110" i="5"/>
  <c r="I110" i="5" s="1"/>
  <c r="A111" i="5"/>
  <c r="L111" i="5" s="1"/>
  <c r="G109" i="5"/>
  <c r="D109" i="5"/>
  <c r="C109" i="5"/>
  <c r="F109" i="5"/>
  <c r="J109" i="5"/>
  <c r="K109" i="5" s="1"/>
  <c r="M108" i="2"/>
  <c r="J109" i="2"/>
  <c r="K109" i="2" s="1"/>
  <c r="B110" i="2"/>
  <c r="E110" i="2"/>
  <c r="H110" i="2"/>
  <c r="I110" i="2" s="1"/>
  <c r="A111" i="2"/>
  <c r="L111" i="2" s="1"/>
  <c r="F109" i="2"/>
  <c r="D109" i="2"/>
  <c r="C109" i="2"/>
  <c r="G109" i="2"/>
  <c r="M109" i="5" l="1"/>
  <c r="B111" i="5"/>
  <c r="E111" i="5"/>
  <c r="H111" i="5"/>
  <c r="I111" i="5" s="1"/>
  <c r="A112" i="5"/>
  <c r="L112" i="5" s="1"/>
  <c r="J110" i="5"/>
  <c r="K110" i="5" s="1"/>
  <c r="C110" i="5"/>
  <c r="D110" i="5"/>
  <c r="F110" i="5"/>
  <c r="G110" i="5"/>
  <c r="M109" i="2"/>
  <c r="E111" i="2"/>
  <c r="B111" i="2"/>
  <c r="H111" i="2"/>
  <c r="I111" i="2" s="1"/>
  <c r="A112" i="2"/>
  <c r="L112" i="2" s="1"/>
  <c r="J110" i="2"/>
  <c r="K110" i="2" s="1"/>
  <c r="C110" i="2"/>
  <c r="G110" i="2"/>
  <c r="F110" i="2"/>
  <c r="D110" i="2"/>
  <c r="M110" i="5" l="1"/>
  <c r="J111" i="5"/>
  <c r="K111" i="5" s="1"/>
  <c r="E112" i="5"/>
  <c r="H112" i="5"/>
  <c r="I112" i="5" s="1"/>
  <c r="B112" i="5"/>
  <c r="A113" i="5"/>
  <c r="L113" i="5" s="1"/>
  <c r="C111" i="5"/>
  <c r="G111" i="5"/>
  <c r="F111" i="5"/>
  <c r="D111" i="5"/>
  <c r="M110" i="2"/>
  <c r="B112" i="2"/>
  <c r="E112" i="2"/>
  <c r="H112" i="2"/>
  <c r="I112" i="2" s="1"/>
  <c r="A113" i="2"/>
  <c r="L113" i="2" s="1"/>
  <c r="C111" i="2"/>
  <c r="G111" i="2"/>
  <c r="F111" i="2"/>
  <c r="D111" i="2"/>
  <c r="J111" i="2"/>
  <c r="K111" i="2" s="1"/>
  <c r="M111" i="5" l="1"/>
  <c r="E113" i="5"/>
  <c r="B113" i="5"/>
  <c r="H113" i="5"/>
  <c r="I113" i="5" s="1"/>
  <c r="A114" i="5"/>
  <c r="L114" i="5" s="1"/>
  <c r="J112" i="5"/>
  <c r="K112" i="5" s="1"/>
  <c r="C112" i="5"/>
  <c r="F112" i="5"/>
  <c r="D112" i="5"/>
  <c r="G112" i="5"/>
  <c r="M111" i="2"/>
  <c r="H113" i="2"/>
  <c r="I113" i="2" s="1"/>
  <c r="E113" i="2"/>
  <c r="B113" i="2"/>
  <c r="A114" i="2"/>
  <c r="L114" i="2" s="1"/>
  <c r="J112" i="2"/>
  <c r="K112" i="2" s="1"/>
  <c r="C112" i="2"/>
  <c r="G112" i="2"/>
  <c r="F112" i="2"/>
  <c r="D112" i="2"/>
  <c r="M112" i="5" l="1"/>
  <c r="J113" i="5"/>
  <c r="K113" i="5" s="1"/>
  <c r="A115" i="5"/>
  <c r="L115" i="5" s="1"/>
  <c r="H114" i="5"/>
  <c r="I114" i="5" s="1"/>
  <c r="E114" i="5"/>
  <c r="B114" i="5"/>
  <c r="F113" i="5"/>
  <c r="C113" i="5"/>
  <c r="G113" i="5"/>
  <c r="D113" i="5"/>
  <c r="M112" i="2"/>
  <c r="F113" i="2"/>
  <c r="C113" i="2"/>
  <c r="D113" i="2"/>
  <c r="G113" i="2"/>
  <c r="B114" i="2"/>
  <c r="A115" i="2"/>
  <c r="L115" i="2" s="1"/>
  <c r="H114" i="2"/>
  <c r="I114" i="2" s="1"/>
  <c r="E114" i="2"/>
  <c r="J113" i="2"/>
  <c r="K113" i="2" s="1"/>
  <c r="M113" i="5" l="1"/>
  <c r="A116" i="5"/>
  <c r="L116" i="5" s="1"/>
  <c r="H115" i="5"/>
  <c r="I115" i="5" s="1"/>
  <c r="E115" i="5"/>
  <c r="B115" i="5"/>
  <c r="J114" i="5"/>
  <c r="K114" i="5" s="1"/>
  <c r="C114" i="5"/>
  <c r="G114" i="5"/>
  <c r="F114" i="5"/>
  <c r="D114" i="5"/>
  <c r="M113" i="2"/>
  <c r="H115" i="2"/>
  <c r="I115" i="2" s="1"/>
  <c r="E115" i="2"/>
  <c r="B115" i="2"/>
  <c r="A116" i="2"/>
  <c r="L116" i="2" s="1"/>
  <c r="J114" i="2"/>
  <c r="K114" i="2" s="1"/>
  <c r="C114" i="2"/>
  <c r="F114" i="2"/>
  <c r="G114" i="2"/>
  <c r="D114" i="2"/>
  <c r="M114" i="5" l="1"/>
  <c r="F115" i="5"/>
  <c r="D115" i="5"/>
  <c r="C115" i="5"/>
  <c r="G115" i="5"/>
  <c r="J115" i="5"/>
  <c r="K115" i="5" s="1"/>
  <c r="E116" i="5"/>
  <c r="A117" i="5"/>
  <c r="L117" i="5" s="1"/>
  <c r="H116" i="5"/>
  <c r="B116" i="5"/>
  <c r="M114" i="2"/>
  <c r="B116" i="2"/>
  <c r="H116" i="2"/>
  <c r="I116" i="2" s="1"/>
  <c r="A117" i="2"/>
  <c r="L117" i="2" s="1"/>
  <c r="E116" i="2"/>
  <c r="F115" i="2"/>
  <c r="G115" i="2"/>
  <c r="D115" i="2"/>
  <c r="C115" i="2"/>
  <c r="J115" i="2"/>
  <c r="K115" i="2" s="1"/>
  <c r="M115" i="5" l="1"/>
  <c r="J116" i="5"/>
  <c r="K116" i="5"/>
  <c r="C116" i="5"/>
  <c r="M116" i="5"/>
  <c r="G116" i="5"/>
  <c r="F116" i="5"/>
  <c r="D116" i="5"/>
  <c r="A118" i="5"/>
  <c r="L118" i="5" s="1"/>
  <c r="B117" i="5"/>
  <c r="H117" i="5"/>
  <c r="I117" i="5" s="1"/>
  <c r="E117" i="5"/>
  <c r="I116" i="5"/>
  <c r="M115" i="2"/>
  <c r="K116" i="2"/>
  <c r="J116" i="2"/>
  <c r="A118" i="2"/>
  <c r="L118" i="2" s="1"/>
  <c r="H117" i="2"/>
  <c r="I117" i="2" s="1"/>
  <c r="B117" i="2"/>
  <c r="E117" i="2"/>
  <c r="C116" i="2"/>
  <c r="D116" i="2"/>
  <c r="M116" i="2"/>
  <c r="G116" i="2"/>
  <c r="F116" i="2"/>
  <c r="D117" i="5" l="1"/>
  <c r="M117" i="5"/>
  <c r="G117" i="5"/>
  <c r="F117" i="5"/>
  <c r="C117" i="5"/>
  <c r="H118" i="5"/>
  <c r="I118" i="5" s="1"/>
  <c r="E118" i="5"/>
  <c r="B118" i="5"/>
  <c r="A119" i="5"/>
  <c r="L119" i="5" s="1"/>
  <c r="K117" i="5"/>
  <c r="J117" i="5"/>
  <c r="K117" i="2"/>
  <c r="J117" i="2"/>
  <c r="B118" i="2"/>
  <c r="E118" i="2"/>
  <c r="H118" i="2"/>
  <c r="A119" i="2"/>
  <c r="L119" i="2" s="1"/>
  <c r="M117" i="2"/>
  <c r="C117" i="2"/>
  <c r="F117" i="2"/>
  <c r="D117" i="2"/>
  <c r="G117" i="2"/>
  <c r="C118" i="5" l="1"/>
  <c r="M118" i="5"/>
  <c r="G118" i="5"/>
  <c r="F118" i="5"/>
  <c r="D118" i="5"/>
  <c r="A120" i="5"/>
  <c r="L120" i="5" s="1"/>
  <c r="E119" i="5"/>
  <c r="B119" i="5"/>
  <c r="H119" i="5"/>
  <c r="K118" i="5"/>
  <c r="J118" i="5"/>
  <c r="J118" i="2"/>
  <c r="K118" i="2"/>
  <c r="I118" i="2"/>
  <c r="A120" i="2"/>
  <c r="L120" i="2" s="1"/>
  <c r="E119" i="2"/>
  <c r="H119" i="2"/>
  <c r="B119" i="2"/>
  <c r="C118" i="2"/>
  <c r="M118" i="2"/>
  <c r="G118" i="2"/>
  <c r="F118" i="2"/>
  <c r="D118" i="2"/>
  <c r="M119" i="5" l="1"/>
  <c r="C119" i="5"/>
  <c r="F119" i="5"/>
  <c r="D119" i="5"/>
  <c r="G119" i="5"/>
  <c r="J119" i="5"/>
  <c r="K119" i="5"/>
  <c r="I119" i="5"/>
  <c r="H120" i="5"/>
  <c r="B120" i="5"/>
  <c r="E120" i="5"/>
  <c r="A121" i="5"/>
  <c r="L121" i="5" s="1"/>
  <c r="K119" i="2"/>
  <c r="J119" i="2"/>
  <c r="B120" i="2"/>
  <c r="A121" i="2"/>
  <c r="L121" i="2" s="1"/>
  <c r="E120" i="2"/>
  <c r="H120" i="2"/>
  <c r="M119" i="2"/>
  <c r="F119" i="2"/>
  <c r="G119" i="2"/>
  <c r="D119" i="2"/>
  <c r="C119" i="2"/>
  <c r="I119" i="2"/>
  <c r="A122" i="5" l="1"/>
  <c r="L122" i="5" s="1"/>
  <c r="H121" i="5"/>
  <c r="B121" i="5"/>
  <c r="E121" i="5"/>
  <c r="J120" i="5"/>
  <c r="K120" i="5"/>
  <c r="C120" i="5"/>
  <c r="M120" i="5"/>
  <c r="G120" i="5"/>
  <c r="F120" i="5"/>
  <c r="D120" i="5"/>
  <c r="I120" i="5"/>
  <c r="K120" i="2"/>
  <c r="J120" i="2"/>
  <c r="I120" i="2"/>
  <c r="A122" i="2"/>
  <c r="L122" i="2" s="1"/>
  <c r="E121" i="2"/>
  <c r="B121" i="2"/>
  <c r="H121" i="2"/>
  <c r="C120" i="2"/>
  <c r="M120" i="2"/>
  <c r="F120" i="2"/>
  <c r="G120" i="2"/>
  <c r="D120" i="2"/>
  <c r="G121" i="5" l="1"/>
  <c r="M121" i="5"/>
  <c r="F121" i="5"/>
  <c r="D121" i="5"/>
  <c r="C121" i="5"/>
  <c r="K121" i="5"/>
  <c r="J121" i="5"/>
  <c r="I121" i="5"/>
  <c r="B122" i="5"/>
  <c r="E122" i="5"/>
  <c r="A123" i="5"/>
  <c r="L123" i="5" s="1"/>
  <c r="H122" i="5"/>
  <c r="K121" i="2"/>
  <c r="J121" i="2"/>
  <c r="I121" i="2"/>
  <c r="B122" i="2"/>
  <c r="A123" i="2"/>
  <c r="L123" i="2" s="1"/>
  <c r="E122" i="2"/>
  <c r="H122" i="2"/>
  <c r="I122" i="2" s="1"/>
  <c r="C121" i="2"/>
  <c r="D121" i="2"/>
  <c r="M121" i="2"/>
  <c r="G121" i="2"/>
  <c r="F121" i="2"/>
  <c r="K122" i="5" l="1"/>
  <c r="J122" i="5"/>
  <c r="I122" i="5"/>
  <c r="A124" i="5"/>
  <c r="L124" i="5" s="1"/>
  <c r="B123" i="5"/>
  <c r="E123" i="5"/>
  <c r="H123" i="5"/>
  <c r="I123" i="5" s="1"/>
  <c r="C122" i="5"/>
  <c r="D122" i="5"/>
  <c r="M122" i="5"/>
  <c r="F122" i="5"/>
  <c r="G122" i="5"/>
  <c r="C122" i="2"/>
  <c r="G122" i="2"/>
  <c r="D122" i="2"/>
  <c r="M122" i="2"/>
  <c r="F122" i="2"/>
  <c r="K122" i="2"/>
  <c r="J122" i="2"/>
  <c r="A124" i="2"/>
  <c r="L124" i="2" s="1"/>
  <c r="E123" i="2"/>
  <c r="H123" i="2"/>
  <c r="B123" i="2"/>
  <c r="C123" i="5" l="1"/>
  <c r="D123" i="5"/>
  <c r="M123" i="5"/>
  <c r="G123" i="5"/>
  <c r="F123" i="5"/>
  <c r="A125" i="5"/>
  <c r="L125" i="5" s="1"/>
  <c r="B124" i="5"/>
  <c r="H124" i="5"/>
  <c r="E124" i="5"/>
  <c r="K123" i="5"/>
  <c r="J123" i="5"/>
  <c r="C123" i="2"/>
  <c r="M123" i="2"/>
  <c r="G123" i="2"/>
  <c r="F123" i="2"/>
  <c r="D123" i="2"/>
  <c r="K123" i="2"/>
  <c r="J123" i="2"/>
  <c r="B124" i="2"/>
  <c r="H124" i="2"/>
  <c r="I124" i="2" s="1"/>
  <c r="A125" i="2"/>
  <c r="L125" i="2" s="1"/>
  <c r="E124" i="2"/>
  <c r="I123" i="2"/>
  <c r="K124" i="5" l="1"/>
  <c r="J124" i="5"/>
  <c r="I124" i="5"/>
  <c r="A126" i="5"/>
  <c r="L126" i="5" s="1"/>
  <c r="H125" i="5"/>
  <c r="E125" i="5"/>
  <c r="B125" i="5"/>
  <c r="C124" i="5"/>
  <c r="G124" i="5"/>
  <c r="F124" i="5"/>
  <c r="D124" i="5"/>
  <c r="M124" i="5"/>
  <c r="A126" i="2"/>
  <c r="L126" i="2" s="1"/>
  <c r="H125" i="2"/>
  <c r="I125" i="2" s="1"/>
  <c r="B125" i="2"/>
  <c r="E125" i="2"/>
  <c r="C124" i="2"/>
  <c r="M124" i="2"/>
  <c r="D124" i="2"/>
  <c r="G124" i="2"/>
  <c r="F124" i="2"/>
  <c r="K124" i="2"/>
  <c r="J124" i="2"/>
  <c r="G125" i="5" l="1"/>
  <c r="D125" i="5"/>
  <c r="M125" i="5"/>
  <c r="F125" i="5"/>
  <c r="C125" i="5"/>
  <c r="K125" i="5"/>
  <c r="J125" i="5"/>
  <c r="I125" i="5"/>
  <c r="A127" i="5"/>
  <c r="L127" i="5" s="1"/>
  <c r="H126" i="5"/>
  <c r="I126" i="5" s="1"/>
  <c r="E126" i="5"/>
  <c r="B126" i="5"/>
  <c r="G125" i="2"/>
  <c r="D125" i="2"/>
  <c r="F125" i="2"/>
  <c r="C125" i="2"/>
  <c r="M125" i="2"/>
  <c r="J125" i="2"/>
  <c r="K125" i="2"/>
  <c r="B126" i="2"/>
  <c r="A127" i="2"/>
  <c r="L127" i="2" s="1"/>
  <c r="H126" i="2"/>
  <c r="E126" i="2"/>
  <c r="C126" i="5" l="1"/>
  <c r="G126" i="5"/>
  <c r="M126" i="5"/>
  <c r="F126" i="5"/>
  <c r="D126" i="5"/>
  <c r="A128" i="5"/>
  <c r="L128" i="5" s="1"/>
  <c r="H127" i="5"/>
  <c r="E127" i="5"/>
  <c r="B127" i="5"/>
  <c r="J126" i="5"/>
  <c r="K126" i="5"/>
  <c r="K126" i="2"/>
  <c r="J126" i="2"/>
  <c r="I126" i="2"/>
  <c r="C126" i="2"/>
  <c r="D126" i="2"/>
  <c r="M126" i="2"/>
  <c r="G126" i="2"/>
  <c r="F126" i="2"/>
  <c r="A128" i="2"/>
  <c r="L128" i="2" s="1"/>
  <c r="E127" i="2"/>
  <c r="H127" i="2"/>
  <c r="I127" i="2" s="1"/>
  <c r="B127" i="2"/>
  <c r="J127" i="5" l="1"/>
  <c r="K127" i="5"/>
  <c r="C127" i="5"/>
  <c r="M127" i="5"/>
  <c r="D127" i="5"/>
  <c r="G127" i="5"/>
  <c r="F127" i="5"/>
  <c r="E128" i="5"/>
  <c r="B128" i="5"/>
  <c r="H128" i="5"/>
  <c r="A129" i="5"/>
  <c r="L129" i="5" s="1"/>
  <c r="I127" i="5"/>
  <c r="M127" i="2"/>
  <c r="G127" i="2"/>
  <c r="F127" i="2"/>
  <c r="C127" i="2"/>
  <c r="D127" i="2"/>
  <c r="K127" i="2"/>
  <c r="J127" i="2"/>
  <c r="B128" i="2"/>
  <c r="E128" i="2"/>
  <c r="A129" i="2"/>
  <c r="L129" i="2" s="1"/>
  <c r="H128" i="2"/>
  <c r="A130" i="5" l="1"/>
  <c r="L130" i="5" s="1"/>
  <c r="E129" i="5"/>
  <c r="H129" i="5"/>
  <c r="B129" i="5"/>
  <c r="J128" i="5"/>
  <c r="K128" i="5"/>
  <c r="C128" i="5"/>
  <c r="M128" i="5"/>
  <c r="D128" i="5"/>
  <c r="G128" i="5"/>
  <c r="F128" i="5"/>
  <c r="I128" i="5"/>
  <c r="K128" i="2"/>
  <c r="J128" i="2"/>
  <c r="I128" i="2"/>
  <c r="A130" i="2"/>
  <c r="L130" i="2" s="1"/>
  <c r="H129" i="2"/>
  <c r="B129" i="2"/>
  <c r="E129" i="2"/>
  <c r="C128" i="2"/>
  <c r="G128" i="2"/>
  <c r="M128" i="2"/>
  <c r="F128" i="2"/>
  <c r="D128" i="2"/>
  <c r="F129" i="5" l="1"/>
  <c r="M129" i="5"/>
  <c r="G129" i="5"/>
  <c r="D129" i="5"/>
  <c r="C129" i="5"/>
  <c r="J129" i="5"/>
  <c r="K129" i="5"/>
  <c r="I129" i="5"/>
  <c r="B130" i="5"/>
  <c r="A131" i="5"/>
  <c r="L131" i="5" s="1"/>
  <c r="H130" i="5"/>
  <c r="E130" i="5"/>
  <c r="K129" i="2"/>
  <c r="J129" i="2"/>
  <c r="D129" i="2"/>
  <c r="C129" i="2"/>
  <c r="G129" i="2"/>
  <c r="M129" i="2"/>
  <c r="F129" i="2"/>
  <c r="I129" i="2"/>
  <c r="B130" i="2"/>
  <c r="E130" i="2"/>
  <c r="H130" i="2"/>
  <c r="A131" i="2"/>
  <c r="L131" i="2" s="1"/>
  <c r="K130" i="5" l="1"/>
  <c r="J130" i="5"/>
  <c r="A132" i="5"/>
  <c r="L132" i="5" s="1"/>
  <c r="B131" i="5"/>
  <c r="E131" i="5"/>
  <c r="H131" i="5"/>
  <c r="I131" i="5" s="1"/>
  <c r="I130" i="5"/>
  <c r="C130" i="5"/>
  <c r="M130" i="5"/>
  <c r="G130" i="5"/>
  <c r="F130" i="5"/>
  <c r="D130" i="5"/>
  <c r="C130" i="2"/>
  <c r="M130" i="2"/>
  <c r="D130" i="2"/>
  <c r="G130" i="2"/>
  <c r="F130" i="2"/>
  <c r="J130" i="2"/>
  <c r="K130" i="2"/>
  <c r="A132" i="2"/>
  <c r="L132" i="2" s="1"/>
  <c r="H131" i="2"/>
  <c r="I131" i="2" s="1"/>
  <c r="B131" i="2"/>
  <c r="E131" i="2"/>
  <c r="I130" i="2"/>
  <c r="J131" i="5" l="1"/>
  <c r="K131" i="5"/>
  <c r="A133" i="5"/>
  <c r="L133" i="5" s="1"/>
  <c r="H132" i="5"/>
  <c r="B132" i="5"/>
  <c r="E132" i="5"/>
  <c r="G131" i="5"/>
  <c r="M131" i="5"/>
  <c r="C131" i="5"/>
  <c r="F131" i="5"/>
  <c r="D131" i="5"/>
  <c r="K131" i="2"/>
  <c r="J131" i="2"/>
  <c r="G131" i="2"/>
  <c r="D131" i="2"/>
  <c r="M131" i="2"/>
  <c r="F131" i="2"/>
  <c r="C131" i="2"/>
  <c r="B132" i="2"/>
  <c r="A133" i="2"/>
  <c r="L133" i="2" s="1"/>
  <c r="H132" i="2"/>
  <c r="E132" i="2"/>
  <c r="K132" i="5" l="1"/>
  <c r="J132" i="5"/>
  <c r="I132" i="5"/>
  <c r="C132" i="5"/>
  <c r="D132" i="5"/>
  <c r="G132" i="5"/>
  <c r="F132" i="5"/>
  <c r="M132" i="5"/>
  <c r="A134" i="5"/>
  <c r="L134" i="5" s="1"/>
  <c r="B133" i="5"/>
  <c r="H133" i="5"/>
  <c r="E133" i="5"/>
  <c r="K132" i="2"/>
  <c r="J132" i="2"/>
  <c r="A134" i="2"/>
  <c r="L134" i="2" s="1"/>
  <c r="H133" i="2"/>
  <c r="E133" i="2"/>
  <c r="B133" i="2"/>
  <c r="I132" i="2"/>
  <c r="C132" i="2"/>
  <c r="F132" i="2"/>
  <c r="G132" i="2"/>
  <c r="M132" i="2"/>
  <c r="D132" i="2"/>
  <c r="H134" i="5" l="1"/>
  <c r="E134" i="5"/>
  <c r="B134" i="5"/>
  <c r="A135" i="5"/>
  <c r="L135" i="5" s="1"/>
  <c r="K133" i="5"/>
  <c r="J133" i="5"/>
  <c r="I133" i="5"/>
  <c r="C133" i="5"/>
  <c r="G133" i="5"/>
  <c r="F133" i="5"/>
  <c r="D133" i="5"/>
  <c r="M133" i="5"/>
  <c r="K133" i="2"/>
  <c r="J133" i="2"/>
  <c r="B134" i="2"/>
  <c r="A135" i="2"/>
  <c r="L135" i="2" s="1"/>
  <c r="H134" i="2"/>
  <c r="I134" i="2" s="1"/>
  <c r="E134" i="2"/>
  <c r="C133" i="2"/>
  <c r="M133" i="2"/>
  <c r="F133" i="2"/>
  <c r="G133" i="2"/>
  <c r="D133" i="2"/>
  <c r="I133" i="2"/>
  <c r="A136" i="5" l="1"/>
  <c r="L136" i="5" s="1"/>
  <c r="E135" i="5"/>
  <c r="B135" i="5"/>
  <c r="H135" i="5"/>
  <c r="C134" i="5"/>
  <c r="F134" i="5"/>
  <c r="M134" i="5"/>
  <c r="G134" i="5"/>
  <c r="D134" i="5"/>
  <c r="K134" i="5"/>
  <c r="J134" i="5"/>
  <c r="I134" i="5"/>
  <c r="K134" i="2"/>
  <c r="J134" i="2"/>
  <c r="A136" i="2"/>
  <c r="L136" i="2" s="1"/>
  <c r="H135" i="2"/>
  <c r="I135" i="2" s="1"/>
  <c r="E135" i="2"/>
  <c r="B135" i="2"/>
  <c r="C134" i="2"/>
  <c r="M134" i="2"/>
  <c r="G134" i="2"/>
  <c r="F134" i="2"/>
  <c r="D134" i="2"/>
  <c r="K135" i="5" l="1"/>
  <c r="J135" i="5"/>
  <c r="F135" i="5"/>
  <c r="C135" i="5"/>
  <c r="M135" i="5"/>
  <c r="G135" i="5"/>
  <c r="D135" i="5"/>
  <c r="I135" i="5"/>
  <c r="B136" i="5"/>
  <c r="A137" i="5"/>
  <c r="L137" i="5" s="1"/>
  <c r="H136" i="5"/>
  <c r="I136" i="5" s="1"/>
  <c r="E136" i="5"/>
  <c r="M135" i="2"/>
  <c r="F135" i="2"/>
  <c r="D135" i="2"/>
  <c r="C135" i="2"/>
  <c r="G135" i="2"/>
  <c r="J135" i="2"/>
  <c r="K135" i="2"/>
  <c r="B136" i="2"/>
  <c r="H136" i="2"/>
  <c r="E136" i="2"/>
  <c r="A137" i="2"/>
  <c r="L137" i="2" s="1"/>
  <c r="A138" i="5" l="1"/>
  <c r="L138" i="5" s="1"/>
  <c r="H137" i="5"/>
  <c r="B137" i="5"/>
  <c r="E137" i="5"/>
  <c r="K136" i="5"/>
  <c r="J136" i="5"/>
  <c r="C136" i="5"/>
  <c r="G136" i="5"/>
  <c r="M136" i="5"/>
  <c r="F136" i="5"/>
  <c r="D136" i="5"/>
  <c r="A138" i="2"/>
  <c r="L138" i="2" s="1"/>
  <c r="B137" i="2"/>
  <c r="E137" i="2"/>
  <c r="H137" i="2"/>
  <c r="J136" i="2"/>
  <c r="K136" i="2"/>
  <c r="I136" i="2"/>
  <c r="C136" i="2"/>
  <c r="D136" i="2"/>
  <c r="G136" i="2"/>
  <c r="M136" i="2"/>
  <c r="F136" i="2"/>
  <c r="K137" i="5" l="1"/>
  <c r="J137" i="5"/>
  <c r="I137" i="5"/>
  <c r="M137" i="5"/>
  <c r="F137" i="5"/>
  <c r="D137" i="5"/>
  <c r="G137" i="5"/>
  <c r="C137" i="5"/>
  <c r="H138" i="5"/>
  <c r="I138" i="5" s="1"/>
  <c r="E138" i="5"/>
  <c r="A139" i="5"/>
  <c r="L139" i="5" s="1"/>
  <c r="B138" i="5"/>
  <c r="M137" i="2"/>
  <c r="F137" i="2"/>
  <c r="D137" i="2"/>
  <c r="C137" i="2"/>
  <c r="G137" i="2"/>
  <c r="K137" i="2"/>
  <c r="J137" i="2"/>
  <c r="I137" i="2"/>
  <c r="B138" i="2"/>
  <c r="H138" i="2"/>
  <c r="E138" i="2"/>
  <c r="A139" i="2"/>
  <c r="L139" i="2" s="1"/>
  <c r="A140" i="5" l="1"/>
  <c r="L140" i="5" s="1"/>
  <c r="B139" i="5"/>
  <c r="H139" i="5"/>
  <c r="I139" i="5" s="1"/>
  <c r="E139" i="5"/>
  <c r="C138" i="5"/>
  <c r="M138" i="5"/>
  <c r="G138" i="5"/>
  <c r="F138" i="5"/>
  <c r="D138" i="5"/>
  <c r="K138" i="5"/>
  <c r="J138" i="5"/>
  <c r="A140" i="2"/>
  <c r="L140" i="2" s="1"/>
  <c r="H139" i="2"/>
  <c r="E139" i="2"/>
  <c r="B139" i="2"/>
  <c r="J138" i="2"/>
  <c r="K138" i="2"/>
  <c r="C138" i="2"/>
  <c r="G138" i="2"/>
  <c r="D138" i="2"/>
  <c r="F138" i="2"/>
  <c r="M138" i="2"/>
  <c r="I138" i="2"/>
  <c r="K139" i="5" l="1"/>
  <c r="J139" i="5"/>
  <c r="F139" i="5"/>
  <c r="D139" i="5"/>
  <c r="C139" i="5"/>
  <c r="M139" i="5"/>
  <c r="G139" i="5"/>
  <c r="A141" i="5"/>
  <c r="L141" i="5" s="1"/>
  <c r="H140" i="5"/>
  <c r="B140" i="5"/>
  <c r="E140" i="5"/>
  <c r="J139" i="2"/>
  <c r="K139" i="2"/>
  <c r="M139" i="2"/>
  <c r="G139" i="2"/>
  <c r="F139" i="2"/>
  <c r="D139" i="2"/>
  <c r="C139" i="2"/>
  <c r="I139" i="2"/>
  <c r="B140" i="2"/>
  <c r="H140" i="2"/>
  <c r="I140" i="2" s="1"/>
  <c r="A141" i="2"/>
  <c r="L141" i="2" s="1"/>
  <c r="E140" i="2"/>
  <c r="J140" i="5" l="1"/>
  <c r="K140" i="5"/>
  <c r="I140" i="5"/>
  <c r="C140" i="5"/>
  <c r="M140" i="5"/>
  <c r="G140" i="5"/>
  <c r="F140" i="5"/>
  <c r="D140" i="5"/>
  <c r="A142" i="5"/>
  <c r="L142" i="5" s="1"/>
  <c r="H141" i="5"/>
  <c r="I141" i="5" s="1"/>
  <c r="B141" i="5"/>
  <c r="E141" i="5"/>
  <c r="K140" i="2"/>
  <c r="J140" i="2"/>
  <c r="C140" i="2"/>
  <c r="M140" i="2"/>
  <c r="G140" i="2"/>
  <c r="F140" i="2"/>
  <c r="D140" i="2"/>
  <c r="A142" i="2"/>
  <c r="L142" i="2" s="1"/>
  <c r="E141" i="2"/>
  <c r="H141" i="2"/>
  <c r="I141" i="2" s="1"/>
  <c r="B141" i="2"/>
  <c r="B142" i="5" l="1"/>
  <c r="A143" i="5"/>
  <c r="L143" i="5" s="1"/>
  <c r="E142" i="5"/>
  <c r="H142" i="5"/>
  <c r="C141" i="5"/>
  <c r="D141" i="5"/>
  <c r="G141" i="5"/>
  <c r="F141" i="5"/>
  <c r="M141" i="5"/>
  <c r="K141" i="5"/>
  <c r="J141" i="5"/>
  <c r="G141" i="2"/>
  <c r="F141" i="2"/>
  <c r="D141" i="2"/>
  <c r="C141" i="2"/>
  <c r="M141" i="2"/>
  <c r="K141" i="2"/>
  <c r="J141" i="2"/>
  <c r="B142" i="2"/>
  <c r="A143" i="2"/>
  <c r="L143" i="2" s="1"/>
  <c r="E142" i="2"/>
  <c r="H142" i="2"/>
  <c r="J142" i="5" l="1"/>
  <c r="K142" i="5"/>
  <c r="I142" i="5"/>
  <c r="A144" i="5"/>
  <c r="L144" i="5" s="1"/>
  <c r="H143" i="5"/>
  <c r="E143" i="5"/>
  <c r="B143" i="5"/>
  <c r="C142" i="5"/>
  <c r="G142" i="5"/>
  <c r="D142" i="5"/>
  <c r="M142" i="5"/>
  <c r="F142" i="5"/>
  <c r="K142" i="2"/>
  <c r="J142" i="2"/>
  <c r="I142" i="2"/>
  <c r="A144" i="2"/>
  <c r="L144" i="2" s="1"/>
  <c r="H143" i="2"/>
  <c r="I143" i="2" s="1"/>
  <c r="E143" i="2"/>
  <c r="B143" i="2"/>
  <c r="C142" i="2"/>
  <c r="M142" i="2"/>
  <c r="D142" i="2"/>
  <c r="G142" i="2"/>
  <c r="F142" i="2"/>
  <c r="K143" i="5" l="1"/>
  <c r="J143" i="5"/>
  <c r="G143" i="5"/>
  <c r="F143" i="5"/>
  <c r="D143" i="5"/>
  <c r="M143" i="5"/>
  <c r="C143" i="5"/>
  <c r="I143" i="5"/>
  <c r="E144" i="5"/>
  <c r="B144" i="5"/>
  <c r="A145" i="5"/>
  <c r="L145" i="5" s="1"/>
  <c r="H144" i="5"/>
  <c r="I144" i="5" s="1"/>
  <c r="F143" i="2"/>
  <c r="D143" i="2"/>
  <c r="G143" i="2"/>
  <c r="M143" i="2"/>
  <c r="C143" i="2"/>
  <c r="B144" i="2"/>
  <c r="H144" i="2"/>
  <c r="I144" i="2" s="1"/>
  <c r="E144" i="2"/>
  <c r="A145" i="2"/>
  <c r="L145" i="2" s="1"/>
  <c r="K143" i="2"/>
  <c r="J143" i="2"/>
  <c r="C144" i="5" l="1"/>
  <c r="D144" i="5"/>
  <c r="F144" i="5"/>
  <c r="G144" i="5"/>
  <c r="M144" i="5"/>
  <c r="A146" i="5"/>
  <c r="L146" i="5" s="1"/>
  <c r="B145" i="5"/>
  <c r="H145" i="5"/>
  <c r="E145" i="5"/>
  <c r="K144" i="5"/>
  <c r="J144" i="5"/>
  <c r="C144" i="2"/>
  <c r="G144" i="2"/>
  <c r="F144" i="2"/>
  <c r="D144" i="2"/>
  <c r="M144" i="2"/>
  <c r="A146" i="2"/>
  <c r="L146" i="2" s="1"/>
  <c r="E145" i="2"/>
  <c r="B145" i="2"/>
  <c r="H145" i="2"/>
  <c r="K144" i="2"/>
  <c r="J144" i="2"/>
  <c r="M145" i="5" l="1"/>
  <c r="G145" i="5"/>
  <c r="D145" i="5"/>
  <c r="C145" i="5"/>
  <c r="F145" i="5"/>
  <c r="H146" i="5"/>
  <c r="I146" i="5" s="1"/>
  <c r="E146" i="5"/>
  <c r="B146" i="5"/>
  <c r="A147" i="5"/>
  <c r="L147" i="5" s="1"/>
  <c r="J145" i="5"/>
  <c r="K145" i="5"/>
  <c r="I145" i="5"/>
  <c r="D145" i="2"/>
  <c r="C145" i="2"/>
  <c r="M145" i="2"/>
  <c r="G145" i="2"/>
  <c r="F145" i="2"/>
  <c r="K145" i="2"/>
  <c r="J145" i="2"/>
  <c r="I145" i="2"/>
  <c r="B146" i="2"/>
  <c r="A147" i="2"/>
  <c r="L147" i="2" s="1"/>
  <c r="E146" i="2"/>
  <c r="H146" i="2"/>
  <c r="A148" i="5" l="1"/>
  <c r="L148" i="5" s="1"/>
  <c r="H147" i="5"/>
  <c r="E147" i="5"/>
  <c r="B147" i="5"/>
  <c r="C146" i="5"/>
  <c r="G146" i="5"/>
  <c r="F146" i="5"/>
  <c r="D146" i="5"/>
  <c r="M146" i="5"/>
  <c r="J146" i="5"/>
  <c r="K146" i="5"/>
  <c r="A148" i="2"/>
  <c r="L148" i="2" s="1"/>
  <c r="H147" i="2"/>
  <c r="I147" i="2" s="1"/>
  <c r="E147" i="2"/>
  <c r="B147" i="2"/>
  <c r="C146" i="2"/>
  <c r="G146" i="2"/>
  <c r="M146" i="2"/>
  <c r="F146" i="2"/>
  <c r="D146" i="2"/>
  <c r="K146" i="2"/>
  <c r="J146" i="2"/>
  <c r="I146" i="2"/>
  <c r="G147" i="5" l="1"/>
  <c r="D147" i="5"/>
  <c r="M147" i="5"/>
  <c r="F147" i="5"/>
  <c r="C147" i="5"/>
  <c r="J147" i="5"/>
  <c r="K147" i="5"/>
  <c r="I147" i="5"/>
  <c r="H148" i="5"/>
  <c r="A149" i="5"/>
  <c r="L149" i="5" s="1"/>
  <c r="E148" i="5"/>
  <c r="B148" i="5"/>
  <c r="G147" i="2"/>
  <c r="D147" i="2"/>
  <c r="C147" i="2"/>
  <c r="M147" i="2"/>
  <c r="F147" i="2"/>
  <c r="K147" i="2"/>
  <c r="J147" i="2"/>
  <c r="B148" i="2"/>
  <c r="H148" i="2"/>
  <c r="I148" i="2" s="1"/>
  <c r="A149" i="2"/>
  <c r="L149" i="2" s="1"/>
  <c r="E148" i="2"/>
  <c r="A150" i="5" l="1"/>
  <c r="L150" i="5" s="1"/>
  <c r="B149" i="5"/>
  <c r="H149" i="5"/>
  <c r="I149" i="5" s="1"/>
  <c r="E149" i="5"/>
  <c r="C148" i="5"/>
  <c r="G148" i="5"/>
  <c r="M148" i="5"/>
  <c r="F148" i="5"/>
  <c r="D148" i="5"/>
  <c r="K148" i="5"/>
  <c r="J148" i="5"/>
  <c r="I148" i="5"/>
  <c r="A150" i="2"/>
  <c r="L150" i="2" s="1"/>
  <c r="H149" i="2"/>
  <c r="E149" i="2"/>
  <c r="B149" i="2"/>
  <c r="J148" i="2"/>
  <c r="K148" i="2"/>
  <c r="C148" i="2"/>
  <c r="G148" i="2"/>
  <c r="F148" i="2"/>
  <c r="M148" i="2"/>
  <c r="D148" i="2"/>
  <c r="K149" i="5" l="1"/>
  <c r="J149" i="5"/>
  <c r="C149" i="5"/>
  <c r="M149" i="5"/>
  <c r="F149" i="5"/>
  <c r="G149" i="5"/>
  <c r="D149" i="5"/>
  <c r="A151" i="5"/>
  <c r="L151" i="5" s="1"/>
  <c r="B150" i="5"/>
  <c r="H150" i="5"/>
  <c r="I150" i="5" s="1"/>
  <c r="E150" i="5"/>
  <c r="M149" i="2"/>
  <c r="G149" i="2"/>
  <c r="F149" i="2"/>
  <c r="C149" i="2"/>
  <c r="D149" i="2"/>
  <c r="K149" i="2"/>
  <c r="J149" i="2"/>
  <c r="I149" i="2"/>
  <c r="B150" i="2"/>
  <c r="H150" i="2"/>
  <c r="I150" i="2" s="1"/>
  <c r="E150" i="2"/>
  <c r="A151" i="2"/>
  <c r="L151" i="2" s="1"/>
  <c r="K150" i="5" l="1"/>
  <c r="J150" i="5"/>
  <c r="A152" i="5"/>
  <c r="L152" i="5" s="1"/>
  <c r="H151" i="5"/>
  <c r="I151" i="5" s="1"/>
  <c r="E151" i="5"/>
  <c r="B151" i="5"/>
  <c r="C150" i="5"/>
  <c r="M150" i="5"/>
  <c r="D150" i="5"/>
  <c r="G150" i="5"/>
  <c r="F150" i="5"/>
  <c r="A152" i="2"/>
  <c r="L152" i="2" s="1"/>
  <c r="B151" i="2"/>
  <c r="H151" i="2"/>
  <c r="I151" i="2" s="1"/>
  <c r="E151" i="2"/>
  <c r="K150" i="2"/>
  <c r="J150" i="2"/>
  <c r="C150" i="2"/>
  <c r="G150" i="2"/>
  <c r="F150" i="2"/>
  <c r="D150" i="2"/>
  <c r="M150" i="2"/>
  <c r="F151" i="5" l="1"/>
  <c r="G151" i="5"/>
  <c r="D151" i="5"/>
  <c r="C151" i="5"/>
  <c r="M151" i="5"/>
  <c r="K151" i="5"/>
  <c r="J151" i="5"/>
  <c r="A153" i="5"/>
  <c r="L153" i="5" s="1"/>
  <c r="H152" i="5"/>
  <c r="E152" i="5"/>
  <c r="B152" i="5"/>
  <c r="M151" i="2"/>
  <c r="F151" i="2"/>
  <c r="G151" i="2"/>
  <c r="D151" i="2"/>
  <c r="C151" i="2"/>
  <c r="J151" i="2"/>
  <c r="K151" i="2"/>
  <c r="B152" i="2"/>
  <c r="E152" i="2"/>
  <c r="A153" i="2"/>
  <c r="L153" i="2" s="1"/>
  <c r="H152" i="2"/>
  <c r="K152" i="5" l="1"/>
  <c r="J152" i="5"/>
  <c r="A154" i="5"/>
  <c r="L154" i="5" s="1"/>
  <c r="B153" i="5"/>
  <c r="H153" i="5"/>
  <c r="E153" i="5"/>
  <c r="C152" i="5"/>
  <c r="M152" i="5"/>
  <c r="F152" i="5"/>
  <c r="G152" i="5"/>
  <c r="D152" i="5"/>
  <c r="I152" i="5"/>
  <c r="J152" i="2"/>
  <c r="K152" i="2"/>
  <c r="I152" i="2"/>
  <c r="A154" i="2"/>
  <c r="L154" i="2" s="1"/>
  <c r="H153" i="2"/>
  <c r="I153" i="2" s="1"/>
  <c r="E153" i="2"/>
  <c r="B153" i="2"/>
  <c r="C152" i="2"/>
  <c r="F152" i="2"/>
  <c r="G152" i="2"/>
  <c r="D152" i="2"/>
  <c r="M152" i="2"/>
  <c r="K153" i="5" l="1"/>
  <c r="J153" i="5"/>
  <c r="M153" i="5"/>
  <c r="D153" i="5"/>
  <c r="C153" i="5"/>
  <c r="G153" i="5"/>
  <c r="F153" i="5"/>
  <c r="E154" i="5"/>
  <c r="B154" i="5"/>
  <c r="A155" i="5"/>
  <c r="L155" i="5" s="1"/>
  <c r="H154" i="5"/>
  <c r="I153" i="5"/>
  <c r="M153" i="2"/>
  <c r="G153" i="2"/>
  <c r="F153" i="2"/>
  <c r="D153" i="2"/>
  <c r="C153" i="2"/>
  <c r="B154" i="2"/>
  <c r="A155" i="2"/>
  <c r="L155" i="2" s="1"/>
  <c r="E154" i="2"/>
  <c r="H154" i="2"/>
  <c r="I154" i="2" s="1"/>
  <c r="J153" i="2"/>
  <c r="K153" i="2"/>
  <c r="J154" i="5" l="1"/>
  <c r="K154" i="5"/>
  <c r="I154" i="5"/>
  <c r="A156" i="5"/>
  <c r="L156" i="5" s="1"/>
  <c r="E155" i="5"/>
  <c r="H155" i="5"/>
  <c r="B155" i="5"/>
  <c r="C154" i="5"/>
  <c r="F154" i="5"/>
  <c r="D154" i="5"/>
  <c r="M154" i="5"/>
  <c r="G154" i="5"/>
  <c r="K154" i="2"/>
  <c r="J154" i="2"/>
  <c r="C154" i="2"/>
  <c r="G154" i="2"/>
  <c r="D154" i="2"/>
  <c r="M154" i="2"/>
  <c r="F154" i="2"/>
  <c r="A156" i="2"/>
  <c r="L156" i="2" s="1"/>
  <c r="H155" i="2"/>
  <c r="I155" i="2" s="1"/>
  <c r="E155" i="2"/>
  <c r="B155" i="2"/>
  <c r="F155" i="5" l="1"/>
  <c r="C155" i="5"/>
  <c r="G155" i="5"/>
  <c r="M155" i="5"/>
  <c r="D155" i="5"/>
  <c r="J155" i="5"/>
  <c r="K155" i="5"/>
  <c r="I155" i="5"/>
  <c r="A157" i="5"/>
  <c r="L157" i="5" s="1"/>
  <c r="H156" i="5"/>
  <c r="I156" i="5" s="1"/>
  <c r="E156" i="5"/>
  <c r="B156" i="5"/>
  <c r="M155" i="2"/>
  <c r="G155" i="2"/>
  <c r="F155" i="2"/>
  <c r="D155" i="2"/>
  <c r="C155" i="2"/>
  <c r="K155" i="2"/>
  <c r="J155" i="2"/>
  <c r="B156" i="2"/>
  <c r="E156" i="2"/>
  <c r="H156" i="2"/>
  <c r="A157" i="2"/>
  <c r="L157" i="2" s="1"/>
  <c r="A158" i="5" l="1"/>
  <c r="L158" i="5" s="1"/>
  <c r="B157" i="5"/>
  <c r="H157" i="5"/>
  <c r="E157" i="5"/>
  <c r="C156" i="5"/>
  <c r="F156" i="5"/>
  <c r="M156" i="5"/>
  <c r="G156" i="5"/>
  <c r="D156" i="5"/>
  <c r="K156" i="5"/>
  <c r="J156" i="5"/>
  <c r="K156" i="2"/>
  <c r="J156" i="2"/>
  <c r="A158" i="2"/>
  <c r="L158" i="2" s="1"/>
  <c r="H157" i="2"/>
  <c r="I157" i="2" s="1"/>
  <c r="E157" i="2"/>
  <c r="B157" i="2"/>
  <c r="I156" i="2"/>
  <c r="C156" i="2"/>
  <c r="G156" i="2"/>
  <c r="D156" i="2"/>
  <c r="M156" i="2"/>
  <c r="F156" i="2"/>
  <c r="J157" i="5" l="1"/>
  <c r="K157" i="5"/>
  <c r="I157" i="5"/>
  <c r="G157" i="5"/>
  <c r="M157" i="5"/>
  <c r="F157" i="5"/>
  <c r="D157" i="5"/>
  <c r="C157" i="5"/>
  <c r="H158" i="5"/>
  <c r="A159" i="5"/>
  <c r="L159" i="5" s="1"/>
  <c r="E158" i="5"/>
  <c r="B158" i="5"/>
  <c r="M157" i="2"/>
  <c r="D157" i="2"/>
  <c r="G157" i="2"/>
  <c r="C157" i="2"/>
  <c r="F157" i="2"/>
  <c r="K157" i="2"/>
  <c r="J157" i="2"/>
  <c r="B158" i="2"/>
  <c r="A159" i="2"/>
  <c r="L159" i="2" s="1"/>
  <c r="H158" i="2"/>
  <c r="I158" i="2" s="1"/>
  <c r="E158" i="2"/>
  <c r="C158" i="5" l="1"/>
  <c r="M158" i="5"/>
  <c r="D158" i="5"/>
  <c r="G158" i="5"/>
  <c r="F158" i="5"/>
  <c r="A160" i="5"/>
  <c r="L160" i="5" s="1"/>
  <c r="H159" i="5"/>
  <c r="I159" i="5" s="1"/>
  <c r="E159" i="5"/>
  <c r="B159" i="5"/>
  <c r="K158" i="5"/>
  <c r="J158" i="5"/>
  <c r="I158" i="5"/>
  <c r="K158" i="2"/>
  <c r="J158" i="2"/>
  <c r="A160" i="2"/>
  <c r="L160" i="2" s="1"/>
  <c r="E159" i="2"/>
  <c r="H159" i="2"/>
  <c r="B159" i="2"/>
  <c r="C158" i="2"/>
  <c r="M158" i="2"/>
  <c r="G158" i="2"/>
  <c r="F158" i="2"/>
  <c r="D158" i="2"/>
  <c r="D159" i="5" l="1"/>
  <c r="C159" i="5"/>
  <c r="M159" i="5"/>
  <c r="G159" i="5"/>
  <c r="F159" i="5"/>
  <c r="H160" i="5"/>
  <c r="A161" i="5"/>
  <c r="L161" i="5" s="1"/>
  <c r="E160" i="5"/>
  <c r="B160" i="5"/>
  <c r="K159" i="5"/>
  <c r="J159" i="5"/>
  <c r="M159" i="2"/>
  <c r="D159" i="2"/>
  <c r="F159" i="2"/>
  <c r="G159" i="2"/>
  <c r="C159" i="2"/>
  <c r="K159" i="2"/>
  <c r="J159" i="2"/>
  <c r="I159" i="2"/>
  <c r="B160" i="2"/>
  <c r="H160" i="2"/>
  <c r="I160" i="2" s="1"/>
  <c r="E160" i="2"/>
  <c r="A161" i="2"/>
  <c r="L161" i="2" s="1"/>
  <c r="K160" i="5" l="1"/>
  <c r="J160" i="5"/>
  <c r="C160" i="5"/>
  <c r="M160" i="5"/>
  <c r="F160" i="5"/>
  <c r="D160" i="5"/>
  <c r="G160" i="5"/>
  <c r="I160" i="5"/>
  <c r="A162" i="5"/>
  <c r="L162" i="5" s="1"/>
  <c r="E161" i="5"/>
  <c r="B161" i="5"/>
  <c r="H161" i="5"/>
  <c r="I161" i="5" s="1"/>
  <c r="A162" i="2"/>
  <c r="L162" i="2" s="1"/>
  <c r="H161" i="2"/>
  <c r="I161" i="2" s="1"/>
  <c r="E161" i="2"/>
  <c r="B161" i="2"/>
  <c r="K160" i="2"/>
  <c r="J160" i="2"/>
  <c r="C160" i="2"/>
  <c r="G160" i="2"/>
  <c r="F160" i="2"/>
  <c r="D160" i="2"/>
  <c r="M160" i="2"/>
  <c r="K161" i="5" l="1"/>
  <c r="J161" i="5"/>
  <c r="B162" i="5"/>
  <c r="H162" i="5"/>
  <c r="E162" i="5"/>
  <c r="A163" i="5"/>
  <c r="L163" i="5" s="1"/>
  <c r="F161" i="5"/>
  <c r="D161" i="5"/>
  <c r="M161" i="5"/>
  <c r="G161" i="5"/>
  <c r="C161" i="5"/>
  <c r="M161" i="2"/>
  <c r="F161" i="2"/>
  <c r="D161" i="2"/>
  <c r="C161" i="2"/>
  <c r="G161" i="2"/>
  <c r="J161" i="2"/>
  <c r="K161" i="2"/>
  <c r="B162" i="2"/>
  <c r="E162" i="2"/>
  <c r="A163" i="2"/>
  <c r="L163" i="2" s="1"/>
  <c r="H162" i="2"/>
  <c r="K162" i="5" l="1"/>
  <c r="J162" i="5"/>
  <c r="C162" i="5"/>
  <c r="D162" i="5"/>
  <c r="G162" i="5"/>
  <c r="F162" i="5"/>
  <c r="M162" i="5"/>
  <c r="I162" i="5"/>
  <c r="A164" i="5"/>
  <c r="L164" i="5" s="1"/>
  <c r="H163" i="5"/>
  <c r="I163" i="5" s="1"/>
  <c r="E163" i="5"/>
  <c r="B163" i="5"/>
  <c r="K162" i="2"/>
  <c r="J162" i="2"/>
  <c r="A164" i="2"/>
  <c r="L164" i="2" s="1"/>
  <c r="H163" i="2"/>
  <c r="I163" i="2" s="1"/>
  <c r="E163" i="2"/>
  <c r="B163" i="2"/>
  <c r="I162" i="2"/>
  <c r="C162" i="2"/>
  <c r="M162" i="2"/>
  <c r="F162" i="2"/>
  <c r="D162" i="2"/>
  <c r="G162" i="2"/>
  <c r="G163" i="5" l="1"/>
  <c r="M163" i="5"/>
  <c r="F163" i="5"/>
  <c r="D163" i="5"/>
  <c r="C163" i="5"/>
  <c r="J163" i="5"/>
  <c r="K163" i="5"/>
  <c r="H164" i="5"/>
  <c r="I164" i="5" s="1"/>
  <c r="E164" i="5"/>
  <c r="A165" i="5"/>
  <c r="L165" i="5" s="1"/>
  <c r="B164" i="5"/>
  <c r="M163" i="2"/>
  <c r="G163" i="2"/>
  <c r="F163" i="2"/>
  <c r="D163" i="2"/>
  <c r="C163" i="2"/>
  <c r="K163" i="2"/>
  <c r="J163" i="2"/>
  <c r="B164" i="2"/>
  <c r="E164" i="2"/>
  <c r="H164" i="2"/>
  <c r="I164" i="2" s="1"/>
  <c r="A165" i="2"/>
  <c r="L165" i="2" s="1"/>
  <c r="C164" i="5" l="1"/>
  <c r="G164" i="5"/>
  <c r="M164" i="5"/>
  <c r="F164" i="5"/>
  <c r="D164" i="5"/>
  <c r="A166" i="5"/>
  <c r="L166" i="5" s="1"/>
  <c r="H165" i="5"/>
  <c r="I165" i="5" s="1"/>
  <c r="B165" i="5"/>
  <c r="E165" i="5"/>
  <c r="K164" i="5"/>
  <c r="J164" i="5"/>
  <c r="C164" i="2"/>
  <c r="D164" i="2"/>
  <c r="G164" i="2"/>
  <c r="F164" i="2"/>
  <c r="M164" i="2"/>
  <c r="A166" i="2"/>
  <c r="L166" i="2" s="1"/>
  <c r="H165" i="2"/>
  <c r="B165" i="2"/>
  <c r="E165" i="2"/>
  <c r="K164" i="2"/>
  <c r="J164" i="2"/>
  <c r="M165" i="5" l="1"/>
  <c r="G165" i="5"/>
  <c r="F165" i="5"/>
  <c r="C165" i="5"/>
  <c r="D165" i="5"/>
  <c r="J165" i="5"/>
  <c r="K165" i="5"/>
  <c r="A167" i="5"/>
  <c r="L167" i="5" s="1"/>
  <c r="E166" i="5"/>
  <c r="H166" i="5"/>
  <c r="B166" i="5"/>
  <c r="M165" i="2"/>
  <c r="D165" i="2"/>
  <c r="C165" i="2"/>
  <c r="G165" i="2"/>
  <c r="F165" i="2"/>
  <c r="K165" i="2"/>
  <c r="J165" i="2"/>
  <c r="I165" i="2"/>
  <c r="B166" i="2"/>
  <c r="H166" i="2"/>
  <c r="E166" i="2"/>
  <c r="A167" i="2"/>
  <c r="L167" i="2" s="1"/>
  <c r="C166" i="5" l="1"/>
  <c r="F166" i="5"/>
  <c r="D166" i="5"/>
  <c r="G166" i="5"/>
  <c r="M166" i="5"/>
  <c r="A168" i="5"/>
  <c r="L168" i="5" s="1"/>
  <c r="H167" i="5"/>
  <c r="I167" i="5" s="1"/>
  <c r="E167" i="5"/>
  <c r="B167" i="5"/>
  <c r="K166" i="5"/>
  <c r="J166" i="5"/>
  <c r="I166" i="5"/>
  <c r="K166" i="2"/>
  <c r="J166" i="2"/>
  <c r="A168" i="2"/>
  <c r="L168" i="2" s="1"/>
  <c r="B167" i="2"/>
  <c r="H167" i="2"/>
  <c r="E167" i="2"/>
  <c r="I166" i="2"/>
  <c r="C166" i="2"/>
  <c r="M166" i="2"/>
  <c r="G166" i="2"/>
  <c r="D166" i="2"/>
  <c r="F166" i="2"/>
  <c r="G167" i="5" l="1"/>
  <c r="F167" i="5"/>
  <c r="D167" i="5"/>
  <c r="C167" i="5"/>
  <c r="M167" i="5"/>
  <c r="K167" i="5"/>
  <c r="J167" i="5"/>
  <c r="A169" i="5"/>
  <c r="L169" i="5" s="1"/>
  <c r="H168" i="5"/>
  <c r="E168" i="5"/>
  <c r="B168" i="5"/>
  <c r="K167" i="2"/>
  <c r="J167" i="2"/>
  <c r="M167" i="2"/>
  <c r="C167" i="2"/>
  <c r="G167" i="2"/>
  <c r="F167" i="2"/>
  <c r="D167" i="2"/>
  <c r="B168" i="2"/>
  <c r="A169" i="2"/>
  <c r="L169" i="2" s="1"/>
  <c r="H168" i="2"/>
  <c r="E168" i="2"/>
  <c r="I167" i="2"/>
  <c r="C168" i="5" l="1"/>
  <c r="M168" i="5"/>
  <c r="G168" i="5"/>
  <c r="F168" i="5"/>
  <c r="D168" i="5"/>
  <c r="K168" i="5"/>
  <c r="J168" i="5"/>
  <c r="I168" i="5"/>
  <c r="A170" i="5"/>
  <c r="L170" i="5" s="1"/>
  <c r="B169" i="5"/>
  <c r="E169" i="5"/>
  <c r="H169" i="5"/>
  <c r="I169" i="5" s="1"/>
  <c r="J168" i="2"/>
  <c r="K168" i="2"/>
  <c r="C168" i="2"/>
  <c r="M168" i="2"/>
  <c r="F168" i="2"/>
  <c r="G168" i="2"/>
  <c r="D168" i="2"/>
  <c r="I168" i="2"/>
  <c r="A170" i="2"/>
  <c r="L170" i="2" s="1"/>
  <c r="E169" i="2"/>
  <c r="H169" i="2"/>
  <c r="B169" i="2"/>
  <c r="M169" i="5" l="1"/>
  <c r="C169" i="5"/>
  <c r="D169" i="5"/>
  <c r="G169" i="5"/>
  <c r="F169" i="5"/>
  <c r="A171" i="5"/>
  <c r="L171" i="5" s="1"/>
  <c r="H170" i="5"/>
  <c r="I170" i="5" s="1"/>
  <c r="E170" i="5"/>
  <c r="B170" i="5"/>
  <c r="K169" i="5"/>
  <c r="J169" i="5"/>
  <c r="K169" i="2"/>
  <c r="J169" i="2"/>
  <c r="B170" i="2"/>
  <c r="E170" i="2"/>
  <c r="A171" i="2"/>
  <c r="L171" i="2" s="1"/>
  <c r="H170" i="2"/>
  <c r="I170" i="2" s="1"/>
  <c r="M169" i="2"/>
  <c r="G169" i="2"/>
  <c r="F169" i="2"/>
  <c r="D169" i="2"/>
  <c r="C169" i="2"/>
  <c r="I169" i="2"/>
  <c r="C170" i="5" l="1"/>
  <c r="G170" i="5"/>
  <c r="F170" i="5"/>
  <c r="D170" i="5"/>
  <c r="M170" i="5"/>
  <c r="A172" i="5"/>
  <c r="L172" i="5" s="1"/>
  <c r="B171" i="5"/>
  <c r="H171" i="5"/>
  <c r="I171" i="5" s="1"/>
  <c r="E171" i="5"/>
  <c r="K170" i="5"/>
  <c r="J170" i="5"/>
  <c r="J170" i="2"/>
  <c r="K170" i="2"/>
  <c r="A172" i="2"/>
  <c r="L172" i="2" s="1"/>
  <c r="B171" i="2"/>
  <c r="H171" i="2"/>
  <c r="I171" i="2" s="1"/>
  <c r="E171" i="2"/>
  <c r="C170" i="2"/>
  <c r="M170" i="2"/>
  <c r="D170" i="2"/>
  <c r="G170" i="2"/>
  <c r="F170" i="2"/>
  <c r="D171" i="5" l="1"/>
  <c r="C171" i="5"/>
  <c r="M171" i="5"/>
  <c r="F171" i="5"/>
  <c r="G171" i="5"/>
  <c r="J171" i="5"/>
  <c r="K171" i="5"/>
  <c r="A173" i="5"/>
  <c r="L173" i="5" s="1"/>
  <c r="H172" i="5"/>
  <c r="I172" i="5" s="1"/>
  <c r="B172" i="5"/>
  <c r="E172" i="5"/>
  <c r="B172" i="2"/>
  <c r="H172" i="2"/>
  <c r="I172" i="2" s="1"/>
  <c r="A173" i="2"/>
  <c r="L173" i="2" s="1"/>
  <c r="E172" i="2"/>
  <c r="M171" i="2"/>
  <c r="C171" i="2"/>
  <c r="G171" i="2"/>
  <c r="F171" i="2"/>
  <c r="D171" i="2"/>
  <c r="K171" i="2"/>
  <c r="J171" i="2"/>
  <c r="C172" i="5" l="1"/>
  <c r="M172" i="5"/>
  <c r="D172" i="5"/>
  <c r="G172" i="5"/>
  <c r="F172" i="5"/>
  <c r="K172" i="5"/>
  <c r="J172" i="5"/>
  <c r="A174" i="5"/>
  <c r="L174" i="5" s="1"/>
  <c r="H173" i="5"/>
  <c r="I173" i="5" s="1"/>
  <c r="E173" i="5"/>
  <c r="B173" i="5"/>
  <c r="A174" i="2"/>
  <c r="L174" i="2" s="1"/>
  <c r="H173" i="2"/>
  <c r="I173" i="2" s="1"/>
  <c r="E173" i="2"/>
  <c r="B173" i="2"/>
  <c r="J172" i="2"/>
  <c r="K172" i="2"/>
  <c r="C172" i="2"/>
  <c r="G172" i="2"/>
  <c r="D172" i="2"/>
  <c r="M172" i="2"/>
  <c r="F172" i="2"/>
  <c r="G173" i="5" l="1"/>
  <c r="F173" i="5"/>
  <c r="M173" i="5"/>
  <c r="D173" i="5"/>
  <c r="C173" i="5"/>
  <c r="B174" i="5"/>
  <c r="E174" i="5"/>
  <c r="H174" i="5"/>
  <c r="A175" i="5"/>
  <c r="L175" i="5" s="1"/>
  <c r="K173" i="5"/>
  <c r="J173" i="5"/>
  <c r="M173" i="2"/>
  <c r="G173" i="2"/>
  <c r="D173" i="2"/>
  <c r="F173" i="2"/>
  <c r="C173" i="2"/>
  <c r="K173" i="2"/>
  <c r="J173" i="2"/>
  <c r="B174" i="2"/>
  <c r="H174" i="2"/>
  <c r="A175" i="2"/>
  <c r="L175" i="2" s="1"/>
  <c r="E174" i="2"/>
  <c r="K174" i="5" l="1"/>
  <c r="J174" i="5"/>
  <c r="A176" i="5"/>
  <c r="L176" i="5" s="1"/>
  <c r="H175" i="5"/>
  <c r="E175" i="5"/>
  <c r="B175" i="5"/>
  <c r="C174" i="5"/>
  <c r="D174" i="5"/>
  <c r="G174" i="5"/>
  <c r="F174" i="5"/>
  <c r="M174" i="5"/>
  <c r="I174" i="5"/>
  <c r="K174" i="2"/>
  <c r="J174" i="2"/>
  <c r="A176" i="2"/>
  <c r="L176" i="2" s="1"/>
  <c r="E175" i="2"/>
  <c r="B175" i="2"/>
  <c r="H175" i="2"/>
  <c r="I174" i="2"/>
  <c r="C174" i="2"/>
  <c r="D174" i="2"/>
  <c r="M174" i="2"/>
  <c r="G174" i="2"/>
  <c r="F174" i="2"/>
  <c r="K175" i="5" l="1"/>
  <c r="J175" i="5"/>
  <c r="E176" i="5"/>
  <c r="H176" i="5"/>
  <c r="I176" i="5" s="1"/>
  <c r="A177" i="5"/>
  <c r="L177" i="5" s="1"/>
  <c r="B176" i="5"/>
  <c r="M175" i="5"/>
  <c r="G175" i="5"/>
  <c r="F175" i="5"/>
  <c r="D175" i="5"/>
  <c r="C175" i="5"/>
  <c r="I175" i="5"/>
  <c r="K175" i="2"/>
  <c r="J175" i="2"/>
  <c r="M175" i="2"/>
  <c r="C175" i="2"/>
  <c r="F175" i="2"/>
  <c r="D175" i="2"/>
  <c r="G175" i="2"/>
  <c r="I175" i="2"/>
  <c r="B176" i="2"/>
  <c r="A177" i="2"/>
  <c r="L177" i="2" s="1"/>
  <c r="E176" i="2"/>
  <c r="H176" i="2"/>
  <c r="I176" i="2" s="1"/>
  <c r="C176" i="5" l="1"/>
  <c r="F176" i="5"/>
  <c r="M176" i="5"/>
  <c r="G176" i="5"/>
  <c r="D176" i="5"/>
  <c r="A178" i="5"/>
  <c r="L178" i="5" s="1"/>
  <c r="E177" i="5"/>
  <c r="B177" i="5"/>
  <c r="H177" i="5"/>
  <c r="I177" i="5" s="1"/>
  <c r="K176" i="5"/>
  <c r="J176" i="5"/>
  <c r="A178" i="2"/>
  <c r="L178" i="2" s="1"/>
  <c r="H177" i="2"/>
  <c r="I177" i="2" s="1"/>
  <c r="B177" i="2"/>
  <c r="E177" i="2"/>
  <c r="C176" i="2"/>
  <c r="F176" i="2"/>
  <c r="D176" i="2"/>
  <c r="M176" i="2"/>
  <c r="G176" i="2"/>
  <c r="K176" i="2"/>
  <c r="J176" i="2"/>
  <c r="J177" i="5" l="1"/>
  <c r="K177" i="5"/>
  <c r="H178" i="5"/>
  <c r="I178" i="5" s="1"/>
  <c r="E178" i="5"/>
  <c r="B178" i="5"/>
  <c r="A179" i="5"/>
  <c r="L179" i="5" s="1"/>
  <c r="M177" i="5"/>
  <c r="D177" i="5"/>
  <c r="G177" i="5"/>
  <c r="F177" i="5"/>
  <c r="C177" i="5"/>
  <c r="K177" i="2"/>
  <c r="J177" i="2"/>
  <c r="M177" i="2"/>
  <c r="G177" i="2"/>
  <c r="D177" i="2"/>
  <c r="C177" i="2"/>
  <c r="F177" i="2"/>
  <c r="B178" i="2"/>
  <c r="A179" i="2"/>
  <c r="L179" i="2" s="1"/>
  <c r="H178" i="2"/>
  <c r="I178" i="2" s="1"/>
  <c r="E178" i="2"/>
  <c r="A180" i="5" l="1"/>
  <c r="L180" i="5" s="1"/>
  <c r="E179" i="5"/>
  <c r="H179" i="5"/>
  <c r="B179" i="5"/>
  <c r="C178" i="5"/>
  <c r="G178" i="5"/>
  <c r="M178" i="5"/>
  <c r="F178" i="5"/>
  <c r="D178" i="5"/>
  <c r="K178" i="5"/>
  <c r="J178" i="5"/>
  <c r="C178" i="2"/>
  <c r="G178" i="2"/>
  <c r="F178" i="2"/>
  <c r="D178" i="2"/>
  <c r="M178" i="2"/>
  <c r="J178" i="2"/>
  <c r="K178" i="2"/>
  <c r="A180" i="2"/>
  <c r="L180" i="2" s="1"/>
  <c r="H179" i="2"/>
  <c r="E179" i="2"/>
  <c r="B179" i="2"/>
  <c r="K179" i="5" l="1"/>
  <c r="J179" i="5"/>
  <c r="M179" i="5"/>
  <c r="G179" i="5"/>
  <c r="F179" i="5"/>
  <c r="D179" i="5"/>
  <c r="C179" i="5"/>
  <c r="I179" i="5"/>
  <c r="E180" i="5"/>
  <c r="B180" i="5"/>
  <c r="A181" i="5"/>
  <c r="L181" i="5" s="1"/>
  <c r="H180" i="5"/>
  <c r="I180" i="5" s="1"/>
  <c r="M179" i="2"/>
  <c r="D179" i="2"/>
  <c r="C179" i="2"/>
  <c r="G179" i="2"/>
  <c r="F179" i="2"/>
  <c r="K179" i="2"/>
  <c r="J179" i="2"/>
  <c r="I179" i="2"/>
  <c r="B180" i="2"/>
  <c r="H180" i="2"/>
  <c r="E180" i="2"/>
  <c r="A181" i="2"/>
  <c r="L181" i="2" s="1"/>
  <c r="C180" i="5" l="1"/>
  <c r="F180" i="5"/>
  <c r="D180" i="5"/>
  <c r="M180" i="5"/>
  <c r="G180" i="5"/>
  <c r="J180" i="5"/>
  <c r="K180" i="5"/>
  <c r="A182" i="5"/>
  <c r="L182" i="5" s="1"/>
  <c r="H181" i="5"/>
  <c r="I181" i="5" s="1"/>
  <c r="E181" i="5"/>
  <c r="B181" i="5"/>
  <c r="A182" i="2"/>
  <c r="L182" i="2" s="1"/>
  <c r="H181" i="2"/>
  <c r="E181" i="2"/>
  <c r="B181" i="2"/>
  <c r="K180" i="2"/>
  <c r="J180" i="2"/>
  <c r="C180" i="2"/>
  <c r="D180" i="2"/>
  <c r="G180" i="2"/>
  <c r="F180" i="2"/>
  <c r="M180" i="2"/>
  <c r="I180" i="2"/>
  <c r="M181" i="5" l="1"/>
  <c r="G181" i="5"/>
  <c r="F181" i="5"/>
  <c r="D181" i="5"/>
  <c r="C181" i="5"/>
  <c r="K181" i="5"/>
  <c r="J181" i="5"/>
  <c r="H182" i="5"/>
  <c r="I182" i="5" s="1"/>
  <c r="A183" i="5"/>
  <c r="L183" i="5" s="1"/>
  <c r="E182" i="5"/>
  <c r="B182" i="5"/>
  <c r="K181" i="2"/>
  <c r="J181" i="2"/>
  <c r="M181" i="2"/>
  <c r="G181" i="2"/>
  <c r="F181" i="2"/>
  <c r="D181" i="2"/>
  <c r="C181" i="2"/>
  <c r="I181" i="2"/>
  <c r="B182" i="2"/>
  <c r="A183" i="2"/>
  <c r="L183" i="2" s="1"/>
  <c r="H182" i="2"/>
  <c r="E182" i="2"/>
  <c r="A184" i="5" l="1"/>
  <c r="L184" i="5" s="1"/>
  <c r="H183" i="5"/>
  <c r="B183" i="5"/>
  <c r="E183" i="5"/>
  <c r="C182" i="5"/>
  <c r="G182" i="5"/>
  <c r="M182" i="5"/>
  <c r="F182" i="5"/>
  <c r="D182" i="5"/>
  <c r="K182" i="5"/>
  <c r="J182" i="5"/>
  <c r="K182" i="2"/>
  <c r="J182" i="2"/>
  <c r="A184" i="2"/>
  <c r="L184" i="2" s="1"/>
  <c r="B183" i="2"/>
  <c r="H183" i="2"/>
  <c r="I183" i="2" s="1"/>
  <c r="E183" i="2"/>
  <c r="C182" i="2"/>
  <c r="M182" i="2"/>
  <c r="G182" i="2"/>
  <c r="F182" i="2"/>
  <c r="D182" i="2"/>
  <c r="I182" i="2"/>
  <c r="K183" i="5" l="1"/>
  <c r="J183" i="5"/>
  <c r="M183" i="5"/>
  <c r="G183" i="5"/>
  <c r="F183" i="5"/>
  <c r="D183" i="5"/>
  <c r="C183" i="5"/>
  <c r="I183" i="5"/>
  <c r="E184" i="5"/>
  <c r="B184" i="5"/>
  <c r="H184" i="5"/>
  <c r="I184" i="5" s="1"/>
  <c r="A185" i="5"/>
  <c r="L185" i="5" s="1"/>
  <c r="K183" i="2"/>
  <c r="J183" i="2"/>
  <c r="M183" i="2"/>
  <c r="C183" i="2"/>
  <c r="G183" i="2"/>
  <c r="F183" i="2"/>
  <c r="D183" i="2"/>
  <c r="B184" i="2"/>
  <c r="A185" i="2"/>
  <c r="L185" i="2" s="1"/>
  <c r="E184" i="2"/>
  <c r="H184" i="2"/>
  <c r="I184" i="2" s="1"/>
  <c r="A186" i="5" l="1"/>
  <c r="L186" i="5" s="1"/>
  <c r="H185" i="5"/>
  <c r="I185" i="5" s="1"/>
  <c r="E185" i="5"/>
  <c r="B185" i="5"/>
  <c r="C184" i="5"/>
  <c r="M184" i="5"/>
  <c r="G184" i="5"/>
  <c r="D184" i="5"/>
  <c r="F184" i="5"/>
  <c r="K184" i="5"/>
  <c r="J184" i="5"/>
  <c r="K184" i="2"/>
  <c r="J184" i="2"/>
  <c r="A186" i="2"/>
  <c r="L186" i="2" s="1"/>
  <c r="E185" i="2"/>
  <c r="B185" i="2"/>
  <c r="H185" i="2"/>
  <c r="I185" i="2" s="1"/>
  <c r="C184" i="2"/>
  <c r="M184" i="2"/>
  <c r="G184" i="2"/>
  <c r="F184" i="2"/>
  <c r="D184" i="2"/>
  <c r="G185" i="5" l="1"/>
  <c r="F185" i="5"/>
  <c r="M185" i="5"/>
  <c r="D185" i="5"/>
  <c r="C185" i="5"/>
  <c r="K185" i="5"/>
  <c r="J185" i="5"/>
  <c r="A187" i="5"/>
  <c r="L187" i="5" s="1"/>
  <c r="H186" i="5"/>
  <c r="E186" i="5"/>
  <c r="B186" i="5"/>
  <c r="M185" i="2"/>
  <c r="F185" i="2"/>
  <c r="G185" i="2"/>
  <c r="D185" i="2"/>
  <c r="C185" i="2"/>
  <c r="J185" i="2"/>
  <c r="K185" i="2"/>
  <c r="B186" i="2"/>
  <c r="H186" i="2"/>
  <c r="E186" i="2"/>
  <c r="A187" i="2"/>
  <c r="L187" i="2" s="1"/>
  <c r="J186" i="5" l="1"/>
  <c r="K186" i="5"/>
  <c r="C186" i="5"/>
  <c r="M186" i="5"/>
  <c r="G186" i="5"/>
  <c r="F186" i="5"/>
  <c r="D186" i="5"/>
  <c r="I186" i="5"/>
  <c r="A188" i="5"/>
  <c r="L188" i="5" s="1"/>
  <c r="B187" i="5"/>
  <c r="E187" i="5"/>
  <c r="H187" i="5"/>
  <c r="A188" i="2"/>
  <c r="L188" i="2" s="1"/>
  <c r="H187" i="2"/>
  <c r="I187" i="2" s="1"/>
  <c r="E187" i="2"/>
  <c r="B187" i="2"/>
  <c r="K186" i="2"/>
  <c r="J186" i="2"/>
  <c r="I186" i="2"/>
  <c r="C186" i="2"/>
  <c r="G186" i="2"/>
  <c r="F186" i="2"/>
  <c r="D186" i="2"/>
  <c r="M186" i="2"/>
  <c r="J187" i="5" l="1"/>
  <c r="K187" i="5"/>
  <c r="D187" i="5"/>
  <c r="C187" i="5"/>
  <c r="F187" i="5"/>
  <c r="G187" i="5"/>
  <c r="M187" i="5"/>
  <c r="A189" i="5"/>
  <c r="L189" i="5" s="1"/>
  <c r="E188" i="5"/>
  <c r="B188" i="5"/>
  <c r="H188" i="5"/>
  <c r="I188" i="5" s="1"/>
  <c r="I187" i="5"/>
  <c r="M187" i="2"/>
  <c r="G187" i="2"/>
  <c r="F187" i="2"/>
  <c r="D187" i="2"/>
  <c r="C187" i="2"/>
  <c r="K187" i="2"/>
  <c r="J187" i="2"/>
  <c r="B188" i="2"/>
  <c r="E188" i="2"/>
  <c r="A189" i="2"/>
  <c r="L189" i="2" s="1"/>
  <c r="H188" i="2"/>
  <c r="C188" i="5" l="1"/>
  <c r="G188" i="5"/>
  <c r="F188" i="5"/>
  <c r="D188" i="5"/>
  <c r="M188" i="5"/>
  <c r="K188" i="5"/>
  <c r="J188" i="5"/>
  <c r="A190" i="5"/>
  <c r="L190" i="5" s="1"/>
  <c r="B189" i="5"/>
  <c r="H189" i="5"/>
  <c r="I189" i="5" s="1"/>
  <c r="E189" i="5"/>
  <c r="A190" i="2"/>
  <c r="L190" i="2" s="1"/>
  <c r="H189" i="2"/>
  <c r="E189" i="2"/>
  <c r="B189" i="2"/>
  <c r="K188" i="2"/>
  <c r="J188" i="2"/>
  <c r="I188" i="2"/>
  <c r="C188" i="2"/>
  <c r="D188" i="2"/>
  <c r="M188" i="2"/>
  <c r="F188" i="2"/>
  <c r="G188" i="2"/>
  <c r="G189" i="5" l="1"/>
  <c r="F189" i="5"/>
  <c r="M189" i="5"/>
  <c r="D189" i="5"/>
  <c r="C189" i="5"/>
  <c r="K189" i="5"/>
  <c r="J189" i="5"/>
  <c r="A191" i="5"/>
  <c r="L191" i="5" s="1"/>
  <c r="H190" i="5"/>
  <c r="I190" i="5" s="1"/>
  <c r="E190" i="5"/>
  <c r="B190" i="5"/>
  <c r="K189" i="2"/>
  <c r="J189" i="2"/>
  <c r="M189" i="2"/>
  <c r="G189" i="2"/>
  <c r="F189" i="2"/>
  <c r="D189" i="2"/>
  <c r="C189" i="2"/>
  <c r="I189" i="2"/>
  <c r="B190" i="2"/>
  <c r="E190" i="2"/>
  <c r="H190" i="2"/>
  <c r="A191" i="2"/>
  <c r="L191" i="2" s="1"/>
  <c r="C190" i="5" l="1"/>
  <c r="M190" i="5"/>
  <c r="G190" i="5"/>
  <c r="F190" i="5"/>
  <c r="D190" i="5"/>
  <c r="K190" i="5"/>
  <c r="J190" i="5"/>
  <c r="A192" i="5"/>
  <c r="L192" i="5" s="1"/>
  <c r="H191" i="5"/>
  <c r="I191" i="5" s="1"/>
  <c r="E191" i="5"/>
  <c r="B191" i="5"/>
  <c r="C190" i="2"/>
  <c r="D190" i="2"/>
  <c r="M190" i="2"/>
  <c r="G190" i="2"/>
  <c r="F190" i="2"/>
  <c r="J190" i="2"/>
  <c r="K190" i="2"/>
  <c r="A192" i="2"/>
  <c r="L192" i="2" s="1"/>
  <c r="H191" i="2"/>
  <c r="I191" i="2" s="1"/>
  <c r="E191" i="2"/>
  <c r="B191" i="2"/>
  <c r="I190" i="2"/>
  <c r="D191" i="5" l="1"/>
  <c r="C191" i="5"/>
  <c r="M191" i="5"/>
  <c r="G191" i="5"/>
  <c r="F191" i="5"/>
  <c r="H192" i="5"/>
  <c r="E192" i="5"/>
  <c r="B192" i="5"/>
  <c r="A193" i="5"/>
  <c r="L193" i="5" s="1"/>
  <c r="K191" i="5"/>
  <c r="J191" i="5"/>
  <c r="M191" i="2"/>
  <c r="G191" i="2"/>
  <c r="F191" i="2"/>
  <c r="D191" i="2"/>
  <c r="C191" i="2"/>
  <c r="J191" i="2"/>
  <c r="K191" i="2"/>
  <c r="B192" i="2"/>
  <c r="A193" i="2"/>
  <c r="L193" i="2" s="1"/>
  <c r="H192" i="2"/>
  <c r="I192" i="2" s="1"/>
  <c r="E192" i="2"/>
  <c r="C192" i="5" l="1"/>
  <c r="G192" i="5"/>
  <c r="F192" i="5"/>
  <c r="D192" i="5"/>
  <c r="M192" i="5"/>
  <c r="K192" i="5"/>
  <c r="J192" i="5"/>
  <c r="A194" i="5"/>
  <c r="L194" i="5" s="1"/>
  <c r="E193" i="5"/>
  <c r="H193" i="5"/>
  <c r="B193" i="5"/>
  <c r="I192" i="5"/>
  <c r="C192" i="2"/>
  <c r="F192" i="2"/>
  <c r="M192" i="2"/>
  <c r="G192" i="2"/>
  <c r="D192" i="2"/>
  <c r="J192" i="2"/>
  <c r="K192" i="2"/>
  <c r="A194" i="2"/>
  <c r="L194" i="2" s="1"/>
  <c r="E193" i="2"/>
  <c r="H193" i="2"/>
  <c r="B193" i="2"/>
  <c r="F193" i="5" l="1"/>
  <c r="M193" i="5"/>
  <c r="G193" i="5"/>
  <c r="D193" i="5"/>
  <c r="C193" i="5"/>
  <c r="K193" i="5"/>
  <c r="J193" i="5"/>
  <c r="I193" i="5"/>
  <c r="A195" i="5"/>
  <c r="L195" i="5" s="1"/>
  <c r="B194" i="5"/>
  <c r="E194" i="5"/>
  <c r="H194" i="5"/>
  <c r="I194" i="5" s="1"/>
  <c r="J193" i="2"/>
  <c r="K193" i="2"/>
  <c r="I193" i="2"/>
  <c r="M193" i="2"/>
  <c r="D193" i="2"/>
  <c r="G193" i="2"/>
  <c r="F193" i="2"/>
  <c r="C193" i="2"/>
  <c r="B194" i="2"/>
  <c r="H194" i="2"/>
  <c r="I194" i="2" s="1"/>
  <c r="E194" i="2"/>
  <c r="A195" i="2"/>
  <c r="L195" i="2" s="1"/>
  <c r="J194" i="5" l="1"/>
  <c r="K194" i="5"/>
  <c r="C194" i="5"/>
  <c r="M194" i="5"/>
  <c r="F194" i="5"/>
  <c r="D194" i="5"/>
  <c r="G194" i="5"/>
  <c r="A196" i="5"/>
  <c r="L196" i="5" s="1"/>
  <c r="H195" i="5"/>
  <c r="I195" i="5" s="1"/>
  <c r="E195" i="5"/>
  <c r="B195" i="5"/>
  <c r="C194" i="2"/>
  <c r="G194" i="2"/>
  <c r="F194" i="2"/>
  <c r="D194" i="2"/>
  <c r="M194" i="2"/>
  <c r="A196" i="2"/>
  <c r="L196" i="2" s="1"/>
  <c r="H195" i="2"/>
  <c r="I195" i="2" s="1"/>
  <c r="E195" i="2"/>
  <c r="B195" i="2"/>
  <c r="K194" i="2"/>
  <c r="J194" i="2"/>
  <c r="G195" i="5" l="1"/>
  <c r="F195" i="5"/>
  <c r="D195" i="5"/>
  <c r="C195" i="5"/>
  <c r="M195" i="5"/>
  <c r="K195" i="5"/>
  <c r="J195" i="5"/>
  <c r="E196" i="5"/>
  <c r="B196" i="5"/>
  <c r="H196" i="5"/>
  <c r="A197" i="5"/>
  <c r="L197" i="5" s="1"/>
  <c r="M195" i="2"/>
  <c r="G195" i="2"/>
  <c r="F195" i="2"/>
  <c r="D195" i="2"/>
  <c r="C195" i="2"/>
  <c r="K195" i="2"/>
  <c r="J195" i="2"/>
  <c r="B196" i="2"/>
  <c r="H196" i="2"/>
  <c r="I196" i="2" s="1"/>
  <c r="A197" i="2"/>
  <c r="L197" i="2" s="1"/>
  <c r="E196" i="2"/>
  <c r="K196" i="5" l="1"/>
  <c r="J196" i="5"/>
  <c r="A198" i="5"/>
  <c r="L198" i="5" s="1"/>
  <c r="B197" i="5"/>
  <c r="H197" i="5"/>
  <c r="E197" i="5"/>
  <c r="I196" i="5"/>
  <c r="C196" i="5"/>
  <c r="F196" i="5"/>
  <c r="D196" i="5"/>
  <c r="M196" i="5"/>
  <c r="G196" i="5"/>
  <c r="K196" i="2"/>
  <c r="J196" i="2"/>
  <c r="A198" i="2"/>
  <c r="L198" i="2" s="1"/>
  <c r="E197" i="2"/>
  <c r="B197" i="2"/>
  <c r="H197" i="2"/>
  <c r="C196" i="2"/>
  <c r="M196" i="2"/>
  <c r="F196" i="2"/>
  <c r="D196" i="2"/>
  <c r="G196" i="2"/>
  <c r="J197" i="5" l="1"/>
  <c r="K197" i="5"/>
  <c r="G197" i="5"/>
  <c r="M197" i="5"/>
  <c r="F197" i="5"/>
  <c r="C197" i="5"/>
  <c r="D197" i="5"/>
  <c r="I197" i="5"/>
  <c r="H198" i="5"/>
  <c r="B198" i="5"/>
  <c r="A199" i="5"/>
  <c r="L199" i="5" s="1"/>
  <c r="E198" i="5"/>
  <c r="K197" i="2"/>
  <c r="J197" i="2"/>
  <c r="I197" i="2"/>
  <c r="B198" i="2"/>
  <c r="E198" i="2"/>
  <c r="A199" i="2"/>
  <c r="L199" i="2" s="1"/>
  <c r="H198" i="2"/>
  <c r="M197" i="2"/>
  <c r="D197" i="2"/>
  <c r="C197" i="2"/>
  <c r="G197" i="2"/>
  <c r="F197" i="2"/>
  <c r="A200" i="5" l="1"/>
  <c r="L200" i="5" s="1"/>
  <c r="E199" i="5"/>
  <c r="B199" i="5"/>
  <c r="H199" i="5"/>
  <c r="C198" i="5"/>
  <c r="G198" i="5"/>
  <c r="D198" i="5"/>
  <c r="M198" i="5"/>
  <c r="F198" i="5"/>
  <c r="J198" i="5"/>
  <c r="K198" i="5"/>
  <c r="I198" i="5"/>
  <c r="J198" i="2"/>
  <c r="K198" i="2"/>
  <c r="A200" i="2"/>
  <c r="L200" i="2" s="1"/>
  <c r="H199" i="2"/>
  <c r="E199" i="2"/>
  <c r="B199" i="2"/>
  <c r="I198" i="2"/>
  <c r="C198" i="2"/>
  <c r="F198" i="2"/>
  <c r="D198" i="2"/>
  <c r="M198" i="2"/>
  <c r="G198" i="2"/>
  <c r="K199" i="5" l="1"/>
  <c r="J199" i="5"/>
  <c r="I199" i="5"/>
  <c r="G199" i="5"/>
  <c r="F199" i="5"/>
  <c r="D199" i="5"/>
  <c r="C199" i="5"/>
  <c r="M199" i="5"/>
  <c r="B200" i="5"/>
  <c r="A201" i="5"/>
  <c r="L201" i="5" s="1"/>
  <c r="H200" i="5"/>
  <c r="E200" i="5"/>
  <c r="M199" i="2"/>
  <c r="F199" i="2"/>
  <c r="C199" i="2"/>
  <c r="D199" i="2"/>
  <c r="G199" i="2"/>
  <c r="J199" i="2"/>
  <c r="K199" i="2"/>
  <c r="I199" i="2"/>
  <c r="B200" i="2"/>
  <c r="A201" i="2"/>
  <c r="L201" i="2" s="1"/>
  <c r="H200" i="2"/>
  <c r="I200" i="2" s="1"/>
  <c r="E200" i="2"/>
  <c r="K200" i="5" l="1"/>
  <c r="J200" i="5"/>
  <c r="C200" i="5"/>
  <c r="M200" i="5"/>
  <c r="G200" i="5"/>
  <c r="F200" i="5"/>
  <c r="D200" i="5"/>
  <c r="I200" i="5"/>
  <c r="A202" i="5"/>
  <c r="L202" i="5" s="1"/>
  <c r="B201" i="5"/>
  <c r="H201" i="5"/>
  <c r="E201" i="5"/>
  <c r="A202" i="2"/>
  <c r="L202" i="2" s="1"/>
  <c r="B201" i="2"/>
  <c r="H201" i="2"/>
  <c r="E201" i="2"/>
  <c r="C200" i="2"/>
  <c r="M200" i="2"/>
  <c r="G200" i="2"/>
  <c r="F200" i="2"/>
  <c r="D200" i="2"/>
  <c r="K200" i="2"/>
  <c r="J200" i="2"/>
  <c r="K201" i="5" l="1"/>
  <c r="J201" i="5"/>
  <c r="M201" i="5"/>
  <c r="C201" i="5"/>
  <c r="G201" i="5"/>
  <c r="F201" i="5"/>
  <c r="D201" i="5"/>
  <c r="I201" i="5"/>
  <c r="A203" i="5"/>
  <c r="L203" i="5" s="1"/>
  <c r="E202" i="5"/>
  <c r="B202" i="5"/>
  <c r="H202" i="5"/>
  <c r="J201" i="2"/>
  <c r="K201" i="2"/>
  <c r="I201" i="2"/>
  <c r="M201" i="2"/>
  <c r="G201" i="2"/>
  <c r="F201" i="2"/>
  <c r="D201" i="2"/>
  <c r="C201" i="2"/>
  <c r="B202" i="2"/>
  <c r="A203" i="2"/>
  <c r="L203" i="2" s="1"/>
  <c r="E202" i="2"/>
  <c r="H202" i="2"/>
  <c r="K202" i="5" l="1"/>
  <c r="J202" i="5"/>
  <c r="I202" i="5"/>
  <c r="C202" i="5"/>
  <c r="F202" i="5"/>
  <c r="D202" i="5"/>
  <c r="M202" i="5"/>
  <c r="G202" i="5"/>
  <c r="A204" i="5"/>
  <c r="L204" i="5" s="1"/>
  <c r="B203" i="5"/>
  <c r="H203" i="5"/>
  <c r="E203" i="5"/>
  <c r="J202" i="2"/>
  <c r="K202" i="2"/>
  <c r="A204" i="2"/>
  <c r="L204" i="2" s="1"/>
  <c r="E203" i="2"/>
  <c r="B203" i="2"/>
  <c r="H203" i="2"/>
  <c r="I202" i="2"/>
  <c r="C202" i="2"/>
  <c r="F202" i="2"/>
  <c r="D202" i="2"/>
  <c r="M202" i="2"/>
  <c r="G202" i="2"/>
  <c r="K203" i="5" l="1"/>
  <c r="J203" i="5"/>
  <c r="G203" i="5"/>
  <c r="F203" i="5"/>
  <c r="D203" i="5"/>
  <c r="C203" i="5"/>
  <c r="M203" i="5"/>
  <c r="I203" i="5"/>
  <c r="H204" i="5"/>
  <c r="E204" i="5"/>
  <c r="B204" i="5"/>
  <c r="J203" i="2"/>
  <c r="K203" i="2"/>
  <c r="I203" i="2"/>
  <c r="M203" i="2"/>
  <c r="F203" i="2"/>
  <c r="D203" i="2"/>
  <c r="C203" i="2"/>
  <c r="G203" i="2"/>
  <c r="B204" i="2"/>
  <c r="H204" i="2"/>
  <c r="E204" i="2"/>
  <c r="C204" i="5" l="1"/>
  <c r="M204" i="5"/>
  <c r="G204" i="5"/>
  <c r="F204" i="5"/>
  <c r="D204" i="5"/>
  <c r="K204" i="5"/>
  <c r="J204" i="5"/>
  <c r="I204" i="5"/>
  <c r="C204" i="2"/>
  <c r="G204" i="2"/>
  <c r="D204" i="2"/>
  <c r="F204" i="2"/>
  <c r="M204" i="2"/>
  <c r="J204" i="2"/>
  <c r="K204" i="2"/>
  <c r="I204" i="2"/>
  <c r="W1" i="4" l="1" a="1"/>
  <c r="W1" i="4" s="1"/>
  <c r="A15" i="4" s="1"/>
  <c r="W1" i="3" a="1"/>
  <c r="W1" i="3" s="1"/>
  <c r="A15" i="3" s="1"/>
  <c r="E15" i="3" l="1"/>
  <c r="H15" i="3"/>
  <c r="A16" i="3"/>
  <c r="I15" i="3"/>
  <c r="B15" i="3"/>
  <c r="H15" i="4"/>
  <c r="I15" i="4"/>
  <c r="B15" i="4"/>
  <c r="A16" i="4"/>
  <c r="E15" i="4"/>
  <c r="H16" i="4" l="1"/>
  <c r="B16" i="4"/>
  <c r="E16" i="4"/>
  <c r="I16" i="4"/>
  <c r="A17" i="4"/>
  <c r="F15" i="4"/>
  <c r="G15" i="4"/>
  <c r="C15" i="4"/>
  <c r="J15" i="4"/>
  <c r="K15" i="4" s="1"/>
  <c r="C15" i="3"/>
  <c r="F15" i="3"/>
  <c r="G15" i="3"/>
  <c r="E16" i="3"/>
  <c r="I16" i="3"/>
  <c r="B16" i="3"/>
  <c r="A17" i="3"/>
  <c r="H16" i="3"/>
  <c r="J15" i="3"/>
  <c r="K15" i="3" s="1"/>
  <c r="M15" i="4" l="1"/>
  <c r="M15" i="3"/>
  <c r="H17" i="3"/>
  <c r="E17" i="3"/>
  <c r="I17" i="3"/>
  <c r="B17" i="3"/>
  <c r="A18" i="3"/>
  <c r="J16" i="3"/>
  <c r="K16" i="3" s="1"/>
  <c r="G16" i="3"/>
  <c r="F16" i="3"/>
  <c r="C16" i="3"/>
  <c r="H17" i="4"/>
  <c r="I17" i="4"/>
  <c r="E17" i="4"/>
  <c r="B17" i="4"/>
  <c r="A18" i="4"/>
  <c r="F16" i="4"/>
  <c r="C16" i="4"/>
  <c r="G16" i="4"/>
  <c r="J16" i="4"/>
  <c r="K16" i="4" s="1"/>
  <c r="M16" i="4" l="1"/>
  <c r="M16" i="3"/>
  <c r="F17" i="4"/>
  <c r="G17" i="4"/>
  <c r="C17" i="4"/>
  <c r="H18" i="4"/>
  <c r="I18" i="4"/>
  <c r="E18" i="4"/>
  <c r="A19" i="4"/>
  <c r="B18" i="4"/>
  <c r="J17" i="4"/>
  <c r="K17" i="4" s="1"/>
  <c r="H18" i="3"/>
  <c r="I18" i="3"/>
  <c r="E18" i="3"/>
  <c r="B18" i="3"/>
  <c r="A19" i="3"/>
  <c r="C17" i="3"/>
  <c r="G17" i="3"/>
  <c r="F17" i="3"/>
  <c r="J17" i="3"/>
  <c r="K17" i="3" s="1"/>
  <c r="M17" i="3" l="1"/>
  <c r="M17" i="4"/>
  <c r="J18" i="3"/>
  <c r="K18" i="3" s="1"/>
  <c r="G18" i="3"/>
  <c r="F18" i="3"/>
  <c r="C18" i="3"/>
  <c r="F18" i="4"/>
  <c r="G18" i="4"/>
  <c r="C18" i="4"/>
  <c r="B19" i="4"/>
  <c r="I19" i="4"/>
  <c r="H19" i="4"/>
  <c r="E19" i="4"/>
  <c r="A20" i="4"/>
  <c r="I19" i="3"/>
  <c r="E19" i="3"/>
  <c r="H19" i="3"/>
  <c r="B19" i="3"/>
  <c r="A20" i="3"/>
  <c r="J18" i="4"/>
  <c r="K18" i="4" s="1"/>
  <c r="M18" i="4" l="1"/>
  <c r="M18" i="3"/>
  <c r="F19" i="3"/>
  <c r="C19" i="3"/>
  <c r="G19" i="3"/>
  <c r="J19" i="3"/>
  <c r="K19" i="3" s="1"/>
  <c r="B20" i="4"/>
  <c r="H20" i="4"/>
  <c r="I20" i="4"/>
  <c r="E20" i="4"/>
  <c r="A21" i="4"/>
  <c r="I20" i="3"/>
  <c r="E20" i="3"/>
  <c r="B20" i="3"/>
  <c r="H20" i="3"/>
  <c r="A21" i="3"/>
  <c r="G19" i="4"/>
  <c r="F19" i="4"/>
  <c r="C19" i="4"/>
  <c r="J19" i="4"/>
  <c r="K19" i="4" s="1"/>
  <c r="M19" i="3" l="1"/>
  <c r="M19" i="4"/>
  <c r="J20" i="3"/>
  <c r="K20" i="3" s="1"/>
  <c r="H21" i="4"/>
  <c r="E21" i="4"/>
  <c r="I21" i="4"/>
  <c r="B21" i="4"/>
  <c r="A22" i="4"/>
  <c r="B21" i="3"/>
  <c r="H21" i="3"/>
  <c r="A22" i="3"/>
  <c r="I21" i="3"/>
  <c r="E21" i="3"/>
  <c r="J20" i="4"/>
  <c r="K20" i="4" s="1"/>
  <c r="G20" i="3"/>
  <c r="F20" i="3"/>
  <c r="C20" i="3"/>
  <c r="G20" i="4"/>
  <c r="F20" i="4"/>
  <c r="C20" i="4"/>
  <c r="M20" i="3" l="1"/>
  <c r="M20" i="4"/>
  <c r="J21" i="3"/>
  <c r="K21" i="3" s="1"/>
  <c r="E22" i="3"/>
  <c r="I22" i="3"/>
  <c r="H22" i="3"/>
  <c r="B22" i="3"/>
  <c r="A23" i="3"/>
  <c r="I22" i="4"/>
  <c r="H22" i="4"/>
  <c r="E22" i="4"/>
  <c r="B22" i="4"/>
  <c r="A23" i="4"/>
  <c r="F21" i="4"/>
  <c r="C21" i="4"/>
  <c r="G21" i="4"/>
  <c r="G21" i="3"/>
  <c r="C21" i="3"/>
  <c r="F21" i="3"/>
  <c r="J21" i="4"/>
  <c r="K21" i="4" s="1"/>
  <c r="M21" i="3" l="1"/>
  <c r="M21" i="4"/>
  <c r="C22" i="4"/>
  <c r="G22" i="4"/>
  <c r="F22" i="4"/>
  <c r="B23" i="3"/>
  <c r="E23" i="3"/>
  <c r="I23" i="3"/>
  <c r="A24" i="3"/>
  <c r="H23" i="3"/>
  <c r="F22" i="3"/>
  <c r="C22" i="3"/>
  <c r="G22" i="3"/>
  <c r="J22" i="3"/>
  <c r="K22" i="3" s="1"/>
  <c r="B23" i="4"/>
  <c r="H23" i="4"/>
  <c r="A24" i="4"/>
  <c r="E23" i="4"/>
  <c r="I23" i="4"/>
  <c r="J22" i="4"/>
  <c r="K22" i="4" s="1"/>
  <c r="M22" i="3" l="1"/>
  <c r="M22" i="4"/>
  <c r="J23" i="3"/>
  <c r="K23" i="3" s="1"/>
  <c r="C23" i="4"/>
  <c r="F23" i="4"/>
  <c r="G23" i="4"/>
  <c r="B24" i="3"/>
  <c r="H24" i="3"/>
  <c r="E24" i="3"/>
  <c r="I24" i="3"/>
  <c r="A25" i="3"/>
  <c r="H24" i="4"/>
  <c r="B24" i="4"/>
  <c r="A25" i="4"/>
  <c r="I24" i="4"/>
  <c r="E24" i="4"/>
  <c r="J23" i="4"/>
  <c r="K23" i="4" s="1"/>
  <c r="G23" i="3"/>
  <c r="C23" i="3"/>
  <c r="F23" i="3"/>
  <c r="M23" i="3" l="1"/>
  <c r="M23" i="4"/>
  <c r="H25" i="4"/>
  <c r="B25" i="4"/>
  <c r="E25" i="4"/>
  <c r="I25" i="4"/>
  <c r="A26" i="4"/>
  <c r="J24" i="4"/>
  <c r="K24" i="4" s="1"/>
  <c r="F24" i="3"/>
  <c r="G24" i="3"/>
  <c r="C24" i="3"/>
  <c r="F24" i="4"/>
  <c r="G24" i="4"/>
  <c r="C24" i="4"/>
  <c r="B25" i="3"/>
  <c r="H25" i="3"/>
  <c r="A26" i="3"/>
  <c r="E25" i="3"/>
  <c r="I25" i="3"/>
  <c r="J24" i="3"/>
  <c r="K24" i="3" s="1"/>
  <c r="M24" i="4" l="1"/>
  <c r="M24" i="3"/>
  <c r="J25" i="3"/>
  <c r="K25" i="3" s="1"/>
  <c r="B26" i="3"/>
  <c r="H26" i="3"/>
  <c r="A27" i="3"/>
  <c r="I26" i="3"/>
  <c r="E26" i="3"/>
  <c r="B26" i="4"/>
  <c r="H26" i="4"/>
  <c r="I26" i="4"/>
  <c r="E26" i="4"/>
  <c r="A27" i="4"/>
  <c r="C25" i="3"/>
  <c r="F25" i="3"/>
  <c r="G25" i="3"/>
  <c r="J25" i="4"/>
  <c r="K25" i="4" s="1"/>
  <c r="F25" i="4"/>
  <c r="G25" i="4"/>
  <c r="C25" i="4"/>
  <c r="M25" i="4" l="1"/>
  <c r="M25" i="3"/>
  <c r="B27" i="4"/>
  <c r="I27" i="4"/>
  <c r="E27" i="4"/>
  <c r="A28" i="4"/>
  <c r="H27" i="4"/>
  <c r="F26" i="4"/>
  <c r="G26" i="4"/>
  <c r="C26" i="4"/>
  <c r="H27" i="3"/>
  <c r="E27" i="3"/>
  <c r="I27" i="3"/>
  <c r="B27" i="3"/>
  <c r="A28" i="3"/>
  <c r="J26" i="3"/>
  <c r="K26" i="3" s="1"/>
  <c r="J26" i="4"/>
  <c r="K26" i="4" s="1"/>
  <c r="G26" i="3"/>
  <c r="F26" i="3"/>
  <c r="C26" i="3"/>
  <c r="M26" i="3" l="1"/>
  <c r="M26" i="4"/>
  <c r="H28" i="3"/>
  <c r="I28" i="3"/>
  <c r="E28" i="3"/>
  <c r="A29" i="3"/>
  <c r="B28" i="3"/>
  <c r="J27" i="4"/>
  <c r="K27" i="4" s="1"/>
  <c r="B28" i="4"/>
  <c r="A29" i="4"/>
  <c r="H28" i="4"/>
  <c r="I28" i="4"/>
  <c r="E28" i="4"/>
  <c r="C27" i="3"/>
  <c r="G27" i="3"/>
  <c r="F27" i="3"/>
  <c r="J27" i="3"/>
  <c r="K27" i="3" s="1"/>
  <c r="F27" i="4"/>
  <c r="C27" i="4"/>
  <c r="G27" i="4"/>
  <c r="M27" i="4" l="1"/>
  <c r="M27" i="3"/>
  <c r="J28" i="4"/>
  <c r="K28" i="4" s="1"/>
  <c r="H29" i="4"/>
  <c r="E29" i="4"/>
  <c r="A30" i="4"/>
  <c r="I29" i="4"/>
  <c r="B29" i="4"/>
  <c r="C28" i="3"/>
  <c r="G28" i="3"/>
  <c r="F28" i="3"/>
  <c r="B29" i="3"/>
  <c r="H29" i="3"/>
  <c r="E29" i="3"/>
  <c r="I29" i="3"/>
  <c r="A30" i="3"/>
  <c r="C28" i="4"/>
  <c r="G28" i="4"/>
  <c r="F28" i="4"/>
  <c r="J28" i="3"/>
  <c r="K28" i="3" s="1"/>
  <c r="M28" i="4" l="1"/>
  <c r="M28" i="3"/>
  <c r="B30" i="3"/>
  <c r="I30" i="3"/>
  <c r="H30" i="3"/>
  <c r="A31" i="3"/>
  <c r="E30" i="3"/>
  <c r="F29" i="3"/>
  <c r="G29" i="3"/>
  <c r="C29" i="3"/>
  <c r="G29" i="4"/>
  <c r="F29" i="4"/>
  <c r="C29" i="4"/>
  <c r="H30" i="4"/>
  <c r="I30" i="4"/>
  <c r="E30" i="4"/>
  <c r="A31" i="4"/>
  <c r="B30" i="4"/>
  <c r="J29" i="3"/>
  <c r="K29" i="3" s="1"/>
  <c r="J29" i="4"/>
  <c r="K29" i="4" s="1"/>
  <c r="M29" i="3" l="1"/>
  <c r="M29" i="4"/>
  <c r="I31" i="4"/>
  <c r="B31" i="4"/>
  <c r="E31" i="4"/>
  <c r="H31" i="4"/>
  <c r="A32" i="4"/>
  <c r="F30" i="4"/>
  <c r="G30" i="4"/>
  <c r="C30" i="4"/>
  <c r="E31" i="3"/>
  <c r="I31" i="3"/>
  <c r="A32" i="3"/>
  <c r="H31" i="3"/>
  <c r="B31" i="3"/>
  <c r="J30" i="3"/>
  <c r="K30" i="3" s="1"/>
  <c r="F30" i="3"/>
  <c r="C30" i="3"/>
  <c r="G30" i="3"/>
  <c r="J30" i="4"/>
  <c r="K30" i="4" s="1"/>
  <c r="M30" i="4" s="1"/>
  <c r="M30" i="3" l="1"/>
  <c r="B32" i="3"/>
  <c r="H32" i="3"/>
  <c r="I32" i="3"/>
  <c r="E32" i="3"/>
  <c r="A33" i="3"/>
  <c r="J31" i="4"/>
  <c r="K31" i="4" s="1"/>
  <c r="G31" i="3"/>
  <c r="C31" i="3"/>
  <c r="F31" i="3"/>
  <c r="J31" i="3"/>
  <c r="K31" i="3" s="1"/>
  <c r="G31" i="4"/>
  <c r="F31" i="4"/>
  <c r="C31" i="4"/>
  <c r="B32" i="4"/>
  <c r="E32" i="4"/>
  <c r="I32" i="4"/>
  <c r="H32" i="4"/>
  <c r="A33" i="4"/>
  <c r="M31" i="4" l="1"/>
  <c r="M31" i="3"/>
  <c r="H33" i="3"/>
  <c r="I33" i="3"/>
  <c r="B33" i="3"/>
  <c r="A34" i="3"/>
  <c r="E33" i="3"/>
  <c r="H33" i="4"/>
  <c r="B33" i="4"/>
  <c r="A34" i="4"/>
  <c r="I33" i="4"/>
  <c r="E33" i="4"/>
  <c r="J32" i="4"/>
  <c r="K32" i="4" s="1"/>
  <c r="G32" i="4"/>
  <c r="C32" i="4"/>
  <c r="F32" i="4"/>
  <c r="J32" i="3"/>
  <c r="K32" i="3" s="1"/>
  <c r="F32" i="3"/>
  <c r="G32" i="3"/>
  <c r="C32" i="3"/>
  <c r="M32" i="3" l="1"/>
  <c r="M32" i="4"/>
  <c r="J33" i="4"/>
  <c r="K33" i="4" s="1"/>
  <c r="H34" i="3"/>
  <c r="E34" i="3"/>
  <c r="I34" i="3"/>
  <c r="B34" i="3"/>
  <c r="A35" i="3"/>
  <c r="F33" i="3"/>
  <c r="C33" i="3"/>
  <c r="G33" i="3"/>
  <c r="H34" i="4"/>
  <c r="E34" i="4"/>
  <c r="I34" i="4"/>
  <c r="A35" i="4"/>
  <c r="B34" i="4"/>
  <c r="G33" i="4"/>
  <c r="C33" i="4"/>
  <c r="F33" i="4"/>
  <c r="J33" i="3"/>
  <c r="K33" i="3" s="1"/>
  <c r="M33" i="4" l="1"/>
  <c r="M33" i="3"/>
  <c r="B35" i="4"/>
  <c r="E35" i="4"/>
  <c r="I35" i="4"/>
  <c r="H35" i="4"/>
  <c r="A36" i="4"/>
  <c r="F34" i="3"/>
  <c r="G34" i="3"/>
  <c r="C34" i="3"/>
  <c r="C34" i="4"/>
  <c r="G34" i="4"/>
  <c r="F34" i="4"/>
  <c r="J34" i="4"/>
  <c r="K34" i="4" s="1"/>
  <c r="H35" i="3"/>
  <c r="I35" i="3"/>
  <c r="A36" i="3"/>
  <c r="B35" i="3"/>
  <c r="E35" i="3"/>
  <c r="J34" i="3"/>
  <c r="K34" i="3" s="1"/>
  <c r="M34" i="4" l="1"/>
  <c r="M34" i="3"/>
  <c r="G35" i="3"/>
  <c r="F35" i="3"/>
  <c r="C35" i="3"/>
  <c r="H36" i="4"/>
  <c r="A37" i="4"/>
  <c r="B36" i="4"/>
  <c r="I36" i="4"/>
  <c r="E36" i="4"/>
  <c r="J35" i="4"/>
  <c r="K35" i="4" s="1"/>
  <c r="J35" i="3"/>
  <c r="K35" i="3" s="1"/>
  <c r="I36" i="3"/>
  <c r="H36" i="3"/>
  <c r="B36" i="3"/>
  <c r="A37" i="3"/>
  <c r="E36" i="3"/>
  <c r="G35" i="4"/>
  <c r="C35" i="4"/>
  <c r="F35" i="4"/>
  <c r="M35" i="4" l="1"/>
  <c r="M35" i="3"/>
  <c r="B37" i="3"/>
  <c r="H37" i="3"/>
  <c r="E37" i="3"/>
  <c r="I37" i="3"/>
  <c r="A38" i="3"/>
  <c r="G36" i="3"/>
  <c r="F36" i="3"/>
  <c r="C36" i="3"/>
  <c r="J36" i="4"/>
  <c r="K36" i="4" s="1"/>
  <c r="H37" i="4"/>
  <c r="A38" i="4"/>
  <c r="I37" i="4"/>
  <c r="E37" i="4"/>
  <c r="B37" i="4"/>
  <c r="J36" i="3"/>
  <c r="K36" i="3" s="1"/>
  <c r="F36" i="4"/>
  <c r="G36" i="4"/>
  <c r="C36" i="4"/>
  <c r="M36" i="4" l="1"/>
  <c r="M36" i="3"/>
  <c r="E38" i="4"/>
  <c r="B38" i="4"/>
  <c r="H38" i="4"/>
  <c r="A39" i="4"/>
  <c r="I38" i="4"/>
  <c r="J37" i="4"/>
  <c r="K37" i="4" s="1"/>
  <c r="E38" i="3"/>
  <c r="H38" i="3"/>
  <c r="I38" i="3"/>
  <c r="B38" i="3"/>
  <c r="A39" i="3"/>
  <c r="J37" i="3"/>
  <c r="K37" i="3" s="1"/>
  <c r="G37" i="4"/>
  <c r="F37" i="4"/>
  <c r="C37" i="4"/>
  <c r="C37" i="3"/>
  <c r="G37" i="3"/>
  <c r="F37" i="3"/>
  <c r="M37" i="4" l="1"/>
  <c r="M37" i="3"/>
  <c r="B39" i="3"/>
  <c r="I39" i="3"/>
  <c r="E39" i="3"/>
  <c r="H39" i="3"/>
  <c r="A40" i="3"/>
  <c r="C38" i="3"/>
  <c r="G38" i="3"/>
  <c r="F38" i="3"/>
  <c r="J38" i="3"/>
  <c r="K38" i="3" s="1"/>
  <c r="B39" i="4"/>
  <c r="E39" i="4"/>
  <c r="I39" i="4"/>
  <c r="H39" i="4"/>
  <c r="A40" i="4"/>
  <c r="G38" i="4"/>
  <c r="C38" i="4"/>
  <c r="F38" i="4"/>
  <c r="J38" i="4"/>
  <c r="K38" i="4" s="1"/>
  <c r="M38" i="3" l="1"/>
  <c r="M38" i="4"/>
  <c r="I40" i="4"/>
  <c r="B40" i="4"/>
  <c r="H40" i="4"/>
  <c r="E40" i="4"/>
  <c r="A41" i="4"/>
  <c r="J39" i="4"/>
  <c r="K39" i="4" s="1"/>
  <c r="G39" i="4"/>
  <c r="F39" i="4"/>
  <c r="C39" i="4"/>
  <c r="E40" i="3"/>
  <c r="I40" i="3"/>
  <c r="H40" i="3"/>
  <c r="B40" i="3"/>
  <c r="A41" i="3"/>
  <c r="J39" i="3"/>
  <c r="K39" i="3" s="1"/>
  <c r="G39" i="3"/>
  <c r="F39" i="3"/>
  <c r="C39" i="3"/>
  <c r="M39" i="4" l="1"/>
  <c r="M39" i="3"/>
  <c r="J40" i="3"/>
  <c r="K40" i="3" s="1"/>
  <c r="G40" i="3"/>
  <c r="F40" i="3"/>
  <c r="C40" i="3"/>
  <c r="I41" i="3"/>
  <c r="H41" i="3"/>
  <c r="B41" i="3"/>
  <c r="E41" i="3"/>
  <c r="A42" i="3"/>
  <c r="J40" i="4"/>
  <c r="K40" i="4" s="1"/>
  <c r="C40" i="4"/>
  <c r="F40" i="4"/>
  <c r="G40" i="4"/>
  <c r="B41" i="4"/>
  <c r="H41" i="4"/>
  <c r="A42" i="4"/>
  <c r="I41" i="4"/>
  <c r="E41" i="4"/>
  <c r="M40" i="3" l="1"/>
  <c r="M40" i="4"/>
  <c r="J41" i="4"/>
  <c r="K41" i="4" s="1"/>
  <c r="I42" i="4"/>
  <c r="B42" i="4"/>
  <c r="E42" i="4"/>
  <c r="H42" i="4"/>
  <c r="A43" i="4"/>
  <c r="F41" i="4"/>
  <c r="G41" i="4"/>
  <c r="C41" i="4"/>
  <c r="A43" i="3"/>
  <c r="H42" i="3"/>
  <c r="E42" i="3"/>
  <c r="I42" i="3"/>
  <c r="B42" i="3"/>
  <c r="C41" i="3"/>
  <c r="F41" i="3"/>
  <c r="G41" i="3"/>
  <c r="J41" i="3"/>
  <c r="K41" i="3" s="1"/>
  <c r="M41" i="3" l="1"/>
  <c r="M41" i="4"/>
  <c r="C42" i="3"/>
  <c r="F42" i="3"/>
  <c r="G42" i="3"/>
  <c r="J42" i="3"/>
  <c r="K42" i="3" s="1"/>
  <c r="E43" i="4"/>
  <c r="H43" i="4"/>
  <c r="B43" i="4"/>
  <c r="I43" i="4"/>
  <c r="A44" i="4"/>
  <c r="H43" i="3"/>
  <c r="E43" i="3"/>
  <c r="I43" i="3"/>
  <c r="B43" i="3"/>
  <c r="A44" i="3"/>
  <c r="J42" i="4"/>
  <c r="K42" i="4" s="1"/>
  <c r="F42" i="4"/>
  <c r="G42" i="4"/>
  <c r="C42" i="4"/>
  <c r="M42" i="4" l="1"/>
  <c r="M42" i="3"/>
  <c r="F43" i="3"/>
  <c r="C43" i="3"/>
  <c r="G43" i="3"/>
  <c r="J43" i="3"/>
  <c r="K43" i="3" s="1"/>
  <c r="I44" i="3"/>
  <c r="B44" i="3"/>
  <c r="A45" i="3"/>
  <c r="H44" i="3"/>
  <c r="E44" i="3"/>
  <c r="I44" i="4"/>
  <c r="H44" i="4"/>
  <c r="E44" i="4"/>
  <c r="B44" i="4"/>
  <c r="A45" i="4"/>
  <c r="G43" i="4"/>
  <c r="C43" i="4"/>
  <c r="F43" i="4"/>
  <c r="J43" i="4"/>
  <c r="K43" i="4" s="1"/>
  <c r="M43" i="4" l="1"/>
  <c r="M43" i="3"/>
  <c r="F44" i="4"/>
  <c r="G44" i="4"/>
  <c r="C44" i="4"/>
  <c r="J44" i="3"/>
  <c r="K44" i="3" s="1"/>
  <c r="H45" i="4"/>
  <c r="I45" i="4"/>
  <c r="E45" i="4"/>
  <c r="B45" i="4"/>
  <c r="A46" i="4"/>
  <c r="H45" i="3"/>
  <c r="B45" i="3"/>
  <c r="A46" i="3"/>
  <c r="E45" i="3"/>
  <c r="I45" i="3"/>
  <c r="C44" i="3"/>
  <c r="F44" i="3"/>
  <c r="G44" i="3"/>
  <c r="J44" i="4"/>
  <c r="K44" i="4" s="1"/>
  <c r="M44" i="3" l="1"/>
  <c r="M44" i="4"/>
  <c r="H46" i="3"/>
  <c r="B46" i="3"/>
  <c r="A47" i="3"/>
  <c r="I46" i="3"/>
  <c r="E46" i="3"/>
  <c r="J45" i="3"/>
  <c r="K45" i="3" s="1"/>
  <c r="H46" i="4"/>
  <c r="B46" i="4"/>
  <c r="E46" i="4"/>
  <c r="I46" i="4"/>
  <c r="A47" i="4"/>
  <c r="F45" i="4"/>
  <c r="C45" i="4"/>
  <c r="G45" i="4"/>
  <c r="F45" i="3"/>
  <c r="C45" i="3"/>
  <c r="G45" i="3"/>
  <c r="J45" i="4"/>
  <c r="K45" i="4" s="1"/>
  <c r="M45" i="4" l="1"/>
  <c r="M45" i="3"/>
  <c r="B47" i="4"/>
  <c r="E47" i="4"/>
  <c r="I47" i="4"/>
  <c r="H47" i="4"/>
  <c r="A48" i="4"/>
  <c r="C46" i="4"/>
  <c r="F46" i="4"/>
  <c r="G46" i="4"/>
  <c r="E47" i="3"/>
  <c r="B47" i="3"/>
  <c r="A48" i="3"/>
  <c r="I47" i="3"/>
  <c r="H47" i="3"/>
  <c r="G46" i="3"/>
  <c r="C46" i="3"/>
  <c r="F46" i="3"/>
  <c r="J46" i="4"/>
  <c r="K46" i="4" s="1"/>
  <c r="J46" i="3"/>
  <c r="K46" i="3" s="1"/>
  <c r="M46" i="3" l="1"/>
  <c r="M46" i="4"/>
  <c r="I48" i="3"/>
  <c r="B48" i="3"/>
  <c r="H48" i="3"/>
  <c r="E48" i="3"/>
  <c r="A49" i="3"/>
  <c r="G47" i="3"/>
  <c r="C47" i="3"/>
  <c r="F47" i="3"/>
  <c r="J47" i="3"/>
  <c r="K47" i="3" s="1"/>
  <c r="J47" i="4"/>
  <c r="K47" i="4" s="1"/>
  <c r="H48" i="4"/>
  <c r="I48" i="4"/>
  <c r="E48" i="4"/>
  <c r="A49" i="4"/>
  <c r="B48" i="4"/>
  <c r="F47" i="4"/>
  <c r="C47" i="4"/>
  <c r="G47" i="4"/>
  <c r="M47" i="4" l="1"/>
  <c r="M47" i="3"/>
  <c r="G48" i="4"/>
  <c r="F48" i="4"/>
  <c r="C48" i="4"/>
  <c r="H49" i="4"/>
  <c r="B49" i="4"/>
  <c r="I49" i="4"/>
  <c r="E49" i="4"/>
  <c r="A50" i="4"/>
  <c r="J48" i="3"/>
  <c r="K48" i="3" s="1"/>
  <c r="B49" i="3"/>
  <c r="H49" i="3"/>
  <c r="E49" i="3"/>
  <c r="I49" i="3"/>
  <c r="A50" i="3"/>
  <c r="C48" i="3"/>
  <c r="F48" i="3"/>
  <c r="G48" i="3"/>
  <c r="J48" i="4"/>
  <c r="K48" i="4" s="1"/>
  <c r="M48" i="4" l="1"/>
  <c r="M48" i="3"/>
  <c r="J49" i="3"/>
  <c r="K49" i="3" s="1"/>
  <c r="H50" i="3"/>
  <c r="E50" i="3"/>
  <c r="I50" i="3"/>
  <c r="B50" i="3"/>
  <c r="A51" i="3"/>
  <c r="I50" i="4"/>
  <c r="E50" i="4"/>
  <c r="B50" i="4"/>
  <c r="H50" i="4"/>
  <c r="A51" i="4"/>
  <c r="F49" i="4"/>
  <c r="G49" i="4"/>
  <c r="C49" i="4"/>
  <c r="C49" i="3"/>
  <c r="G49" i="3"/>
  <c r="F49" i="3"/>
  <c r="J49" i="4"/>
  <c r="K49" i="4" s="1"/>
  <c r="M49" i="4" l="1"/>
  <c r="M49" i="3"/>
  <c r="J50" i="4"/>
  <c r="K50" i="4" s="1"/>
  <c r="C50" i="4"/>
  <c r="F50" i="4"/>
  <c r="G50" i="4"/>
  <c r="F50" i="3"/>
  <c r="G50" i="3"/>
  <c r="C50" i="3"/>
  <c r="H51" i="4"/>
  <c r="I51" i="4" s="1"/>
  <c r="E51" i="4"/>
  <c r="B51" i="4"/>
  <c r="A52" i="4"/>
  <c r="B51" i="3"/>
  <c r="I51" i="3"/>
  <c r="E51" i="3"/>
  <c r="A52" i="3"/>
  <c r="H51" i="3"/>
  <c r="J50" i="3"/>
  <c r="K50" i="3" s="1"/>
  <c r="M50" i="3" l="1"/>
  <c r="M50" i="4"/>
  <c r="F51" i="3"/>
  <c r="G51" i="3"/>
  <c r="C51" i="3"/>
  <c r="H52" i="3"/>
  <c r="B52" i="3"/>
  <c r="E52" i="3"/>
  <c r="I52" i="3"/>
  <c r="A53" i="3"/>
  <c r="B52" i="4"/>
  <c r="H52" i="4"/>
  <c r="I52" i="4" s="1"/>
  <c r="E52" i="4"/>
  <c r="A53" i="4"/>
  <c r="G51" i="4"/>
  <c r="C51" i="4"/>
  <c r="F51" i="4"/>
  <c r="J51" i="4"/>
  <c r="K51" i="4" s="1"/>
  <c r="J51" i="3"/>
  <c r="K51" i="3" s="1"/>
  <c r="M51" i="4" l="1"/>
  <c r="M51" i="3"/>
  <c r="E53" i="4"/>
  <c r="H53" i="4"/>
  <c r="I53" i="4" s="1"/>
  <c r="B53" i="4"/>
  <c r="A54" i="4"/>
  <c r="B53" i="3"/>
  <c r="I53" i="3"/>
  <c r="H53" i="3"/>
  <c r="E53" i="3"/>
  <c r="A54" i="3"/>
  <c r="G52" i="3"/>
  <c r="C52" i="3"/>
  <c r="F52" i="3"/>
  <c r="G52" i="4"/>
  <c r="F52" i="4"/>
  <c r="C52" i="4"/>
  <c r="J52" i="4"/>
  <c r="K52" i="4" s="1"/>
  <c r="J52" i="3"/>
  <c r="K52" i="3" s="1"/>
  <c r="M52" i="4" l="1"/>
  <c r="M52" i="3"/>
  <c r="J53" i="3"/>
  <c r="K53" i="3" s="1"/>
  <c r="G53" i="3"/>
  <c r="C53" i="3"/>
  <c r="F53" i="3"/>
  <c r="H54" i="3"/>
  <c r="B54" i="3"/>
  <c r="A55" i="3"/>
  <c r="I54" i="3"/>
  <c r="E54" i="3"/>
  <c r="B54" i="4"/>
  <c r="H54" i="4"/>
  <c r="I54" i="4" s="1"/>
  <c r="E54" i="4"/>
  <c r="A55" i="4"/>
  <c r="J53" i="4"/>
  <c r="K53" i="4" s="1"/>
  <c r="G53" i="4"/>
  <c r="F53" i="4"/>
  <c r="C53" i="4"/>
  <c r="M53" i="3" l="1"/>
  <c r="M53" i="4"/>
  <c r="J54" i="4"/>
  <c r="K54" i="4" s="1"/>
  <c r="G54" i="4"/>
  <c r="C54" i="4"/>
  <c r="F54" i="4"/>
  <c r="C54" i="3"/>
  <c r="G54" i="3"/>
  <c r="F54" i="3"/>
  <c r="H55" i="3"/>
  <c r="B55" i="3"/>
  <c r="I55" i="3"/>
  <c r="E55" i="3"/>
  <c r="A56" i="3"/>
  <c r="H55" i="4"/>
  <c r="I55" i="4" s="1"/>
  <c r="E55" i="4"/>
  <c r="B55" i="4"/>
  <c r="A56" i="4"/>
  <c r="J54" i="3"/>
  <c r="K54" i="3" s="1"/>
  <c r="M54" i="3" s="1"/>
  <c r="M54" i="4" l="1"/>
  <c r="G55" i="4"/>
  <c r="C55" i="4"/>
  <c r="F55" i="4"/>
  <c r="E56" i="4"/>
  <c r="H56" i="4"/>
  <c r="I56" i="4" s="1"/>
  <c r="B56" i="4"/>
  <c r="A57" i="4"/>
  <c r="I56" i="3"/>
  <c r="E56" i="3"/>
  <c r="H56" i="3"/>
  <c r="B56" i="3"/>
  <c r="A57" i="3"/>
  <c r="C55" i="3"/>
  <c r="F55" i="3"/>
  <c r="G55" i="3"/>
  <c r="J55" i="4"/>
  <c r="K55" i="4" s="1"/>
  <c r="J55" i="3"/>
  <c r="K55" i="3" s="1"/>
  <c r="M55" i="4" l="1"/>
  <c r="M55" i="3"/>
  <c r="H57" i="3"/>
  <c r="B57" i="3"/>
  <c r="A58" i="3"/>
  <c r="E57" i="3"/>
  <c r="I57" i="3"/>
  <c r="J56" i="3"/>
  <c r="K56" i="3" s="1"/>
  <c r="C56" i="3"/>
  <c r="F56" i="3"/>
  <c r="G56" i="3"/>
  <c r="G56" i="4"/>
  <c r="C56" i="4"/>
  <c r="F56" i="4"/>
  <c r="J56" i="4"/>
  <c r="K56" i="4" s="1"/>
  <c r="H57" i="4"/>
  <c r="I57" i="4" s="1"/>
  <c r="E57" i="4"/>
  <c r="A58" i="4"/>
  <c r="B57" i="4"/>
  <c r="M56" i="4" l="1"/>
  <c r="M56" i="3"/>
  <c r="C57" i="4"/>
  <c r="F57" i="4"/>
  <c r="G57" i="4"/>
  <c r="J57" i="4"/>
  <c r="K57" i="4" s="1"/>
  <c r="E58" i="4"/>
  <c r="B58" i="4"/>
  <c r="H58" i="4"/>
  <c r="I58" i="4" s="1"/>
  <c r="A59" i="4"/>
  <c r="C57" i="3"/>
  <c r="F57" i="3"/>
  <c r="G57" i="3"/>
  <c r="I58" i="3"/>
  <c r="H58" i="3"/>
  <c r="B58" i="3"/>
  <c r="E58" i="3"/>
  <c r="A59" i="3"/>
  <c r="J57" i="3"/>
  <c r="K57" i="3" s="1"/>
  <c r="M57" i="4" l="1"/>
  <c r="M57" i="3"/>
  <c r="E59" i="3"/>
  <c r="I59" i="3"/>
  <c r="B59" i="3"/>
  <c r="A60" i="3"/>
  <c r="H59" i="3"/>
  <c r="J58" i="3"/>
  <c r="K58" i="3" s="1"/>
  <c r="G58" i="4"/>
  <c r="C58" i="4"/>
  <c r="F58" i="4"/>
  <c r="A60" i="4"/>
  <c r="H59" i="4"/>
  <c r="I59" i="4" s="1"/>
  <c r="B59" i="4"/>
  <c r="E59" i="4"/>
  <c r="C58" i="3"/>
  <c r="F58" i="3"/>
  <c r="G58" i="3"/>
  <c r="J58" i="4"/>
  <c r="K58" i="4" s="1"/>
  <c r="M58" i="4" l="1"/>
  <c r="M58" i="3"/>
  <c r="J59" i="4"/>
  <c r="K59" i="4" s="1"/>
  <c r="J59" i="3"/>
  <c r="K59" i="3" s="1"/>
  <c r="B60" i="4"/>
  <c r="E60" i="4"/>
  <c r="A61" i="4"/>
  <c r="H60" i="4"/>
  <c r="I60" i="4" s="1"/>
  <c r="B60" i="3"/>
  <c r="I60" i="3"/>
  <c r="E60" i="3"/>
  <c r="A61" i="3"/>
  <c r="H60" i="3"/>
  <c r="F59" i="4"/>
  <c r="C59" i="4"/>
  <c r="G59" i="4"/>
  <c r="G59" i="3"/>
  <c r="F59" i="3"/>
  <c r="C59" i="3"/>
  <c r="M59" i="4" l="1"/>
  <c r="M59" i="3"/>
  <c r="J60" i="3"/>
  <c r="K60" i="3" s="1"/>
  <c r="J60" i="4"/>
  <c r="K60" i="4" s="1"/>
  <c r="B61" i="3"/>
  <c r="H61" i="3"/>
  <c r="A62" i="3"/>
  <c r="I61" i="3"/>
  <c r="E61" i="3"/>
  <c r="G60" i="3"/>
  <c r="C60" i="3"/>
  <c r="F60" i="3"/>
  <c r="F60" i="4"/>
  <c r="G60" i="4"/>
  <c r="C60" i="4"/>
  <c r="H61" i="4"/>
  <c r="I61" i="4" s="1"/>
  <c r="E61" i="4"/>
  <c r="A62" i="4"/>
  <c r="B61" i="4"/>
  <c r="M60" i="4" l="1"/>
  <c r="M60" i="3"/>
  <c r="C61" i="4"/>
  <c r="F61" i="4"/>
  <c r="G61" i="4"/>
  <c r="E62" i="4"/>
  <c r="H62" i="4"/>
  <c r="I62" i="4" s="1"/>
  <c r="A63" i="4"/>
  <c r="B62" i="4"/>
  <c r="H62" i="3"/>
  <c r="E62" i="3"/>
  <c r="I62" i="3"/>
  <c r="B62" i="3"/>
  <c r="A63" i="3"/>
  <c r="J61" i="3"/>
  <c r="K61" i="3" s="1"/>
  <c r="J61" i="4"/>
  <c r="K61" i="4" s="1"/>
  <c r="C61" i="3"/>
  <c r="G61" i="3"/>
  <c r="F61" i="3"/>
  <c r="M61" i="3" l="1"/>
  <c r="M61" i="4"/>
  <c r="F62" i="3"/>
  <c r="G62" i="3"/>
  <c r="C62" i="3"/>
  <c r="F62" i="4"/>
  <c r="G62" i="4"/>
  <c r="C62" i="4"/>
  <c r="J62" i="4"/>
  <c r="K62" i="4" s="1"/>
  <c r="E63" i="3"/>
  <c r="I63" i="3"/>
  <c r="B63" i="3"/>
  <c r="H63" i="3"/>
  <c r="A64" i="3"/>
  <c r="J62" i="3"/>
  <c r="K62" i="3" s="1"/>
  <c r="H63" i="4"/>
  <c r="I63" i="4" s="1"/>
  <c r="B63" i="4"/>
  <c r="E63" i="4"/>
  <c r="A64" i="4"/>
  <c r="M62" i="4" l="1"/>
  <c r="M62" i="3"/>
  <c r="G63" i="4"/>
  <c r="F63" i="4"/>
  <c r="C63" i="4"/>
  <c r="E64" i="4"/>
  <c r="A65" i="4"/>
  <c r="B64" i="4"/>
  <c r="H64" i="4"/>
  <c r="I64" i="4" s="1"/>
  <c r="J63" i="4"/>
  <c r="K63" i="4" s="1"/>
  <c r="J63" i="3"/>
  <c r="K63" i="3" s="1"/>
  <c r="B64" i="3"/>
  <c r="H64" i="3"/>
  <c r="E64" i="3"/>
  <c r="I64" i="3"/>
  <c r="A65" i="3"/>
  <c r="G63" i="3"/>
  <c r="C63" i="3"/>
  <c r="F63" i="3"/>
  <c r="M63" i="3" l="1"/>
  <c r="M63" i="4"/>
  <c r="B65" i="3"/>
  <c r="E65" i="3"/>
  <c r="A66" i="3"/>
  <c r="H65" i="3"/>
  <c r="I65" i="3" s="1"/>
  <c r="F64" i="3"/>
  <c r="G64" i="3"/>
  <c r="C64" i="3"/>
  <c r="J64" i="4"/>
  <c r="K64" i="4" s="1"/>
  <c r="E65" i="4"/>
  <c r="A66" i="4"/>
  <c r="B65" i="4"/>
  <c r="H65" i="4"/>
  <c r="J64" i="3"/>
  <c r="K64" i="3" s="1"/>
  <c r="F64" i="4"/>
  <c r="G64" i="4"/>
  <c r="C64" i="4"/>
  <c r="M64" i="4" l="1"/>
  <c r="M64" i="3"/>
  <c r="K65" i="4"/>
  <c r="J65" i="4"/>
  <c r="A67" i="4"/>
  <c r="H66" i="4"/>
  <c r="I66" i="4" s="1"/>
  <c r="E66" i="4"/>
  <c r="B66" i="4"/>
  <c r="I65" i="4"/>
  <c r="F65" i="4"/>
  <c r="M65" i="4"/>
  <c r="C65" i="4"/>
  <c r="G65" i="4"/>
  <c r="J65" i="3"/>
  <c r="K65" i="3"/>
  <c r="B66" i="3"/>
  <c r="H66" i="3"/>
  <c r="I66" i="3" s="1"/>
  <c r="E66" i="3"/>
  <c r="A67" i="3"/>
  <c r="F65" i="3"/>
  <c r="C65" i="3"/>
  <c r="M65" i="3"/>
  <c r="G65" i="3"/>
  <c r="J66" i="3" l="1"/>
  <c r="K66" i="3"/>
  <c r="E67" i="3"/>
  <c r="H67" i="3"/>
  <c r="B67" i="3"/>
  <c r="A68" i="3"/>
  <c r="G66" i="3"/>
  <c r="F66" i="3"/>
  <c r="M66" i="3"/>
  <c r="C66" i="3"/>
  <c r="J66" i="4"/>
  <c r="K66" i="4"/>
  <c r="M66" i="4"/>
  <c r="F66" i="4"/>
  <c r="G66" i="4"/>
  <c r="C66" i="4"/>
  <c r="E67" i="4"/>
  <c r="B67" i="4"/>
  <c r="H67" i="4"/>
  <c r="I67" i="4" s="1"/>
  <c r="A68" i="4"/>
  <c r="H68" i="4" l="1"/>
  <c r="I68" i="4" s="1"/>
  <c r="A69" i="4"/>
  <c r="B68" i="4"/>
  <c r="E68" i="4"/>
  <c r="F67" i="4"/>
  <c r="C67" i="4"/>
  <c r="M67" i="4"/>
  <c r="G67" i="4"/>
  <c r="H68" i="3"/>
  <c r="E68" i="3"/>
  <c r="A69" i="3"/>
  <c r="B68" i="3"/>
  <c r="F67" i="3"/>
  <c r="G67" i="3"/>
  <c r="M67" i="3"/>
  <c r="C67" i="3"/>
  <c r="K67" i="3"/>
  <c r="J67" i="3"/>
  <c r="I67" i="3"/>
  <c r="K67" i="4"/>
  <c r="J67" i="4"/>
  <c r="M68" i="3" l="1"/>
  <c r="F68" i="3"/>
  <c r="G68" i="3"/>
  <c r="C68" i="3"/>
  <c r="H69" i="3"/>
  <c r="I69" i="3" s="1"/>
  <c r="E69" i="3"/>
  <c r="B69" i="3"/>
  <c r="A70" i="3"/>
  <c r="K68" i="3"/>
  <c r="J68" i="3"/>
  <c r="B69" i="4"/>
  <c r="H69" i="4"/>
  <c r="I69" i="4" s="1"/>
  <c r="E69" i="4"/>
  <c r="A70" i="4"/>
  <c r="M68" i="4"/>
  <c r="F68" i="4"/>
  <c r="G68" i="4"/>
  <c r="C68" i="4"/>
  <c r="I68" i="3"/>
  <c r="J68" i="4"/>
  <c r="K68" i="4"/>
  <c r="H70" i="4" l="1"/>
  <c r="I70" i="4" s="1"/>
  <c r="B70" i="4"/>
  <c r="A71" i="4"/>
  <c r="E70" i="4"/>
  <c r="C69" i="4"/>
  <c r="M69" i="4"/>
  <c r="G69" i="4"/>
  <c r="F69" i="4"/>
  <c r="G69" i="3"/>
  <c r="M69" i="3"/>
  <c r="C69" i="3"/>
  <c r="F69" i="3"/>
  <c r="K69" i="4"/>
  <c r="J69" i="4"/>
  <c r="B70" i="3"/>
  <c r="H70" i="3"/>
  <c r="I70" i="3" s="1"/>
  <c r="A71" i="3"/>
  <c r="E70" i="3"/>
  <c r="J69" i="3"/>
  <c r="K69" i="3"/>
  <c r="F70" i="3" l="1"/>
  <c r="C70" i="3"/>
  <c r="G70" i="3"/>
  <c r="M70" i="3"/>
  <c r="J70" i="3"/>
  <c r="K70" i="3"/>
  <c r="H71" i="4"/>
  <c r="I71" i="4" s="1"/>
  <c r="B71" i="4"/>
  <c r="A72" i="4"/>
  <c r="E71" i="4"/>
  <c r="H71" i="3"/>
  <c r="I71" i="3" s="1"/>
  <c r="E71" i="3"/>
  <c r="B71" i="3"/>
  <c r="A72" i="3"/>
  <c r="M70" i="4"/>
  <c r="G70" i="4"/>
  <c r="C70" i="4"/>
  <c r="F70" i="4"/>
  <c r="J70" i="4"/>
  <c r="K70" i="4"/>
  <c r="E72" i="3" l="1"/>
  <c r="B72" i="3"/>
  <c r="H72" i="3"/>
  <c r="A73" i="3"/>
  <c r="C71" i="3"/>
  <c r="M71" i="3"/>
  <c r="F71" i="3"/>
  <c r="G71" i="3"/>
  <c r="H72" i="4"/>
  <c r="I72" i="4" s="1"/>
  <c r="E72" i="4"/>
  <c r="A73" i="4"/>
  <c r="B72" i="4"/>
  <c r="K71" i="3"/>
  <c r="J71" i="3"/>
  <c r="G71" i="4"/>
  <c r="F71" i="4"/>
  <c r="M71" i="4"/>
  <c r="C71" i="4"/>
  <c r="J71" i="4"/>
  <c r="K71" i="4"/>
  <c r="E73" i="4" l="1"/>
  <c r="H73" i="4"/>
  <c r="B73" i="4"/>
  <c r="A74" i="4"/>
  <c r="M72" i="4"/>
  <c r="C72" i="4"/>
  <c r="G72" i="4"/>
  <c r="F72" i="4"/>
  <c r="B73" i="3"/>
  <c r="H73" i="3"/>
  <c r="I73" i="3" s="1"/>
  <c r="E73" i="3"/>
  <c r="A74" i="3"/>
  <c r="K72" i="3"/>
  <c r="J72" i="3"/>
  <c r="C72" i="3"/>
  <c r="G72" i="3"/>
  <c r="F72" i="3"/>
  <c r="M72" i="3"/>
  <c r="I72" i="3"/>
  <c r="K72" i="4"/>
  <c r="J72" i="4"/>
  <c r="B74" i="3" l="1"/>
  <c r="E74" i="3"/>
  <c r="A75" i="3"/>
  <c r="H74" i="3"/>
  <c r="M73" i="4"/>
  <c r="G73" i="4"/>
  <c r="F73" i="4"/>
  <c r="C73" i="4"/>
  <c r="K73" i="3"/>
  <c r="J73" i="3"/>
  <c r="J73" i="4"/>
  <c r="K73" i="4"/>
  <c r="M73" i="3"/>
  <c r="C73" i="3"/>
  <c r="F73" i="3"/>
  <c r="G73" i="3"/>
  <c r="I73" i="4"/>
  <c r="H74" i="4"/>
  <c r="B74" i="4"/>
  <c r="A75" i="4"/>
  <c r="E74" i="4"/>
  <c r="G74" i="4" l="1"/>
  <c r="M74" i="4"/>
  <c r="C74" i="4"/>
  <c r="F74" i="4"/>
  <c r="H75" i="4"/>
  <c r="I75" i="4" s="1"/>
  <c r="E75" i="4"/>
  <c r="A76" i="4"/>
  <c r="B75" i="4"/>
  <c r="J74" i="4"/>
  <c r="K74" i="4"/>
  <c r="K74" i="3"/>
  <c r="J74" i="3"/>
  <c r="I74" i="4"/>
  <c r="I74" i="3"/>
  <c r="H75" i="3"/>
  <c r="I75" i="3" s="1"/>
  <c r="B75" i="3"/>
  <c r="E75" i="3"/>
  <c r="A76" i="3"/>
  <c r="C74" i="3"/>
  <c r="G74" i="3"/>
  <c r="F74" i="3"/>
  <c r="M74" i="3"/>
  <c r="H76" i="3" l="1"/>
  <c r="I76" i="3" s="1"/>
  <c r="B76" i="3"/>
  <c r="A77" i="3"/>
  <c r="E76" i="3"/>
  <c r="M75" i="3"/>
  <c r="G75" i="3"/>
  <c r="F75" i="3"/>
  <c r="C75" i="3"/>
  <c r="B76" i="4"/>
  <c r="E76" i="4"/>
  <c r="H76" i="4"/>
  <c r="A77" i="4"/>
  <c r="K75" i="3"/>
  <c r="J75" i="3"/>
  <c r="F75" i="4"/>
  <c r="M75" i="4"/>
  <c r="C75" i="4"/>
  <c r="G75" i="4"/>
  <c r="K75" i="4"/>
  <c r="J75" i="4"/>
  <c r="H77" i="4" l="1"/>
  <c r="I77" i="4" s="1"/>
  <c r="B77" i="4"/>
  <c r="A78" i="4"/>
  <c r="E77" i="4"/>
  <c r="K76" i="4"/>
  <c r="J76" i="4"/>
  <c r="I76" i="4"/>
  <c r="G76" i="4"/>
  <c r="F76" i="4"/>
  <c r="M76" i="4"/>
  <c r="C76" i="4"/>
  <c r="H77" i="3"/>
  <c r="I77" i="3" s="1"/>
  <c r="B77" i="3"/>
  <c r="A78" i="3"/>
  <c r="E77" i="3"/>
  <c r="M76" i="3"/>
  <c r="F76" i="3"/>
  <c r="G76" i="3"/>
  <c r="C76" i="3"/>
  <c r="K76" i="3"/>
  <c r="J76" i="3"/>
  <c r="H78" i="3" l="1"/>
  <c r="I78" i="3" s="1"/>
  <c r="B78" i="3"/>
  <c r="E78" i="3"/>
  <c r="A79" i="3"/>
  <c r="F77" i="3"/>
  <c r="C77" i="3"/>
  <c r="M77" i="3"/>
  <c r="G77" i="3"/>
  <c r="B78" i="4"/>
  <c r="H78" i="4"/>
  <c r="I78" i="4" s="1"/>
  <c r="E78" i="4"/>
  <c r="A79" i="4"/>
  <c r="M77" i="4"/>
  <c r="C77" i="4"/>
  <c r="F77" i="4"/>
  <c r="G77" i="4"/>
  <c r="K77" i="3"/>
  <c r="J77" i="3"/>
  <c r="K77" i="4"/>
  <c r="J77" i="4"/>
  <c r="J78" i="4" l="1"/>
  <c r="K78" i="4"/>
  <c r="H79" i="3"/>
  <c r="I79" i="3" s="1"/>
  <c r="A80" i="3"/>
  <c r="B79" i="3"/>
  <c r="E79" i="3"/>
  <c r="H79" i="4"/>
  <c r="I79" i="4" s="1"/>
  <c r="B79" i="4"/>
  <c r="E79" i="4"/>
  <c r="A80" i="4"/>
  <c r="M78" i="3"/>
  <c r="G78" i="3"/>
  <c r="C78" i="3"/>
  <c r="F78" i="3"/>
  <c r="C78" i="4"/>
  <c r="G78" i="4"/>
  <c r="F78" i="4"/>
  <c r="M78" i="4"/>
  <c r="K78" i="3"/>
  <c r="J78" i="3"/>
  <c r="H80" i="4" l="1"/>
  <c r="I80" i="4" s="1"/>
  <c r="B80" i="4"/>
  <c r="E80" i="4"/>
  <c r="A81" i="4"/>
  <c r="M79" i="4"/>
  <c r="F79" i="4"/>
  <c r="C79" i="4"/>
  <c r="G79" i="4"/>
  <c r="K79" i="4"/>
  <c r="J79" i="4"/>
  <c r="C79" i="3"/>
  <c r="F79" i="3"/>
  <c r="M79" i="3"/>
  <c r="G79" i="3"/>
  <c r="E80" i="3"/>
  <c r="B80" i="3"/>
  <c r="H80" i="3"/>
  <c r="A81" i="3"/>
  <c r="K79" i="3"/>
  <c r="J79" i="3"/>
  <c r="E81" i="3" l="1"/>
  <c r="H81" i="3"/>
  <c r="B81" i="3"/>
  <c r="A82" i="3"/>
  <c r="K80" i="3"/>
  <c r="J80" i="3"/>
  <c r="C80" i="3"/>
  <c r="M80" i="3"/>
  <c r="G80" i="3"/>
  <c r="F80" i="3"/>
  <c r="I80" i="3"/>
  <c r="B81" i="4"/>
  <c r="E81" i="4"/>
  <c r="H81" i="4"/>
  <c r="I81" i="4" s="1"/>
  <c r="A82" i="4"/>
  <c r="G80" i="4"/>
  <c r="F80" i="4"/>
  <c r="M80" i="4"/>
  <c r="C80" i="4"/>
  <c r="K80" i="4"/>
  <c r="J80" i="4"/>
  <c r="G81" i="4" l="1"/>
  <c r="F81" i="4"/>
  <c r="C81" i="4"/>
  <c r="M81" i="4"/>
  <c r="J81" i="4"/>
  <c r="K81" i="4"/>
  <c r="H82" i="3"/>
  <c r="A83" i="3"/>
  <c r="E82" i="3"/>
  <c r="B82" i="3"/>
  <c r="K81" i="3"/>
  <c r="J81" i="3"/>
  <c r="B82" i="4"/>
  <c r="H82" i="4"/>
  <c r="I82" i="4" s="1"/>
  <c r="E82" i="4"/>
  <c r="A83" i="4"/>
  <c r="I81" i="3"/>
  <c r="M81" i="3"/>
  <c r="C81" i="3"/>
  <c r="G81" i="3"/>
  <c r="F81" i="3"/>
  <c r="H83" i="4" l="1"/>
  <c r="I83" i="4" s="1"/>
  <c r="E83" i="4"/>
  <c r="B83" i="4"/>
  <c r="A84" i="4"/>
  <c r="K82" i="4"/>
  <c r="J82" i="4"/>
  <c r="C82" i="3"/>
  <c r="F82" i="3"/>
  <c r="M82" i="3"/>
  <c r="G82" i="3"/>
  <c r="J82" i="3"/>
  <c r="K82" i="3"/>
  <c r="C82" i="4"/>
  <c r="G82" i="4"/>
  <c r="F82" i="4"/>
  <c r="M82" i="4"/>
  <c r="B83" i="3"/>
  <c r="A84" i="3"/>
  <c r="H83" i="3"/>
  <c r="I83" i="3" s="1"/>
  <c r="E83" i="3"/>
  <c r="I82" i="3"/>
  <c r="B84" i="3" l="1"/>
  <c r="H84" i="3"/>
  <c r="I84" i="3" s="1"/>
  <c r="E84" i="3"/>
  <c r="A85" i="3"/>
  <c r="J83" i="3"/>
  <c r="K83" i="3"/>
  <c r="M83" i="4"/>
  <c r="G83" i="4"/>
  <c r="C83" i="4"/>
  <c r="F83" i="4"/>
  <c r="G83" i="3"/>
  <c r="C83" i="3"/>
  <c r="F83" i="3"/>
  <c r="M83" i="3"/>
  <c r="H84" i="4"/>
  <c r="I84" i="4" s="1"/>
  <c r="B84" i="4"/>
  <c r="E84" i="4"/>
  <c r="A85" i="4"/>
  <c r="K83" i="4"/>
  <c r="J83" i="4"/>
  <c r="C84" i="4" l="1"/>
  <c r="F84" i="4"/>
  <c r="M84" i="4"/>
  <c r="G84" i="4"/>
  <c r="E85" i="4"/>
  <c r="H85" i="4"/>
  <c r="B85" i="4"/>
  <c r="A86" i="4"/>
  <c r="E85" i="3"/>
  <c r="H85" i="3"/>
  <c r="A86" i="3"/>
  <c r="B85" i="3"/>
  <c r="K84" i="4"/>
  <c r="J84" i="4"/>
  <c r="K84" i="3"/>
  <c r="J84" i="3"/>
  <c r="M84" i="3"/>
  <c r="C84" i="3"/>
  <c r="G84" i="3"/>
  <c r="F84" i="3"/>
  <c r="J85" i="3" l="1"/>
  <c r="K85" i="3"/>
  <c r="E86" i="3"/>
  <c r="A87" i="3"/>
  <c r="B86" i="3"/>
  <c r="H86" i="3"/>
  <c r="E86" i="4"/>
  <c r="H86" i="4"/>
  <c r="B86" i="4"/>
  <c r="A87" i="4"/>
  <c r="G85" i="4"/>
  <c r="C85" i="4"/>
  <c r="M85" i="4"/>
  <c r="F85" i="4"/>
  <c r="I85" i="3"/>
  <c r="G85" i="3"/>
  <c r="F85" i="3"/>
  <c r="C85" i="3"/>
  <c r="M85" i="3"/>
  <c r="K85" i="4"/>
  <c r="J85" i="4"/>
  <c r="I85" i="4"/>
  <c r="B87" i="4" l="1"/>
  <c r="H87" i="4"/>
  <c r="A88" i="4"/>
  <c r="E87" i="4"/>
  <c r="G86" i="4"/>
  <c r="F86" i="4"/>
  <c r="C86" i="4"/>
  <c r="M86" i="4"/>
  <c r="J86" i="4"/>
  <c r="K86" i="4"/>
  <c r="J86" i="3"/>
  <c r="K86" i="3"/>
  <c r="G86" i="3"/>
  <c r="C86" i="3"/>
  <c r="F86" i="3"/>
  <c r="M86" i="3"/>
  <c r="E87" i="3"/>
  <c r="H87" i="3"/>
  <c r="B87" i="3"/>
  <c r="A88" i="3"/>
  <c r="I86" i="4"/>
  <c r="I86" i="3"/>
  <c r="B88" i="3" l="1"/>
  <c r="H88" i="3"/>
  <c r="A89" i="3"/>
  <c r="E88" i="3"/>
  <c r="K87" i="3"/>
  <c r="J87" i="3"/>
  <c r="I87" i="3"/>
  <c r="C87" i="3"/>
  <c r="F87" i="3"/>
  <c r="G87" i="3"/>
  <c r="M87" i="3"/>
  <c r="B88" i="4"/>
  <c r="H88" i="4"/>
  <c r="I88" i="4" s="1"/>
  <c r="A89" i="4"/>
  <c r="E88" i="4"/>
  <c r="J87" i="4"/>
  <c r="K87" i="4"/>
  <c r="I87" i="4"/>
  <c r="G87" i="4"/>
  <c r="F87" i="4"/>
  <c r="C87" i="4"/>
  <c r="M87" i="4"/>
  <c r="E89" i="4" l="1"/>
  <c r="H89" i="4"/>
  <c r="B89" i="4"/>
  <c r="A90" i="4"/>
  <c r="C88" i="4"/>
  <c r="F88" i="4"/>
  <c r="G88" i="4"/>
  <c r="M88" i="4"/>
  <c r="B89" i="3"/>
  <c r="H89" i="3"/>
  <c r="I89" i="3" s="1"/>
  <c r="E89" i="3"/>
  <c r="A90" i="3"/>
  <c r="K88" i="3"/>
  <c r="J88" i="3"/>
  <c r="J88" i="4"/>
  <c r="K88" i="4"/>
  <c r="I88" i="3"/>
  <c r="G88" i="3"/>
  <c r="F88" i="3"/>
  <c r="M88" i="3"/>
  <c r="C88" i="3"/>
  <c r="H90" i="3" l="1"/>
  <c r="I90" i="3" s="1"/>
  <c r="E90" i="3"/>
  <c r="B90" i="3"/>
  <c r="A91" i="3"/>
  <c r="J89" i="3"/>
  <c r="K89" i="3"/>
  <c r="C89" i="4"/>
  <c r="G89" i="4"/>
  <c r="F89" i="4"/>
  <c r="M89" i="4"/>
  <c r="J89" i="4"/>
  <c r="K89" i="4"/>
  <c r="G89" i="3"/>
  <c r="M89" i="3"/>
  <c r="C89" i="3"/>
  <c r="F89" i="3"/>
  <c r="A91" i="4"/>
  <c r="B90" i="4"/>
  <c r="E90" i="4"/>
  <c r="H90" i="4"/>
  <c r="I90" i="4" s="1"/>
  <c r="I89" i="4"/>
  <c r="C90" i="4" l="1"/>
  <c r="G90" i="4"/>
  <c r="F90" i="4"/>
  <c r="M90" i="4"/>
  <c r="H91" i="3"/>
  <c r="I91" i="3" s="1"/>
  <c r="E91" i="3"/>
  <c r="A92" i="3"/>
  <c r="B91" i="3"/>
  <c r="J90" i="4"/>
  <c r="K90" i="4"/>
  <c r="B91" i="4"/>
  <c r="H91" i="4"/>
  <c r="I91" i="4" s="1"/>
  <c r="E91" i="4"/>
  <c r="A92" i="4"/>
  <c r="G90" i="3"/>
  <c r="F90" i="3"/>
  <c r="M90" i="3"/>
  <c r="C90" i="3"/>
  <c r="K90" i="3"/>
  <c r="J90" i="3"/>
  <c r="M91" i="3" l="1"/>
  <c r="G91" i="3"/>
  <c r="F91" i="3"/>
  <c r="C91" i="3"/>
  <c r="E92" i="4"/>
  <c r="H92" i="4"/>
  <c r="A93" i="4"/>
  <c r="B92" i="4"/>
  <c r="E92" i="3"/>
  <c r="B92" i="3"/>
  <c r="H92" i="3"/>
  <c r="A93" i="3"/>
  <c r="M91" i="4"/>
  <c r="C91" i="4"/>
  <c r="F91" i="4"/>
  <c r="G91" i="4"/>
  <c r="K91" i="4"/>
  <c r="J91" i="4"/>
  <c r="K91" i="3"/>
  <c r="J91" i="3"/>
  <c r="H93" i="3" l="1"/>
  <c r="I93" i="3" s="1"/>
  <c r="E93" i="3"/>
  <c r="A94" i="3"/>
  <c r="B93" i="3"/>
  <c r="J92" i="3"/>
  <c r="K92" i="3"/>
  <c r="I92" i="3"/>
  <c r="K92" i="4"/>
  <c r="J92" i="4"/>
  <c r="F92" i="4"/>
  <c r="C92" i="4"/>
  <c r="M92" i="4"/>
  <c r="G92" i="4"/>
  <c r="H93" i="4"/>
  <c r="A94" i="4"/>
  <c r="B93" i="4"/>
  <c r="E93" i="4"/>
  <c r="I92" i="4"/>
  <c r="G92" i="3"/>
  <c r="F92" i="3"/>
  <c r="M92" i="3"/>
  <c r="C92" i="3"/>
  <c r="K93" i="4" l="1"/>
  <c r="J93" i="4"/>
  <c r="B94" i="4"/>
  <c r="A95" i="4"/>
  <c r="H94" i="4"/>
  <c r="I94" i="4" s="1"/>
  <c r="E94" i="4"/>
  <c r="B94" i="3"/>
  <c r="H94" i="3"/>
  <c r="I94" i="3" s="1"/>
  <c r="E94" i="3"/>
  <c r="A95" i="3"/>
  <c r="I93" i="4"/>
  <c r="M93" i="4"/>
  <c r="F93" i="4"/>
  <c r="G93" i="4"/>
  <c r="C93" i="4"/>
  <c r="G93" i="3"/>
  <c r="M93" i="3"/>
  <c r="F93" i="3"/>
  <c r="C93" i="3"/>
  <c r="K93" i="3"/>
  <c r="J93" i="3"/>
  <c r="B95" i="3" l="1"/>
  <c r="E95" i="3"/>
  <c r="H95" i="3"/>
  <c r="A96" i="3"/>
  <c r="C94" i="3"/>
  <c r="F94" i="3"/>
  <c r="G94" i="3"/>
  <c r="M94" i="3"/>
  <c r="K94" i="4"/>
  <c r="J94" i="4"/>
  <c r="J94" i="3"/>
  <c r="K94" i="3"/>
  <c r="H95" i="4"/>
  <c r="B95" i="4"/>
  <c r="E95" i="4"/>
  <c r="A96" i="4"/>
  <c r="F94" i="4"/>
  <c r="C94" i="4"/>
  <c r="M94" i="4"/>
  <c r="G94" i="4"/>
  <c r="K95" i="4" l="1"/>
  <c r="J95" i="4"/>
  <c r="H96" i="4"/>
  <c r="I96" i="4" s="1"/>
  <c r="B96" i="4"/>
  <c r="E96" i="4"/>
  <c r="A97" i="4"/>
  <c r="H96" i="3"/>
  <c r="I96" i="3" s="1"/>
  <c r="E96" i="3"/>
  <c r="A97" i="3"/>
  <c r="B96" i="3"/>
  <c r="C95" i="4"/>
  <c r="G95" i="4"/>
  <c r="M95" i="4"/>
  <c r="F95" i="4"/>
  <c r="I95" i="4"/>
  <c r="K95" i="3"/>
  <c r="J95" i="3"/>
  <c r="I95" i="3"/>
  <c r="G95" i="3"/>
  <c r="C95" i="3"/>
  <c r="F95" i="3"/>
  <c r="M95" i="3"/>
  <c r="H97" i="3" l="1"/>
  <c r="I97" i="3" s="1"/>
  <c r="B97" i="3"/>
  <c r="E97" i="3"/>
  <c r="A98" i="3"/>
  <c r="H97" i="4"/>
  <c r="A98" i="4"/>
  <c r="B97" i="4"/>
  <c r="E97" i="4"/>
  <c r="C96" i="3"/>
  <c r="M96" i="3"/>
  <c r="F96" i="3"/>
  <c r="G96" i="3"/>
  <c r="M96" i="4"/>
  <c r="F96" i="4"/>
  <c r="C96" i="4"/>
  <c r="G96" i="4"/>
  <c r="K96" i="3"/>
  <c r="J96" i="3"/>
  <c r="J96" i="4"/>
  <c r="K96" i="4"/>
  <c r="C97" i="4" l="1"/>
  <c r="M97" i="4"/>
  <c r="F97" i="4"/>
  <c r="G97" i="4"/>
  <c r="B98" i="4"/>
  <c r="A99" i="4"/>
  <c r="E98" i="4"/>
  <c r="H98" i="4"/>
  <c r="J97" i="4"/>
  <c r="K97" i="4"/>
  <c r="I97" i="4"/>
  <c r="H98" i="3"/>
  <c r="I98" i="3" s="1"/>
  <c r="B98" i="3"/>
  <c r="E98" i="3"/>
  <c r="A99" i="3"/>
  <c r="M97" i="3"/>
  <c r="C97" i="3"/>
  <c r="F97" i="3"/>
  <c r="G97" i="3"/>
  <c r="K97" i="3"/>
  <c r="J97" i="3"/>
  <c r="B99" i="3" l="1"/>
  <c r="E99" i="3"/>
  <c r="H99" i="3"/>
  <c r="A100" i="3"/>
  <c r="G98" i="3"/>
  <c r="M98" i="3"/>
  <c r="C98" i="3"/>
  <c r="F98" i="3"/>
  <c r="J98" i="4"/>
  <c r="K98" i="4"/>
  <c r="K98" i="3"/>
  <c r="J98" i="3"/>
  <c r="I98" i="4"/>
  <c r="E99" i="4"/>
  <c r="H99" i="4"/>
  <c r="I99" i="4" s="1"/>
  <c r="A100" i="4"/>
  <c r="B99" i="4"/>
  <c r="G98" i="4"/>
  <c r="M98" i="4"/>
  <c r="F98" i="4"/>
  <c r="C98" i="4"/>
  <c r="K99" i="4" l="1"/>
  <c r="J99" i="4"/>
  <c r="K99" i="3"/>
  <c r="J99" i="3"/>
  <c r="I99" i="3"/>
  <c r="M99" i="4"/>
  <c r="F99" i="4"/>
  <c r="G99" i="4"/>
  <c r="C99" i="4"/>
  <c r="B100" i="4"/>
  <c r="H100" i="4"/>
  <c r="I100" i="4" s="1"/>
  <c r="E100" i="4"/>
  <c r="A101" i="4"/>
  <c r="E100" i="3"/>
  <c r="B100" i="3"/>
  <c r="A101" i="3"/>
  <c r="H100" i="3"/>
  <c r="C99" i="3"/>
  <c r="G99" i="3"/>
  <c r="M99" i="3"/>
  <c r="F99" i="3"/>
  <c r="F100" i="3" l="1"/>
  <c r="G100" i="3"/>
  <c r="M100" i="3"/>
  <c r="C100" i="3"/>
  <c r="H101" i="3"/>
  <c r="I101" i="3" s="1"/>
  <c r="E101" i="3"/>
  <c r="B101" i="3"/>
  <c r="A102" i="3"/>
  <c r="K100" i="3"/>
  <c r="J100" i="3"/>
  <c r="I100" i="3"/>
  <c r="B101" i="4"/>
  <c r="H101" i="4"/>
  <c r="I101" i="4" s="1"/>
  <c r="E101" i="4"/>
  <c r="A102" i="4"/>
  <c r="G100" i="4"/>
  <c r="F100" i="4"/>
  <c r="C100" i="4"/>
  <c r="M100" i="4"/>
  <c r="K100" i="4"/>
  <c r="J100" i="4"/>
  <c r="M101" i="4" l="1"/>
  <c r="C101" i="4"/>
  <c r="F101" i="4"/>
  <c r="G101" i="4"/>
  <c r="J101" i="4"/>
  <c r="K101" i="4"/>
  <c r="C101" i="3"/>
  <c r="G101" i="3"/>
  <c r="F101" i="3"/>
  <c r="M101" i="3"/>
  <c r="H102" i="4"/>
  <c r="I102" i="4" s="1"/>
  <c r="B102" i="4"/>
  <c r="E102" i="4"/>
  <c r="A103" i="4"/>
  <c r="H102" i="3"/>
  <c r="I102" i="3" s="1"/>
  <c r="A103" i="3"/>
  <c r="E102" i="3"/>
  <c r="B102" i="3"/>
  <c r="J101" i="3"/>
  <c r="K101" i="3"/>
  <c r="B103" i="4" l="1"/>
  <c r="H103" i="4"/>
  <c r="I103" i="4" s="1"/>
  <c r="E103" i="4"/>
  <c r="A104" i="4"/>
  <c r="G102" i="4"/>
  <c r="F102" i="4"/>
  <c r="C102" i="4"/>
  <c r="M102" i="4"/>
  <c r="M102" i="3"/>
  <c r="G102" i="3"/>
  <c r="F102" i="3"/>
  <c r="C102" i="3"/>
  <c r="K102" i="3"/>
  <c r="J102" i="3"/>
  <c r="K102" i="4"/>
  <c r="J102" i="4"/>
  <c r="E103" i="3"/>
  <c r="H103" i="3"/>
  <c r="I103" i="3" s="1"/>
  <c r="B103" i="3"/>
  <c r="A104" i="3"/>
  <c r="C103" i="3" l="1"/>
  <c r="F103" i="3"/>
  <c r="M103" i="3"/>
  <c r="G103" i="3"/>
  <c r="E104" i="3"/>
  <c r="B104" i="3"/>
  <c r="H104" i="3"/>
  <c r="A105" i="3"/>
  <c r="K103" i="3"/>
  <c r="J103" i="3"/>
  <c r="B104" i="4"/>
  <c r="A105" i="4"/>
  <c r="H104" i="4"/>
  <c r="I104" i="4" s="1"/>
  <c r="E104" i="4"/>
  <c r="K103" i="4"/>
  <c r="J103" i="4"/>
  <c r="C103" i="4"/>
  <c r="G103" i="4"/>
  <c r="F103" i="4"/>
  <c r="M103" i="4"/>
  <c r="G104" i="4" l="1"/>
  <c r="M104" i="4"/>
  <c r="F104" i="4"/>
  <c r="C104" i="4"/>
  <c r="E105" i="4"/>
  <c r="H105" i="4"/>
  <c r="I105" i="4" s="1"/>
  <c r="B105" i="4"/>
  <c r="A106" i="4"/>
  <c r="H105" i="3"/>
  <c r="I105" i="3" s="1"/>
  <c r="E105" i="3"/>
  <c r="B105" i="3"/>
  <c r="A106" i="3"/>
  <c r="K104" i="3"/>
  <c r="J104" i="3"/>
  <c r="F104" i="3"/>
  <c r="G104" i="3"/>
  <c r="C104" i="3"/>
  <c r="M104" i="3"/>
  <c r="I104" i="3"/>
  <c r="J104" i="4"/>
  <c r="K104" i="4"/>
  <c r="E106" i="3" l="1"/>
  <c r="H106" i="3"/>
  <c r="I106" i="3" s="1"/>
  <c r="B106" i="3"/>
  <c r="A107" i="3"/>
  <c r="H106" i="4"/>
  <c r="I106" i="4" s="1"/>
  <c r="A107" i="4"/>
  <c r="E106" i="4"/>
  <c r="B106" i="4"/>
  <c r="F105" i="4"/>
  <c r="M105" i="4"/>
  <c r="C105" i="4"/>
  <c r="G105" i="4"/>
  <c r="J105" i="3"/>
  <c r="K105" i="3"/>
  <c r="G105" i="3"/>
  <c r="F105" i="3"/>
  <c r="M105" i="3"/>
  <c r="C105" i="3"/>
  <c r="K105" i="4"/>
  <c r="J105" i="4"/>
  <c r="C106" i="4" l="1"/>
  <c r="F106" i="4"/>
  <c r="M106" i="4"/>
  <c r="G106" i="4"/>
  <c r="C106" i="3"/>
  <c r="G106" i="3"/>
  <c r="F106" i="3"/>
  <c r="M106" i="3"/>
  <c r="J106" i="4"/>
  <c r="K106" i="4"/>
  <c r="J106" i="3"/>
  <c r="K106" i="3"/>
  <c r="E107" i="4"/>
  <c r="B107" i="4"/>
  <c r="H107" i="4"/>
  <c r="I107" i="4" s="1"/>
  <c r="A108" i="4"/>
  <c r="B107" i="3"/>
  <c r="E107" i="3"/>
  <c r="H107" i="3"/>
  <c r="I107" i="3" s="1"/>
  <c r="A108" i="3"/>
  <c r="H108" i="3" l="1"/>
  <c r="I108" i="3" s="1"/>
  <c r="E108" i="3"/>
  <c r="A109" i="3"/>
  <c r="B108" i="3"/>
  <c r="H108" i="4"/>
  <c r="I108" i="4" s="1"/>
  <c r="B108" i="4"/>
  <c r="A109" i="4"/>
  <c r="E108" i="4"/>
  <c r="F107" i="3"/>
  <c r="G107" i="3"/>
  <c r="C107" i="3"/>
  <c r="M107" i="3"/>
  <c r="J107" i="4"/>
  <c r="K107" i="4"/>
  <c r="J107" i="3"/>
  <c r="K107" i="3"/>
  <c r="C107" i="4"/>
  <c r="F107" i="4"/>
  <c r="M107" i="4"/>
  <c r="G107" i="4"/>
  <c r="H109" i="4" l="1"/>
  <c r="I109" i="4" s="1"/>
  <c r="E109" i="4"/>
  <c r="B109" i="4"/>
  <c r="A110" i="4"/>
  <c r="G108" i="4"/>
  <c r="C108" i="4"/>
  <c r="F108" i="4"/>
  <c r="M108" i="4"/>
  <c r="H109" i="3"/>
  <c r="I109" i="3" s="1"/>
  <c r="E109" i="3"/>
  <c r="A110" i="3"/>
  <c r="B109" i="3"/>
  <c r="F108" i="3"/>
  <c r="M108" i="3"/>
  <c r="G108" i="3"/>
  <c r="C108" i="3"/>
  <c r="J108" i="4"/>
  <c r="K108" i="4"/>
  <c r="K108" i="3"/>
  <c r="J108" i="3"/>
  <c r="B110" i="3" l="1"/>
  <c r="H110" i="3"/>
  <c r="A111" i="3"/>
  <c r="E110" i="3"/>
  <c r="M109" i="3"/>
  <c r="C109" i="3"/>
  <c r="F109" i="3"/>
  <c r="G109" i="3"/>
  <c r="C109" i="4"/>
  <c r="M109" i="4"/>
  <c r="F109" i="4"/>
  <c r="G109" i="4"/>
  <c r="K109" i="3"/>
  <c r="J109" i="3"/>
  <c r="H110" i="4"/>
  <c r="B110" i="4"/>
  <c r="E110" i="4"/>
  <c r="A111" i="4"/>
  <c r="K109" i="4"/>
  <c r="J109" i="4"/>
  <c r="H111" i="4" l="1"/>
  <c r="I111" i="4" s="1"/>
  <c r="E111" i="4"/>
  <c r="A112" i="4"/>
  <c r="B111" i="4"/>
  <c r="C110" i="4"/>
  <c r="M110" i="4"/>
  <c r="G110" i="4"/>
  <c r="F110" i="4"/>
  <c r="J110" i="4"/>
  <c r="K110" i="4"/>
  <c r="J110" i="3"/>
  <c r="K110" i="3"/>
  <c r="I110" i="4"/>
  <c r="M110" i="3"/>
  <c r="G110" i="3"/>
  <c r="F110" i="3"/>
  <c r="C110" i="3"/>
  <c r="E111" i="3"/>
  <c r="B111" i="3"/>
  <c r="H111" i="3"/>
  <c r="A112" i="3"/>
  <c r="I110" i="3"/>
  <c r="B112" i="3" l="1"/>
  <c r="H112" i="3"/>
  <c r="I112" i="3" s="1"/>
  <c r="A113" i="3"/>
  <c r="E112" i="3"/>
  <c r="J111" i="3"/>
  <c r="K111" i="3"/>
  <c r="E112" i="4"/>
  <c r="B112" i="4"/>
  <c r="A113" i="4"/>
  <c r="H112" i="4"/>
  <c r="I111" i="3"/>
  <c r="M111" i="3"/>
  <c r="F111" i="3"/>
  <c r="C111" i="3"/>
  <c r="G111" i="3"/>
  <c r="M111" i="4"/>
  <c r="G111" i="4"/>
  <c r="F111" i="4"/>
  <c r="C111" i="4"/>
  <c r="J111" i="4"/>
  <c r="K111" i="4"/>
  <c r="F112" i="4" l="1"/>
  <c r="C112" i="4"/>
  <c r="G112" i="4"/>
  <c r="M112" i="4"/>
  <c r="H113" i="4"/>
  <c r="E113" i="4"/>
  <c r="A114" i="4"/>
  <c r="B113" i="4"/>
  <c r="J112" i="4"/>
  <c r="K112" i="4"/>
  <c r="I112" i="4"/>
  <c r="E113" i="3"/>
  <c r="B113" i="3"/>
  <c r="H113" i="3"/>
  <c r="I113" i="3" s="1"/>
  <c r="A114" i="3"/>
  <c r="J112" i="3"/>
  <c r="K112" i="3"/>
  <c r="F112" i="3"/>
  <c r="C112" i="3"/>
  <c r="M112" i="3"/>
  <c r="G112" i="3"/>
  <c r="H114" i="3" l="1"/>
  <c r="I114" i="3" s="1"/>
  <c r="B114" i="3"/>
  <c r="E114" i="3"/>
  <c r="A115" i="3"/>
  <c r="G113" i="4"/>
  <c r="F113" i="4"/>
  <c r="C113" i="4"/>
  <c r="M113" i="4"/>
  <c r="K113" i="3"/>
  <c r="J113" i="3"/>
  <c r="B114" i="4"/>
  <c r="H114" i="4"/>
  <c r="A115" i="4"/>
  <c r="E114" i="4"/>
  <c r="F113" i="3"/>
  <c r="M113" i="3"/>
  <c r="C113" i="3"/>
  <c r="G113" i="3"/>
  <c r="K113" i="4"/>
  <c r="J113" i="4"/>
  <c r="I113" i="4"/>
  <c r="G114" i="4" l="1"/>
  <c r="C114" i="4"/>
  <c r="M114" i="4"/>
  <c r="F114" i="4"/>
  <c r="J114" i="4"/>
  <c r="K114" i="4"/>
  <c r="I114" i="4"/>
  <c r="C114" i="3"/>
  <c r="F114" i="3"/>
  <c r="G114" i="3"/>
  <c r="M114" i="3"/>
  <c r="H115" i="4"/>
  <c r="I115" i="4" s="1"/>
  <c r="B115" i="4"/>
  <c r="E115" i="4"/>
  <c r="A116" i="4"/>
  <c r="B115" i="3"/>
  <c r="E115" i="3"/>
  <c r="A116" i="3"/>
  <c r="H115" i="3"/>
  <c r="I115" i="3" s="1"/>
  <c r="J114" i="3"/>
  <c r="K114" i="3"/>
  <c r="E116" i="4" l="1"/>
  <c r="B116" i="4"/>
  <c r="H116" i="4"/>
  <c r="A117" i="4"/>
  <c r="G115" i="3"/>
  <c r="C115" i="3"/>
  <c r="M115" i="3"/>
  <c r="F115" i="3"/>
  <c r="J115" i="3"/>
  <c r="K115" i="3"/>
  <c r="K115" i="4"/>
  <c r="J115" i="4"/>
  <c r="E116" i="3"/>
  <c r="H116" i="3"/>
  <c r="B116" i="3"/>
  <c r="A117" i="3"/>
  <c r="M115" i="4"/>
  <c r="G115" i="4"/>
  <c r="C115" i="4"/>
  <c r="F115" i="4"/>
  <c r="H117" i="3" l="1"/>
  <c r="I117" i="3" s="1"/>
  <c r="E117" i="3"/>
  <c r="A118" i="3"/>
  <c r="B117" i="3"/>
  <c r="J116" i="3"/>
  <c r="K116" i="3"/>
  <c r="J116" i="4"/>
  <c r="K116" i="4"/>
  <c r="M116" i="3"/>
  <c r="C116" i="3"/>
  <c r="G116" i="3"/>
  <c r="F116" i="3"/>
  <c r="M116" i="4"/>
  <c r="G116" i="4"/>
  <c r="C116" i="4"/>
  <c r="F116" i="4"/>
  <c r="H117" i="4"/>
  <c r="I117" i="4" s="1"/>
  <c r="E117" i="4"/>
  <c r="B117" i="4"/>
  <c r="A118" i="4"/>
  <c r="I116" i="4"/>
  <c r="I116" i="3"/>
  <c r="C117" i="4" l="1"/>
  <c r="M117" i="4"/>
  <c r="G117" i="4"/>
  <c r="F117" i="4"/>
  <c r="B118" i="4"/>
  <c r="H118" i="4"/>
  <c r="I118" i="4" s="1"/>
  <c r="E118" i="4"/>
  <c r="A119" i="4"/>
  <c r="G117" i="3"/>
  <c r="F117" i="3"/>
  <c r="M117" i="3"/>
  <c r="C117" i="3"/>
  <c r="H118" i="3"/>
  <c r="I118" i="3" s="1"/>
  <c r="E118" i="3"/>
  <c r="A119" i="3"/>
  <c r="B118" i="3"/>
  <c r="J117" i="4"/>
  <c r="K117" i="4"/>
  <c r="J117" i="3"/>
  <c r="K117" i="3"/>
  <c r="B119" i="4" l="1"/>
  <c r="E119" i="4"/>
  <c r="H119" i="4"/>
  <c r="A120" i="4"/>
  <c r="C118" i="3"/>
  <c r="M118" i="3"/>
  <c r="G118" i="3"/>
  <c r="F118" i="3"/>
  <c r="B119" i="3"/>
  <c r="H119" i="3"/>
  <c r="I119" i="3" s="1"/>
  <c r="E119" i="3"/>
  <c r="A120" i="3"/>
  <c r="K118" i="4"/>
  <c r="J118" i="4"/>
  <c r="K118" i="3"/>
  <c r="J118" i="3"/>
  <c r="F118" i="4"/>
  <c r="C118" i="4"/>
  <c r="G118" i="4"/>
  <c r="M118" i="4"/>
  <c r="B120" i="3" l="1"/>
  <c r="H120" i="3"/>
  <c r="A121" i="3"/>
  <c r="E120" i="3"/>
  <c r="J119" i="3"/>
  <c r="K119" i="3"/>
  <c r="H120" i="4"/>
  <c r="A121" i="4"/>
  <c r="E120" i="4"/>
  <c r="B120" i="4"/>
  <c r="K119" i="4"/>
  <c r="J119" i="4"/>
  <c r="I119" i="4"/>
  <c r="G119" i="3"/>
  <c r="F119" i="3"/>
  <c r="C119" i="3"/>
  <c r="M119" i="3"/>
  <c r="G119" i="4"/>
  <c r="M119" i="4"/>
  <c r="F119" i="4"/>
  <c r="C119" i="4"/>
  <c r="J120" i="4" l="1"/>
  <c r="K120" i="4"/>
  <c r="I120" i="4"/>
  <c r="F120" i="4"/>
  <c r="C120" i="4"/>
  <c r="G120" i="4"/>
  <c r="M120" i="4"/>
  <c r="B121" i="3"/>
  <c r="A122" i="3"/>
  <c r="H121" i="3"/>
  <c r="E121" i="3"/>
  <c r="E121" i="4"/>
  <c r="B121" i="4"/>
  <c r="A122" i="4"/>
  <c r="H121" i="4"/>
  <c r="I121" i="4" s="1"/>
  <c r="K120" i="3"/>
  <c r="J120" i="3"/>
  <c r="I120" i="3"/>
  <c r="F120" i="3"/>
  <c r="M120" i="3"/>
  <c r="C120" i="3"/>
  <c r="G120" i="3"/>
  <c r="C121" i="4" l="1"/>
  <c r="M121" i="4"/>
  <c r="G121" i="4"/>
  <c r="F121" i="4"/>
  <c r="E122" i="3"/>
  <c r="B122" i="3"/>
  <c r="H122" i="3"/>
  <c r="A123" i="3"/>
  <c r="J121" i="4"/>
  <c r="K121" i="4"/>
  <c r="K121" i="3"/>
  <c r="J121" i="3"/>
  <c r="I121" i="3"/>
  <c r="H122" i="4"/>
  <c r="I122" i="4" s="1"/>
  <c r="E122" i="4"/>
  <c r="A123" i="4"/>
  <c r="B122" i="4"/>
  <c r="G121" i="3"/>
  <c r="M121" i="3"/>
  <c r="C121" i="3"/>
  <c r="F121" i="3"/>
  <c r="F122" i="4" l="1"/>
  <c r="G122" i="4"/>
  <c r="M122" i="4"/>
  <c r="C122" i="4"/>
  <c r="E123" i="3"/>
  <c r="H123" i="3"/>
  <c r="I123" i="3" s="1"/>
  <c r="B123" i="3"/>
  <c r="A124" i="3"/>
  <c r="F122" i="3"/>
  <c r="M122" i="3"/>
  <c r="G122" i="3"/>
  <c r="C122" i="3"/>
  <c r="K122" i="4"/>
  <c r="J122" i="4"/>
  <c r="J122" i="3"/>
  <c r="K122" i="3"/>
  <c r="I122" i="3"/>
  <c r="B123" i="4"/>
  <c r="A124" i="4"/>
  <c r="E123" i="4"/>
  <c r="H123" i="4"/>
  <c r="I123" i="4" s="1"/>
  <c r="B124" i="3" l="1"/>
  <c r="H124" i="3"/>
  <c r="I124" i="3" s="1"/>
  <c r="A125" i="3"/>
  <c r="E124" i="3"/>
  <c r="K123" i="4"/>
  <c r="J123" i="4"/>
  <c r="H124" i="4"/>
  <c r="I124" i="4" s="1"/>
  <c r="A125" i="4"/>
  <c r="E124" i="4"/>
  <c r="B124" i="4"/>
  <c r="K123" i="3"/>
  <c r="J123" i="3"/>
  <c r="C123" i="4"/>
  <c r="F123" i="4"/>
  <c r="M123" i="4"/>
  <c r="G123" i="4"/>
  <c r="F123" i="3"/>
  <c r="G123" i="3"/>
  <c r="C123" i="3"/>
  <c r="M123" i="3"/>
  <c r="B125" i="4" l="1"/>
  <c r="H125" i="4"/>
  <c r="I125" i="4" s="1"/>
  <c r="E125" i="4"/>
  <c r="A126" i="4"/>
  <c r="M124" i="4"/>
  <c r="F124" i="4"/>
  <c r="G124" i="4"/>
  <c r="C124" i="4"/>
  <c r="E125" i="3"/>
  <c r="B125" i="3"/>
  <c r="A126" i="3"/>
  <c r="H125" i="3"/>
  <c r="J124" i="3"/>
  <c r="K124" i="3"/>
  <c r="J124" i="4"/>
  <c r="K124" i="4"/>
  <c r="C124" i="3"/>
  <c r="F124" i="3"/>
  <c r="G124" i="3"/>
  <c r="M124" i="3"/>
  <c r="J125" i="3" l="1"/>
  <c r="K125" i="3"/>
  <c r="I125" i="3"/>
  <c r="M125" i="3"/>
  <c r="F125" i="3"/>
  <c r="C125" i="3"/>
  <c r="G125" i="3"/>
  <c r="B126" i="4"/>
  <c r="E126" i="4"/>
  <c r="H126" i="4"/>
  <c r="A127" i="4"/>
  <c r="J125" i="4"/>
  <c r="K125" i="4"/>
  <c r="H126" i="3"/>
  <c r="B126" i="3"/>
  <c r="E126" i="3"/>
  <c r="A127" i="3"/>
  <c r="F125" i="4"/>
  <c r="G125" i="4"/>
  <c r="M125" i="4"/>
  <c r="C125" i="4"/>
  <c r="K126" i="3" l="1"/>
  <c r="J126" i="3"/>
  <c r="K126" i="4"/>
  <c r="J126" i="4"/>
  <c r="I126" i="3"/>
  <c r="B127" i="4"/>
  <c r="E127" i="4"/>
  <c r="H127" i="4"/>
  <c r="A128" i="4"/>
  <c r="I126" i="4"/>
  <c r="F126" i="3"/>
  <c r="M126" i="3"/>
  <c r="C126" i="3"/>
  <c r="G126" i="3"/>
  <c r="B127" i="3"/>
  <c r="E127" i="3"/>
  <c r="H127" i="3"/>
  <c r="A128" i="3"/>
  <c r="M126" i="4"/>
  <c r="G126" i="4"/>
  <c r="C126" i="4"/>
  <c r="F126" i="4"/>
  <c r="F127" i="3" l="1"/>
  <c r="M127" i="3"/>
  <c r="C127" i="3"/>
  <c r="G127" i="3"/>
  <c r="K127" i="3"/>
  <c r="J127" i="3"/>
  <c r="M127" i="4"/>
  <c r="G127" i="4"/>
  <c r="C127" i="4"/>
  <c r="F127" i="4"/>
  <c r="H128" i="4"/>
  <c r="E128" i="4"/>
  <c r="B128" i="4"/>
  <c r="A129" i="4"/>
  <c r="H128" i="3"/>
  <c r="I128" i="3" s="1"/>
  <c r="E128" i="3"/>
  <c r="B128" i="3"/>
  <c r="A129" i="3"/>
  <c r="J127" i="4"/>
  <c r="K127" i="4"/>
  <c r="I127" i="3"/>
  <c r="I127" i="4"/>
  <c r="C128" i="3" l="1"/>
  <c r="G128" i="3"/>
  <c r="F128" i="3"/>
  <c r="M128" i="3"/>
  <c r="K128" i="4"/>
  <c r="J128" i="4"/>
  <c r="J128" i="3"/>
  <c r="K128" i="3"/>
  <c r="H129" i="4"/>
  <c r="I129" i="4" s="1"/>
  <c r="B129" i="4"/>
  <c r="E129" i="4"/>
  <c r="A130" i="4"/>
  <c r="F128" i="4"/>
  <c r="C128" i="4"/>
  <c r="M128" i="4"/>
  <c r="G128" i="4"/>
  <c r="H129" i="3"/>
  <c r="I129" i="3" s="1"/>
  <c r="E129" i="3"/>
  <c r="B129" i="3"/>
  <c r="A130" i="3"/>
  <c r="I128" i="4"/>
  <c r="H130" i="3" l="1"/>
  <c r="I130" i="3" s="1"/>
  <c r="B130" i="3"/>
  <c r="A131" i="3"/>
  <c r="E130" i="3"/>
  <c r="G129" i="3"/>
  <c r="M129" i="3"/>
  <c r="F129" i="3"/>
  <c r="C129" i="3"/>
  <c r="K129" i="4"/>
  <c r="J129" i="4"/>
  <c r="K129" i="3"/>
  <c r="J129" i="3"/>
  <c r="B130" i="4"/>
  <c r="E130" i="4"/>
  <c r="A131" i="4"/>
  <c r="H130" i="4"/>
  <c r="I130" i="4" s="1"/>
  <c r="G129" i="4"/>
  <c r="F129" i="4"/>
  <c r="C129" i="4"/>
  <c r="M129" i="4"/>
  <c r="M130" i="4" l="1"/>
  <c r="C130" i="4"/>
  <c r="G130" i="4"/>
  <c r="F130" i="4"/>
  <c r="K130" i="4"/>
  <c r="J130" i="4"/>
  <c r="E131" i="3"/>
  <c r="H131" i="3"/>
  <c r="I131" i="3" s="1"/>
  <c r="B131" i="3"/>
  <c r="A132" i="3"/>
  <c r="F130" i="3"/>
  <c r="M130" i="3"/>
  <c r="G130" i="3"/>
  <c r="C130" i="3"/>
  <c r="H131" i="4"/>
  <c r="I131" i="4" s="1"/>
  <c r="A132" i="4"/>
  <c r="E131" i="4"/>
  <c r="B131" i="4"/>
  <c r="J130" i="3"/>
  <c r="K130" i="3"/>
  <c r="H132" i="4" l="1"/>
  <c r="I132" i="4" s="1"/>
  <c r="B132" i="4"/>
  <c r="E132" i="4"/>
  <c r="A133" i="4"/>
  <c r="J131" i="4"/>
  <c r="K131" i="4"/>
  <c r="E132" i="3"/>
  <c r="A133" i="3"/>
  <c r="H132" i="3"/>
  <c r="B132" i="3"/>
  <c r="C131" i="4"/>
  <c r="M131" i="4"/>
  <c r="G131" i="4"/>
  <c r="F131" i="4"/>
  <c r="M131" i="3"/>
  <c r="G131" i="3"/>
  <c r="C131" i="3"/>
  <c r="F131" i="3"/>
  <c r="K131" i="3"/>
  <c r="J131" i="3"/>
  <c r="K132" i="3" l="1"/>
  <c r="J132" i="3"/>
  <c r="I132" i="3"/>
  <c r="F132" i="3"/>
  <c r="M132" i="3"/>
  <c r="C132" i="3"/>
  <c r="G132" i="3"/>
  <c r="A134" i="4"/>
  <c r="B133" i="4"/>
  <c r="H133" i="4"/>
  <c r="I133" i="4" s="1"/>
  <c r="E133" i="4"/>
  <c r="M132" i="4"/>
  <c r="C132" i="4"/>
  <c r="F132" i="4"/>
  <c r="G132" i="4"/>
  <c r="B133" i="3"/>
  <c r="E133" i="3"/>
  <c r="H133" i="3"/>
  <c r="A134" i="3"/>
  <c r="J132" i="4"/>
  <c r="K132" i="4"/>
  <c r="H134" i="3" l="1"/>
  <c r="I134" i="3" s="1"/>
  <c r="B134" i="3"/>
  <c r="E134" i="3"/>
  <c r="A135" i="3"/>
  <c r="K133" i="3"/>
  <c r="J133" i="3"/>
  <c r="F133" i="4"/>
  <c r="G133" i="4"/>
  <c r="C133" i="4"/>
  <c r="M133" i="4"/>
  <c r="J133" i="4"/>
  <c r="K133" i="4"/>
  <c r="I133" i="3"/>
  <c r="F133" i="3"/>
  <c r="M133" i="3"/>
  <c r="C133" i="3"/>
  <c r="G133" i="3"/>
  <c r="H134" i="4"/>
  <c r="E134" i="4"/>
  <c r="B134" i="4"/>
  <c r="A135" i="4"/>
  <c r="J134" i="4" l="1"/>
  <c r="K134" i="4"/>
  <c r="G134" i="4"/>
  <c r="M134" i="4"/>
  <c r="C134" i="4"/>
  <c r="F134" i="4"/>
  <c r="I134" i="4"/>
  <c r="M134" i="3"/>
  <c r="G134" i="3"/>
  <c r="C134" i="3"/>
  <c r="F134" i="3"/>
  <c r="H135" i="4"/>
  <c r="I135" i="4" s="1"/>
  <c r="E135" i="4"/>
  <c r="B135" i="4"/>
  <c r="A136" i="4"/>
  <c r="H135" i="3"/>
  <c r="B135" i="3"/>
  <c r="E135" i="3"/>
  <c r="A136" i="3"/>
  <c r="K134" i="3"/>
  <c r="J134" i="3"/>
  <c r="E136" i="3" l="1"/>
  <c r="B136" i="3"/>
  <c r="H136" i="3"/>
  <c r="A137" i="3"/>
  <c r="B136" i="4"/>
  <c r="H136" i="4"/>
  <c r="I136" i="4" s="1"/>
  <c r="E136" i="4"/>
  <c r="A137" i="4"/>
  <c r="F135" i="4"/>
  <c r="G135" i="4"/>
  <c r="M135" i="4"/>
  <c r="C135" i="4"/>
  <c r="J135" i="3"/>
  <c r="K135" i="3"/>
  <c r="F135" i="3"/>
  <c r="G135" i="3"/>
  <c r="C135" i="3"/>
  <c r="M135" i="3"/>
  <c r="I135" i="3"/>
  <c r="K135" i="4"/>
  <c r="J135" i="4"/>
  <c r="J136" i="4" l="1"/>
  <c r="K136" i="4"/>
  <c r="M136" i="4"/>
  <c r="C136" i="4"/>
  <c r="G136" i="4"/>
  <c r="F136" i="4"/>
  <c r="H137" i="4"/>
  <c r="I137" i="4" s="1"/>
  <c r="B137" i="4"/>
  <c r="E137" i="4"/>
  <c r="A138" i="4"/>
  <c r="H137" i="3"/>
  <c r="I137" i="3" s="1"/>
  <c r="B137" i="3"/>
  <c r="E137" i="3"/>
  <c r="A138" i="3"/>
  <c r="J136" i="3"/>
  <c r="K136" i="3"/>
  <c r="M136" i="3"/>
  <c r="F136" i="3"/>
  <c r="C136" i="3"/>
  <c r="G136" i="3"/>
  <c r="I136" i="3"/>
  <c r="M137" i="4" l="1"/>
  <c r="F137" i="4"/>
  <c r="C137" i="4"/>
  <c r="G137" i="4"/>
  <c r="J137" i="3"/>
  <c r="K137" i="3"/>
  <c r="B138" i="3"/>
  <c r="E138" i="3"/>
  <c r="H138" i="3"/>
  <c r="A139" i="3"/>
  <c r="E138" i="4"/>
  <c r="H138" i="4"/>
  <c r="I138" i="4" s="1"/>
  <c r="B138" i="4"/>
  <c r="A139" i="4"/>
  <c r="F137" i="3"/>
  <c r="C137" i="3"/>
  <c r="G137" i="3"/>
  <c r="M137" i="3"/>
  <c r="K137" i="4"/>
  <c r="J137" i="4"/>
  <c r="E139" i="3" l="1"/>
  <c r="B139" i="3"/>
  <c r="H139" i="3"/>
  <c r="A140" i="3"/>
  <c r="E139" i="4"/>
  <c r="H139" i="4"/>
  <c r="A140" i="4"/>
  <c r="B139" i="4"/>
  <c r="J138" i="4"/>
  <c r="K138" i="4"/>
  <c r="J138" i="3"/>
  <c r="K138" i="3"/>
  <c r="G138" i="3"/>
  <c r="M138" i="3"/>
  <c r="F138" i="3"/>
  <c r="C138" i="3"/>
  <c r="M138" i="4"/>
  <c r="F138" i="4"/>
  <c r="G138" i="4"/>
  <c r="C138" i="4"/>
  <c r="I138" i="3"/>
  <c r="M139" i="4" l="1"/>
  <c r="G139" i="4"/>
  <c r="F139" i="4"/>
  <c r="C139" i="4"/>
  <c r="K139" i="4"/>
  <c r="J139" i="4"/>
  <c r="I139" i="4"/>
  <c r="B140" i="4"/>
  <c r="H140" i="4"/>
  <c r="I140" i="4" s="1"/>
  <c r="A141" i="4"/>
  <c r="E140" i="4"/>
  <c r="H140" i="3"/>
  <c r="I140" i="3" s="1"/>
  <c r="B140" i="3"/>
  <c r="A141" i="3"/>
  <c r="E140" i="3"/>
  <c r="J139" i="3"/>
  <c r="K139" i="3"/>
  <c r="F139" i="3"/>
  <c r="C139" i="3"/>
  <c r="G139" i="3"/>
  <c r="M139" i="3"/>
  <c r="I139" i="3"/>
  <c r="A142" i="3" l="1"/>
  <c r="E141" i="3"/>
  <c r="H141" i="3"/>
  <c r="B141" i="3"/>
  <c r="K140" i="3"/>
  <c r="J140" i="3"/>
  <c r="M140" i="3"/>
  <c r="C140" i="3"/>
  <c r="F140" i="3"/>
  <c r="G140" i="3"/>
  <c r="B141" i="4"/>
  <c r="H141" i="4"/>
  <c r="E141" i="4"/>
  <c r="A142" i="4"/>
  <c r="G140" i="4"/>
  <c r="M140" i="4"/>
  <c r="C140" i="4"/>
  <c r="F140" i="4"/>
  <c r="J140" i="4"/>
  <c r="K140" i="4"/>
  <c r="K141" i="4" l="1"/>
  <c r="J141" i="4"/>
  <c r="C141" i="4"/>
  <c r="G141" i="4"/>
  <c r="M141" i="4"/>
  <c r="F141" i="4"/>
  <c r="H142" i="4"/>
  <c r="E142" i="4"/>
  <c r="B142" i="4"/>
  <c r="A143" i="4"/>
  <c r="F141" i="3"/>
  <c r="G141" i="3"/>
  <c r="C141" i="3"/>
  <c r="M141" i="3"/>
  <c r="K141" i="3"/>
  <c r="J141" i="3"/>
  <c r="I141" i="4"/>
  <c r="I141" i="3"/>
  <c r="A143" i="3"/>
  <c r="H142" i="3"/>
  <c r="E142" i="3"/>
  <c r="B142" i="3"/>
  <c r="G142" i="3" l="1"/>
  <c r="C142" i="3"/>
  <c r="M142" i="3"/>
  <c r="F142" i="3"/>
  <c r="E143" i="4"/>
  <c r="A144" i="4"/>
  <c r="H143" i="4"/>
  <c r="I143" i="4" s="1"/>
  <c r="B143" i="4"/>
  <c r="K142" i="3"/>
  <c r="J142" i="3"/>
  <c r="C142" i="4"/>
  <c r="M142" i="4"/>
  <c r="G142" i="4"/>
  <c r="F142" i="4"/>
  <c r="J142" i="4"/>
  <c r="K142" i="4"/>
  <c r="I142" i="3"/>
  <c r="B143" i="3"/>
  <c r="E143" i="3"/>
  <c r="H143" i="3"/>
  <c r="I143" i="3" s="1"/>
  <c r="A144" i="3"/>
  <c r="I142" i="4"/>
  <c r="J143" i="3" l="1"/>
  <c r="K143" i="3"/>
  <c r="J143" i="4"/>
  <c r="K143" i="4"/>
  <c r="H144" i="3"/>
  <c r="I144" i="3" s="1"/>
  <c r="E144" i="3"/>
  <c r="A145" i="3"/>
  <c r="B144" i="3"/>
  <c r="F143" i="4"/>
  <c r="M143" i="4"/>
  <c r="G143" i="4"/>
  <c r="C143" i="4"/>
  <c r="H144" i="4"/>
  <c r="I144" i="4" s="1"/>
  <c r="E144" i="4"/>
  <c r="B144" i="4"/>
  <c r="A145" i="4"/>
  <c r="G143" i="3"/>
  <c r="F143" i="3"/>
  <c r="C143" i="3"/>
  <c r="M143" i="3"/>
  <c r="M144" i="4" l="1"/>
  <c r="F144" i="4"/>
  <c r="C144" i="4"/>
  <c r="G144" i="4"/>
  <c r="B145" i="4"/>
  <c r="H145" i="4"/>
  <c r="E145" i="4"/>
  <c r="A146" i="4"/>
  <c r="K144" i="3"/>
  <c r="J144" i="3"/>
  <c r="M144" i="3"/>
  <c r="C144" i="3"/>
  <c r="G144" i="3"/>
  <c r="F144" i="3"/>
  <c r="K144" i="4"/>
  <c r="J144" i="4"/>
  <c r="B145" i="3"/>
  <c r="A146" i="3"/>
  <c r="H145" i="3"/>
  <c r="E145" i="3"/>
  <c r="K145" i="3" l="1"/>
  <c r="J145" i="3"/>
  <c r="I145" i="3"/>
  <c r="F145" i="3"/>
  <c r="M145" i="3"/>
  <c r="C145" i="3"/>
  <c r="G145" i="3"/>
  <c r="H146" i="4"/>
  <c r="I146" i="4" s="1"/>
  <c r="B146" i="4"/>
  <c r="E146" i="4"/>
  <c r="A147" i="4"/>
  <c r="J145" i="4"/>
  <c r="K145" i="4"/>
  <c r="I145" i="4"/>
  <c r="H146" i="3"/>
  <c r="B146" i="3"/>
  <c r="E146" i="3"/>
  <c r="A147" i="3"/>
  <c r="G145" i="4"/>
  <c r="M145" i="4"/>
  <c r="F145" i="4"/>
  <c r="C145" i="4"/>
  <c r="G146" i="3" l="1"/>
  <c r="F146" i="3"/>
  <c r="C146" i="3"/>
  <c r="M146" i="3"/>
  <c r="J146" i="3"/>
  <c r="K146" i="3"/>
  <c r="G146" i="4"/>
  <c r="F146" i="4"/>
  <c r="C146" i="4"/>
  <c r="M146" i="4"/>
  <c r="I146" i="3"/>
  <c r="H147" i="3"/>
  <c r="I147" i="3" s="1"/>
  <c r="B147" i="3"/>
  <c r="A148" i="3"/>
  <c r="E147" i="3"/>
  <c r="B147" i="4"/>
  <c r="H147" i="4"/>
  <c r="E147" i="4"/>
  <c r="A148" i="4"/>
  <c r="J146" i="4"/>
  <c r="K146" i="4"/>
  <c r="E148" i="4" l="1"/>
  <c r="H148" i="4"/>
  <c r="I148" i="4" s="1"/>
  <c r="B148" i="4"/>
  <c r="A149" i="4"/>
  <c r="K147" i="4"/>
  <c r="J147" i="4"/>
  <c r="H148" i="3"/>
  <c r="B148" i="3"/>
  <c r="E148" i="3"/>
  <c r="A149" i="3"/>
  <c r="J147" i="3"/>
  <c r="K147" i="3"/>
  <c r="F147" i="4"/>
  <c r="G147" i="4"/>
  <c r="C147" i="4"/>
  <c r="M147" i="4"/>
  <c r="I147" i="4"/>
  <c r="C147" i="3"/>
  <c r="F147" i="3"/>
  <c r="G147" i="3"/>
  <c r="M147" i="3"/>
  <c r="B149" i="3" l="1"/>
  <c r="H149" i="3"/>
  <c r="I149" i="3" s="1"/>
  <c r="A150" i="3"/>
  <c r="E149" i="3"/>
  <c r="J148" i="3"/>
  <c r="K148" i="3"/>
  <c r="F148" i="3"/>
  <c r="M148" i="3"/>
  <c r="G148" i="3"/>
  <c r="C148" i="3"/>
  <c r="I148" i="3"/>
  <c r="E149" i="4"/>
  <c r="B149" i="4"/>
  <c r="H149" i="4"/>
  <c r="I149" i="4" s="1"/>
  <c r="A150" i="4"/>
  <c r="F148" i="4"/>
  <c r="M148" i="4"/>
  <c r="C148" i="4"/>
  <c r="G148" i="4"/>
  <c r="K148" i="4"/>
  <c r="J148" i="4"/>
  <c r="K149" i="4" l="1"/>
  <c r="J149" i="4"/>
  <c r="M149" i="4"/>
  <c r="G149" i="4"/>
  <c r="C149" i="4"/>
  <c r="F149" i="4"/>
  <c r="H150" i="4"/>
  <c r="B150" i="4"/>
  <c r="E150" i="4"/>
  <c r="A151" i="4"/>
  <c r="A151" i="3"/>
  <c r="E150" i="3"/>
  <c r="H150" i="3"/>
  <c r="B150" i="3"/>
  <c r="J149" i="3"/>
  <c r="K149" i="3"/>
  <c r="C149" i="3"/>
  <c r="M149" i="3"/>
  <c r="G149" i="3"/>
  <c r="F149" i="3"/>
  <c r="K150" i="3" l="1"/>
  <c r="J150" i="3"/>
  <c r="B151" i="4"/>
  <c r="H151" i="4"/>
  <c r="I151" i="4" s="1"/>
  <c r="E151" i="4"/>
  <c r="A152" i="4"/>
  <c r="F150" i="3"/>
  <c r="G150" i="3"/>
  <c r="M150" i="3"/>
  <c r="C150" i="3"/>
  <c r="I150" i="3"/>
  <c r="K150" i="4"/>
  <c r="J150" i="4"/>
  <c r="I150" i="4"/>
  <c r="E151" i="3"/>
  <c r="B151" i="3"/>
  <c r="H151" i="3"/>
  <c r="A152" i="3"/>
  <c r="F150" i="4"/>
  <c r="G150" i="4"/>
  <c r="C150" i="4"/>
  <c r="M150" i="4"/>
  <c r="H152" i="3" l="1"/>
  <c r="I152" i="3" s="1"/>
  <c r="E152" i="3"/>
  <c r="B152" i="3"/>
  <c r="A153" i="3"/>
  <c r="J151" i="3"/>
  <c r="K151" i="3"/>
  <c r="I151" i="3"/>
  <c r="M151" i="3"/>
  <c r="G151" i="3"/>
  <c r="F151" i="3"/>
  <c r="C151" i="3"/>
  <c r="E152" i="4"/>
  <c r="A153" i="4"/>
  <c r="B152" i="4"/>
  <c r="H152" i="4"/>
  <c r="I152" i="4" s="1"/>
  <c r="J151" i="4"/>
  <c r="K151" i="4"/>
  <c r="M151" i="4"/>
  <c r="F151" i="4"/>
  <c r="C151" i="4"/>
  <c r="G151" i="4"/>
  <c r="E153" i="4" l="1"/>
  <c r="B153" i="4"/>
  <c r="A154" i="4"/>
  <c r="H153" i="4"/>
  <c r="I153" i="4" s="1"/>
  <c r="J152" i="4"/>
  <c r="K152" i="4"/>
  <c r="E153" i="3"/>
  <c r="H153" i="3"/>
  <c r="A154" i="3"/>
  <c r="B153" i="3"/>
  <c r="F152" i="3"/>
  <c r="C152" i="3"/>
  <c r="G152" i="3"/>
  <c r="M152" i="3"/>
  <c r="C152" i="4"/>
  <c r="F152" i="4"/>
  <c r="M152" i="4"/>
  <c r="G152" i="4"/>
  <c r="K152" i="3"/>
  <c r="J152" i="3"/>
  <c r="K153" i="3" l="1"/>
  <c r="J153" i="3"/>
  <c r="M153" i="3"/>
  <c r="F153" i="3"/>
  <c r="G153" i="3"/>
  <c r="C153" i="3"/>
  <c r="I153" i="3"/>
  <c r="B154" i="3"/>
  <c r="E154" i="3"/>
  <c r="H154" i="3"/>
  <c r="I154" i="3" s="1"/>
  <c r="A155" i="3"/>
  <c r="J153" i="4"/>
  <c r="K153" i="4"/>
  <c r="E154" i="4"/>
  <c r="B154" i="4"/>
  <c r="A155" i="4"/>
  <c r="H154" i="4"/>
  <c r="M153" i="4"/>
  <c r="G153" i="4"/>
  <c r="C153" i="4"/>
  <c r="F153" i="4"/>
  <c r="J154" i="4" l="1"/>
  <c r="K154" i="4"/>
  <c r="F154" i="4"/>
  <c r="G154" i="4"/>
  <c r="C154" i="4"/>
  <c r="M154" i="4"/>
  <c r="E155" i="4"/>
  <c r="B155" i="4"/>
  <c r="A156" i="4"/>
  <c r="H155" i="4"/>
  <c r="B155" i="3"/>
  <c r="H155" i="3"/>
  <c r="I155" i="3" s="1"/>
  <c r="A156" i="3"/>
  <c r="E155" i="3"/>
  <c r="M154" i="3"/>
  <c r="G154" i="3"/>
  <c r="C154" i="3"/>
  <c r="F154" i="3"/>
  <c r="I154" i="4"/>
  <c r="J154" i="3"/>
  <c r="K154" i="3"/>
  <c r="E156" i="3" l="1"/>
  <c r="B156" i="3"/>
  <c r="H156" i="3"/>
  <c r="A157" i="3"/>
  <c r="K155" i="3"/>
  <c r="J155" i="3"/>
  <c r="F155" i="4"/>
  <c r="C155" i="4"/>
  <c r="M155" i="4"/>
  <c r="G155" i="4"/>
  <c r="K155" i="4"/>
  <c r="J155" i="4"/>
  <c r="G155" i="3"/>
  <c r="C155" i="3"/>
  <c r="M155" i="3"/>
  <c r="F155" i="3"/>
  <c r="B156" i="4"/>
  <c r="H156" i="4"/>
  <c r="I156" i="4" s="1"/>
  <c r="E156" i="4"/>
  <c r="A157" i="4"/>
  <c r="I155" i="4"/>
  <c r="B157" i="4" l="1"/>
  <c r="E157" i="4"/>
  <c r="H157" i="4"/>
  <c r="A158" i="4"/>
  <c r="K156" i="4"/>
  <c r="J156" i="4"/>
  <c r="H157" i="3"/>
  <c r="E157" i="3"/>
  <c r="A158" i="3"/>
  <c r="B157" i="3"/>
  <c r="K156" i="3"/>
  <c r="J156" i="3"/>
  <c r="C156" i="3"/>
  <c r="F156" i="3"/>
  <c r="M156" i="3"/>
  <c r="G156" i="3"/>
  <c r="F156" i="4"/>
  <c r="M156" i="4"/>
  <c r="C156" i="4"/>
  <c r="G156" i="4"/>
  <c r="I156" i="3"/>
  <c r="M157" i="3" l="1"/>
  <c r="F157" i="3"/>
  <c r="C157" i="3"/>
  <c r="G157" i="3"/>
  <c r="B158" i="3"/>
  <c r="H158" i="3"/>
  <c r="E158" i="3"/>
  <c r="A159" i="3"/>
  <c r="K157" i="3"/>
  <c r="J157" i="3"/>
  <c r="I157" i="3"/>
  <c r="H158" i="4"/>
  <c r="I158" i="4" s="1"/>
  <c r="B158" i="4"/>
  <c r="A159" i="4"/>
  <c r="E158" i="4"/>
  <c r="K157" i="4"/>
  <c r="J157" i="4"/>
  <c r="I157" i="4"/>
  <c r="G157" i="4"/>
  <c r="F157" i="4"/>
  <c r="C157" i="4"/>
  <c r="M157" i="4"/>
  <c r="B159" i="4" l="1"/>
  <c r="H159" i="4"/>
  <c r="I159" i="4" s="1"/>
  <c r="A160" i="4"/>
  <c r="E159" i="4"/>
  <c r="G158" i="4"/>
  <c r="F158" i="4"/>
  <c r="M158" i="4"/>
  <c r="C158" i="4"/>
  <c r="H159" i="3"/>
  <c r="I159" i="3" s="1"/>
  <c r="E159" i="3"/>
  <c r="B159" i="3"/>
  <c r="A160" i="3"/>
  <c r="J158" i="3"/>
  <c r="K158" i="3"/>
  <c r="I158" i="3"/>
  <c r="K158" i="4"/>
  <c r="J158" i="4"/>
  <c r="M158" i="3"/>
  <c r="F158" i="3"/>
  <c r="C158" i="3"/>
  <c r="G158" i="3"/>
  <c r="F159" i="3" l="1"/>
  <c r="C159" i="3"/>
  <c r="G159" i="3"/>
  <c r="M159" i="3"/>
  <c r="H160" i="3"/>
  <c r="I160" i="3" s="1"/>
  <c r="B160" i="3"/>
  <c r="E160" i="3"/>
  <c r="A161" i="3"/>
  <c r="H160" i="4"/>
  <c r="A161" i="4"/>
  <c r="B160" i="4"/>
  <c r="E160" i="4"/>
  <c r="J159" i="3"/>
  <c r="K159" i="3"/>
  <c r="J159" i="4"/>
  <c r="K159" i="4"/>
  <c r="C159" i="4"/>
  <c r="F159" i="4"/>
  <c r="M159" i="4"/>
  <c r="G159" i="4"/>
  <c r="C160" i="4" l="1"/>
  <c r="M160" i="4"/>
  <c r="F160" i="4"/>
  <c r="G160" i="4"/>
  <c r="K160" i="4"/>
  <c r="J160" i="4"/>
  <c r="I160" i="4"/>
  <c r="H161" i="3"/>
  <c r="I161" i="3" s="1"/>
  <c r="E161" i="3"/>
  <c r="A162" i="3"/>
  <c r="B161" i="3"/>
  <c r="C160" i="3"/>
  <c r="F160" i="3"/>
  <c r="G160" i="3"/>
  <c r="M160" i="3"/>
  <c r="E161" i="4"/>
  <c r="H161" i="4"/>
  <c r="B161" i="4"/>
  <c r="A162" i="4"/>
  <c r="K160" i="3"/>
  <c r="J160" i="3"/>
  <c r="K161" i="4" l="1"/>
  <c r="J161" i="4"/>
  <c r="M161" i="4"/>
  <c r="G161" i="4"/>
  <c r="C161" i="4"/>
  <c r="F161" i="4"/>
  <c r="H162" i="4"/>
  <c r="I162" i="4" s="1"/>
  <c r="E162" i="4"/>
  <c r="A163" i="4"/>
  <c r="B162" i="4"/>
  <c r="E162" i="3"/>
  <c r="A163" i="3"/>
  <c r="H162" i="3"/>
  <c r="B162" i="3"/>
  <c r="I161" i="4"/>
  <c r="F161" i="3"/>
  <c r="G161" i="3"/>
  <c r="C161" i="3"/>
  <c r="M161" i="3"/>
  <c r="J161" i="3"/>
  <c r="K161" i="3"/>
  <c r="H163" i="3" l="1"/>
  <c r="E163" i="3"/>
  <c r="A164" i="3"/>
  <c r="B163" i="3"/>
  <c r="M162" i="3"/>
  <c r="C162" i="3"/>
  <c r="G162" i="3"/>
  <c r="F162" i="3"/>
  <c r="K162" i="3"/>
  <c r="J162" i="3"/>
  <c r="F162" i="4"/>
  <c r="G162" i="4"/>
  <c r="C162" i="4"/>
  <c r="M162" i="4"/>
  <c r="E163" i="4"/>
  <c r="A164" i="4"/>
  <c r="H163" i="4"/>
  <c r="B163" i="4"/>
  <c r="I162" i="3"/>
  <c r="K162" i="4"/>
  <c r="J162" i="4"/>
  <c r="F163" i="4" l="1"/>
  <c r="M163" i="4"/>
  <c r="G163" i="4"/>
  <c r="C163" i="4"/>
  <c r="K163" i="4"/>
  <c r="J163" i="4"/>
  <c r="I163" i="4"/>
  <c r="M163" i="3"/>
  <c r="F163" i="3"/>
  <c r="G163" i="3"/>
  <c r="C163" i="3"/>
  <c r="H164" i="4"/>
  <c r="I164" i="4" s="1"/>
  <c r="B164" i="4"/>
  <c r="A165" i="4"/>
  <c r="E164" i="4"/>
  <c r="H164" i="3"/>
  <c r="I164" i="3" s="1"/>
  <c r="B164" i="3"/>
  <c r="A165" i="3"/>
  <c r="E164" i="3"/>
  <c r="K163" i="3"/>
  <c r="J163" i="3"/>
  <c r="I163" i="3"/>
  <c r="J164" i="3" l="1"/>
  <c r="K164" i="3"/>
  <c r="F164" i="3"/>
  <c r="G164" i="3"/>
  <c r="M164" i="3"/>
  <c r="C164" i="3"/>
  <c r="A166" i="4"/>
  <c r="E165" i="4"/>
  <c r="H165" i="4"/>
  <c r="I165" i="4" s="1"/>
  <c r="B165" i="4"/>
  <c r="E165" i="3"/>
  <c r="B165" i="3"/>
  <c r="H165" i="3"/>
  <c r="I165" i="3" s="1"/>
  <c r="A166" i="3"/>
  <c r="J164" i="4"/>
  <c r="K164" i="4"/>
  <c r="F164" i="4"/>
  <c r="C164" i="4"/>
  <c r="G164" i="4"/>
  <c r="M164" i="4"/>
  <c r="M165" i="3" l="1"/>
  <c r="G165" i="3"/>
  <c r="F165" i="3"/>
  <c r="C165" i="3"/>
  <c r="B166" i="3"/>
  <c r="E166" i="3"/>
  <c r="A167" i="3"/>
  <c r="H166" i="3"/>
  <c r="J165" i="3"/>
  <c r="K165" i="3"/>
  <c r="M165" i="4"/>
  <c r="C165" i="4"/>
  <c r="F165" i="4"/>
  <c r="G165" i="4"/>
  <c r="K165" i="4"/>
  <c r="J165" i="4"/>
  <c r="B166" i="4"/>
  <c r="H166" i="4"/>
  <c r="I166" i="4" s="1"/>
  <c r="A167" i="4"/>
  <c r="E166" i="4"/>
  <c r="B167" i="4" l="1"/>
  <c r="H167" i="4"/>
  <c r="I167" i="4" s="1"/>
  <c r="E167" i="4"/>
  <c r="C166" i="4"/>
  <c r="F166" i="4"/>
  <c r="G166" i="4"/>
  <c r="M166" i="4"/>
  <c r="M166" i="3"/>
  <c r="F166" i="3"/>
  <c r="G166" i="3"/>
  <c r="C166" i="3"/>
  <c r="K166" i="4"/>
  <c r="J166" i="4"/>
  <c r="J166" i="3"/>
  <c r="K166" i="3"/>
  <c r="H167" i="3"/>
  <c r="I167" i="3" s="1"/>
  <c r="E167" i="3"/>
  <c r="B167" i="3"/>
  <c r="I166" i="3"/>
  <c r="M167" i="3" l="1"/>
  <c r="C167" i="3"/>
  <c r="F167" i="3"/>
  <c r="G167" i="3"/>
  <c r="J167" i="3"/>
  <c r="K167" i="3"/>
  <c r="J167" i="4"/>
  <c r="K167" i="4"/>
  <c r="F167" i="4"/>
  <c r="G167" i="4"/>
  <c r="C167" i="4"/>
  <c r="M16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<sst xmlns="http://schemas.openxmlformats.org/spreadsheetml/2006/main" count="200" uniqueCount="47">
  <si>
    <t>ERIXITXO INDEX</t>
  </si>
  <si>
    <t>Last ER Date =</t>
  </si>
  <si>
    <t>Long Risk</t>
  </si>
  <si>
    <t>Short Risk</t>
  </si>
  <si>
    <t>IHYG Units</t>
  </si>
  <si>
    <t>Last CDX =</t>
  </si>
  <si>
    <t>Name=</t>
  </si>
  <si>
    <t>IHYG</t>
  </si>
  <si>
    <t>OBL 2.4% 10/28</t>
  </si>
  <si>
    <t>Xover S44</t>
  </si>
  <si>
    <t>Dvd</t>
  </si>
  <si>
    <t>Last ER =</t>
  </si>
  <si>
    <t>BBG Ticker=</t>
  </si>
  <si>
    <t>IHYG LN EQUITY</t>
  </si>
  <si>
    <t xml:space="preserve">ZK885444@BGN Corp </t>
  </si>
  <si>
    <t>ITRX XOVER CDSI GEN 5Y CORP</t>
  </si>
  <si>
    <t>Carry Days =</t>
  </si>
  <si>
    <t>Not'l=</t>
  </si>
  <si>
    <t>Carry=</t>
  </si>
  <si>
    <t>Financing Rate=</t>
  </si>
  <si>
    <t>Initial Duration=</t>
  </si>
  <si>
    <t>-</t>
  </si>
  <si>
    <t>Live PX=</t>
  </si>
  <si>
    <t>Live ER =</t>
  </si>
  <si>
    <t>Date</t>
  </si>
  <si>
    <t>IHYG Dvd</t>
  </si>
  <si>
    <t>Net P/L</t>
  </si>
  <si>
    <t>Price</t>
  </si>
  <si>
    <t>Price P/L</t>
  </si>
  <si>
    <t>Carry P/L</t>
  </si>
  <si>
    <t>Sprd</t>
  </si>
  <si>
    <t>Index</t>
  </si>
  <si>
    <t>Adj. Index</t>
  </si>
  <si>
    <t>P/L</t>
  </si>
  <si>
    <t>Value of 1pt</t>
  </si>
  <si>
    <t>Single Contract Notional at Start</t>
  </si>
  <si>
    <t># of contracts</t>
  </si>
  <si>
    <t>EUR HY Fut</t>
  </si>
  <si>
    <t>Eur HY Fut=</t>
  </si>
  <si>
    <t>AHWM6 Index</t>
  </si>
  <si>
    <t>DIVIDEND HISTORY (live BDS — Bloomberg, Ex-Date + Amount)</t>
  </si>
  <si>
    <t>EMB</t>
  </si>
  <si>
    <t>VCIT</t>
  </si>
  <si>
    <t>EMB US EQUITY</t>
  </si>
  <si>
    <t>VCIT US EQUITY</t>
  </si>
  <si>
    <t>Ex-Date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</si>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</sst>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yy\ hh:mm"/>
    <numFmt numFmtId="165" formatCode="_(&quot;$&quot;* #,##0_);_(&quot;$&quot;* \(#,##0\);_(&quot;$&quot;* &quot;-&quot;??_);_(@_)"/>
    <numFmt numFmtId="166" formatCode="0.000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0" xfId="0" applyFont="1" applyFill="1" applyAlignment="1">
      <alignment horizontal="right" vertical="center" wrapText="1"/>
    </xf>
    <xf numFmtId="14" fontId="6" fillId="5" borderId="0" xfId="0" applyNumberFormat="1" applyFont="1" applyFill="1" applyAlignment="1">
      <alignment horizontal="right" vertical="center" wrapText="1"/>
    </xf>
    <xf numFmtId="14" fontId="7" fillId="5" borderId="0" xfId="0" applyNumberFormat="1" applyFont="1" applyFill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2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0" fillId="5" borderId="0" xfId="0" applyFill="1"/>
    <xf numFmtId="1" fontId="0" fillId="0" borderId="0" xfId="0" applyNumberFormat="1" applyAlignment="1">
      <alignment horizontal="center" vertical="center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2" fillId="8" borderId="0" xfId="0" applyFont="1" applyFill="1"/>
    <xf numFmtId="14" fontId="0" fillId="0" borderId="0" xfId="0" applyNumberFormat="1"/>
    <xf numFmtId="167" fontId="0" fillId="0" borderId="0" xfId="0" applyNumberFormat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Data...1281507493</v>
        <stp/>
        <stp>BDP|18410541755614855691</stp>
        <tr r="B9" s="5"/>
        <tr r="B9" s="2"/>
      </tp>
      <tp t="s">
        <v>#N/A Requesting Data...1937040590</v>
        <stp/>
        <stp>BDH|18184423249770371529</stp>
        <tr r="Q3" s="4"/>
        <tr r="Q3" s="2"/>
        <tr r="Q3" s="5"/>
        <tr r="Q3" s="3"/>
      </tp>
      <tp t="s">
        <v>#N/A Requesting Data...2998965017</v>
        <stp/>
        <stp>BDH|14251558715388576990</stp>
        <tr r="O3" s="4"/>
        <tr r="O3" s="3"/>
      </tp>
      <tp t="e">
        <v>#N/A</v>
        <stp/>
        <stp>BDS|13234145445614250586</stp>
        <tr r="A6" s="6"/>
      </tp>
      <tp t="s">
        <v>#N/A Requesting Data...3396073488</v>
        <stp/>
        <stp>BDH|11420419140960972601</stp>
        <tr r="O3" s="5"/>
        <tr r="O3" s="2"/>
      </tp>
      <tp t="s">
        <v>#N/A N/A</v>
        <stp/>
        <stp>BDH|17673259562092041415</stp>
        <tr r="AI3" s="4"/>
      </tp>
    </main>
    <main first="bofaddin.rtdserver">
      <tp t="s">
        <v>#N/A Requesting Data...3979499703</v>
        <stp/>
        <stp>BDP|9205061806932778695</stp>
        <tr r="B7" s="5"/>
        <tr r="C7" s="5"/>
        <tr r="B7" s="2"/>
        <tr r="C7" s="2"/>
        <tr r="C7" s="4"/>
        <tr r="C7" s="3"/>
      </tp>
      <tp t="s">
        <v>#N/A Requesting Data...1661518084</v>
        <stp/>
        <stp>BDH|5738222547239921247</stp>
        <tr r="Z3" s="2"/>
        <tr r="Z3" s="4"/>
        <tr r="Z3" s="5"/>
        <tr r="Z3" s="3"/>
      </tp>
      <tp t="s">
        <v>#N/A Requesting Data...1226598005</v>
        <stp/>
        <stp>BDP|7527847438690910665</stp>
        <tr r="B9" s="4"/>
        <tr r="B9" s="3"/>
      </tp>
      <tp t="s">
        <v>#N/A Requesting Data...3470074363</v>
        <stp/>
        <stp>BDP|3398280159944498722</stp>
        <tr r="C9" s="5"/>
        <tr r="C9" s="2"/>
        <tr r="C9" s="4"/>
        <tr r="C9" s="3"/>
      </tp>
      <tp t="s">
        <v>#N/A Requesting Data...1370506623</v>
        <stp/>
        <stp>BDH|7551686963284503338</stp>
        <tr r="AB3" s="4"/>
        <tr r="AB3" s="2"/>
        <tr r="AB3" s="5"/>
        <tr r="AB3" s="3"/>
      </tp>
      <tp t="s">
        <v>#N/A Requesting Data...2422238447</v>
        <stp/>
        <stp>BDH|7903388716393043492</stp>
        <tr r="X4" s="2"/>
        <tr r="X4" s="4"/>
        <tr r="X4" s="5"/>
        <tr r="X4" s="3"/>
      </tp>
      <tp t="s">
        <v>#N/A Requesting Data...3546135991</v>
        <stp/>
        <stp>BDH|899788507367321551</stp>
        <tr r="S3" s="2"/>
        <tr r="S3" s="5"/>
        <tr r="S3" s="4"/>
        <tr r="S3" s="3"/>
      </tp>
      <tp t="e">
        <v>#N/A</v>
        <stp/>
        <stp>BDS|628454333387804475</stp>
        <tr r="D6" s="6"/>
      </tp>
      <tp t="e">
        <v>#N/A</v>
        <stp/>
        <stp>BDS|555018970554595542</stp>
        <tr r="G6" s="6"/>
      </tp>
      <tp t="s">
        <v>#N/A Requesting Data...4079813117</v>
        <stp/>
        <stp>BDP|391960776365176048</stp>
        <tr r="D9" s="5"/>
        <tr r="D9" s="2"/>
        <tr r="D9" s="4"/>
        <tr r="D9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'13a'!$A$14:$A$250</c:f>
              <c:strCache>
                <c:ptCount val="51"/>
                <c:pt idx="0">
                  <c:v>01/27/2026 15:00</c:v>
                </c:pt>
                <c:pt idx="1">
                  <c:v>03/17/2026 15:00</c:v>
                </c:pt>
                <c:pt idx="2">
                  <c:v>03/18/2026 15:00</c:v>
                </c:pt>
                <c:pt idx="3">
                  <c:v>03/19/2026 15:00</c:v>
                </c:pt>
                <c:pt idx="4">
                  <c:v>03/20/2026 15:00</c:v>
                </c:pt>
                <c:pt idx="5">
                  <c:v>03/23/2026 15:00</c:v>
                </c:pt>
                <c:pt idx="6">
                  <c:v>03/24/2026 15:00</c:v>
                </c:pt>
                <c:pt idx="7">
                  <c:v>03/25/2026 15:00</c:v>
                </c:pt>
                <c:pt idx="8">
                  <c:v>03/26/2026 15:00</c:v>
                </c:pt>
                <c:pt idx="9">
                  <c:v>03/27/2026 15:00</c:v>
                </c:pt>
                <c:pt idx="10">
                  <c:v>03/30/2026 15:00</c:v>
                </c:pt>
                <c:pt idx="11">
                  <c:v>03/31/2026 15:00</c:v>
                </c:pt>
                <c:pt idx="12">
                  <c:v>04/01/2026 15:00</c:v>
                </c:pt>
                <c:pt idx="13">
                  <c:v>04/02/2026 15:00</c:v>
                </c:pt>
                <c:pt idx="14">
                  <c:v>04/07/2026 15:00</c:v>
                </c:pt>
                <c:pt idx="15">
                  <c:v>04/08/2026 15:00</c:v>
                </c:pt>
                <c:pt idx="16">
                  <c:v>04/10/2026 15:00</c:v>
                </c:pt>
                <c:pt idx="17">
                  <c:v>04/14/2026 15:00</c:v>
                </c:pt>
                <c:pt idx="18">
                  <c:v>04/15/2026 15:00</c:v>
                </c:pt>
                <c:pt idx="19">
                  <c:v>04/16/2026 15:00</c:v>
                </c:pt>
                <c:pt idx="20">
                  <c:v>04/17/2026 15:00</c:v>
                </c:pt>
                <c:pt idx="21">
                  <c:v>04/20/2026 15:00</c:v>
                </c:pt>
                <c:pt idx="22">
                  <c:v>04/21/2026 15:00</c:v>
                </c:pt>
                <c:pt idx="23">
                  <c:v>04/22/2026 15:00</c:v>
                </c:pt>
                <c:pt idx="24">
                  <c:v>04/24/2026 15:00</c:v>
                </c:pt>
                <c:pt idx="25">
                  <c:v>04/27/2026 15:00</c:v>
                </c:pt>
                <c:pt idx="26">
                  <c:v>04/28/2026 15:00</c:v>
                </c:pt>
                <c:pt idx="27">
                  <c:v>04/29/2026 15:00</c:v>
                </c:pt>
                <c:pt idx="28">
                  <c:v>04/30/2026 15:00</c:v>
                </c:pt>
                <c:pt idx="29">
                  <c:v>05/05/2026 15:00</c:v>
                </c:pt>
                <c:pt idx="30">
                  <c:v>05/06/2026 15:00</c:v>
                </c:pt>
                <c:pt idx="31">
                  <c:v>05/07/2026 15:00</c:v>
                </c:pt>
                <c:pt idx="32">
                  <c:v>05/08/2026 15:00</c:v>
                </c:pt>
                <c:pt idx="33">
                  <c:v>05/12/2026 15:00</c:v>
                </c:pt>
                <c:pt idx="34">
                  <c:v>05/13/2026 15:00</c:v>
                </c:pt>
                <c:pt idx="35">
                  <c:v>05/15/2026 15:00</c:v>
                </c:pt>
                <c:pt idx="36">
                  <c:v>05/19/2026 15:00</c:v>
                </c:pt>
                <c:pt idx="37">
                  <c:v>05/20/2026 15:00</c:v>
                </c:pt>
                <c:pt idx="38">
                  <c:v>05/21/2026 15:00</c:v>
                </c:pt>
                <c:pt idx="39">
                  <c:v>05/26/2026 15:00</c:v>
                </c:pt>
                <c:pt idx="40">
                  <c:v>05/27/2026 15:00</c:v>
                </c:pt>
                <c:pt idx="41">
                  <c:v>05/28/2026 15:00</c:v>
                </c:pt>
                <c:pt idx="42">
                  <c:v>05/29/2026 15:00</c:v>
                </c:pt>
                <c:pt idx="43">
                  <c:v>06/01/2026 15:00</c:v>
                </c:pt>
                <c:pt idx="44">
                  <c:v>06/03/2026 15:00</c:v>
                </c:pt>
                <c:pt idx="45">
                  <c:v>06/04/2026 15:00</c:v>
                </c:pt>
                <c:pt idx="46">
                  <c:v>06/09/2026 15:00</c:v>
                </c:pt>
                <c:pt idx="47">
                  <c:v>06/15/2026 15:00</c:v>
                </c:pt>
                <c:pt idx="48">
                  <c:v>06/16/2026 15:00</c:v>
                </c:pt>
                <c:pt idx="49">
                  <c:v>06/17/2026 15:00</c:v>
                </c:pt>
                <c:pt idx="50">
                  <c:v>06/25/2026 18:46</c:v>
                </c:pt>
              </c:strCache>
            </c:strRef>
          </c:cat>
          <c:val>
            <c:numRef>
              <c:f>'13a'!$M$14:$M$250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-259152.61621106602</c:v>
                </c:pt>
                <c:pt idx="2">
                  <c:v>-229045.14054054249</c:v>
                </c:pt>
                <c:pt idx="3">
                  <c:v>-204514.61725096242</c:v>
                </c:pt>
                <c:pt idx="4">
                  <c:v>-255613.04119433486</c:v>
                </c:pt>
                <c:pt idx="5">
                  <c:v>-254784.91534105327</c:v>
                </c:pt>
                <c:pt idx="6">
                  <c:v>-285088.39462548093</c:v>
                </c:pt>
                <c:pt idx="7">
                  <c:v>-243987.99231402663</c:v>
                </c:pt>
                <c:pt idx="8">
                  <c:v>-162596.36735135305</c:v>
                </c:pt>
                <c:pt idx="9">
                  <c:v>-185803.46053539193</c:v>
                </c:pt>
                <c:pt idx="10">
                  <c:v>-291976.0193667931</c:v>
                </c:pt>
                <c:pt idx="11">
                  <c:v>-246955.1176988394</c:v>
                </c:pt>
                <c:pt idx="12">
                  <c:v>-276378.99337965989</c:v>
                </c:pt>
                <c:pt idx="13">
                  <c:v>-260566.60651222389</c:v>
                </c:pt>
                <c:pt idx="14">
                  <c:v>-183643.91027026798</c:v>
                </c:pt>
                <c:pt idx="15">
                  <c:v>-280553.97900128993</c:v>
                </c:pt>
                <c:pt idx="16">
                  <c:v>-297400.85005405173</c:v>
                </c:pt>
                <c:pt idx="17">
                  <c:v>-372365.17645817157</c:v>
                </c:pt>
                <c:pt idx="18">
                  <c:v>-327248.55278249364</c:v>
                </c:pt>
                <c:pt idx="19">
                  <c:v>-284962.84287773637</c:v>
                </c:pt>
                <c:pt idx="20">
                  <c:v>-286741.04030887794</c:v>
                </c:pt>
                <c:pt idx="21">
                  <c:v>-298095.2567979389</c:v>
                </c:pt>
                <c:pt idx="22">
                  <c:v>-245828.92398455626</c:v>
                </c:pt>
                <c:pt idx="23">
                  <c:v>-303067.89876447921</c:v>
                </c:pt>
                <c:pt idx="24">
                  <c:v>-291571.5317220047</c:v>
                </c:pt>
                <c:pt idx="25">
                  <c:v>-255905.86661518947</c:v>
                </c:pt>
                <c:pt idx="26">
                  <c:v>-273822.79248906049</c:v>
                </c:pt>
                <c:pt idx="27">
                  <c:v>-220177.44809266558</c:v>
                </c:pt>
                <c:pt idx="28">
                  <c:v>-246196.86045302224</c:v>
                </c:pt>
                <c:pt idx="29">
                  <c:v>-245224.9698738748</c:v>
                </c:pt>
                <c:pt idx="30">
                  <c:v>-281152.22264607216</c:v>
                </c:pt>
                <c:pt idx="31">
                  <c:v>-251997.88983268663</c:v>
                </c:pt>
                <c:pt idx="32">
                  <c:v>-206362.11557786516</c:v>
                </c:pt>
                <c:pt idx="33">
                  <c:v>-158819.26566280582</c:v>
                </c:pt>
                <c:pt idx="34">
                  <c:v>-174200.43864092557</c:v>
                </c:pt>
                <c:pt idx="35">
                  <c:v>-186158.78459716233</c:v>
                </c:pt>
                <c:pt idx="36">
                  <c:v>-160512.94369111524</c:v>
                </c:pt>
                <c:pt idx="37">
                  <c:v>-263623.27497039747</c:v>
                </c:pt>
                <c:pt idx="38">
                  <c:v>-264939.38231145346</c:v>
                </c:pt>
                <c:pt idx="39">
                  <c:v>-300816.67062548525</c:v>
                </c:pt>
                <c:pt idx="40">
                  <c:v>-294006.34810811002</c:v>
                </c:pt>
                <c:pt idx="41">
                  <c:v>-363389.32803603593</c:v>
                </c:pt>
                <c:pt idx="42">
                  <c:v>-305301.44052509597</c:v>
                </c:pt>
                <c:pt idx="43">
                  <c:v>-310139.90926640772</c:v>
                </c:pt>
                <c:pt idx="44">
                  <c:v>-280337.1381055314</c:v>
                </c:pt>
                <c:pt idx="45">
                  <c:v>-303295.74222908478</c:v>
                </c:pt>
                <c:pt idx="46">
                  <c:v>-247262.56979665026</c:v>
                </c:pt>
                <c:pt idx="47">
                  <c:v>-366018.12761389941</c:v>
                </c:pt>
                <c:pt idx="48">
                  <c:v>-366378.5283912454</c:v>
                </c:pt>
                <c:pt idx="49">
                  <c:v>-395824.50960617187</c:v>
                </c:pt>
                <c:pt idx="50">
                  <c:v>-491502.34645559825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B-47D8-8100-873A995B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ADB-47D8-8100-873A995B632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ADB-47D8-8100-873A995B63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DB-47D8-8100-873A995B63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DB-47D8-8100-873A995B63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DB-47D8-8100-873A995B63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ADB-47D8-8100-873A995B63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DB-47D8-8100-873A995B632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102"/>
                <c:pt idx="0">
                  <c:v>01/27/2026 15:00</c:v>
                </c:pt>
                <c:pt idx="1">
                  <c:v>01/28/2026 15:00</c:v>
                </c:pt>
                <c:pt idx="2">
                  <c:v>01/29/2026 15:00</c:v>
                </c:pt>
                <c:pt idx="3">
                  <c:v>01/30/2026 15:00</c:v>
                </c:pt>
                <c:pt idx="4">
                  <c:v>02/02/2026 15:00</c:v>
                </c:pt>
                <c:pt idx="5">
                  <c:v>02/03/2026 15:00</c:v>
                </c:pt>
                <c:pt idx="6">
                  <c:v>02/04/2026 15:00</c:v>
                </c:pt>
                <c:pt idx="7">
                  <c:v>02/05/2026 15:00</c:v>
                </c:pt>
                <c:pt idx="8">
                  <c:v>02/06/2026 15:00</c:v>
                </c:pt>
                <c:pt idx="9">
                  <c:v>02/09/2026 15:00</c:v>
                </c:pt>
                <c:pt idx="10">
                  <c:v>02/11/2026 15:00</c:v>
                </c:pt>
                <c:pt idx="11">
                  <c:v>02/12/2026 15:00</c:v>
                </c:pt>
                <c:pt idx="12">
                  <c:v>02/13/2026 15:00</c:v>
                </c:pt>
                <c:pt idx="13">
                  <c:v>02/16/2026 15:00</c:v>
                </c:pt>
                <c:pt idx="14">
                  <c:v>02/17/2026 15:00</c:v>
                </c:pt>
                <c:pt idx="15">
                  <c:v>02/18/2026 15:00</c:v>
                </c:pt>
                <c:pt idx="16">
                  <c:v>02/19/2026 15:00</c:v>
                </c:pt>
                <c:pt idx="17">
                  <c:v>02/20/2026 15:00</c:v>
                </c:pt>
                <c:pt idx="18">
                  <c:v>02/23/2026 15:00</c:v>
                </c:pt>
                <c:pt idx="19">
                  <c:v>02/24/2026 15:00</c:v>
                </c:pt>
                <c:pt idx="20">
                  <c:v>02/25/2026 15:00</c:v>
                </c:pt>
                <c:pt idx="21">
                  <c:v>02/26/2026 15:00</c:v>
                </c:pt>
                <c:pt idx="22">
                  <c:v>02/27/2026 15:00</c:v>
                </c:pt>
                <c:pt idx="23">
                  <c:v>03/02/2026 15:00</c:v>
                </c:pt>
                <c:pt idx="24">
                  <c:v>03/03/2026 15:00</c:v>
                </c:pt>
                <c:pt idx="25">
                  <c:v>03/04/2026 15:00</c:v>
                </c:pt>
                <c:pt idx="26">
                  <c:v>03/06/2026 15:00</c:v>
                </c:pt>
                <c:pt idx="27">
                  <c:v>03/09/2026 15:00</c:v>
                </c:pt>
                <c:pt idx="28">
                  <c:v>03/10/2026 15:00</c:v>
                </c:pt>
                <c:pt idx="29">
                  <c:v>03/11/2026 15:00</c:v>
                </c:pt>
                <c:pt idx="30">
                  <c:v>03/12/2026 15:00</c:v>
                </c:pt>
                <c:pt idx="31">
                  <c:v>03/13/2026 15:00</c:v>
                </c:pt>
                <c:pt idx="32">
                  <c:v>03/16/2026 15:00</c:v>
                </c:pt>
                <c:pt idx="33">
                  <c:v>03/17/2026 15:00</c:v>
                </c:pt>
                <c:pt idx="34">
                  <c:v>03/18/2026 15:00</c:v>
                </c:pt>
                <c:pt idx="35">
                  <c:v>03/19/2026 15:00</c:v>
                </c:pt>
                <c:pt idx="36">
                  <c:v>03/20/2026 15:00</c:v>
                </c:pt>
                <c:pt idx="37">
                  <c:v>03/23/2026 15:00</c:v>
                </c:pt>
                <c:pt idx="38">
                  <c:v>03/24/2026 15:00</c:v>
                </c:pt>
                <c:pt idx="39">
                  <c:v>03/25/2026 15:00</c:v>
                </c:pt>
                <c:pt idx="40">
                  <c:v>03/26/2026 15:00</c:v>
                </c:pt>
                <c:pt idx="41">
                  <c:v>03/27/2026 15:00</c:v>
                </c:pt>
                <c:pt idx="42">
                  <c:v>03/30/2026 15:00</c:v>
                </c:pt>
                <c:pt idx="43">
                  <c:v>03/31/2026 15:00</c:v>
                </c:pt>
                <c:pt idx="44">
                  <c:v>04/01/2026 15:00</c:v>
                </c:pt>
                <c:pt idx="45">
                  <c:v>04/02/2026 15:00</c:v>
                </c:pt>
                <c:pt idx="46">
                  <c:v>04/07/2026 15:00</c:v>
                </c:pt>
                <c:pt idx="47">
                  <c:v>04/08/2026 15:00</c:v>
                </c:pt>
                <c:pt idx="48">
                  <c:v>04/09/2026 15:00</c:v>
                </c:pt>
                <c:pt idx="49">
                  <c:v>04/10/2026 15:00</c:v>
                </c:pt>
                <c:pt idx="50">
                  <c:v>04/13/2026 15:00</c:v>
                </c:pt>
                <c:pt idx="51">
                  <c:v>04/14/2026 15:00</c:v>
                </c:pt>
                <c:pt idx="52">
                  <c:v>04/15/2026 15:00</c:v>
                </c:pt>
                <c:pt idx="53">
                  <c:v>04/16/2026 15:00</c:v>
                </c:pt>
                <c:pt idx="54">
                  <c:v>04/17/2026 15:00</c:v>
                </c:pt>
                <c:pt idx="55">
                  <c:v>04/20/2026 15:00</c:v>
                </c:pt>
                <c:pt idx="56">
                  <c:v>04/21/2026 15:00</c:v>
                </c:pt>
                <c:pt idx="57">
                  <c:v>04/22/2026 15:00</c:v>
                </c:pt>
                <c:pt idx="58">
                  <c:v>04/23/2026 15:00</c:v>
                </c:pt>
                <c:pt idx="59">
                  <c:v>04/24/2026 15:00</c:v>
                </c:pt>
                <c:pt idx="60">
                  <c:v>04/27/2026 15:00</c:v>
                </c:pt>
                <c:pt idx="61">
                  <c:v>04/28/2026 15:00</c:v>
                </c:pt>
                <c:pt idx="62">
                  <c:v>04/29/2026 15:00</c:v>
                </c:pt>
                <c:pt idx="63">
                  <c:v>04/30/2026 15:00</c:v>
                </c:pt>
                <c:pt idx="64">
                  <c:v>05/05/2026 15:00</c:v>
                </c:pt>
                <c:pt idx="65">
                  <c:v>05/06/2026 15:00</c:v>
                </c:pt>
                <c:pt idx="66">
                  <c:v>05/07/2026 15:00</c:v>
                </c:pt>
                <c:pt idx="67">
                  <c:v>05/08/2026 15:00</c:v>
                </c:pt>
                <c:pt idx="68">
                  <c:v>05/11/2026 15:00</c:v>
                </c:pt>
                <c:pt idx="69">
                  <c:v>05/12/2026 15:00</c:v>
                </c:pt>
                <c:pt idx="70">
                  <c:v>05/13/2026 15:00</c:v>
                </c:pt>
                <c:pt idx="71">
                  <c:v>05/14/2026 15:00</c:v>
                </c:pt>
                <c:pt idx="72">
                  <c:v>05/15/2026 15:00</c:v>
                </c:pt>
                <c:pt idx="73">
                  <c:v>05/18/2026 15:00</c:v>
                </c:pt>
                <c:pt idx="74">
                  <c:v>05/19/2026 15:00</c:v>
                </c:pt>
                <c:pt idx="75">
                  <c:v>05/20/2026 15:00</c:v>
                </c:pt>
                <c:pt idx="76">
                  <c:v>05/21/2026 15:00</c:v>
                </c:pt>
                <c:pt idx="77">
                  <c:v>05/22/2026 15:00</c:v>
                </c:pt>
                <c:pt idx="78">
                  <c:v>05/26/2026 15:00</c:v>
                </c:pt>
                <c:pt idx="79">
                  <c:v>05/27/2026 15:00</c:v>
                </c:pt>
                <c:pt idx="80">
                  <c:v>05/28/2026 15:00</c:v>
                </c:pt>
                <c:pt idx="81">
                  <c:v>05/29/2026 15:00</c:v>
                </c:pt>
                <c:pt idx="82">
                  <c:v>06/01/2026 15:00</c:v>
                </c:pt>
                <c:pt idx="83">
                  <c:v>06/02/2026 15:00</c:v>
                </c:pt>
                <c:pt idx="84">
                  <c:v>06/03/2026 15:00</c:v>
                </c:pt>
                <c:pt idx="85">
                  <c:v>06/04/2026 15:00</c:v>
                </c:pt>
                <c:pt idx="86">
                  <c:v>06/05/2026 15:00</c:v>
                </c:pt>
                <c:pt idx="87">
                  <c:v>06/08/2026 15:00</c:v>
                </c:pt>
                <c:pt idx="88">
                  <c:v>06/09/2026 15:00</c:v>
                </c:pt>
                <c:pt idx="89">
                  <c:v>06/10/2026 15:00</c:v>
                </c:pt>
                <c:pt idx="90">
                  <c:v>06/11/2026 15:00</c:v>
                </c:pt>
                <c:pt idx="91">
                  <c:v>06/12/2026 15:00</c:v>
                </c:pt>
                <c:pt idx="92">
                  <c:v>06/15/2026 15:00</c:v>
                </c:pt>
                <c:pt idx="93">
                  <c:v>06/16/2026 15:00</c:v>
                </c:pt>
                <c:pt idx="94">
                  <c:v>06/17/2026 15:00</c:v>
                </c:pt>
                <c:pt idx="95">
                  <c:v>06/18/2026 15:00</c:v>
                </c:pt>
                <c:pt idx="96">
                  <c:v>06/19/2026 15:00</c:v>
                </c:pt>
                <c:pt idx="97">
                  <c:v>06/22/2026 15:00</c:v>
                </c:pt>
                <c:pt idx="98">
                  <c:v>06/23/2026 15:00</c:v>
                </c:pt>
                <c:pt idx="99">
                  <c:v>06/24/2026 15:00</c:v>
                </c:pt>
                <c:pt idx="100">
                  <c:v>06/25/2026 15:00</c:v>
                </c:pt>
                <c:pt idx="101">
                  <c:v>06/25/2026 18:46</c:v>
                </c:pt>
              </c:strCache>
            </c:strRef>
          </c:cat>
          <c:val>
            <c:numRef>
              <c:f>'13'!$M$14:$M$250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-24319.751051765306</c:v>
                </c:pt>
                <c:pt idx="2">
                  <c:v>-51159.134993751097</c:v>
                </c:pt>
                <c:pt idx="3">
                  <c:v>-27126.08696461979</c:v>
                </c:pt>
                <c:pt idx="4">
                  <c:v>-46051.564636967807</c:v>
                </c:pt>
                <c:pt idx="5">
                  <c:v>-31008.847622809455</c:v>
                </c:pt>
                <c:pt idx="6">
                  <c:v>-45891.273122011604</c:v>
                </c:pt>
                <c:pt idx="7">
                  <c:v>-75805.779957939201</c:v>
                </c:pt>
                <c:pt idx="8">
                  <c:v>-80824.159242611553</c:v>
                </c:pt>
                <c:pt idx="9">
                  <c:v>-78214.266346732198</c:v>
                </c:pt>
                <c:pt idx="10">
                  <c:v>-116955.66394751451</c:v>
                </c:pt>
                <c:pt idx="11">
                  <c:v>-96269.715931313229</c:v>
                </c:pt>
                <c:pt idx="12">
                  <c:v>-137087.5297317376</c:v>
                </c:pt>
                <c:pt idx="13">
                  <c:v>-136722.59619248362</c:v>
                </c:pt>
                <c:pt idx="14">
                  <c:v>-154559.05126332847</c:v>
                </c:pt>
                <c:pt idx="15">
                  <c:v>-130084.5457786982</c:v>
                </c:pt>
                <c:pt idx="16">
                  <c:v>-103777.34450826856</c:v>
                </c:pt>
                <c:pt idx="17">
                  <c:v>-89584.720560753965</c:v>
                </c:pt>
                <c:pt idx="18">
                  <c:v>-95860.559222270676</c:v>
                </c:pt>
                <c:pt idx="19">
                  <c:v>-87608.757236648235</c:v>
                </c:pt>
                <c:pt idx="20">
                  <c:v>-84255.413826029122</c:v>
                </c:pt>
                <c:pt idx="21">
                  <c:v>-98611.844414476262</c:v>
                </c:pt>
                <c:pt idx="22">
                  <c:v>-103111.45326728774</c:v>
                </c:pt>
                <c:pt idx="23">
                  <c:v>-134269.63209090766</c:v>
                </c:pt>
                <c:pt idx="24">
                  <c:v>-153176.57844367571</c:v>
                </c:pt>
                <c:pt idx="25">
                  <c:v>-72076.564258528699</c:v>
                </c:pt>
                <c:pt idx="26">
                  <c:v>-34600.255110525875</c:v>
                </c:pt>
                <c:pt idx="27">
                  <c:v>-73266.331091567874</c:v>
                </c:pt>
                <c:pt idx="28">
                  <c:v>-97003.76440970783</c:v>
                </c:pt>
                <c:pt idx="29">
                  <c:v>-40645.456024366198</c:v>
                </c:pt>
                <c:pt idx="30">
                  <c:v>-60314.029951854551</c:v>
                </c:pt>
                <c:pt idx="31">
                  <c:v>-46619.260652549099</c:v>
                </c:pt>
                <c:pt idx="32">
                  <c:v>-64336.608710934757</c:v>
                </c:pt>
                <c:pt idx="33">
                  <c:v>-63517.191115553142</c:v>
                </c:pt>
                <c:pt idx="34">
                  <c:v>-8252.802257341973</c:v>
                </c:pt>
                <c:pt idx="35">
                  <c:v>2133.6724106583279</c:v>
                </c:pt>
                <c:pt idx="36">
                  <c:v>35053.920562583604</c:v>
                </c:pt>
                <c:pt idx="37">
                  <c:v>15621.416659516632</c:v>
                </c:pt>
                <c:pt idx="38">
                  <c:v>6609.8264535362832</c:v>
                </c:pt>
                <c:pt idx="39">
                  <c:v>-17833.934215451591</c:v>
                </c:pt>
                <c:pt idx="40">
                  <c:v>105635.43517023709</c:v>
                </c:pt>
                <c:pt idx="41">
                  <c:v>110416.3795604771</c:v>
                </c:pt>
                <c:pt idx="42">
                  <c:v>8305.8775526257232</c:v>
                </c:pt>
                <c:pt idx="43">
                  <c:v>18998.274870395544</c:v>
                </c:pt>
                <c:pt idx="44">
                  <c:v>6155.8909989746753</c:v>
                </c:pt>
                <c:pt idx="45">
                  <c:v>-37084.857164379908</c:v>
                </c:pt>
                <c:pt idx="46">
                  <c:v>58049.818713443703</c:v>
                </c:pt>
                <c:pt idx="47">
                  <c:v>-89453.199855280924</c:v>
                </c:pt>
                <c:pt idx="48">
                  <c:v>-130681.53457681532</c:v>
                </c:pt>
                <c:pt idx="49">
                  <c:v>-38409.02754953329</c:v>
                </c:pt>
                <c:pt idx="50">
                  <c:v>-85513.839292768622</c:v>
                </c:pt>
                <c:pt idx="51">
                  <c:v>-164212.23928698606</c:v>
                </c:pt>
                <c:pt idx="52">
                  <c:v>-129396.89913794701</c:v>
                </c:pt>
                <c:pt idx="53">
                  <c:v>-119937.93467575754</c:v>
                </c:pt>
                <c:pt idx="54">
                  <c:v>-114235.07810419332</c:v>
                </c:pt>
                <c:pt idx="55">
                  <c:v>-162549.04105538735</c:v>
                </c:pt>
                <c:pt idx="56">
                  <c:v>-113223.16053330118</c:v>
                </c:pt>
                <c:pt idx="57">
                  <c:v>-120490.24623478751</c:v>
                </c:pt>
                <c:pt idx="58">
                  <c:v>-87245.770891844761</c:v>
                </c:pt>
                <c:pt idx="59">
                  <c:v>-103197.6632287245</c:v>
                </c:pt>
                <c:pt idx="60">
                  <c:v>-82343.796642922447</c:v>
                </c:pt>
                <c:pt idx="61">
                  <c:v>-113672.00220302085</c:v>
                </c:pt>
                <c:pt idx="62">
                  <c:v>-11137.989551730803</c:v>
                </c:pt>
                <c:pt idx="63">
                  <c:v>-63501.416396695073</c:v>
                </c:pt>
                <c:pt idx="64">
                  <c:v>-84223.401526242727</c:v>
                </c:pt>
                <c:pt idx="65">
                  <c:v>-105062.62440497766</c:v>
                </c:pt>
                <c:pt idx="66">
                  <c:v>-95974.695664419443</c:v>
                </c:pt>
                <c:pt idx="67">
                  <c:v>-79924.301373180584</c:v>
                </c:pt>
                <c:pt idx="68">
                  <c:v>-58225.801582745509</c:v>
                </c:pt>
                <c:pt idx="69">
                  <c:v>-14552.433228408685</c:v>
                </c:pt>
                <c:pt idx="70">
                  <c:v>-39734.303430625238</c:v>
                </c:pt>
                <c:pt idx="71">
                  <c:v>-95102.671102910419</c:v>
                </c:pt>
                <c:pt idx="72">
                  <c:v>-27441.116162768099</c:v>
                </c:pt>
                <c:pt idx="73">
                  <c:v>-73765.463789231842</c:v>
                </c:pt>
                <c:pt idx="74">
                  <c:v>-129729.52222863026</c:v>
                </c:pt>
                <c:pt idx="75">
                  <c:v>-190105.72333708243</c:v>
                </c:pt>
                <c:pt idx="76">
                  <c:v>-132308.47968375601</c:v>
                </c:pt>
                <c:pt idx="77">
                  <c:v>-174605.08290665806</c:v>
                </c:pt>
                <c:pt idx="78">
                  <c:v>-190134.0853535966</c:v>
                </c:pt>
                <c:pt idx="79">
                  <c:v>-195619.09458133113</c:v>
                </c:pt>
                <c:pt idx="80">
                  <c:v>-215407.6994056371</c:v>
                </c:pt>
                <c:pt idx="81">
                  <c:v>-214756.41268184036</c:v>
                </c:pt>
                <c:pt idx="82">
                  <c:v>-200318.87281806814</c:v>
                </c:pt>
                <c:pt idx="83">
                  <c:v>-186169.97740143049</c:v>
                </c:pt>
                <c:pt idx="84">
                  <c:v>-165844.13062640163</c:v>
                </c:pt>
                <c:pt idx="85">
                  <c:v>-190372.79745303839</c:v>
                </c:pt>
                <c:pt idx="86">
                  <c:v>-168023.25384026789</c:v>
                </c:pt>
                <c:pt idx="87">
                  <c:v>-182492.62077173661</c:v>
                </c:pt>
                <c:pt idx="88">
                  <c:v>-205367.98675447772</c:v>
                </c:pt>
                <c:pt idx="89">
                  <c:v>-174939.33054378582</c:v>
                </c:pt>
                <c:pt idx="90">
                  <c:v>-212456.95364174794</c:v>
                </c:pt>
                <c:pt idx="91">
                  <c:v>-265991.72005817574</c:v>
                </c:pt>
                <c:pt idx="92">
                  <c:v>-254955.09723568335</c:v>
                </c:pt>
                <c:pt idx="93">
                  <c:v>-255638.24345560814</c:v>
                </c:pt>
                <c:pt idx="94">
                  <c:v>-236277.60463412455</c:v>
                </c:pt>
                <c:pt idx="95">
                  <c:v>-253183.05846080254</c:v>
                </c:pt>
                <c:pt idx="96">
                  <c:v>-213616.63362532668</c:v>
                </c:pt>
                <c:pt idx="97">
                  <c:v>-238175.01677652961</c:v>
                </c:pt>
                <c:pt idx="98">
                  <c:v>-275877.43129214831</c:v>
                </c:pt>
                <c:pt idx="99">
                  <c:v>-318027.43785773567</c:v>
                </c:pt>
                <c:pt idx="100">
                  <c:v>-294147.25183444633</c:v>
                </c:pt>
                <c:pt idx="101">
                  <c:v>-296827.59320419445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323-97BE-4F23862D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E5-4323-97BE-4F23862D59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E5-4323-97BE-4F23862D59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E5-4323-97BE-4F23862D59E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E5-4323-97BE-4F23862D59E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E5-4323-97BE-4F23862D59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E5-4323-97BE-4F23862D59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E5-4323-97BE-4F23862D59E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 (2)'!$A$14:$A$250</c:f>
              <c:strCache>
                <c:ptCount val="37"/>
                <c:pt idx="0">
                  <c:v>04/01/2026 15:00</c:v>
                </c:pt>
                <c:pt idx="1">
                  <c:v>04/08/2026 15:00</c:v>
                </c:pt>
                <c:pt idx="2">
                  <c:v>04/10/2026 15:00</c:v>
                </c:pt>
                <c:pt idx="3">
                  <c:v>04/14/2026 15:00</c:v>
                </c:pt>
                <c:pt idx="4">
                  <c:v>04/15/2026 15:00</c:v>
                </c:pt>
                <c:pt idx="5">
                  <c:v>04/16/2026 15:00</c:v>
                </c:pt>
                <c:pt idx="6">
                  <c:v>04/17/2026 15:00</c:v>
                </c:pt>
                <c:pt idx="7">
                  <c:v>04/20/2026 15:00</c:v>
                </c:pt>
                <c:pt idx="8">
                  <c:v>04/21/2026 15:00</c:v>
                </c:pt>
                <c:pt idx="9">
                  <c:v>04/22/2026 15:00</c:v>
                </c:pt>
                <c:pt idx="10">
                  <c:v>04/24/2026 15:00</c:v>
                </c:pt>
                <c:pt idx="11">
                  <c:v>04/27/2026 15:00</c:v>
                </c:pt>
                <c:pt idx="12">
                  <c:v>04/28/2026 15:00</c:v>
                </c:pt>
                <c:pt idx="13">
                  <c:v>04/29/2026 15:00</c:v>
                </c:pt>
                <c:pt idx="14">
                  <c:v>04/30/2026 15:00</c:v>
                </c:pt>
                <c:pt idx="15">
                  <c:v>05/05/2026 15:00</c:v>
                </c:pt>
                <c:pt idx="16">
                  <c:v>05/06/2026 15:00</c:v>
                </c:pt>
                <c:pt idx="17">
                  <c:v>05/07/2026 15:00</c:v>
                </c:pt>
                <c:pt idx="18">
                  <c:v>05/08/2026 15:00</c:v>
                </c:pt>
                <c:pt idx="19">
                  <c:v>05/12/2026 15:00</c:v>
                </c:pt>
                <c:pt idx="20">
                  <c:v>05/13/2026 15:00</c:v>
                </c:pt>
                <c:pt idx="21">
                  <c:v>05/15/2026 15:00</c:v>
                </c:pt>
                <c:pt idx="22">
                  <c:v>05/19/2026 15:00</c:v>
                </c:pt>
                <c:pt idx="23">
                  <c:v>05/20/2026 15:00</c:v>
                </c:pt>
                <c:pt idx="24">
                  <c:v>05/21/2026 15:00</c:v>
                </c:pt>
                <c:pt idx="25">
                  <c:v>05/26/2026 15:00</c:v>
                </c:pt>
                <c:pt idx="26">
                  <c:v>05/27/2026 15:00</c:v>
                </c:pt>
                <c:pt idx="27">
                  <c:v>05/28/2026 15:00</c:v>
                </c:pt>
                <c:pt idx="28">
                  <c:v>05/29/2026 15:00</c:v>
                </c:pt>
                <c:pt idx="29">
                  <c:v>06/01/2026 15:00</c:v>
                </c:pt>
                <c:pt idx="30">
                  <c:v>06/03/2026 15:00</c:v>
                </c:pt>
                <c:pt idx="31">
                  <c:v>06/04/2026 15:00</c:v>
                </c:pt>
                <c:pt idx="32">
                  <c:v>06/09/2026 15:00</c:v>
                </c:pt>
                <c:pt idx="33">
                  <c:v>06/15/2026 15:00</c:v>
                </c:pt>
                <c:pt idx="34">
                  <c:v>06/16/2026 15:00</c:v>
                </c:pt>
                <c:pt idx="35">
                  <c:v>06/17/2026 15:00</c:v>
                </c:pt>
                <c:pt idx="36">
                  <c:v>06/25/2026 18:46</c:v>
                </c:pt>
              </c:strCache>
            </c:strRef>
          </c:cat>
          <c:val>
            <c:numRef>
              <c:f>'13a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449898.68233204354</c:v>
                </c:pt>
                <c:pt idx="2">
                  <c:v>432787.81127928186</c:v>
                </c:pt>
                <c:pt idx="3">
                  <c:v>358791.48487516202</c:v>
                </c:pt>
                <c:pt idx="4">
                  <c:v>405052.10855084</c:v>
                </c:pt>
                <c:pt idx="5">
                  <c:v>447821.81845559709</c:v>
                </c:pt>
                <c:pt idx="6">
                  <c:v>449871.6210244557</c:v>
                </c:pt>
                <c:pt idx="7">
                  <c:v>436933.4045353948</c:v>
                </c:pt>
                <c:pt idx="8">
                  <c:v>488627.73734877736</c:v>
                </c:pt>
                <c:pt idx="9">
                  <c:v>429672.76256885438</c:v>
                </c:pt>
                <c:pt idx="10">
                  <c:v>440861.12961132888</c:v>
                </c:pt>
                <c:pt idx="11">
                  <c:v>477010.79471814411</c:v>
                </c:pt>
                <c:pt idx="12">
                  <c:v>457289.86884427309</c:v>
                </c:pt>
                <c:pt idx="13">
                  <c:v>510275.21324066789</c:v>
                </c:pt>
                <c:pt idx="14">
                  <c:v>485179.80088031135</c:v>
                </c:pt>
                <c:pt idx="15">
                  <c:v>486987.69145945873</c:v>
                </c:pt>
                <c:pt idx="16">
                  <c:v>454492.43868726143</c:v>
                </c:pt>
                <c:pt idx="17">
                  <c:v>483910.77150064695</c:v>
                </c:pt>
                <c:pt idx="18">
                  <c:v>530250.54575546843</c:v>
                </c:pt>
                <c:pt idx="19">
                  <c:v>576297.39567052783</c:v>
                </c:pt>
                <c:pt idx="20">
                  <c:v>561312.22269240802</c:v>
                </c:pt>
                <c:pt idx="21">
                  <c:v>548473.87673617131</c:v>
                </c:pt>
                <c:pt idx="22">
                  <c:v>573547.71764221834</c:v>
                </c:pt>
                <c:pt idx="23">
                  <c:v>471097.38636293611</c:v>
                </c:pt>
                <c:pt idx="24">
                  <c:v>469033.27902188012</c:v>
                </c:pt>
                <c:pt idx="25">
                  <c:v>436059.99070784834</c:v>
                </c:pt>
                <c:pt idx="26">
                  <c:v>443618.31322522357</c:v>
                </c:pt>
                <c:pt idx="27">
                  <c:v>373927.33329729759</c:v>
                </c:pt>
                <c:pt idx="28">
                  <c:v>434391.22080823762</c:v>
                </c:pt>
                <c:pt idx="29">
                  <c:v>427484.75206692598</c:v>
                </c:pt>
                <c:pt idx="30">
                  <c:v>457815.52322780213</c:v>
                </c:pt>
                <c:pt idx="31">
                  <c:v>434768.91910424893</c:v>
                </c:pt>
                <c:pt idx="32">
                  <c:v>491374.09153668332</c:v>
                </c:pt>
                <c:pt idx="33">
                  <c:v>374774.53371943411</c:v>
                </c:pt>
                <c:pt idx="34">
                  <c:v>374150.13294208836</c:v>
                </c:pt>
                <c:pt idx="35">
                  <c:v>343604.15172716178</c:v>
                </c:pt>
                <c:pt idx="36">
                  <c:v>247926.31487773545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5-44AB-87D5-4EC95CDE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F5-44AB-87D5-4EC95CDECDE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F5-44AB-87D5-4EC95CDECDE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F5-44AB-87D5-4EC95CDECDE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F5-44AB-87D5-4EC95CDECDE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F5-44AB-87D5-4EC95CDECDE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F5-44AB-87D5-4EC95CDECD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F5-44AB-87D5-4EC95CDECDE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 (2)'!$A$14:$A$250</c:f>
              <c:strCache>
                <c:ptCount val="58"/>
                <c:pt idx="0">
                  <c:v>04/01/2026 15:00</c:v>
                </c:pt>
                <c:pt idx="1">
                  <c:v>04/02/2026 15:00</c:v>
                </c:pt>
                <c:pt idx="2">
                  <c:v>04/07/2026 15:00</c:v>
                </c:pt>
                <c:pt idx="3">
                  <c:v>04/08/2026 15:00</c:v>
                </c:pt>
                <c:pt idx="4">
                  <c:v>04/09/2026 15:00</c:v>
                </c:pt>
                <c:pt idx="5">
                  <c:v>04/10/2026 15:00</c:v>
                </c:pt>
                <c:pt idx="6">
                  <c:v>04/13/2026 15:00</c:v>
                </c:pt>
                <c:pt idx="7">
                  <c:v>04/14/2026 15:00</c:v>
                </c:pt>
                <c:pt idx="8">
                  <c:v>04/15/2026 15:00</c:v>
                </c:pt>
                <c:pt idx="9">
                  <c:v>04/16/2026 15:00</c:v>
                </c:pt>
                <c:pt idx="10">
                  <c:v>04/17/2026 15:00</c:v>
                </c:pt>
                <c:pt idx="11">
                  <c:v>04/20/2026 15:00</c:v>
                </c:pt>
                <c:pt idx="12">
                  <c:v>04/21/2026 15:00</c:v>
                </c:pt>
                <c:pt idx="13">
                  <c:v>04/22/2026 15:00</c:v>
                </c:pt>
                <c:pt idx="14">
                  <c:v>04/23/2026 15:00</c:v>
                </c:pt>
                <c:pt idx="15">
                  <c:v>04/24/2026 15:00</c:v>
                </c:pt>
                <c:pt idx="16">
                  <c:v>04/27/2026 15:00</c:v>
                </c:pt>
                <c:pt idx="17">
                  <c:v>04/28/2026 15:00</c:v>
                </c:pt>
                <c:pt idx="18">
                  <c:v>04/29/2026 15:00</c:v>
                </c:pt>
                <c:pt idx="19">
                  <c:v>04/30/2026 15:00</c:v>
                </c:pt>
                <c:pt idx="20">
                  <c:v>05/05/2026 15:00</c:v>
                </c:pt>
                <c:pt idx="21">
                  <c:v>05/06/2026 15:00</c:v>
                </c:pt>
                <c:pt idx="22">
                  <c:v>05/07/2026 15:00</c:v>
                </c:pt>
                <c:pt idx="23">
                  <c:v>05/08/2026 15:00</c:v>
                </c:pt>
                <c:pt idx="24">
                  <c:v>05/11/2026 15:00</c:v>
                </c:pt>
                <c:pt idx="25">
                  <c:v>05/12/2026 15:00</c:v>
                </c:pt>
                <c:pt idx="26">
                  <c:v>05/13/2026 15:00</c:v>
                </c:pt>
                <c:pt idx="27">
                  <c:v>05/14/2026 15:00</c:v>
                </c:pt>
                <c:pt idx="28">
                  <c:v>05/15/2026 15:00</c:v>
                </c:pt>
                <c:pt idx="29">
                  <c:v>05/18/2026 15:00</c:v>
                </c:pt>
                <c:pt idx="30">
                  <c:v>05/19/2026 15:00</c:v>
                </c:pt>
                <c:pt idx="31">
                  <c:v>05/20/2026 15:00</c:v>
                </c:pt>
                <c:pt idx="32">
                  <c:v>05/21/2026 15:00</c:v>
                </c:pt>
                <c:pt idx="33">
                  <c:v>05/22/2026 15:00</c:v>
                </c:pt>
                <c:pt idx="34">
                  <c:v>05/26/2026 15:00</c:v>
                </c:pt>
                <c:pt idx="35">
                  <c:v>05/27/2026 15:00</c:v>
                </c:pt>
                <c:pt idx="36">
                  <c:v>05/28/2026 15:00</c:v>
                </c:pt>
                <c:pt idx="37">
                  <c:v>05/29/2026 15:00</c:v>
                </c:pt>
                <c:pt idx="38">
                  <c:v>06/01/2026 15:00</c:v>
                </c:pt>
                <c:pt idx="39">
                  <c:v>06/02/2026 15:00</c:v>
                </c:pt>
                <c:pt idx="40">
                  <c:v>06/03/2026 15:00</c:v>
                </c:pt>
                <c:pt idx="41">
                  <c:v>06/04/2026 15:00</c:v>
                </c:pt>
                <c:pt idx="42">
                  <c:v>06/05/2026 15:00</c:v>
                </c:pt>
                <c:pt idx="43">
                  <c:v>06/08/2026 15:00</c:v>
                </c:pt>
                <c:pt idx="44">
                  <c:v>06/09/2026 15:00</c:v>
                </c:pt>
                <c:pt idx="45">
                  <c:v>06/10/2026 15:00</c:v>
                </c:pt>
                <c:pt idx="46">
                  <c:v>06/11/2026 15:00</c:v>
                </c:pt>
                <c:pt idx="47">
                  <c:v>06/12/2026 15:00</c:v>
                </c:pt>
                <c:pt idx="48">
                  <c:v>06/15/2026 15:00</c:v>
                </c:pt>
                <c:pt idx="49">
                  <c:v>06/16/2026 15:00</c:v>
                </c:pt>
                <c:pt idx="50">
                  <c:v>06/17/2026 15:00</c:v>
                </c:pt>
                <c:pt idx="51">
                  <c:v>06/18/2026 15:00</c:v>
                </c:pt>
                <c:pt idx="52">
                  <c:v>06/19/2026 15:00</c:v>
                </c:pt>
                <c:pt idx="53">
                  <c:v>06/22/2026 15:00</c:v>
                </c:pt>
                <c:pt idx="54">
                  <c:v>06/23/2026 15:00</c:v>
                </c:pt>
                <c:pt idx="55">
                  <c:v>06/24/2026 15:00</c:v>
                </c:pt>
                <c:pt idx="56">
                  <c:v>06/25/2026 15:00</c:v>
                </c:pt>
                <c:pt idx="57">
                  <c:v>06/25/2026 18:46</c:v>
                </c:pt>
              </c:strCache>
            </c:strRef>
          </c:cat>
          <c:val>
            <c:numRef>
              <c:f>'13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-48912.170570143498</c:v>
                </c:pt>
                <c:pt idx="2">
                  <c:v>45243.688316243817</c:v>
                </c:pt>
                <c:pt idx="3">
                  <c:v>-93578.675134679885</c:v>
                </c:pt>
                <c:pt idx="4">
                  <c:v>-135636.80314850959</c:v>
                </c:pt>
                <c:pt idx="5">
                  <c:v>-40842.78854520095</c:v>
                </c:pt>
                <c:pt idx="6">
                  <c:v>-90618.13156360737</c:v>
                </c:pt>
                <c:pt idx="7">
                  <c:v>-166704.4482826539</c:v>
                </c:pt>
                <c:pt idx="8">
                  <c:v>-130726.2360447458</c:v>
                </c:pt>
                <c:pt idx="9">
                  <c:v>-121553.61067998904</c:v>
                </c:pt>
                <c:pt idx="10">
                  <c:v>-110883.70265551948</c:v>
                </c:pt>
                <c:pt idx="11">
                  <c:v>-162049.34828016962</c:v>
                </c:pt>
                <c:pt idx="12">
                  <c:v>-113462.68535123423</c:v>
                </c:pt>
                <c:pt idx="13">
                  <c:v>-121378.4129467239</c:v>
                </c:pt>
                <c:pt idx="14">
                  <c:v>-87695.671108063238</c:v>
                </c:pt>
                <c:pt idx="15">
                  <c:v>-104205.62963980512</c:v>
                </c:pt>
                <c:pt idx="16">
                  <c:v>-83033.296257429436</c:v>
                </c:pt>
                <c:pt idx="17">
                  <c:v>-116912.233393551</c:v>
                </c:pt>
                <c:pt idx="18">
                  <c:v>-13758.802848257576</c:v>
                </c:pt>
                <c:pt idx="19">
                  <c:v>-65683.963197500372</c:v>
                </c:pt>
                <c:pt idx="20">
                  <c:v>-85754.402733900613</c:v>
                </c:pt>
                <c:pt idx="21">
                  <c:v>-101898.30125715952</c:v>
                </c:pt>
                <c:pt idx="22">
                  <c:v>-93006.135914883213</c:v>
                </c:pt>
                <c:pt idx="23">
                  <c:v>-76879.777924506736</c:v>
                </c:pt>
                <c:pt idx="24">
                  <c:v>-54862.811337494699</c:v>
                </c:pt>
                <c:pt idx="25">
                  <c:v>-12653.266169459523</c:v>
                </c:pt>
                <c:pt idx="26">
                  <c:v>-37578.021274243365</c:v>
                </c:pt>
                <c:pt idx="27">
                  <c:v>-92145.819654236664</c:v>
                </c:pt>
                <c:pt idx="28">
                  <c:v>-25585.785103818809</c:v>
                </c:pt>
                <c:pt idx="29">
                  <c:v>-72497.422925145089</c:v>
                </c:pt>
                <c:pt idx="30">
                  <c:v>-132008.54563115057</c:v>
                </c:pt>
                <c:pt idx="31">
                  <c:v>-190316.11765929387</c:v>
                </c:pt>
                <c:pt idx="32">
                  <c:v>-131718.30471367604</c:v>
                </c:pt>
                <c:pt idx="33">
                  <c:v>-172852.03584770887</c:v>
                </c:pt>
                <c:pt idx="34">
                  <c:v>-186356.24521433556</c:v>
                </c:pt>
                <c:pt idx="35">
                  <c:v>-191221.83654806379</c:v>
                </c:pt>
                <c:pt idx="36">
                  <c:v>-209938.14498264488</c:v>
                </c:pt>
                <c:pt idx="37">
                  <c:v>-207942.83477169409</c:v>
                </c:pt>
                <c:pt idx="38">
                  <c:v>-195360.6448908007</c:v>
                </c:pt>
                <c:pt idx="39">
                  <c:v>-179143.12039385439</c:v>
                </c:pt>
                <c:pt idx="40">
                  <c:v>-160009.36970769457</c:v>
                </c:pt>
                <c:pt idx="41">
                  <c:v>-184643.22423347918</c:v>
                </c:pt>
                <c:pt idx="42">
                  <c:v>-162580.01971813809</c:v>
                </c:pt>
                <c:pt idx="43">
                  <c:v>-177636.67684446927</c:v>
                </c:pt>
                <c:pt idx="44">
                  <c:v>-200707.80622549553</c:v>
                </c:pt>
                <c:pt idx="45">
                  <c:v>-170384.33771394787</c:v>
                </c:pt>
                <c:pt idx="46">
                  <c:v>-207644.84571448044</c:v>
                </c:pt>
                <c:pt idx="47">
                  <c:v>-259201.55874974412</c:v>
                </c:pt>
                <c:pt idx="48">
                  <c:v>-245400.92525379569</c:v>
                </c:pt>
                <c:pt idx="49">
                  <c:v>-246370.41057114993</c:v>
                </c:pt>
                <c:pt idx="50">
                  <c:v>-226933.80805052203</c:v>
                </c:pt>
                <c:pt idx="51">
                  <c:v>-243721.63335645368</c:v>
                </c:pt>
                <c:pt idx="52">
                  <c:v>-203807.51772440068</c:v>
                </c:pt>
                <c:pt idx="53">
                  <c:v>-227322.82848587568</c:v>
                </c:pt>
                <c:pt idx="54">
                  <c:v>-265855.03629378957</c:v>
                </c:pt>
                <c:pt idx="55">
                  <c:v>-308472.53335509793</c:v>
                </c:pt>
                <c:pt idx="56">
                  <c:v>-283338.8995437923</c:v>
                </c:pt>
                <c:pt idx="57">
                  <c:v>-286109.81661268795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C46-A3BE-6DC5E457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AF7-4C46-A3BE-6DC5E45715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F7-4C46-A3BE-6DC5E45715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F7-4C46-A3BE-6DC5E45715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F7-4C46-A3BE-6DC5E457159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F7-4C46-A3BE-6DC5E45715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F7-4C46-A3BE-6DC5E457159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F7-4C46-A3BE-6DC5E457159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E3D75-F7A9-4C95-8B04-E094FE4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8D3F8-664D-4F94-83DC-1E249F03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C488D-003C-4716-80C2-1F4984183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515407</xdr:colOff>
      <xdr:row>34</xdr:row>
      <xdr:rowOff>121709</xdr:rowOff>
    </xdr:from>
    <xdr:to>
      <xdr:col>33</xdr:col>
      <xdr:colOff>568324</xdr:colOff>
      <xdr:row>60</xdr:row>
      <xdr:rowOff>158751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2DA49-0C91-41D1-9F5C-1DADEE060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C71128-6AB8-4DFD-BCB6-E41604EB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981074</xdr:colOff>
      <xdr:row>19</xdr:row>
      <xdr:rowOff>5292</xdr:rowOff>
    </xdr:from>
    <xdr:to>
      <xdr:col>26</xdr:col>
      <xdr:colOff>70908</xdr:colOff>
      <xdr:row>45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C8F32-21EB-4AF5-A08E-619071B59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ll%20Data\57.%20BNP%20Trades%20Tracker\BNP%206-25-2026%20-%20Part%20A.xlsx" TargetMode="External"/><Relationship Id="rId1" Type="http://schemas.openxmlformats.org/officeDocument/2006/relationships/externalLinkPath" Target="BNP%206-25-2026%20-%20Part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ividends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8a"/>
      <sheetName val="9"/>
      <sheetName val="10"/>
      <sheetName val="13"/>
      <sheetName val="13a"/>
      <sheetName val="14"/>
      <sheetName val="15"/>
      <sheetName val="16"/>
      <sheetName val="17"/>
      <sheetName val="19"/>
      <sheetName val="20"/>
      <sheetName val="25"/>
      <sheetName val="26"/>
      <sheetName val="27"/>
      <sheetName val="28b"/>
      <sheetName val="29"/>
      <sheetName val="30"/>
      <sheetName val="31"/>
      <sheetName val="33"/>
      <sheetName val="34"/>
      <sheetName val="34a"/>
      <sheetName val="35"/>
      <sheetName val="35a"/>
      <sheetName val="35b"/>
      <sheetName val="36"/>
      <sheetName val="37"/>
      <sheetName val="38"/>
      <sheetName val="39"/>
      <sheetName val="40"/>
      <sheetName val="41"/>
      <sheetName val="41a"/>
      <sheetName val="42"/>
      <sheetName val="43"/>
      <sheetName val="44"/>
      <sheetName val="45"/>
      <sheetName val="46"/>
      <sheetName val="47"/>
      <sheetName val="48"/>
      <sheetName val="49"/>
      <sheetName val="2 CDS RV Template"/>
      <sheetName val="3 CDS RV Template"/>
      <sheetName val="SNRFIN vs SX7E Puts Template"/>
      <sheetName val="SPX vs HYG Calls Template"/>
      <sheetName val="CDX HY vs IWM Puts Template"/>
    </sheetNames>
    <sheetDataSet>
      <sheetData sheetId="0"/>
      <sheetData sheetId="1">
        <row r="3">
          <cell r="G3" t="str">
            <v>IHYG</v>
          </cell>
        </row>
      </sheetData>
      <sheetData sheetId="2"/>
      <sheetData sheetId="3"/>
      <sheetData sheetId="4"/>
      <sheetData sheetId="5">
        <row r="12">
          <cell r="B12" t="str">
            <v>Long Risk</v>
          </cell>
          <cell r="C12"/>
          <cell r="D12"/>
          <cell r="E12"/>
          <cell r="F12" t="str">
            <v>Short Risk</v>
          </cell>
          <cell r="G12"/>
          <cell r="H12"/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D14"/>
          <cell r="E14"/>
          <cell r="F14">
            <v>98.875</v>
          </cell>
          <cell r="G14"/>
          <cell r="H14"/>
        </row>
        <row r="15">
          <cell r="B15">
            <v>90.266000000000005</v>
          </cell>
          <cell r="C15">
            <v>101.988</v>
          </cell>
          <cell r="D15">
            <v>50308.800000000003</v>
          </cell>
          <cell r="E15">
            <v>72222.222222222234</v>
          </cell>
          <cell r="F15">
            <v>101.428</v>
          </cell>
          <cell r="G15">
            <v>191474.9999999998</v>
          </cell>
          <cell r="H15">
            <v>57332.708333333343</v>
          </cell>
        </row>
        <row r="16">
          <cell r="B16">
            <v>89.93</v>
          </cell>
          <cell r="C16">
            <v>99.507999999999996</v>
          </cell>
          <cell r="D16">
            <v>77960.800000000047</v>
          </cell>
          <cell r="E16">
            <v>72916.666666666672</v>
          </cell>
          <cell r="F16">
            <v>101.43300000000001</v>
          </cell>
          <cell r="G16">
            <v>191850.00000000052</v>
          </cell>
          <cell r="H16">
            <v>57883.984374999985</v>
          </cell>
        </row>
        <row r="17">
          <cell r="B17">
            <v>90.049000000000007</v>
          </cell>
          <cell r="C17">
            <v>97.378</v>
          </cell>
          <cell r="D17">
            <v>101710.30000000002</v>
          </cell>
          <cell r="E17">
            <v>73611.111111111109</v>
          </cell>
          <cell r="F17">
            <v>101.535</v>
          </cell>
          <cell r="G17">
            <v>199499.99999999977</v>
          </cell>
          <cell r="H17">
            <v>58435.260416666657</v>
          </cell>
        </row>
        <row r="18">
          <cell r="B18">
            <v>89.225999999999999</v>
          </cell>
          <cell r="C18">
            <v>96.828000000000003</v>
          </cell>
          <cell r="D18">
            <v>107842.79999999997</v>
          </cell>
          <cell r="E18">
            <v>74305.555555555562</v>
          </cell>
          <cell r="F18">
            <v>101.57</v>
          </cell>
          <cell r="G18">
            <v>202124.99999999951</v>
          </cell>
          <cell r="H18">
            <v>58986.536458333343</v>
          </cell>
        </row>
        <row r="19">
          <cell r="B19">
            <v>88.793000000000006</v>
          </cell>
          <cell r="C19">
            <v>95.448999999999998</v>
          </cell>
          <cell r="D19">
            <v>123218.65000000002</v>
          </cell>
          <cell r="E19">
            <v>76388.888888888891</v>
          </cell>
          <cell r="F19">
            <v>101.629</v>
          </cell>
          <cell r="G19">
            <v>206550.00000000038</v>
          </cell>
          <cell r="H19">
            <v>60640.364583333343</v>
          </cell>
        </row>
        <row r="20">
          <cell r="B20">
            <v>88.692999999999998</v>
          </cell>
          <cell r="C20">
            <v>92.872</v>
          </cell>
          <cell r="D20">
            <v>151952.20000000001</v>
          </cell>
          <cell r="E20">
            <v>77083.333333333343</v>
          </cell>
          <cell r="F20">
            <v>101.68</v>
          </cell>
          <cell r="G20">
            <v>210375.00000000052</v>
          </cell>
          <cell r="H20">
            <v>61191.640625</v>
          </cell>
        </row>
        <row r="21">
          <cell r="B21">
            <v>87.667000000000002</v>
          </cell>
          <cell r="C21">
            <v>92.445999999999998</v>
          </cell>
          <cell r="D21">
            <v>156702.10000000003</v>
          </cell>
          <cell r="E21">
            <v>77777.777777777781</v>
          </cell>
          <cell r="F21">
            <v>101.89400000000001</v>
          </cell>
          <cell r="G21">
            <v>226425.00000000041</v>
          </cell>
          <cell r="H21">
            <v>61742.916666666657</v>
          </cell>
        </row>
        <row r="22">
          <cell r="B22">
            <v>87.715999999999994</v>
          </cell>
          <cell r="C22">
            <v>91.334000000000003</v>
          </cell>
          <cell r="D22">
            <v>169100.89999999997</v>
          </cell>
          <cell r="E22">
            <v>79166.666666666672</v>
          </cell>
          <cell r="F22">
            <v>102.012</v>
          </cell>
          <cell r="G22">
            <v>235275.00000000003</v>
          </cell>
          <cell r="H22">
            <v>62845.468749999985</v>
          </cell>
        </row>
        <row r="23">
          <cell r="B23">
            <v>87.912999999999997</v>
          </cell>
          <cell r="C23">
            <v>91.960999999999999</v>
          </cell>
          <cell r="D23">
            <v>162109.85000000003</v>
          </cell>
          <cell r="E23">
            <v>81250</v>
          </cell>
          <cell r="F23">
            <v>101.76600000000001</v>
          </cell>
          <cell r="G23">
            <v>216825.00000000041</v>
          </cell>
          <cell r="H23">
            <v>64499.296875000015</v>
          </cell>
        </row>
        <row r="24">
          <cell r="B24">
            <v>87.629000000000005</v>
          </cell>
          <cell r="C24">
            <v>92.38</v>
          </cell>
          <cell r="D24">
            <v>157438.00000000006</v>
          </cell>
          <cell r="E24">
            <v>81944.444444444438</v>
          </cell>
          <cell r="F24">
            <v>101.789</v>
          </cell>
          <cell r="G24">
            <v>218550.00000000009</v>
          </cell>
          <cell r="H24">
            <v>65050.572916666657</v>
          </cell>
        </row>
        <row r="25">
          <cell r="B25">
            <v>87.513999999999996</v>
          </cell>
          <cell r="C25">
            <v>91.418000000000006</v>
          </cell>
          <cell r="D25">
            <v>168164.29999999993</v>
          </cell>
          <cell r="E25">
            <v>82638.888888888891</v>
          </cell>
          <cell r="F25">
            <v>101.812</v>
          </cell>
          <cell r="G25">
            <v>220274.99999999983</v>
          </cell>
          <cell r="H25">
            <v>65601.848958333343</v>
          </cell>
        </row>
        <row r="26">
          <cell r="B26">
            <v>87.242999999999995</v>
          </cell>
          <cell r="C26">
            <v>91.418000000000006</v>
          </cell>
          <cell r="D26">
            <v>168164.29999999993</v>
          </cell>
          <cell r="E26">
            <v>84027.777777777781</v>
          </cell>
          <cell r="F26">
            <v>101.89</v>
          </cell>
          <cell r="G26">
            <v>226125.00000000006</v>
          </cell>
          <cell r="H26">
            <v>66704.401041666657</v>
          </cell>
        </row>
        <row r="27">
          <cell r="B27">
            <v>86.962999999999994</v>
          </cell>
          <cell r="C27">
            <v>75.421999999999997</v>
          </cell>
          <cell r="D27">
            <v>346519.70000000007</v>
          </cell>
          <cell r="E27">
            <v>86111.111111111109</v>
          </cell>
          <cell r="F27">
            <v>101.869</v>
          </cell>
          <cell r="G27">
            <v>224549.99999999997</v>
          </cell>
          <cell r="H27">
            <v>68358.229166666628</v>
          </cell>
        </row>
        <row r="28">
          <cell r="B28">
            <v>85.751000000000005</v>
          </cell>
          <cell r="C28">
            <v>74.210000000000008</v>
          </cell>
          <cell r="D28">
            <v>360033.49999999994</v>
          </cell>
          <cell r="E28">
            <v>86805.555555555547</v>
          </cell>
          <cell r="F28">
            <v>101.982</v>
          </cell>
          <cell r="G28">
            <v>233024.99999999994</v>
          </cell>
          <cell r="H28">
            <v>68909.505208333343</v>
          </cell>
        </row>
        <row r="29">
          <cell r="B29">
            <v>85.727000000000004</v>
          </cell>
          <cell r="C29">
            <v>74.186000000000007</v>
          </cell>
          <cell r="D29">
            <v>360301.09999999992</v>
          </cell>
          <cell r="E29">
            <v>87500</v>
          </cell>
          <cell r="F29">
            <v>102.13500000000001</v>
          </cell>
          <cell r="G29">
            <v>244500.00000000041</v>
          </cell>
          <cell r="H29">
            <v>69460.781250000015</v>
          </cell>
        </row>
        <row r="30">
          <cell r="B30">
            <v>86.3</v>
          </cell>
          <cell r="C30">
            <v>74.759</v>
          </cell>
          <cell r="D30">
            <v>353912.14999999997</v>
          </cell>
          <cell r="E30">
            <v>88194.444444444438</v>
          </cell>
          <cell r="F30">
            <v>102.14100000000001</v>
          </cell>
          <cell r="G30">
            <v>244950.00000000038</v>
          </cell>
          <cell r="H30">
            <v>70012.057291666657</v>
          </cell>
        </row>
        <row r="31">
          <cell r="B31">
            <v>85.78</v>
          </cell>
          <cell r="C31">
            <v>74.239000000000004</v>
          </cell>
          <cell r="D31">
            <v>359710.14999999997</v>
          </cell>
          <cell r="E31">
            <v>88888.888888888891</v>
          </cell>
          <cell r="F31">
            <v>102.38500000000001</v>
          </cell>
          <cell r="G31">
            <v>263250.00000000035</v>
          </cell>
          <cell r="H31">
            <v>70563.333333333372</v>
          </cell>
        </row>
        <row r="32">
          <cell r="B32">
            <v>85.364999999999995</v>
          </cell>
          <cell r="C32">
            <v>73.823999999999998</v>
          </cell>
          <cell r="D32">
            <v>364337.4</v>
          </cell>
          <cell r="E32">
            <v>90972.222222222219</v>
          </cell>
          <cell r="F32">
            <v>102.25</v>
          </cell>
          <cell r="G32">
            <v>253125.00000000003</v>
          </cell>
          <cell r="H32">
            <v>72217.161458333343</v>
          </cell>
        </row>
        <row r="33">
          <cell r="B33">
            <v>84.343000000000004</v>
          </cell>
          <cell r="C33">
            <v>72.802000000000007</v>
          </cell>
          <cell r="D33">
            <v>375732.69999999995</v>
          </cell>
          <cell r="E33">
            <v>91666.666666666672</v>
          </cell>
          <cell r="F33">
            <v>102.26</v>
          </cell>
          <cell r="G33">
            <v>253875.00000000041</v>
          </cell>
          <cell r="H33">
            <v>72768.437500000029</v>
          </cell>
        </row>
        <row r="34">
          <cell r="B34">
            <v>84.162999999999997</v>
          </cell>
          <cell r="C34">
            <v>72.622</v>
          </cell>
          <cell r="D34">
            <v>377739.70000000007</v>
          </cell>
          <cell r="E34">
            <v>92361.111111111109</v>
          </cell>
          <cell r="F34">
            <v>102.247</v>
          </cell>
          <cell r="G34">
            <v>252900</v>
          </cell>
          <cell r="H34">
            <v>73319.713541666686</v>
          </cell>
        </row>
        <row r="35">
          <cell r="B35">
            <v>84.411000000000001</v>
          </cell>
          <cell r="C35">
            <v>72.87</v>
          </cell>
          <cell r="D35">
            <v>374974.49999999994</v>
          </cell>
          <cell r="E35">
            <v>93055.555555555562</v>
          </cell>
          <cell r="F35">
            <v>102.31</v>
          </cell>
          <cell r="G35">
            <v>257625.00000000015</v>
          </cell>
          <cell r="H35">
            <v>73870.989583333314</v>
          </cell>
        </row>
        <row r="36">
          <cell r="B36">
            <v>83.876999999999995</v>
          </cell>
          <cell r="C36">
            <v>72.335999999999999</v>
          </cell>
          <cell r="D36">
            <v>380928.60000000003</v>
          </cell>
          <cell r="E36">
            <v>93750.000000000015</v>
          </cell>
          <cell r="F36">
            <v>102.264</v>
          </cell>
          <cell r="G36">
            <v>254174.99999999965</v>
          </cell>
          <cell r="H36">
            <v>74422.265625</v>
          </cell>
        </row>
        <row r="37">
          <cell r="B37">
            <v>86.462999999999994</v>
          </cell>
          <cell r="C37">
            <v>74.921999999999997</v>
          </cell>
          <cell r="D37">
            <v>352094.7</v>
          </cell>
          <cell r="E37">
            <v>95833.333333333343</v>
          </cell>
          <cell r="F37">
            <v>101.92</v>
          </cell>
          <cell r="G37">
            <v>228375.00000000015</v>
          </cell>
          <cell r="H37">
            <v>76076.093750000029</v>
          </cell>
        </row>
        <row r="38">
          <cell r="B38">
            <v>88.070999999999998</v>
          </cell>
          <cell r="C38">
            <v>76.53</v>
          </cell>
          <cell r="D38">
            <v>334165.5</v>
          </cell>
          <cell r="E38">
            <v>96527.777777777796</v>
          </cell>
          <cell r="F38">
            <v>101.508</v>
          </cell>
          <cell r="G38">
            <v>197474.99999999965</v>
          </cell>
          <cell r="H38">
            <v>76627.369791666657</v>
          </cell>
        </row>
        <row r="39">
          <cell r="B39">
            <v>86.83</v>
          </cell>
          <cell r="C39">
            <v>75.289000000000001</v>
          </cell>
          <cell r="D39">
            <v>348002.65</v>
          </cell>
          <cell r="E39">
            <v>97222.222222222234</v>
          </cell>
          <cell r="F39">
            <v>101.73099999999999</v>
          </cell>
          <cell r="G39">
            <v>214199.99999999959</v>
          </cell>
          <cell r="H39">
            <v>77178.645833333343</v>
          </cell>
        </row>
        <row r="40">
          <cell r="B40">
            <v>84.230999999999995</v>
          </cell>
          <cell r="C40">
            <v>72.69</v>
          </cell>
          <cell r="D40">
            <v>376981.5</v>
          </cell>
          <cell r="E40">
            <v>97916.666666666657</v>
          </cell>
          <cell r="F40">
            <v>102.127</v>
          </cell>
          <cell r="G40">
            <v>243899.99999999965</v>
          </cell>
          <cell r="H40">
            <v>77729.921875000029</v>
          </cell>
        </row>
        <row r="41">
          <cell r="B41">
            <v>84.471999999999994</v>
          </cell>
          <cell r="C41">
            <v>72.930999999999997</v>
          </cell>
          <cell r="D41">
            <v>374294.35000000003</v>
          </cell>
          <cell r="E41">
            <v>98611.111111111095</v>
          </cell>
          <cell r="F41">
            <v>102.098</v>
          </cell>
          <cell r="G41">
            <v>241724.99999999991</v>
          </cell>
          <cell r="H41">
            <v>78281.197916666657</v>
          </cell>
        </row>
        <row r="42">
          <cell r="B42">
            <v>83.158000000000001</v>
          </cell>
          <cell r="C42">
            <v>71.617000000000004</v>
          </cell>
          <cell r="D42">
            <v>388945.44999999995</v>
          </cell>
          <cell r="E42">
            <v>100694.44444444444</v>
          </cell>
          <cell r="F42">
            <v>102.122</v>
          </cell>
          <cell r="G42">
            <v>243525</v>
          </cell>
          <cell r="H42">
            <v>79935.026041666628</v>
          </cell>
        </row>
        <row r="43">
          <cell r="B43">
            <v>81.959000000000003</v>
          </cell>
          <cell r="C43">
            <v>70.418000000000006</v>
          </cell>
          <cell r="D43">
            <v>402314.29999999987</v>
          </cell>
          <cell r="E43">
            <v>101388.88888888888</v>
          </cell>
          <cell r="F43">
            <v>102.215</v>
          </cell>
          <cell r="G43">
            <v>250500.00000000026</v>
          </cell>
          <cell r="H43">
            <v>80486.302083333314</v>
          </cell>
        </row>
        <row r="44">
          <cell r="B44">
            <v>81.585999999999999</v>
          </cell>
          <cell r="C44">
            <v>70.045000000000002</v>
          </cell>
          <cell r="D44">
            <v>406473.24999999994</v>
          </cell>
          <cell r="E44">
            <v>102083.33333333333</v>
          </cell>
          <cell r="F44">
            <v>102.303</v>
          </cell>
          <cell r="G44">
            <v>257099.99999999977</v>
          </cell>
          <cell r="H44">
            <v>81037.578124999985</v>
          </cell>
        </row>
        <row r="45">
          <cell r="B45">
            <v>82.206000000000003</v>
          </cell>
          <cell r="C45">
            <v>70.665000000000006</v>
          </cell>
          <cell r="D45">
            <v>399560.25</v>
          </cell>
          <cell r="E45">
            <v>102777.77777777778</v>
          </cell>
          <cell r="F45">
            <v>102.2</v>
          </cell>
          <cell r="G45">
            <v>249375.00000000023</v>
          </cell>
          <cell r="H45">
            <v>81588.854166666657</v>
          </cell>
        </row>
        <row r="46">
          <cell r="B46">
            <v>82.492000000000004</v>
          </cell>
          <cell r="C46">
            <v>70.951000000000008</v>
          </cell>
          <cell r="D46">
            <v>396371.35</v>
          </cell>
          <cell r="E46">
            <v>103472.22222222222</v>
          </cell>
          <cell r="F46">
            <v>102.20099999999999</v>
          </cell>
          <cell r="G46">
            <v>249449.99999999951</v>
          </cell>
          <cell r="H46">
            <v>82140.130208333372</v>
          </cell>
        </row>
        <row r="47">
          <cell r="B47">
            <v>82.251999999999995</v>
          </cell>
          <cell r="C47">
            <v>70.710999999999999</v>
          </cell>
          <cell r="D47">
            <v>399047.35000000003</v>
          </cell>
          <cell r="E47">
            <v>105555.55555555556</v>
          </cell>
          <cell r="F47">
            <v>102.285</v>
          </cell>
          <cell r="G47">
            <v>255749.99999999974</v>
          </cell>
          <cell r="H47">
            <v>83793.958333333372</v>
          </cell>
        </row>
        <row r="48">
          <cell r="B48">
            <v>81.760999999999996</v>
          </cell>
          <cell r="C48">
            <v>70.22</v>
          </cell>
          <cell r="D48">
            <v>404522.00000000006</v>
          </cell>
          <cell r="E48">
            <v>106250.00000000001</v>
          </cell>
          <cell r="F48">
            <v>102.52500000000001</v>
          </cell>
          <cell r="G48">
            <v>273750.00000000047</v>
          </cell>
          <cell r="H48">
            <v>84345.234374999985</v>
          </cell>
        </row>
        <row r="49">
          <cell r="B49">
            <v>81.863</v>
          </cell>
          <cell r="C49">
            <v>70.322000000000003</v>
          </cell>
          <cell r="D49">
            <v>403384.7</v>
          </cell>
          <cell r="E49">
            <v>106944.44444444445</v>
          </cell>
          <cell r="F49">
            <v>102.499</v>
          </cell>
          <cell r="G49">
            <v>271799.99999999965</v>
          </cell>
          <cell r="H49">
            <v>84896.510416666715</v>
          </cell>
        </row>
        <row r="50">
          <cell r="B50">
            <v>82.628</v>
          </cell>
          <cell r="C50">
            <v>71.087000000000003</v>
          </cell>
          <cell r="D50">
            <v>394854.94999999995</v>
          </cell>
          <cell r="E50">
            <v>107638.88888888889</v>
          </cell>
          <cell r="F50">
            <v>102.316</v>
          </cell>
          <cell r="G50">
            <v>258075.00000000017</v>
          </cell>
          <cell r="H50">
            <v>85447.786458333314</v>
          </cell>
        </row>
        <row r="51">
          <cell r="B51">
            <v>82.361999999999995</v>
          </cell>
          <cell r="C51">
            <v>70.820999999999998</v>
          </cell>
          <cell r="D51">
            <v>397820.85000000009</v>
          </cell>
          <cell r="E51">
            <v>108333.33333333333</v>
          </cell>
          <cell r="F51">
            <v>102.41</v>
          </cell>
          <cell r="G51">
            <v>265124.99999999971</v>
          </cell>
          <cell r="H51">
            <v>85999.0625</v>
          </cell>
        </row>
        <row r="52">
          <cell r="B52">
            <v>82.072999999999993</v>
          </cell>
          <cell r="C52">
            <v>70.531999999999996</v>
          </cell>
          <cell r="D52">
            <v>401043.20000000001</v>
          </cell>
          <cell r="E52">
            <v>110416.66666666667</v>
          </cell>
          <cell r="F52">
            <v>102.59099999999999</v>
          </cell>
          <cell r="G52">
            <v>278699.99999999959</v>
          </cell>
          <cell r="H52">
            <v>87652.890625000029</v>
          </cell>
        </row>
        <row r="53">
          <cell r="B53">
            <v>81.983999999999995</v>
          </cell>
          <cell r="C53">
            <v>70.442999999999998</v>
          </cell>
          <cell r="D53">
            <v>402035.55000000005</v>
          </cell>
          <cell r="E53">
            <v>111111.11111111111</v>
          </cell>
          <cell r="F53">
            <v>102.654</v>
          </cell>
          <cell r="G53">
            <v>283424.99999999971</v>
          </cell>
          <cell r="H53">
            <v>88204.166666666657</v>
          </cell>
        </row>
        <row r="54">
          <cell r="B54">
            <v>82.298000000000002</v>
          </cell>
          <cell r="C54">
            <v>70.757000000000005</v>
          </cell>
          <cell r="D54">
            <v>398534.44999999995</v>
          </cell>
          <cell r="E54">
            <v>111805.55555555558</v>
          </cell>
          <cell r="F54">
            <v>102.601</v>
          </cell>
          <cell r="G54">
            <v>279449.99999999988</v>
          </cell>
          <cell r="H54">
            <v>88755.442708333343</v>
          </cell>
        </row>
        <row r="55">
          <cell r="B55">
            <v>81.655000000000001</v>
          </cell>
          <cell r="C55">
            <v>70.114000000000004</v>
          </cell>
          <cell r="D55">
            <v>405703.89999999991</v>
          </cell>
          <cell r="E55">
            <v>112500.00000000001</v>
          </cell>
          <cell r="F55">
            <v>102.756</v>
          </cell>
          <cell r="G55">
            <v>291075.00000000006</v>
          </cell>
          <cell r="H55">
            <v>89306.718750000029</v>
          </cell>
        </row>
        <row r="56">
          <cell r="B56">
            <v>83.483999999999995</v>
          </cell>
          <cell r="C56">
            <v>71.942999999999998</v>
          </cell>
          <cell r="D56">
            <v>385310.55000000005</v>
          </cell>
          <cell r="E56">
            <v>113194.44444444445</v>
          </cell>
          <cell r="F56">
            <v>102.65300000000001</v>
          </cell>
          <cell r="G56">
            <v>283350.00000000041</v>
          </cell>
          <cell r="H56">
            <v>89857.994791666686</v>
          </cell>
        </row>
        <row r="57">
          <cell r="B57">
            <v>83.07</v>
          </cell>
          <cell r="C57">
            <v>71.528999999999996</v>
          </cell>
          <cell r="D57">
            <v>389926.65</v>
          </cell>
          <cell r="E57">
            <v>115277.7777777778</v>
          </cell>
          <cell r="F57">
            <v>102.78100000000001</v>
          </cell>
          <cell r="G57">
            <v>292950.00000000047</v>
          </cell>
          <cell r="H57">
            <v>91511.822916666628</v>
          </cell>
        </row>
        <row r="58">
          <cell r="B58">
            <v>83.956999999999994</v>
          </cell>
          <cell r="C58">
            <v>72.415999999999997</v>
          </cell>
          <cell r="D58">
            <v>380036.60000000009</v>
          </cell>
          <cell r="E58">
            <v>115972.22222222222</v>
          </cell>
          <cell r="F58">
            <v>102.849</v>
          </cell>
          <cell r="G58">
            <v>298050.00000000029</v>
          </cell>
          <cell r="H58">
            <v>92063.098958333314</v>
          </cell>
        </row>
        <row r="59">
          <cell r="B59">
            <v>83.180999999999997</v>
          </cell>
          <cell r="C59">
            <v>71.64</v>
          </cell>
          <cell r="D59">
            <v>388689</v>
          </cell>
          <cell r="E59">
            <v>116666.66666666666</v>
          </cell>
          <cell r="F59">
            <v>103.105</v>
          </cell>
          <cell r="G59">
            <v>317250.00000000029</v>
          </cell>
          <cell r="H59">
            <v>92614.375</v>
          </cell>
        </row>
        <row r="60">
          <cell r="B60">
            <v>83.227999999999994</v>
          </cell>
          <cell r="C60">
            <v>71.686999999999998</v>
          </cell>
          <cell r="D60">
            <v>388164.95000000007</v>
          </cell>
          <cell r="E60">
            <v>117361.11111111111</v>
          </cell>
          <cell r="F60">
            <v>103.134</v>
          </cell>
          <cell r="G60">
            <v>319425</v>
          </cell>
          <cell r="H60">
            <v>93165.651041666657</v>
          </cell>
        </row>
        <row r="61">
          <cell r="B61">
            <v>82.575000000000003</v>
          </cell>
          <cell r="C61">
            <v>71.034000000000006</v>
          </cell>
          <cell r="D61">
            <v>395445.89999999997</v>
          </cell>
          <cell r="E61">
            <v>118055.55555555556</v>
          </cell>
          <cell r="F61">
            <v>103.131</v>
          </cell>
          <cell r="G61">
            <v>319200</v>
          </cell>
          <cell r="H61">
            <v>93716.927083333343</v>
          </cell>
        </row>
        <row r="62">
          <cell r="B62">
            <v>82.757000000000005</v>
          </cell>
          <cell r="C62">
            <v>71.216000000000008</v>
          </cell>
          <cell r="D62">
            <v>393416.59999999992</v>
          </cell>
          <cell r="E62">
            <v>120138.88888888888</v>
          </cell>
          <cell r="F62">
            <v>103.193</v>
          </cell>
          <cell r="G62">
            <v>323849.99999999983</v>
          </cell>
          <cell r="H62">
            <v>95370.755208333343</v>
          </cell>
        </row>
        <row r="63">
          <cell r="B63">
            <v>83.631</v>
          </cell>
          <cell r="C63">
            <v>72.09</v>
          </cell>
          <cell r="D63">
            <v>383671.49999999994</v>
          </cell>
          <cell r="E63">
            <v>120833.33333333334</v>
          </cell>
          <cell r="F63">
            <v>103.072</v>
          </cell>
          <cell r="G63">
            <v>314775.00000000023</v>
          </cell>
          <cell r="H63">
            <v>95922.03125</v>
          </cell>
        </row>
        <row r="64">
          <cell r="B64">
            <v>83.673000000000002</v>
          </cell>
          <cell r="C64">
            <v>72.132000000000005</v>
          </cell>
          <cell r="D64">
            <v>383203.2</v>
          </cell>
          <cell r="E64">
            <v>121527.77777777778</v>
          </cell>
          <cell r="F64">
            <v>103.125</v>
          </cell>
          <cell r="G64">
            <v>318750</v>
          </cell>
          <cell r="H64">
            <v>96473.307291666686</v>
          </cell>
        </row>
        <row r="65">
          <cell r="B65">
            <v>84.393000000000001</v>
          </cell>
          <cell r="C65">
            <v>72.852000000000004</v>
          </cell>
          <cell r="D65">
            <v>375175.19999999995</v>
          </cell>
          <cell r="E65">
            <v>122222.22222222222</v>
          </cell>
          <cell r="F65">
            <v>103.14400000000001</v>
          </cell>
          <cell r="G65">
            <v>320175.00000000041</v>
          </cell>
          <cell r="H65">
            <v>97024.583333333343</v>
          </cell>
        </row>
        <row r="66">
          <cell r="B66">
            <v>87.778000000000006</v>
          </cell>
          <cell r="C66">
            <v>76.237000000000009</v>
          </cell>
          <cell r="D66">
            <v>337432.4499999999</v>
          </cell>
          <cell r="E66">
            <v>122916.66666666666</v>
          </cell>
          <cell r="F66">
            <v>102.79600000000001</v>
          </cell>
          <cell r="G66">
            <v>294075.00000000047</v>
          </cell>
          <cell r="H66">
            <v>97575.859375</v>
          </cell>
        </row>
        <row r="67">
          <cell r="B67">
            <v>91.037999999999997</v>
          </cell>
          <cell r="C67">
            <v>79.497</v>
          </cell>
          <cell r="D67">
            <v>301083.45</v>
          </cell>
          <cell r="E67">
            <v>125000</v>
          </cell>
          <cell r="F67">
            <v>102.071</v>
          </cell>
          <cell r="G67">
            <v>239699.99999999985</v>
          </cell>
          <cell r="H67">
            <v>99229.687500000029</v>
          </cell>
        </row>
        <row r="68">
          <cell r="B68">
            <v>95.340999999999994</v>
          </cell>
          <cell r="C68">
            <v>83.8</v>
          </cell>
          <cell r="D68">
            <v>253105.00000000003</v>
          </cell>
          <cell r="E68">
            <v>125694.44444444444</v>
          </cell>
          <cell r="F68">
            <v>101.282</v>
          </cell>
          <cell r="G68">
            <v>180524.99999999974</v>
          </cell>
          <cell r="H68">
            <v>99780.963541666657</v>
          </cell>
        </row>
        <row r="69">
          <cell r="B69">
            <v>91.527000000000001</v>
          </cell>
          <cell r="C69">
            <v>79.986000000000004</v>
          </cell>
          <cell r="D69">
            <v>295631.09999999992</v>
          </cell>
          <cell r="E69">
            <v>126388.88888888888</v>
          </cell>
          <cell r="F69">
            <v>102.069</v>
          </cell>
          <cell r="G69">
            <v>239550.00000000017</v>
          </cell>
          <cell r="H69">
            <v>100332.23958333337</v>
          </cell>
        </row>
        <row r="70">
          <cell r="B70">
            <v>91.3</v>
          </cell>
          <cell r="C70">
            <v>79.759</v>
          </cell>
          <cell r="D70">
            <v>298162.15000000002</v>
          </cell>
          <cell r="E70">
            <v>127083.33333333334</v>
          </cell>
          <cell r="F70">
            <v>101.929</v>
          </cell>
          <cell r="G70">
            <v>229050.00000000017</v>
          </cell>
          <cell r="H70">
            <v>100883.51562500003</v>
          </cell>
        </row>
        <row r="71">
          <cell r="B71">
            <v>95.9</v>
          </cell>
          <cell r="C71">
            <v>84.359000000000009</v>
          </cell>
          <cell r="D71">
            <v>246872.14999999991</v>
          </cell>
          <cell r="E71">
            <v>127777.77777777778</v>
          </cell>
          <cell r="F71">
            <v>101.157</v>
          </cell>
          <cell r="G71">
            <v>171149.99999999974</v>
          </cell>
          <cell r="H71">
            <v>101434.79166666666</v>
          </cell>
        </row>
        <row r="72">
          <cell r="B72">
            <v>100.747</v>
          </cell>
          <cell r="C72">
            <v>89.206000000000003</v>
          </cell>
          <cell r="D72">
            <v>192828.09999999998</v>
          </cell>
          <cell r="E72">
            <v>129861.11111111112</v>
          </cell>
          <cell r="F72">
            <v>100.526</v>
          </cell>
          <cell r="G72">
            <v>123824.99999999972</v>
          </cell>
          <cell r="H72">
            <v>103088.61979166666</v>
          </cell>
        </row>
        <row r="73">
          <cell r="B73">
            <v>92.974999999999994</v>
          </cell>
          <cell r="C73">
            <v>81.433999999999997</v>
          </cell>
          <cell r="D73">
            <v>279485.90000000002</v>
          </cell>
          <cell r="E73">
            <v>130555.55555555556</v>
          </cell>
          <cell r="F73">
            <v>101.51600000000001</v>
          </cell>
          <cell r="G73">
            <v>198075.00000000041</v>
          </cell>
          <cell r="H73">
            <v>103639.89583333337</v>
          </cell>
        </row>
        <row r="74">
          <cell r="B74">
            <v>94.965000000000003</v>
          </cell>
          <cell r="C74">
            <v>83.424000000000007</v>
          </cell>
          <cell r="D74">
            <v>257297.39999999997</v>
          </cell>
          <cell r="E74">
            <v>131250</v>
          </cell>
          <cell r="F74">
            <v>101.128</v>
          </cell>
          <cell r="G74">
            <v>168975</v>
          </cell>
          <cell r="H74">
            <v>104191.17187499997</v>
          </cell>
        </row>
        <row r="75">
          <cell r="B75">
            <v>99.674000000000007</v>
          </cell>
          <cell r="C75">
            <v>88.13300000000001</v>
          </cell>
          <cell r="D75">
            <v>204792.04999999987</v>
          </cell>
          <cell r="E75">
            <v>131944.44444444444</v>
          </cell>
          <cell r="F75">
            <v>100.643</v>
          </cell>
          <cell r="G75">
            <v>132600.00000000006</v>
          </cell>
          <cell r="H75">
            <v>104742.44791666672</v>
          </cell>
        </row>
        <row r="76">
          <cell r="B76">
            <v>102.637</v>
          </cell>
          <cell r="C76">
            <v>91.096000000000004</v>
          </cell>
          <cell r="D76">
            <v>171754.59999999998</v>
          </cell>
          <cell r="E76">
            <v>132638.88888888888</v>
          </cell>
          <cell r="F76">
            <v>100.223</v>
          </cell>
          <cell r="G76">
            <v>101099.99999999993</v>
          </cell>
          <cell r="H76">
            <v>105293.72395833334</v>
          </cell>
        </row>
        <row r="77">
          <cell r="B77">
            <v>102.19199999999999</v>
          </cell>
          <cell r="C77">
            <v>90.650999999999996</v>
          </cell>
          <cell r="D77">
            <v>176716.35000000003</v>
          </cell>
          <cell r="E77">
            <v>134722.22222222222</v>
          </cell>
          <cell r="F77">
            <v>100.30800000000001</v>
          </cell>
          <cell r="G77">
            <v>107475.00000000052</v>
          </cell>
          <cell r="H77">
            <v>106947.55208333331</v>
          </cell>
        </row>
        <row r="78">
          <cell r="B78">
            <v>99.72</v>
          </cell>
          <cell r="C78">
            <v>88.179000000000002</v>
          </cell>
          <cell r="D78">
            <v>204279.14999999997</v>
          </cell>
          <cell r="E78">
            <v>135416.66666666666</v>
          </cell>
          <cell r="F78">
            <v>100.685</v>
          </cell>
          <cell r="G78">
            <v>135750.00000000017</v>
          </cell>
          <cell r="H78">
            <v>107498.82812500006</v>
          </cell>
        </row>
        <row r="79">
          <cell r="B79">
            <v>98.751000000000005</v>
          </cell>
          <cell r="C79">
            <v>87.210000000000008</v>
          </cell>
          <cell r="D79">
            <v>215083.49999999994</v>
          </cell>
          <cell r="E79">
            <v>136111.11111111112</v>
          </cell>
          <cell r="F79">
            <v>100.589</v>
          </cell>
          <cell r="G79">
            <v>128549.99999999988</v>
          </cell>
          <cell r="H79">
            <v>108050.10416666672</v>
          </cell>
        </row>
        <row r="80">
          <cell r="B80">
            <v>104.34699999999999</v>
          </cell>
          <cell r="C80">
            <v>92.805999999999997</v>
          </cell>
          <cell r="D80">
            <v>152688.10000000006</v>
          </cell>
          <cell r="E80">
            <v>136805.55555555556</v>
          </cell>
          <cell r="F80">
            <v>99.88</v>
          </cell>
          <cell r="G80">
            <v>75374.999999999665</v>
          </cell>
          <cell r="H80">
            <v>108601.38020833334</v>
          </cell>
        </row>
        <row r="81">
          <cell r="B81">
            <v>115.64700000000001</v>
          </cell>
          <cell r="C81">
            <v>104.10600000000001</v>
          </cell>
          <cell r="D81">
            <v>26693.0999999999</v>
          </cell>
          <cell r="E81">
            <v>137500</v>
          </cell>
          <cell r="F81">
            <v>99.281000000000006</v>
          </cell>
          <cell r="G81">
            <v>30450.000000000444</v>
          </cell>
          <cell r="H81">
            <v>109152.65625</v>
          </cell>
        </row>
        <row r="82">
          <cell r="B82">
            <v>117.254</v>
          </cell>
          <cell r="C82">
            <v>105.71300000000001</v>
          </cell>
          <cell r="D82">
            <v>8775.0499999999101</v>
          </cell>
          <cell r="E82">
            <v>139583.33333333334</v>
          </cell>
          <cell r="F82">
            <v>98.844999999999999</v>
          </cell>
          <cell r="G82">
            <v>-2250.000000000085</v>
          </cell>
          <cell r="H82">
            <v>110806.48437500003</v>
          </cell>
        </row>
        <row r="83">
          <cell r="B83">
            <v>115.62</v>
          </cell>
          <cell r="C83">
            <v>104.07900000000001</v>
          </cell>
          <cell r="D83">
            <v>26994.149999999914</v>
          </cell>
          <cell r="E83">
            <v>140277.77777777778</v>
          </cell>
          <cell r="F83">
            <v>99.010999999999996</v>
          </cell>
          <cell r="G83">
            <v>10199.999999999676</v>
          </cell>
          <cell r="H83">
            <v>111357.76041666663</v>
          </cell>
        </row>
        <row r="84">
          <cell r="B84">
            <v>112.113</v>
          </cell>
          <cell r="C84">
            <v>100.572</v>
          </cell>
          <cell r="D84">
            <v>66097.199999999968</v>
          </cell>
          <cell r="E84">
            <v>140972.22222222225</v>
          </cell>
          <cell r="F84">
            <v>99.474000000000004</v>
          </cell>
          <cell r="G84">
            <v>44925.000000000284</v>
          </cell>
          <cell r="H84">
            <v>111909.03645833331</v>
          </cell>
        </row>
        <row r="85">
          <cell r="B85">
            <v>115.553</v>
          </cell>
          <cell r="C85">
            <v>104.012</v>
          </cell>
          <cell r="D85">
            <v>27741.200000000001</v>
          </cell>
          <cell r="E85">
            <v>141666.66666666669</v>
          </cell>
          <cell r="F85">
            <v>98.923000000000002</v>
          </cell>
          <cell r="G85">
            <v>3600.0000000001364</v>
          </cell>
          <cell r="H85">
            <v>112460.3125</v>
          </cell>
        </row>
        <row r="86">
          <cell r="B86">
            <v>119.236</v>
          </cell>
          <cell r="C86">
            <v>107.69500000000001</v>
          </cell>
          <cell r="D86">
            <v>-13324.250000000084</v>
          </cell>
          <cell r="E86">
            <v>142361.11111111109</v>
          </cell>
          <cell r="F86">
            <v>98.17</v>
          </cell>
          <cell r="G86">
            <v>-52874.999999999876</v>
          </cell>
          <cell r="H86">
            <v>113011.58854166663</v>
          </cell>
        </row>
        <row r="87">
          <cell r="B87">
            <v>122.227</v>
          </cell>
          <cell r="C87">
            <v>110.68600000000001</v>
          </cell>
          <cell r="D87">
            <v>-46673.900000000081</v>
          </cell>
          <cell r="E87">
            <v>144444.44444444447</v>
          </cell>
          <cell r="F87">
            <v>97.885000000000005</v>
          </cell>
          <cell r="G87">
            <v>-74249.999999999622</v>
          </cell>
          <cell r="H87">
            <v>114665.41666666669</v>
          </cell>
        </row>
        <row r="88">
          <cell r="B88">
            <v>119.14700000000001</v>
          </cell>
          <cell r="C88">
            <v>107.60600000000001</v>
          </cell>
          <cell r="D88">
            <v>-12331.9000000001</v>
          </cell>
          <cell r="E88">
            <v>145138.88888888888</v>
          </cell>
          <cell r="F88">
            <v>98.49</v>
          </cell>
          <cell r="G88">
            <v>-28875.000000000386</v>
          </cell>
          <cell r="H88">
            <v>115216.69270833331</v>
          </cell>
        </row>
        <row r="89">
          <cell r="B89">
            <v>108.98</v>
          </cell>
          <cell r="C89">
            <v>97.439000000000007</v>
          </cell>
          <cell r="D89">
            <v>101030.14999999992</v>
          </cell>
          <cell r="E89">
            <v>145833.33333333334</v>
          </cell>
          <cell r="F89">
            <v>99.551000000000002</v>
          </cell>
          <cell r="G89">
            <v>50700.000000000146</v>
          </cell>
          <cell r="H89">
            <v>115767.96874999997</v>
          </cell>
        </row>
        <row r="90">
          <cell r="B90">
            <v>110.506</v>
          </cell>
          <cell r="C90">
            <v>98.965000000000003</v>
          </cell>
          <cell r="D90">
            <v>84015.249999999971</v>
          </cell>
          <cell r="E90">
            <v>146527.77777777775</v>
          </cell>
          <cell r="F90">
            <v>99.153999999999996</v>
          </cell>
          <cell r="G90">
            <v>20924.999999999727</v>
          </cell>
          <cell r="H90">
            <v>116319.24479166674</v>
          </cell>
        </row>
        <row r="91">
          <cell r="B91">
            <v>107.905</v>
          </cell>
          <cell r="C91">
            <v>96.364000000000004</v>
          </cell>
          <cell r="D91">
            <v>113016.39999999997</v>
          </cell>
          <cell r="E91">
            <v>147222.22222222222</v>
          </cell>
          <cell r="F91">
            <v>99.141000000000005</v>
          </cell>
          <cell r="G91">
            <v>19950.0000000004</v>
          </cell>
          <cell r="H91">
            <v>116870.52083333331</v>
          </cell>
        </row>
        <row r="92">
          <cell r="B92">
            <v>107.997</v>
          </cell>
          <cell r="C92">
            <v>96.456000000000003</v>
          </cell>
          <cell r="D92">
            <v>111990.59999999998</v>
          </cell>
          <cell r="E92">
            <v>149305.55555555553</v>
          </cell>
          <cell r="F92">
            <v>98.957999999999998</v>
          </cell>
          <cell r="G92">
            <v>6224.9999999998809</v>
          </cell>
          <cell r="H92">
            <v>118524.34895833331</v>
          </cell>
        </row>
        <row r="93">
          <cell r="B93">
            <v>105.399</v>
          </cell>
          <cell r="C93">
            <v>93.858000000000004</v>
          </cell>
          <cell r="D93">
            <v>140958.29999999996</v>
          </cell>
          <cell r="E93">
            <v>150000</v>
          </cell>
          <cell r="F93">
            <v>99.263999999999996</v>
          </cell>
          <cell r="G93">
            <v>29174.999999999683</v>
          </cell>
          <cell r="H93">
            <v>119075.62500000006</v>
          </cell>
        </row>
        <row r="94">
          <cell r="B94">
            <v>93.471999999999994</v>
          </cell>
          <cell r="C94">
            <v>81.930999999999997</v>
          </cell>
          <cell r="D94">
            <v>273944.35000000003</v>
          </cell>
          <cell r="E94">
            <v>150694.44444444444</v>
          </cell>
          <cell r="F94">
            <v>101.05200000000001</v>
          </cell>
          <cell r="G94">
            <v>163275.00000000049</v>
          </cell>
          <cell r="H94">
            <v>119626.90104166674</v>
          </cell>
        </row>
        <row r="95">
          <cell r="B95">
            <v>93.86</v>
          </cell>
          <cell r="C95">
            <v>82.319000000000003</v>
          </cell>
          <cell r="D95">
            <v>269618.14999999997</v>
          </cell>
          <cell r="E95">
            <v>151388.88888888891</v>
          </cell>
          <cell r="F95">
            <v>100.836</v>
          </cell>
          <cell r="G95">
            <v>147074.99999999988</v>
          </cell>
          <cell r="H95">
            <v>120178.17708333331</v>
          </cell>
        </row>
        <row r="96">
          <cell r="B96">
            <v>90.274000000000001</v>
          </cell>
          <cell r="C96">
            <v>78.733000000000004</v>
          </cell>
          <cell r="D96">
            <v>309602.04999999993</v>
          </cell>
          <cell r="E96">
            <v>152083.33333333331</v>
          </cell>
          <cell r="F96">
            <v>101.08199999999999</v>
          </cell>
          <cell r="G96">
            <v>165524.99999999953</v>
          </cell>
          <cell r="H96">
            <v>120729.45312499997</v>
          </cell>
        </row>
        <row r="97">
          <cell r="B97">
            <v>90.576999999999998</v>
          </cell>
          <cell r="C97">
            <v>79.036000000000001</v>
          </cell>
          <cell r="D97">
            <v>306223.59999999998</v>
          </cell>
          <cell r="E97">
            <v>154166.66666666669</v>
          </cell>
          <cell r="F97">
            <v>100.89100000000001</v>
          </cell>
          <cell r="G97">
            <v>151200.00000000041</v>
          </cell>
          <cell r="H97">
            <v>122383.28125</v>
          </cell>
        </row>
        <row r="98">
          <cell r="B98">
            <v>87.994</v>
          </cell>
          <cell r="C98">
            <v>76.453000000000003</v>
          </cell>
          <cell r="D98">
            <v>335024.05</v>
          </cell>
          <cell r="E98">
            <v>154861.11111111109</v>
          </cell>
          <cell r="F98">
            <v>101.181</v>
          </cell>
          <cell r="G98">
            <v>172949.9999999998</v>
          </cell>
          <cell r="H98">
            <v>122934.55729166663</v>
          </cell>
        </row>
        <row r="99">
          <cell r="B99">
            <v>87.665999999999997</v>
          </cell>
          <cell r="C99">
            <v>76.125</v>
          </cell>
          <cell r="D99">
            <v>338681.25</v>
          </cell>
          <cell r="E99">
            <v>155555.55555555556</v>
          </cell>
          <cell r="F99">
            <v>101.105</v>
          </cell>
          <cell r="G99">
            <v>167250.00000000029</v>
          </cell>
          <cell r="H99">
            <v>123485.83333333331</v>
          </cell>
        </row>
        <row r="100">
          <cell r="B100">
            <v>86.896000000000001</v>
          </cell>
          <cell r="C100">
            <v>75.355000000000004</v>
          </cell>
          <cell r="D100">
            <v>347266.75</v>
          </cell>
          <cell r="E100">
            <v>156250</v>
          </cell>
          <cell r="F100">
            <v>101.108</v>
          </cell>
          <cell r="G100">
            <v>167475.00000000032</v>
          </cell>
          <cell r="H100">
            <v>124037.109375</v>
          </cell>
        </row>
        <row r="101">
          <cell r="B101">
            <v>87.465999999999994</v>
          </cell>
          <cell r="C101">
            <v>75.924999999999997</v>
          </cell>
          <cell r="D101">
            <v>340911.25000000006</v>
          </cell>
          <cell r="E101">
            <v>156944.44444444447</v>
          </cell>
          <cell r="F101">
            <v>101.53700000000001</v>
          </cell>
          <cell r="G101">
            <v>199650.00000000047</v>
          </cell>
          <cell r="H101">
            <v>124588.38541666669</v>
          </cell>
        </row>
        <row r="102">
          <cell r="B102">
            <v>86.453000000000003</v>
          </cell>
          <cell r="C102">
            <v>74.912000000000006</v>
          </cell>
          <cell r="D102">
            <v>352206.19999999995</v>
          </cell>
          <cell r="E102">
            <v>159027.77777777778</v>
          </cell>
          <cell r="F102">
            <v>101.44199999999999</v>
          </cell>
          <cell r="G102">
            <v>192524.99999999948</v>
          </cell>
          <cell r="H102">
            <v>126242.21354166669</v>
          </cell>
        </row>
        <row r="103">
          <cell r="B103">
            <v>86.744</v>
          </cell>
          <cell r="C103">
            <v>75.203000000000003</v>
          </cell>
          <cell r="D103">
            <v>348961.55</v>
          </cell>
          <cell r="E103">
            <v>159722.22222222222</v>
          </cell>
          <cell r="F103">
            <v>101.416</v>
          </cell>
          <cell r="G103">
            <v>190574.99999999977</v>
          </cell>
          <cell r="H103">
            <v>126793.48958333331</v>
          </cell>
        </row>
        <row r="104">
          <cell r="B104">
            <v>87.319000000000003</v>
          </cell>
          <cell r="C104">
            <v>75.778000000000006</v>
          </cell>
          <cell r="D104">
            <v>342550.3</v>
          </cell>
          <cell r="E104">
            <v>160416.66666666669</v>
          </cell>
          <cell r="F104">
            <v>101.27200000000001</v>
          </cell>
          <cell r="G104">
            <v>179775.00000000044</v>
          </cell>
          <cell r="H104">
            <v>127344.765625</v>
          </cell>
        </row>
        <row r="105">
          <cell r="B105">
            <v>90.153000000000006</v>
          </cell>
          <cell r="C105">
            <v>78.612000000000009</v>
          </cell>
          <cell r="D105">
            <v>310951.1999999999</v>
          </cell>
          <cell r="E105">
            <v>161111.11111111109</v>
          </cell>
          <cell r="F105">
            <v>101.16500000000001</v>
          </cell>
          <cell r="G105">
            <v>171750.00000000047</v>
          </cell>
          <cell r="H105">
            <v>127896.04166666674</v>
          </cell>
        </row>
        <row r="106">
          <cell r="B106">
            <v>89.828000000000003</v>
          </cell>
          <cell r="C106">
            <v>78.287000000000006</v>
          </cell>
          <cell r="D106">
            <v>314574.94999999995</v>
          </cell>
          <cell r="E106">
            <v>161805.55555555556</v>
          </cell>
          <cell r="F106">
            <v>101.099</v>
          </cell>
          <cell r="G106">
            <v>166800.00000000029</v>
          </cell>
          <cell r="H106">
            <v>128447.31770833331</v>
          </cell>
        </row>
        <row r="107">
          <cell r="B107">
            <v>89.350999999999999</v>
          </cell>
          <cell r="C107">
            <v>77.81</v>
          </cell>
          <cell r="D107">
            <v>319893.5</v>
          </cell>
          <cell r="E107">
            <v>163888.88888888888</v>
          </cell>
          <cell r="F107">
            <v>100.988</v>
          </cell>
          <cell r="G107">
            <v>158474.99999999997</v>
          </cell>
          <cell r="H107">
            <v>130101.14583333331</v>
          </cell>
        </row>
        <row r="108">
          <cell r="B108">
            <v>90.63</v>
          </cell>
          <cell r="C108">
            <v>79.088999999999999</v>
          </cell>
          <cell r="D108">
            <v>305632.65000000002</v>
          </cell>
          <cell r="E108">
            <v>164583.33333333334</v>
          </cell>
          <cell r="F108">
            <v>100.839</v>
          </cell>
          <cell r="G108">
            <v>147299.99999999991</v>
          </cell>
          <cell r="H108">
            <v>130652.42187500006</v>
          </cell>
        </row>
        <row r="109">
          <cell r="B109">
            <v>91.156999999999996</v>
          </cell>
          <cell r="C109">
            <v>79.616</v>
          </cell>
          <cell r="D109">
            <v>299756.60000000003</v>
          </cell>
          <cell r="E109">
            <v>165277.77777777778</v>
          </cell>
          <cell r="F109">
            <v>100.765</v>
          </cell>
          <cell r="G109">
            <v>141750.00000000006</v>
          </cell>
          <cell r="H109">
            <v>131203.69791666669</v>
          </cell>
        </row>
        <row r="110">
          <cell r="B110">
            <v>92.947000000000003</v>
          </cell>
          <cell r="C110">
            <v>81.406000000000006</v>
          </cell>
          <cell r="D110">
            <v>279798.09999999998</v>
          </cell>
          <cell r="E110">
            <v>165972.22222222225</v>
          </cell>
          <cell r="F110">
            <v>100.752</v>
          </cell>
          <cell r="G110">
            <v>140774.99999999965</v>
          </cell>
          <cell r="H110">
            <v>131754.97395833331</v>
          </cell>
        </row>
        <row r="111">
          <cell r="B111">
            <v>91.119</v>
          </cell>
          <cell r="C111">
            <v>79.578000000000003</v>
          </cell>
          <cell r="D111">
            <v>300180.29999999993</v>
          </cell>
          <cell r="E111">
            <v>166666.66666666666</v>
          </cell>
          <cell r="F111">
            <v>100.91200000000001</v>
          </cell>
          <cell r="G111">
            <v>152775.00000000047</v>
          </cell>
          <cell r="H111">
            <v>132306.25000000006</v>
          </cell>
        </row>
        <row r="112">
          <cell r="B112">
            <v>90.007000000000005</v>
          </cell>
          <cell r="C112">
            <v>78.466000000000008</v>
          </cell>
          <cell r="D112">
            <v>312579.09999999992</v>
          </cell>
          <cell r="E112">
            <v>168750.00000000003</v>
          </cell>
          <cell r="F112">
            <v>100.947</v>
          </cell>
          <cell r="G112">
            <v>155400.0000000002</v>
          </cell>
          <cell r="H112">
            <v>133960.07812500006</v>
          </cell>
        </row>
        <row r="113">
          <cell r="B113">
            <v>91.569000000000003</v>
          </cell>
          <cell r="C113">
            <v>80.028000000000006</v>
          </cell>
          <cell r="D113">
            <v>295162.79999999993</v>
          </cell>
          <cell r="E113">
            <v>169444.44444444444</v>
          </cell>
          <cell r="F113">
            <v>100.889</v>
          </cell>
          <cell r="G113">
            <v>151049.99999999968</v>
          </cell>
          <cell r="H113">
            <v>134511.35416666674</v>
          </cell>
        </row>
        <row r="114">
          <cell r="B114">
            <v>87.808000000000007</v>
          </cell>
          <cell r="C114">
            <v>76.26700000000001</v>
          </cell>
          <cell r="D114">
            <v>337097.9499999999</v>
          </cell>
          <cell r="E114">
            <v>170138.88888888891</v>
          </cell>
          <cell r="F114">
            <v>101.41200000000001</v>
          </cell>
          <cell r="G114">
            <v>190275.00000000047</v>
          </cell>
          <cell r="H114">
            <v>135062.63020833337</v>
          </cell>
        </row>
        <row r="115">
          <cell r="B115">
            <v>86.117000000000004</v>
          </cell>
          <cell r="C115">
            <v>74.576000000000008</v>
          </cell>
          <cell r="D115">
            <v>355952.59999999992</v>
          </cell>
          <cell r="E115">
            <v>170833.33333333334</v>
          </cell>
          <cell r="F115">
            <v>101.40300000000001</v>
          </cell>
          <cell r="G115">
            <v>189600.00000000044</v>
          </cell>
          <cell r="H115">
            <v>135613.90624999991</v>
          </cell>
        </row>
        <row r="116">
          <cell r="B116">
            <v>86.162999999999997</v>
          </cell>
          <cell r="C116">
            <v>74.622</v>
          </cell>
          <cell r="D116">
            <v>355439.7</v>
          </cell>
          <cell r="E116">
            <v>171527.77777777778</v>
          </cell>
          <cell r="F116">
            <v>101.20399999999999</v>
          </cell>
          <cell r="G116">
            <v>174674.99999999951</v>
          </cell>
          <cell r="H116">
            <v>136165.18229166663</v>
          </cell>
        </row>
        <row r="117">
          <cell r="B117">
            <v>87.177000000000007</v>
          </cell>
          <cell r="C117">
            <v>75.63600000000001</v>
          </cell>
          <cell r="D117">
            <v>344133.59999999986</v>
          </cell>
          <cell r="E117">
            <v>173611.11111111109</v>
          </cell>
          <cell r="F117">
            <v>101.069</v>
          </cell>
          <cell r="G117">
            <v>164550.0000000002</v>
          </cell>
          <cell r="H117">
            <v>137819.01041666669</v>
          </cell>
        </row>
        <row r="118">
          <cell r="B118">
            <v>87.98</v>
          </cell>
          <cell r="C118">
            <v>76.439000000000007</v>
          </cell>
          <cell r="D118">
            <v>335180.14999999997</v>
          </cell>
          <cell r="E118">
            <v>174305.55555555556</v>
          </cell>
          <cell r="F118">
            <v>100.705</v>
          </cell>
          <cell r="G118">
            <v>137249.99999999988</v>
          </cell>
          <cell r="H118">
            <v>138370.28645833331</v>
          </cell>
        </row>
        <row r="119">
          <cell r="B119">
            <v>87.575999999999993</v>
          </cell>
          <cell r="C119">
            <v>76.034999999999997</v>
          </cell>
          <cell r="D119">
            <v>339684.75000000006</v>
          </cell>
          <cell r="E119">
            <v>175000</v>
          </cell>
          <cell r="F119">
            <v>100.639</v>
          </cell>
          <cell r="G119">
            <v>132299.99999999968</v>
          </cell>
          <cell r="H119">
            <v>138921.56250000003</v>
          </cell>
        </row>
        <row r="120">
          <cell r="B120">
            <v>86.063000000000002</v>
          </cell>
          <cell r="C120">
            <v>74.522000000000006</v>
          </cell>
          <cell r="D120">
            <v>356554.69999999995</v>
          </cell>
          <cell r="E120">
            <v>175694.44444444447</v>
          </cell>
          <cell r="F120">
            <v>100.81</v>
          </cell>
          <cell r="G120">
            <v>145125.00000000017</v>
          </cell>
          <cell r="H120">
            <v>139472.83854166669</v>
          </cell>
        </row>
        <row r="121">
          <cell r="B121">
            <v>87.945999999999998</v>
          </cell>
          <cell r="C121">
            <v>76.405000000000001</v>
          </cell>
          <cell r="D121">
            <v>335559.25</v>
          </cell>
          <cell r="E121">
            <v>176388.88888888888</v>
          </cell>
          <cell r="F121">
            <v>100.098</v>
          </cell>
          <cell r="G121">
            <v>91724.999999999913</v>
          </cell>
          <cell r="H121">
            <v>140024.11458333331</v>
          </cell>
        </row>
        <row r="122">
          <cell r="B122">
            <v>87.602000000000004</v>
          </cell>
          <cell r="C122">
            <v>76.061000000000007</v>
          </cell>
          <cell r="D122">
            <v>339394.85</v>
          </cell>
          <cell r="E122">
            <v>178472.22222222222</v>
          </cell>
          <cell r="F122">
            <v>99.85</v>
          </cell>
          <cell r="G122">
            <v>73124.999999999563</v>
          </cell>
          <cell r="H122">
            <v>141677.94270833331</v>
          </cell>
        </row>
        <row r="123">
          <cell r="B123">
            <v>87.668999999999997</v>
          </cell>
          <cell r="C123">
            <v>76.128</v>
          </cell>
          <cell r="D123">
            <v>338647.80000000005</v>
          </cell>
          <cell r="E123">
            <v>179166.66666666666</v>
          </cell>
          <cell r="F123">
            <v>99.528999999999996</v>
          </cell>
          <cell r="G123">
            <v>49049.999999999724</v>
          </cell>
          <cell r="H123">
            <v>142229.21875000003</v>
          </cell>
        </row>
        <row r="124">
          <cell r="B124">
            <v>86.725999999999999</v>
          </cell>
          <cell r="C124">
            <v>75.185000000000002</v>
          </cell>
          <cell r="D124">
            <v>349162.24999999994</v>
          </cell>
          <cell r="E124">
            <v>179861.11111111109</v>
          </cell>
          <cell r="F124">
            <v>99.646000000000001</v>
          </cell>
          <cell r="G124">
            <v>57825.000000000058</v>
          </cell>
          <cell r="H124">
            <v>142780.49479166669</v>
          </cell>
        </row>
        <row r="125">
          <cell r="B125">
            <v>85.403000000000006</v>
          </cell>
          <cell r="C125">
            <v>73.862000000000009</v>
          </cell>
          <cell r="D125">
            <v>363913.69999999995</v>
          </cell>
          <cell r="E125">
            <v>180555.55555555556</v>
          </cell>
          <cell r="F125">
            <v>99.694000000000003</v>
          </cell>
          <cell r="G125">
            <v>61425.000000000189</v>
          </cell>
          <cell r="H125">
            <v>143331.77083333331</v>
          </cell>
        </row>
        <row r="126">
          <cell r="B126">
            <v>84.037000000000006</v>
          </cell>
          <cell r="C126">
            <v>72.496000000000009</v>
          </cell>
          <cell r="D126">
            <v>379144.59999999992</v>
          </cell>
          <cell r="E126">
            <v>181250</v>
          </cell>
          <cell r="F126">
            <v>99.968000000000004</v>
          </cell>
          <cell r="G126">
            <v>81975.000000000262</v>
          </cell>
          <cell r="H126">
            <v>143883.04687500006</v>
          </cell>
        </row>
        <row r="127">
          <cell r="B127">
            <v>82.215999999999994</v>
          </cell>
          <cell r="C127">
            <v>70.674999999999997</v>
          </cell>
          <cell r="D127">
            <v>399448.75000000006</v>
          </cell>
          <cell r="E127">
            <v>184027.77777777778</v>
          </cell>
          <cell r="F127">
            <v>100.405</v>
          </cell>
          <cell r="G127">
            <v>114750.00000000009</v>
          </cell>
          <cell r="H127">
            <v>146088.15104166669</v>
          </cell>
        </row>
        <row r="128">
          <cell r="B128">
            <v>81.616</v>
          </cell>
          <cell r="C128">
            <v>70.075000000000003</v>
          </cell>
          <cell r="D128">
            <v>406138.75</v>
          </cell>
          <cell r="E128">
            <v>184722.22222222222</v>
          </cell>
          <cell r="F128">
            <v>100.456</v>
          </cell>
          <cell r="G128">
            <v>118575.00000000025</v>
          </cell>
          <cell r="H128">
            <v>146639.42708333337</v>
          </cell>
        </row>
        <row r="129">
          <cell r="B129">
            <v>82.15</v>
          </cell>
          <cell r="C129">
            <v>70.609000000000009</v>
          </cell>
          <cell r="D129">
            <v>400184.64999999985</v>
          </cell>
          <cell r="E129">
            <v>185416.66666666669</v>
          </cell>
          <cell r="F129">
            <v>100.33199999999999</v>
          </cell>
          <cell r="G129">
            <v>109274.99999999953</v>
          </cell>
          <cell r="H129">
            <v>147190.70312499991</v>
          </cell>
        </row>
        <row r="130">
          <cell r="B130">
            <v>80.605000000000004</v>
          </cell>
          <cell r="C130">
            <v>69.064000000000007</v>
          </cell>
          <cell r="D130">
            <v>417411.39999999985</v>
          </cell>
          <cell r="E130">
            <v>186111.11111111112</v>
          </cell>
          <cell r="F130">
            <v>100.44499999999999</v>
          </cell>
          <cell r="G130">
            <v>117749.99999999949</v>
          </cell>
          <cell r="H130">
            <v>147741.97916666663</v>
          </cell>
        </row>
        <row r="131">
          <cell r="B131">
            <v>80.811000000000007</v>
          </cell>
          <cell r="C131">
            <v>69.27000000000001</v>
          </cell>
          <cell r="D131">
            <v>415114.49999999994</v>
          </cell>
          <cell r="E131">
            <v>188194.44444444444</v>
          </cell>
          <cell r="F131">
            <v>100.122</v>
          </cell>
          <cell r="G131">
            <v>93524.999999999985</v>
          </cell>
          <cell r="H131">
            <v>149395.80729166663</v>
          </cell>
        </row>
        <row r="132">
          <cell r="B132">
            <v>80.445999999999998</v>
          </cell>
          <cell r="C132">
            <v>68.905000000000001</v>
          </cell>
          <cell r="D132">
            <v>419184.25</v>
          </cell>
          <cell r="E132">
            <v>188888.88888888891</v>
          </cell>
          <cell r="F132">
            <v>100.27800000000001</v>
          </cell>
          <cell r="G132">
            <v>105225.00000000044</v>
          </cell>
          <cell r="H132">
            <v>149947.08333333331</v>
          </cell>
        </row>
        <row r="133">
          <cell r="B133">
            <v>80.825000000000003</v>
          </cell>
          <cell r="C133">
            <v>69.284000000000006</v>
          </cell>
          <cell r="D133">
            <v>414958.39999999997</v>
          </cell>
          <cell r="E133">
            <v>189583.33333333334</v>
          </cell>
          <cell r="F133">
            <v>100.143</v>
          </cell>
          <cell r="G133">
            <v>95100.000000000058</v>
          </cell>
          <cell r="H133">
            <v>150498.35937500006</v>
          </cell>
        </row>
        <row r="134">
          <cell r="B134">
            <v>81.290000000000006</v>
          </cell>
          <cell r="C134">
            <v>69.749000000000009</v>
          </cell>
          <cell r="D134">
            <v>409773.64999999991</v>
          </cell>
          <cell r="E134">
            <v>190277.77777777781</v>
          </cell>
          <cell r="F134">
            <v>100.092</v>
          </cell>
          <cell r="G134">
            <v>91274.999999999913</v>
          </cell>
          <cell r="H134">
            <v>151049.63541666674</v>
          </cell>
        </row>
        <row r="135">
          <cell r="B135">
            <v>80.876000000000005</v>
          </cell>
          <cell r="C135">
            <v>69.335000000000008</v>
          </cell>
          <cell r="D135">
            <v>414389.74999999994</v>
          </cell>
          <cell r="E135">
            <v>190972.22222222222</v>
          </cell>
          <cell r="F135">
            <v>99.968000000000004</v>
          </cell>
          <cell r="G135">
            <v>81975.000000000262</v>
          </cell>
          <cell r="H135">
            <v>151600.91145833331</v>
          </cell>
        </row>
        <row r="136">
          <cell r="B136">
            <v>82.263000000000005</v>
          </cell>
          <cell r="C136">
            <v>70.722000000000008</v>
          </cell>
          <cell r="D136">
            <v>398924.69999999995</v>
          </cell>
          <cell r="E136">
            <v>193055.55555555559</v>
          </cell>
          <cell r="F136">
            <v>99.656999999999996</v>
          </cell>
          <cell r="G136">
            <v>58649.999999999731</v>
          </cell>
          <cell r="H136">
            <v>153254.73958333331</v>
          </cell>
        </row>
        <row r="137">
          <cell r="B137">
            <v>80.555999999999997</v>
          </cell>
          <cell r="C137">
            <v>69.015000000000001</v>
          </cell>
          <cell r="D137">
            <v>417957.75</v>
          </cell>
          <cell r="E137">
            <v>193750</v>
          </cell>
          <cell r="F137">
            <v>99.733999999999995</v>
          </cell>
          <cell r="G137">
            <v>64424.9999999996</v>
          </cell>
          <cell r="H137">
            <v>153806.01562500009</v>
          </cell>
        </row>
        <row r="138">
          <cell r="B138">
            <v>81.403999999999996</v>
          </cell>
          <cell r="C138">
            <v>69.863</v>
          </cell>
          <cell r="D138">
            <v>408502.55000000005</v>
          </cell>
          <cell r="E138">
            <v>194444.44444444447</v>
          </cell>
          <cell r="F138">
            <v>99.510999999999996</v>
          </cell>
          <cell r="G138">
            <v>47699.99999999968</v>
          </cell>
          <cell r="H138">
            <v>154357.29166666669</v>
          </cell>
        </row>
        <row r="139">
          <cell r="B139">
            <v>81.363</v>
          </cell>
          <cell r="C139">
            <v>69.822000000000003</v>
          </cell>
          <cell r="D139">
            <v>408959.69999999995</v>
          </cell>
          <cell r="E139">
            <v>195138.88888888891</v>
          </cell>
          <cell r="F139">
            <v>99.412999999999997</v>
          </cell>
          <cell r="G139">
            <v>40349.999999999753</v>
          </cell>
          <cell r="H139">
            <v>154908.56770833331</v>
          </cell>
        </row>
        <row r="140">
          <cell r="B140">
            <v>79.02</v>
          </cell>
          <cell r="C140">
            <v>67.478999999999999</v>
          </cell>
          <cell r="D140">
            <v>435084.15</v>
          </cell>
          <cell r="E140">
            <v>195833.33333333331</v>
          </cell>
          <cell r="F140">
            <v>99.76</v>
          </cell>
          <cell r="G140">
            <v>66375.000000000378</v>
          </cell>
          <cell r="H140">
            <v>155459.84375000006</v>
          </cell>
        </row>
        <row r="141">
          <cell r="B141">
            <v>76.665000000000006</v>
          </cell>
          <cell r="C141">
            <v>65.124000000000009</v>
          </cell>
          <cell r="D141">
            <v>461342.39999999991</v>
          </cell>
          <cell r="E141">
            <v>197916.66666666669</v>
          </cell>
          <cell r="F141">
            <v>100.119</v>
          </cell>
          <cell r="G141">
            <v>93299.999999999985</v>
          </cell>
          <cell r="H141">
            <v>157113.67187500006</v>
          </cell>
        </row>
        <row r="142">
          <cell r="B142">
            <v>76.837000000000003</v>
          </cell>
          <cell r="C142">
            <v>65.296000000000006</v>
          </cell>
          <cell r="D142">
            <v>459424.6</v>
          </cell>
          <cell r="E142">
            <v>198611.11111111112</v>
          </cell>
          <cell r="F142">
            <v>100.053</v>
          </cell>
          <cell r="G142">
            <v>88349.999999999796</v>
          </cell>
          <cell r="H142">
            <v>157664.94791666669</v>
          </cell>
        </row>
        <row r="143">
          <cell r="B143">
            <v>76.94</v>
          </cell>
          <cell r="C143">
            <v>65.399000000000001</v>
          </cell>
          <cell r="D143">
            <v>458276.15</v>
          </cell>
          <cell r="E143">
            <v>199305.55555555556</v>
          </cell>
          <cell r="F143">
            <v>99.918999999999997</v>
          </cell>
          <cell r="G143">
            <v>78299.999999999782</v>
          </cell>
          <cell r="H143">
            <v>158216.22395833337</v>
          </cell>
        </row>
        <row r="144">
          <cell r="B144">
            <v>77.278999999999996</v>
          </cell>
          <cell r="C144">
            <v>65.738</v>
          </cell>
          <cell r="D144">
            <v>454496.3</v>
          </cell>
          <cell r="E144">
            <v>200000</v>
          </cell>
          <cell r="F144">
            <v>99.75</v>
          </cell>
          <cell r="G144">
            <v>65625</v>
          </cell>
          <cell r="H144">
            <v>158767.49999999991</v>
          </cell>
        </row>
        <row r="145">
          <cell r="B145">
            <v>77.209999999999994</v>
          </cell>
          <cell r="C145">
            <v>65.668999999999997</v>
          </cell>
          <cell r="D145">
            <v>455265.65</v>
          </cell>
          <cell r="E145">
            <v>200694.44444444444</v>
          </cell>
          <cell r="F145">
            <v>99.72</v>
          </cell>
          <cell r="G145">
            <v>63374.999999999913</v>
          </cell>
          <cell r="H145">
            <v>159318.77604166669</v>
          </cell>
        </row>
        <row r="146">
          <cell r="B146">
            <v>77.066999999999993</v>
          </cell>
          <cell r="C146">
            <v>65.525999999999996</v>
          </cell>
          <cell r="D146">
            <v>456860.10000000003</v>
          </cell>
          <cell r="E146">
            <v>202777.77777777775</v>
          </cell>
          <cell r="F146">
            <v>99.722999999999999</v>
          </cell>
          <cell r="G146">
            <v>63599.99999999992</v>
          </cell>
          <cell r="H146">
            <v>160972.60416666663</v>
          </cell>
        </row>
        <row r="147">
          <cell r="B147">
            <v>77.346999999999994</v>
          </cell>
          <cell r="C147">
            <v>65.805999999999997</v>
          </cell>
          <cell r="D147">
            <v>453738.10000000009</v>
          </cell>
          <cell r="E147">
            <v>203472.22222222225</v>
          </cell>
          <cell r="F147">
            <v>99.656000000000006</v>
          </cell>
          <cell r="G147">
            <v>58575.000000000444</v>
          </cell>
          <cell r="H147">
            <v>161523.88020833331</v>
          </cell>
        </row>
        <row r="148">
          <cell r="B148">
            <v>77.504000000000005</v>
          </cell>
          <cell r="C148">
            <v>65.963000000000008</v>
          </cell>
          <cell r="D148">
            <v>451987.54999999993</v>
          </cell>
          <cell r="E148">
            <v>204166.66666666666</v>
          </cell>
          <cell r="F148">
            <v>99.7</v>
          </cell>
          <cell r="G148">
            <v>61875.000000000211</v>
          </cell>
          <cell r="H148">
            <v>162075.15624999997</v>
          </cell>
        </row>
        <row r="149">
          <cell r="B149">
            <v>76.893000000000001</v>
          </cell>
          <cell r="C149">
            <v>65.352000000000004</v>
          </cell>
          <cell r="D149">
            <v>458800.2</v>
          </cell>
          <cell r="E149">
            <v>204861.11111111112</v>
          </cell>
          <cell r="F149">
            <v>100.012</v>
          </cell>
          <cell r="G149">
            <v>85275.000000000044</v>
          </cell>
          <cell r="H149">
            <v>162626.43229166674</v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</row>
        <row r="231">
          <cell r="B231"/>
          <cell r="C231"/>
          <cell r="D231"/>
          <cell r="E231"/>
          <cell r="F231"/>
          <cell r="G231"/>
          <cell r="H231"/>
        </row>
        <row r="232">
          <cell r="B232"/>
          <cell r="C232"/>
          <cell r="D232"/>
          <cell r="E232"/>
          <cell r="F232"/>
          <cell r="G232"/>
          <cell r="H232"/>
        </row>
        <row r="233">
          <cell r="B233"/>
          <cell r="C233"/>
          <cell r="D233"/>
          <cell r="E233"/>
          <cell r="F233"/>
          <cell r="G233"/>
          <cell r="H233"/>
        </row>
        <row r="234">
          <cell r="B234"/>
          <cell r="C234"/>
          <cell r="D234"/>
          <cell r="E234"/>
          <cell r="F234"/>
          <cell r="G234"/>
          <cell r="H234"/>
        </row>
        <row r="235">
          <cell r="B235"/>
          <cell r="C235"/>
          <cell r="D235"/>
          <cell r="E235"/>
          <cell r="F235"/>
          <cell r="G235"/>
          <cell r="H235"/>
        </row>
        <row r="236">
          <cell r="B236"/>
          <cell r="C236"/>
          <cell r="D236"/>
          <cell r="E236"/>
          <cell r="F236"/>
          <cell r="G236"/>
          <cell r="H236"/>
        </row>
        <row r="237">
          <cell r="B237"/>
          <cell r="C237"/>
          <cell r="D237"/>
          <cell r="E237"/>
          <cell r="F237"/>
          <cell r="G237"/>
          <cell r="H237"/>
        </row>
        <row r="238">
          <cell r="B238"/>
          <cell r="C238"/>
          <cell r="D238"/>
          <cell r="E238"/>
          <cell r="F238"/>
          <cell r="G238"/>
          <cell r="H238"/>
        </row>
        <row r="239">
          <cell r="B239"/>
          <cell r="C239"/>
          <cell r="D239"/>
          <cell r="E239"/>
          <cell r="F239"/>
          <cell r="G239"/>
          <cell r="H239"/>
        </row>
        <row r="240">
          <cell r="B240"/>
          <cell r="C240"/>
          <cell r="D240"/>
          <cell r="E240"/>
          <cell r="F240"/>
          <cell r="G240"/>
          <cell r="H240"/>
        </row>
        <row r="241">
          <cell r="B241"/>
          <cell r="C241"/>
          <cell r="D241"/>
          <cell r="E241"/>
          <cell r="F241"/>
          <cell r="G241"/>
          <cell r="H241"/>
        </row>
        <row r="242">
          <cell r="B242"/>
          <cell r="C242"/>
          <cell r="D242"/>
          <cell r="E242"/>
          <cell r="F242"/>
          <cell r="G242"/>
          <cell r="H242"/>
        </row>
        <row r="243">
          <cell r="B243"/>
          <cell r="C243"/>
          <cell r="D243"/>
          <cell r="E243"/>
          <cell r="F243"/>
          <cell r="G243"/>
          <cell r="H243"/>
        </row>
        <row r="244">
          <cell r="B244"/>
          <cell r="C244"/>
          <cell r="D244"/>
          <cell r="E244"/>
          <cell r="F244"/>
          <cell r="G244"/>
          <cell r="H244"/>
        </row>
        <row r="245">
          <cell r="B245"/>
          <cell r="C245"/>
          <cell r="D245"/>
          <cell r="E245"/>
          <cell r="F245"/>
          <cell r="G245"/>
          <cell r="H245"/>
        </row>
        <row r="246">
          <cell r="B246"/>
          <cell r="C246"/>
          <cell r="D246"/>
          <cell r="E246"/>
          <cell r="F246"/>
          <cell r="G246"/>
          <cell r="H246"/>
        </row>
        <row r="247">
          <cell r="B247"/>
          <cell r="C247"/>
          <cell r="D247"/>
          <cell r="E247"/>
          <cell r="F247"/>
          <cell r="G247"/>
          <cell r="H247"/>
        </row>
        <row r="248">
          <cell r="B248"/>
          <cell r="C248"/>
          <cell r="D248"/>
          <cell r="E248"/>
          <cell r="F248"/>
          <cell r="G248"/>
          <cell r="H248"/>
        </row>
        <row r="249">
          <cell r="B249"/>
          <cell r="C249"/>
          <cell r="D249"/>
          <cell r="E249"/>
          <cell r="F249"/>
          <cell r="G249"/>
          <cell r="H249"/>
        </row>
        <row r="250">
          <cell r="B250"/>
          <cell r="C250"/>
          <cell r="D250"/>
          <cell r="E250"/>
          <cell r="F250"/>
          <cell r="G250"/>
          <cell r="H25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ZK885444@BGN%20Cor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ZK885444@BGN%20Cor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ZK885444@BGN%20Cor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ZK885444@BGN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D5E3-B053-4F3D-AA9A-B087FCEFDD74}">
  <dimension ref="A1:J200"/>
  <sheetViews>
    <sheetView workbookViewId="0">
      <selection activeCell="I22" sqref="I22"/>
    </sheetView>
  </sheetViews>
  <sheetFormatPr defaultRowHeight="15" x14ac:dyDescent="0.25"/>
  <cols>
    <col min="1" max="1" width="16.140625" customWidth="1"/>
    <col min="2" max="2" width="14.28515625" customWidth="1"/>
    <col min="3" max="4" width="15.28515625" customWidth="1"/>
    <col min="5" max="5" width="17.140625" customWidth="1"/>
    <col min="6" max="8" width="16.7109375" customWidth="1"/>
  </cols>
  <sheetData>
    <row r="1" spans="1:10" ht="15.75" x14ac:dyDescent="0.25">
      <c r="A1" s="47" t="s">
        <v>40</v>
      </c>
    </row>
    <row r="3" spans="1:10" x14ac:dyDescent="0.25">
      <c r="A3" s="48" t="s">
        <v>41</v>
      </c>
      <c r="D3" s="48" t="s">
        <v>42</v>
      </c>
      <c r="G3" s="48" t="s">
        <v>7</v>
      </c>
    </row>
    <row r="4" spans="1:10" x14ac:dyDescent="0.25">
      <c r="A4" s="49" t="s">
        <v>43</v>
      </c>
      <c r="D4" s="49" t="s">
        <v>44</v>
      </c>
      <c r="G4" s="49" t="s">
        <v>13</v>
      </c>
    </row>
    <row r="5" spans="1:10" x14ac:dyDescent="0.25">
      <c r="A5" s="50" t="s">
        <v>45</v>
      </c>
      <c r="B5" s="50" t="s">
        <v>46</v>
      </c>
      <c r="D5" s="50" t="s">
        <v>45</v>
      </c>
      <c r="E5" s="50" t="s">
        <v>46</v>
      </c>
      <c r="G5" s="50" t="s">
        <v>45</v>
      </c>
      <c r="H5" s="50" t="s">
        <v>46</v>
      </c>
    </row>
    <row r="6" spans="1:10" x14ac:dyDescent="0.25">
      <c r="A6" s="51" cm="1">
        <f t="array" ref="A6:B35">_xlfn.CHOOSECOLS(_xll.BDS($A$4,"DVD_HIST_ALL","DVD_START_DT=20240101","DVD_END_DT=20351231","HEADERS=N"),2,5)</f>
        <v>46174</v>
      </c>
      <c r="B6" s="52">
        <v>0.40704099999999999</v>
      </c>
      <c r="C6" s="51"/>
      <c r="D6" s="51" cm="1">
        <f t="array" ref="D6:E34">_xlfn.CHOOSECOLS(_xll.BDS($D$4,"DVD_HIST_ALL","DVD_START_DT=20240101","DVD_END_DT=20351231","HEADERS=N"),2,5)</f>
        <v>46174</v>
      </c>
      <c r="E6" s="52">
        <v>0.3412</v>
      </c>
      <c r="F6" s="51"/>
      <c r="G6" s="51" cm="1">
        <f t="array" ref="G6:H11">_xlfn.CHOOSECOLS(_xll.BDS($G$4,"DVD_HIST_ALL","DVD_START_DT=20240101","DVD_END_DT=20351231","HEADERS=N"),2,5)</f>
        <v>46191</v>
      </c>
      <c r="H6" s="52">
        <v>1.1646000000000001</v>
      </c>
      <c r="I6" s="51"/>
      <c r="J6" s="51"/>
    </row>
    <row r="7" spans="1:10" x14ac:dyDescent="0.25">
      <c r="A7" s="51">
        <v>46143</v>
      </c>
      <c r="B7" s="52">
        <v>0.410076</v>
      </c>
      <c r="C7" s="51"/>
      <c r="D7" s="51">
        <v>46143</v>
      </c>
      <c r="E7" s="52">
        <v>0.32619999999999999</v>
      </c>
      <c r="F7" s="51"/>
      <c r="G7" s="51">
        <v>46100</v>
      </c>
      <c r="H7" s="52">
        <v>2.3302999999999998</v>
      </c>
      <c r="I7" s="51"/>
      <c r="J7" s="51"/>
    </row>
    <row r="8" spans="1:10" x14ac:dyDescent="0.25">
      <c r="A8" s="51">
        <v>46113</v>
      </c>
      <c r="B8" s="52">
        <v>0.455397</v>
      </c>
      <c r="C8" s="51"/>
      <c r="D8" s="51">
        <v>46113</v>
      </c>
      <c r="E8" s="52">
        <v>0.34379999999999999</v>
      </c>
      <c r="F8" s="51"/>
      <c r="G8" s="51">
        <v>45911</v>
      </c>
      <c r="H8" s="52">
        <v>2.4173</v>
      </c>
      <c r="I8" s="51"/>
      <c r="J8" s="51"/>
    </row>
    <row r="9" spans="1:10" x14ac:dyDescent="0.25">
      <c r="A9" s="51">
        <v>46083</v>
      </c>
      <c r="B9" s="52">
        <v>0.40296300000000002</v>
      </c>
      <c r="C9" s="51"/>
      <c r="D9" s="51">
        <v>46083</v>
      </c>
      <c r="E9" s="52">
        <v>0.30259999999999998</v>
      </c>
      <c r="F9" s="51"/>
      <c r="G9" s="51">
        <v>45729</v>
      </c>
      <c r="H9" s="52">
        <v>2.6722000000000001</v>
      </c>
      <c r="I9" s="51"/>
      <c r="J9" s="51"/>
    </row>
    <row r="10" spans="1:10" x14ac:dyDescent="0.25">
      <c r="A10" s="51">
        <v>46055</v>
      </c>
      <c r="B10" s="52">
        <v>0.41458</v>
      </c>
      <c r="C10" s="51"/>
      <c r="D10" s="51">
        <v>46055</v>
      </c>
      <c r="E10" s="52">
        <v>0.33</v>
      </c>
      <c r="F10" s="51"/>
      <c r="G10" s="51">
        <v>45547</v>
      </c>
      <c r="H10" s="52">
        <v>2.8229000000000002</v>
      </c>
      <c r="I10" s="51"/>
      <c r="J10" s="51"/>
    </row>
    <row r="11" spans="1:10" x14ac:dyDescent="0.25">
      <c r="A11" s="51">
        <v>46010</v>
      </c>
      <c r="B11" s="52">
        <v>0.38289299999999998</v>
      </c>
      <c r="C11" s="51"/>
      <c r="D11" s="51">
        <v>46009</v>
      </c>
      <c r="E11" s="52">
        <v>0.33579999999999999</v>
      </c>
      <c r="F11" s="51"/>
      <c r="G11" s="51">
        <v>45365</v>
      </c>
      <c r="H11" s="52">
        <v>2.9</v>
      </c>
      <c r="I11" s="51"/>
      <c r="J11" s="51"/>
    </row>
    <row r="12" spans="1:10" x14ac:dyDescent="0.25">
      <c r="A12" s="51">
        <v>45992</v>
      </c>
      <c r="B12" s="52">
        <v>0.37220199999999998</v>
      </c>
      <c r="C12" s="51"/>
      <c r="D12" s="51">
        <v>45992</v>
      </c>
      <c r="E12" s="52">
        <v>0.32229999999999998</v>
      </c>
      <c r="F12" s="51"/>
      <c r="G12" s="51"/>
      <c r="H12" s="52"/>
      <c r="I12" s="51"/>
      <c r="J12" s="51"/>
    </row>
    <row r="13" spans="1:10" x14ac:dyDescent="0.25">
      <c r="A13" s="51">
        <v>45964</v>
      </c>
      <c r="B13" s="52">
        <v>0.41755799999999998</v>
      </c>
      <c r="C13" s="51"/>
      <c r="D13" s="51">
        <v>45964</v>
      </c>
      <c r="E13" s="52">
        <v>0.33400000000000002</v>
      </c>
      <c r="F13" s="51"/>
      <c r="G13" s="51"/>
      <c r="H13" s="52"/>
      <c r="I13" s="51"/>
      <c r="J13" s="51"/>
    </row>
    <row r="14" spans="1:10" x14ac:dyDescent="0.25">
      <c r="A14" s="51">
        <v>45931</v>
      </c>
      <c r="B14" s="52">
        <v>0.39252900000000002</v>
      </c>
      <c r="C14" s="51"/>
      <c r="D14" s="51">
        <v>45931</v>
      </c>
      <c r="E14" s="52">
        <v>0.32600000000000001</v>
      </c>
      <c r="F14" s="51"/>
      <c r="G14" s="51"/>
      <c r="H14" s="52"/>
      <c r="I14" s="51"/>
      <c r="J14" s="51"/>
    </row>
    <row r="15" spans="1:10" x14ac:dyDescent="0.25">
      <c r="A15" s="51">
        <v>45902</v>
      </c>
      <c r="B15" s="52">
        <v>0.40192099999999997</v>
      </c>
      <c r="C15" s="51"/>
      <c r="D15" s="51">
        <v>45902</v>
      </c>
      <c r="E15" s="52">
        <v>0.32790000000000002</v>
      </c>
      <c r="F15" s="51"/>
      <c r="G15" s="51"/>
      <c r="H15" s="52"/>
      <c r="I15" s="51"/>
      <c r="J15" s="51"/>
    </row>
    <row r="16" spans="1:10" x14ac:dyDescent="0.25">
      <c r="A16" s="51">
        <v>45870</v>
      </c>
      <c r="B16" s="52">
        <v>0.41103499999999998</v>
      </c>
      <c r="C16" s="51"/>
      <c r="D16" s="51">
        <v>45870</v>
      </c>
      <c r="E16" s="52">
        <v>0.34079999999999999</v>
      </c>
      <c r="F16" s="51"/>
      <c r="G16" s="51"/>
      <c r="H16" s="52"/>
      <c r="I16" s="51"/>
      <c r="J16" s="51"/>
    </row>
    <row r="17" spans="1:10" x14ac:dyDescent="0.25">
      <c r="A17" s="51">
        <v>45839</v>
      </c>
      <c r="B17" s="52">
        <v>0.379909</v>
      </c>
      <c r="C17" s="51"/>
      <c r="D17" s="51">
        <v>45839</v>
      </c>
      <c r="E17" s="52">
        <v>0.32069999999999999</v>
      </c>
      <c r="F17" s="51"/>
      <c r="G17" s="51"/>
      <c r="H17" s="52"/>
      <c r="I17" s="51"/>
      <c r="J17" s="51"/>
    </row>
    <row r="18" spans="1:10" x14ac:dyDescent="0.25">
      <c r="A18" s="51">
        <v>45810</v>
      </c>
      <c r="B18" s="52">
        <v>0.40538299999999999</v>
      </c>
      <c r="C18" s="51"/>
      <c r="D18" s="51">
        <v>45810</v>
      </c>
      <c r="E18" s="52">
        <v>0.32800000000000001</v>
      </c>
      <c r="F18" s="51"/>
      <c r="G18" s="51"/>
      <c r="H18" s="52"/>
      <c r="I18" s="51"/>
      <c r="J18" s="51"/>
    </row>
    <row r="19" spans="1:10" x14ac:dyDescent="0.25">
      <c r="A19" s="51">
        <v>45778</v>
      </c>
      <c r="B19" s="52">
        <v>0.40228799999999998</v>
      </c>
      <c r="C19" s="51"/>
      <c r="D19" s="51">
        <v>45778</v>
      </c>
      <c r="E19" s="52">
        <v>0.31509999999999999</v>
      </c>
      <c r="F19" s="51"/>
      <c r="G19" s="51"/>
      <c r="H19" s="52"/>
      <c r="I19" s="51"/>
      <c r="J19" s="51"/>
    </row>
    <row r="20" spans="1:10" x14ac:dyDescent="0.25">
      <c r="A20" s="51">
        <v>45748</v>
      </c>
      <c r="B20" s="52">
        <v>0.39990399999999998</v>
      </c>
      <c r="C20" s="51"/>
      <c r="D20" s="51">
        <v>45748</v>
      </c>
      <c r="E20" s="52">
        <v>0.31890000000000002</v>
      </c>
      <c r="F20" s="51"/>
      <c r="G20" s="51"/>
      <c r="H20" s="52"/>
      <c r="I20" s="51"/>
      <c r="J20" s="51"/>
    </row>
    <row r="21" spans="1:10" x14ac:dyDescent="0.25">
      <c r="A21" s="51">
        <v>45719</v>
      </c>
      <c r="B21" s="52">
        <v>0.38556400000000002</v>
      </c>
      <c r="C21" s="51"/>
      <c r="D21" s="51">
        <v>45719</v>
      </c>
      <c r="E21" s="52">
        <v>0.28649999999999998</v>
      </c>
      <c r="F21" s="51"/>
      <c r="G21" s="51"/>
      <c r="H21" s="52"/>
      <c r="I21" s="51"/>
      <c r="J21" s="51"/>
    </row>
    <row r="22" spans="1:10" x14ac:dyDescent="0.25">
      <c r="A22" s="51">
        <v>45691</v>
      </c>
      <c r="B22" s="52">
        <v>0.44092900000000002</v>
      </c>
      <c r="C22" s="51"/>
      <c r="D22" s="51">
        <v>45691</v>
      </c>
      <c r="E22" s="52">
        <v>0.31290000000000001</v>
      </c>
      <c r="F22" s="51"/>
      <c r="G22" s="51"/>
      <c r="H22" s="52"/>
      <c r="I22" s="51"/>
      <c r="J22" s="51"/>
    </row>
    <row r="23" spans="1:10" x14ac:dyDescent="0.25">
      <c r="A23" s="51">
        <v>45656</v>
      </c>
      <c r="B23" s="52">
        <v>0.25451499999999999</v>
      </c>
      <c r="C23" s="51"/>
      <c r="D23" s="51">
        <v>45650</v>
      </c>
      <c r="E23" s="52">
        <v>0.31190000000000001</v>
      </c>
      <c r="F23" s="51"/>
      <c r="G23" s="51"/>
      <c r="H23" s="52"/>
      <c r="I23" s="51"/>
      <c r="J23" s="51"/>
    </row>
    <row r="24" spans="1:10" x14ac:dyDescent="0.25">
      <c r="A24" s="51">
        <v>45644</v>
      </c>
      <c r="B24" s="52">
        <v>0.42885600000000001</v>
      </c>
      <c r="C24" s="51"/>
      <c r="D24" s="51">
        <v>45628</v>
      </c>
      <c r="E24" s="52">
        <v>0.29920000000000002</v>
      </c>
      <c r="F24" s="51"/>
      <c r="G24" s="51"/>
      <c r="H24" s="52"/>
      <c r="I24" s="51"/>
      <c r="J24" s="51"/>
    </row>
    <row r="25" spans="1:10" x14ac:dyDescent="0.25">
      <c r="A25" s="51">
        <v>45628</v>
      </c>
      <c r="B25" s="52">
        <v>0.38796399999999998</v>
      </c>
      <c r="C25" s="51"/>
      <c r="D25" s="51">
        <v>45597</v>
      </c>
      <c r="E25" s="52">
        <v>0.31659999999999999</v>
      </c>
      <c r="F25" s="51"/>
      <c r="G25" s="51"/>
      <c r="H25" s="52"/>
      <c r="I25" s="51"/>
      <c r="J25" s="51"/>
    </row>
    <row r="26" spans="1:10" x14ac:dyDescent="0.25">
      <c r="A26" s="51">
        <v>45597</v>
      </c>
      <c r="B26" s="52">
        <v>0.42215799999999998</v>
      </c>
      <c r="C26" s="51"/>
      <c r="D26" s="51">
        <v>45566</v>
      </c>
      <c r="E26" s="52">
        <v>0.29699999999999999</v>
      </c>
      <c r="F26" s="51"/>
      <c r="G26" s="51"/>
      <c r="H26" s="52"/>
      <c r="I26" s="51"/>
      <c r="J26" s="51"/>
    </row>
    <row r="27" spans="1:10" x14ac:dyDescent="0.25">
      <c r="A27" s="51">
        <v>45566</v>
      </c>
      <c r="B27" s="52">
        <v>0.38549099999999997</v>
      </c>
      <c r="C27" s="51"/>
      <c r="D27" s="51">
        <v>45538</v>
      </c>
      <c r="E27" s="52">
        <v>0.30099999999999999</v>
      </c>
      <c r="F27" s="51"/>
      <c r="G27" s="51"/>
      <c r="H27" s="52"/>
      <c r="I27" s="51"/>
      <c r="J27" s="51"/>
    </row>
    <row r="28" spans="1:10" x14ac:dyDescent="0.25">
      <c r="A28" s="51">
        <v>45538</v>
      </c>
      <c r="B28" s="52">
        <v>0.36824299999999999</v>
      </c>
      <c r="C28" s="51"/>
      <c r="D28" s="51">
        <v>45505</v>
      </c>
      <c r="E28" s="52">
        <v>0.30109999999999998</v>
      </c>
      <c r="F28" s="51"/>
      <c r="G28" s="51"/>
      <c r="H28" s="52"/>
      <c r="I28" s="51"/>
      <c r="J28" s="51"/>
    </row>
    <row r="29" spans="1:10" x14ac:dyDescent="0.25">
      <c r="A29" s="51">
        <v>45505</v>
      </c>
      <c r="B29" s="52">
        <v>0.39086799999999999</v>
      </c>
      <c r="C29" s="51"/>
      <c r="D29" s="51">
        <v>45474</v>
      </c>
      <c r="E29" s="52">
        <v>0.28870000000000001</v>
      </c>
      <c r="F29" s="51"/>
      <c r="G29" s="51"/>
      <c r="H29" s="52"/>
      <c r="I29" s="51"/>
      <c r="J29" s="51"/>
    </row>
    <row r="30" spans="1:10" x14ac:dyDescent="0.25">
      <c r="A30" s="51">
        <v>45474</v>
      </c>
      <c r="B30" s="52">
        <v>0.38128499999999999</v>
      </c>
      <c r="C30" s="51"/>
      <c r="D30" s="51">
        <v>45446</v>
      </c>
      <c r="E30" s="52">
        <v>0.29920000000000002</v>
      </c>
      <c r="F30" s="51"/>
      <c r="G30" s="51"/>
      <c r="H30" s="52"/>
      <c r="I30" s="51"/>
      <c r="J30" s="51"/>
    </row>
    <row r="31" spans="1:10" x14ac:dyDescent="0.25">
      <c r="A31" s="51">
        <v>45446</v>
      </c>
      <c r="B31" s="52">
        <v>0.36274299999999998</v>
      </c>
      <c r="C31" s="51"/>
      <c r="D31" s="51">
        <v>45413</v>
      </c>
      <c r="E31" s="52">
        <v>0.29189999999999999</v>
      </c>
      <c r="F31" s="51"/>
      <c r="G31" s="51"/>
      <c r="H31" s="52"/>
      <c r="I31" s="51"/>
      <c r="J31" s="51"/>
    </row>
    <row r="32" spans="1:10" x14ac:dyDescent="0.25">
      <c r="A32" s="51">
        <v>45413</v>
      </c>
      <c r="B32" s="52">
        <v>0.36057699999999998</v>
      </c>
      <c r="C32" s="51"/>
      <c r="D32" s="51">
        <v>45383</v>
      </c>
      <c r="E32" s="52">
        <v>0.2944</v>
      </c>
      <c r="F32" s="51"/>
      <c r="G32" s="51"/>
      <c r="H32" s="52"/>
      <c r="I32" s="51"/>
      <c r="J32" s="51"/>
    </row>
    <row r="33" spans="1:10" x14ac:dyDescent="0.25">
      <c r="A33" s="51">
        <v>45383</v>
      </c>
      <c r="B33" s="52">
        <v>0.36555399999999999</v>
      </c>
      <c r="C33" s="51"/>
      <c r="D33" s="51">
        <v>45352</v>
      </c>
      <c r="E33" s="52">
        <v>0.2732</v>
      </c>
      <c r="F33" s="51"/>
      <c r="G33" s="51"/>
      <c r="H33" s="52"/>
      <c r="I33" s="51"/>
      <c r="J33" s="51"/>
    </row>
    <row r="34" spans="1:10" x14ac:dyDescent="0.25">
      <c r="A34" s="51">
        <v>45352</v>
      </c>
      <c r="B34" s="52">
        <v>0.38571299999999997</v>
      </c>
      <c r="C34" s="51"/>
      <c r="D34" s="51">
        <v>45323</v>
      </c>
      <c r="E34" s="52">
        <v>0.28100000000000003</v>
      </c>
      <c r="F34" s="51"/>
      <c r="G34" s="51"/>
      <c r="H34" s="52"/>
      <c r="I34" s="51"/>
      <c r="J34" s="51"/>
    </row>
    <row r="35" spans="1:10" x14ac:dyDescent="0.25">
      <c r="A35" s="51">
        <v>45323</v>
      </c>
      <c r="B35" s="52">
        <v>0.36726199999999998</v>
      </c>
      <c r="C35" s="51"/>
      <c r="D35" s="51"/>
      <c r="E35" s="52"/>
      <c r="G35" s="51"/>
      <c r="H35" s="52"/>
      <c r="I35" s="51"/>
      <c r="J35" s="51"/>
    </row>
    <row r="36" spans="1:10" x14ac:dyDescent="0.25">
      <c r="A36" s="51"/>
      <c r="B36" s="52"/>
      <c r="D36" s="51"/>
      <c r="E36" s="52"/>
      <c r="G36" s="51"/>
      <c r="H36" s="52"/>
    </row>
    <row r="37" spans="1:10" x14ac:dyDescent="0.25">
      <c r="A37" s="51"/>
      <c r="B37" s="52"/>
      <c r="D37" s="51"/>
      <c r="E37" s="52"/>
      <c r="G37" s="51"/>
      <c r="H37" s="52"/>
    </row>
    <row r="38" spans="1:10" x14ac:dyDescent="0.25">
      <c r="A38" s="51"/>
      <c r="B38" s="52"/>
      <c r="D38" s="51"/>
      <c r="E38" s="52"/>
      <c r="G38" s="51"/>
      <c r="H38" s="52"/>
    </row>
    <row r="39" spans="1:10" x14ac:dyDescent="0.25">
      <c r="A39" s="51"/>
      <c r="B39" s="52"/>
      <c r="D39" s="51"/>
      <c r="E39" s="52"/>
      <c r="G39" s="51"/>
      <c r="H39" s="52"/>
    </row>
    <row r="40" spans="1:10" x14ac:dyDescent="0.25">
      <c r="A40" s="51"/>
      <c r="B40" s="52"/>
      <c r="D40" s="51"/>
      <c r="E40" s="52"/>
      <c r="G40" s="51"/>
      <c r="H40" s="52"/>
    </row>
    <row r="41" spans="1:10" x14ac:dyDescent="0.25">
      <c r="A41" s="51"/>
      <c r="B41" s="52"/>
      <c r="D41" s="51"/>
      <c r="E41" s="52"/>
      <c r="G41" s="51"/>
      <c r="H41" s="52"/>
    </row>
    <row r="42" spans="1:10" x14ac:dyDescent="0.25">
      <c r="A42" s="51"/>
      <c r="B42" s="52"/>
      <c r="D42" s="51"/>
      <c r="E42" s="52"/>
      <c r="G42" s="51"/>
      <c r="H42" s="52"/>
    </row>
    <row r="43" spans="1:10" x14ac:dyDescent="0.25">
      <c r="A43" s="51"/>
      <c r="B43" s="52"/>
      <c r="D43" s="51"/>
      <c r="E43" s="52"/>
      <c r="G43" s="51"/>
      <c r="H43" s="52"/>
    </row>
    <row r="44" spans="1:10" x14ac:dyDescent="0.25">
      <c r="A44" s="51"/>
      <c r="B44" s="52"/>
      <c r="D44" s="51"/>
      <c r="E44" s="52"/>
      <c r="G44" s="51"/>
      <c r="H44" s="52"/>
    </row>
    <row r="45" spans="1:10" x14ac:dyDescent="0.25">
      <c r="A45" s="51"/>
      <c r="B45" s="52"/>
      <c r="D45" s="51"/>
      <c r="E45" s="52"/>
      <c r="G45" s="51"/>
      <c r="H45" s="52"/>
    </row>
    <row r="46" spans="1:10" x14ac:dyDescent="0.25">
      <c r="A46" s="51"/>
      <c r="B46" s="52"/>
      <c r="D46" s="51"/>
      <c r="E46" s="52"/>
      <c r="G46" s="51"/>
      <c r="H46" s="52"/>
    </row>
    <row r="47" spans="1:10" x14ac:dyDescent="0.25">
      <c r="A47" s="51"/>
      <c r="B47" s="52"/>
      <c r="D47" s="51"/>
      <c r="E47" s="52"/>
      <c r="G47" s="51"/>
      <c r="H47" s="52"/>
    </row>
    <row r="48" spans="1:10" x14ac:dyDescent="0.25">
      <c r="A48" s="51"/>
      <c r="B48" s="52"/>
      <c r="D48" s="51"/>
      <c r="E48" s="52"/>
      <c r="G48" s="51"/>
      <c r="H48" s="52"/>
    </row>
    <row r="49" spans="1:8" x14ac:dyDescent="0.25">
      <c r="A49" s="51"/>
      <c r="B49" s="52"/>
      <c r="D49" s="51"/>
      <c r="E49" s="52"/>
      <c r="G49" s="51"/>
      <c r="H49" s="52"/>
    </row>
    <row r="50" spans="1:8" x14ac:dyDescent="0.25">
      <c r="A50" s="51"/>
      <c r="B50" s="52"/>
      <c r="D50" s="51"/>
      <c r="E50" s="52"/>
      <c r="G50" s="51"/>
      <c r="H50" s="52"/>
    </row>
    <row r="51" spans="1:8" x14ac:dyDescent="0.25">
      <c r="A51" s="51"/>
      <c r="B51" s="52"/>
      <c r="D51" s="51"/>
      <c r="E51" s="52"/>
      <c r="G51" s="51"/>
      <c r="H51" s="52"/>
    </row>
    <row r="52" spans="1:8" x14ac:dyDescent="0.25">
      <c r="A52" s="51"/>
      <c r="B52" s="52"/>
      <c r="D52" s="51"/>
      <c r="E52" s="52"/>
      <c r="G52" s="51"/>
      <c r="H52" s="52"/>
    </row>
    <row r="53" spans="1:8" x14ac:dyDescent="0.25">
      <c r="A53" s="51"/>
      <c r="B53" s="52"/>
      <c r="D53" s="51"/>
      <c r="E53" s="52"/>
      <c r="G53" s="51"/>
      <c r="H53" s="52"/>
    </row>
    <row r="54" spans="1:8" x14ac:dyDescent="0.25">
      <c r="A54" s="51"/>
      <c r="B54" s="52"/>
      <c r="D54" s="51"/>
      <c r="E54" s="52"/>
      <c r="G54" s="51"/>
      <c r="H54" s="52"/>
    </row>
    <row r="55" spans="1:8" x14ac:dyDescent="0.25">
      <c r="A55" s="51"/>
      <c r="B55" s="52"/>
      <c r="D55" s="51"/>
      <c r="E55" s="52"/>
      <c r="G55" s="51"/>
      <c r="H55" s="52"/>
    </row>
    <row r="56" spans="1:8" x14ac:dyDescent="0.25">
      <c r="A56" s="51"/>
      <c r="B56" s="52"/>
      <c r="D56" s="51"/>
      <c r="E56" s="52"/>
      <c r="G56" s="51"/>
      <c r="H56" s="52"/>
    </row>
    <row r="57" spans="1:8" x14ac:dyDescent="0.25">
      <c r="A57" s="51"/>
      <c r="B57" s="52"/>
      <c r="D57" s="51"/>
      <c r="E57" s="52"/>
      <c r="G57" s="51"/>
      <c r="H57" s="52"/>
    </row>
    <row r="58" spans="1:8" x14ac:dyDescent="0.25">
      <c r="A58" s="51"/>
      <c r="B58" s="52"/>
      <c r="D58" s="51"/>
      <c r="E58" s="52"/>
      <c r="G58" s="51"/>
      <c r="H58" s="52"/>
    </row>
    <row r="59" spans="1:8" x14ac:dyDescent="0.25">
      <c r="A59" s="51"/>
      <c r="B59" s="52"/>
      <c r="D59" s="51"/>
      <c r="E59" s="52"/>
      <c r="G59" s="51"/>
      <c r="H59" s="52"/>
    </row>
    <row r="60" spans="1:8" x14ac:dyDescent="0.25">
      <c r="A60" s="51"/>
      <c r="B60" s="52"/>
      <c r="D60" s="51"/>
      <c r="E60" s="52"/>
      <c r="G60" s="51"/>
      <c r="H60" s="52"/>
    </row>
    <row r="61" spans="1:8" x14ac:dyDescent="0.25">
      <c r="A61" s="51"/>
      <c r="B61" s="52"/>
      <c r="D61" s="51"/>
      <c r="E61" s="52"/>
      <c r="G61" s="51"/>
      <c r="H61" s="52"/>
    </row>
    <row r="62" spans="1:8" x14ac:dyDescent="0.25">
      <c r="A62" s="51"/>
      <c r="B62" s="52"/>
      <c r="D62" s="51"/>
      <c r="E62" s="52"/>
      <c r="G62" s="51"/>
      <c r="H62" s="52"/>
    </row>
    <row r="63" spans="1:8" x14ac:dyDescent="0.25">
      <c r="A63" s="51"/>
      <c r="B63" s="52"/>
      <c r="D63" s="51"/>
      <c r="E63" s="52"/>
      <c r="G63" s="51"/>
      <c r="H63" s="52"/>
    </row>
    <row r="64" spans="1:8" x14ac:dyDescent="0.25">
      <c r="A64" s="51"/>
      <c r="B64" s="52"/>
      <c r="D64" s="51"/>
      <c r="E64" s="52"/>
      <c r="G64" s="51"/>
      <c r="H64" s="52"/>
    </row>
    <row r="65" spans="1:8" x14ac:dyDescent="0.25">
      <c r="A65" s="51"/>
      <c r="B65" s="52"/>
      <c r="D65" s="51"/>
      <c r="E65" s="52"/>
      <c r="G65" s="51"/>
      <c r="H65" s="52"/>
    </row>
    <row r="66" spans="1:8" x14ac:dyDescent="0.25">
      <c r="A66" s="51"/>
      <c r="B66" s="52"/>
      <c r="D66" s="51"/>
      <c r="E66" s="52"/>
      <c r="G66" s="51"/>
      <c r="H66" s="52"/>
    </row>
    <row r="67" spans="1:8" x14ac:dyDescent="0.25">
      <c r="A67" s="51"/>
      <c r="B67" s="52"/>
      <c r="D67" s="51"/>
      <c r="E67" s="52"/>
      <c r="G67" s="51"/>
      <c r="H67" s="52"/>
    </row>
    <row r="68" spans="1:8" x14ac:dyDescent="0.25">
      <c r="A68" s="51"/>
      <c r="B68" s="52"/>
      <c r="D68" s="51"/>
      <c r="E68" s="52"/>
      <c r="G68" s="51"/>
      <c r="H68" s="52"/>
    </row>
    <row r="69" spans="1:8" x14ac:dyDescent="0.25">
      <c r="A69" s="51"/>
      <c r="B69" s="52"/>
      <c r="D69" s="51"/>
      <c r="E69" s="52"/>
      <c r="G69" s="51"/>
      <c r="H69" s="52"/>
    </row>
    <row r="70" spans="1:8" x14ac:dyDescent="0.25">
      <c r="A70" s="51"/>
      <c r="B70" s="52"/>
      <c r="D70" s="51"/>
      <c r="E70" s="52"/>
      <c r="G70" s="51"/>
      <c r="H70" s="52"/>
    </row>
    <row r="71" spans="1:8" x14ac:dyDescent="0.25">
      <c r="A71" s="51"/>
      <c r="B71" s="52"/>
      <c r="D71" s="51"/>
      <c r="E71" s="52"/>
      <c r="G71" s="51"/>
      <c r="H71" s="52"/>
    </row>
    <row r="72" spans="1:8" x14ac:dyDescent="0.25">
      <c r="A72" s="51"/>
      <c r="B72" s="52"/>
      <c r="D72" s="51"/>
      <c r="E72" s="52"/>
      <c r="G72" s="51"/>
      <c r="H72" s="52"/>
    </row>
    <row r="73" spans="1:8" x14ac:dyDescent="0.25">
      <c r="A73" s="51"/>
      <c r="B73" s="52"/>
      <c r="D73" s="51"/>
      <c r="E73" s="52"/>
      <c r="G73" s="51"/>
      <c r="H73" s="52"/>
    </row>
    <row r="74" spans="1:8" x14ac:dyDescent="0.25">
      <c r="A74" s="51"/>
      <c r="B74" s="52"/>
      <c r="D74" s="51"/>
      <c r="E74" s="52"/>
      <c r="G74" s="51"/>
      <c r="H74" s="52"/>
    </row>
    <row r="75" spans="1:8" x14ac:dyDescent="0.25">
      <c r="A75" s="51"/>
      <c r="B75" s="52"/>
      <c r="D75" s="51"/>
      <c r="E75" s="52"/>
      <c r="G75" s="51"/>
      <c r="H75" s="52"/>
    </row>
    <row r="76" spans="1:8" x14ac:dyDescent="0.25">
      <c r="A76" s="51"/>
      <c r="B76" s="52"/>
      <c r="D76" s="51"/>
      <c r="E76" s="52"/>
      <c r="G76" s="51"/>
      <c r="H76" s="52"/>
    </row>
    <row r="77" spans="1:8" x14ac:dyDescent="0.25">
      <c r="A77" s="51"/>
      <c r="B77" s="52"/>
      <c r="D77" s="51"/>
      <c r="E77" s="52"/>
      <c r="G77" s="51"/>
      <c r="H77" s="52"/>
    </row>
    <row r="78" spans="1:8" x14ac:dyDescent="0.25">
      <c r="A78" s="51"/>
      <c r="B78" s="52"/>
      <c r="D78" s="51"/>
      <c r="E78" s="52"/>
      <c r="G78" s="51"/>
      <c r="H78" s="52"/>
    </row>
    <row r="79" spans="1:8" x14ac:dyDescent="0.25">
      <c r="A79" s="51"/>
      <c r="B79" s="52"/>
      <c r="D79" s="51"/>
      <c r="E79" s="52"/>
      <c r="G79" s="51"/>
      <c r="H79" s="52"/>
    </row>
    <row r="80" spans="1:8" x14ac:dyDescent="0.25">
      <c r="A80" s="51"/>
      <c r="B80" s="52"/>
      <c r="D80" s="51"/>
      <c r="E80" s="52"/>
      <c r="G80" s="51"/>
      <c r="H80" s="52"/>
    </row>
    <row r="81" spans="1:8" x14ac:dyDescent="0.25">
      <c r="A81" s="51"/>
      <c r="B81" s="52"/>
      <c r="D81" s="51"/>
      <c r="E81" s="52"/>
      <c r="G81" s="51"/>
      <c r="H81" s="52"/>
    </row>
    <row r="82" spans="1:8" x14ac:dyDescent="0.25">
      <c r="A82" s="51"/>
      <c r="B82" s="52"/>
      <c r="D82" s="51"/>
      <c r="E82" s="52"/>
      <c r="G82" s="51"/>
      <c r="H82" s="52"/>
    </row>
    <row r="83" spans="1:8" x14ac:dyDescent="0.25">
      <c r="A83" s="51"/>
      <c r="B83" s="52"/>
      <c r="D83" s="51"/>
      <c r="E83" s="52"/>
      <c r="G83" s="51"/>
      <c r="H83" s="52"/>
    </row>
    <row r="84" spans="1:8" x14ac:dyDescent="0.25">
      <c r="A84" s="51"/>
      <c r="B84" s="52"/>
      <c r="D84" s="51"/>
      <c r="E84" s="52"/>
      <c r="G84" s="51"/>
      <c r="H84" s="52"/>
    </row>
    <row r="85" spans="1:8" x14ac:dyDescent="0.25">
      <c r="A85" s="51"/>
      <c r="B85" s="52"/>
      <c r="D85" s="51"/>
      <c r="E85" s="52"/>
      <c r="G85" s="51"/>
      <c r="H85" s="52"/>
    </row>
    <row r="86" spans="1:8" x14ac:dyDescent="0.25">
      <c r="A86" s="51"/>
      <c r="B86" s="52"/>
      <c r="D86" s="51"/>
      <c r="E86" s="52"/>
      <c r="G86" s="51"/>
      <c r="H86" s="52"/>
    </row>
    <row r="87" spans="1:8" x14ac:dyDescent="0.25">
      <c r="A87" s="51"/>
      <c r="B87" s="52"/>
      <c r="D87" s="51"/>
      <c r="E87" s="52"/>
      <c r="G87" s="51"/>
      <c r="H87" s="52"/>
    </row>
    <row r="88" spans="1:8" x14ac:dyDescent="0.25">
      <c r="A88" s="51"/>
      <c r="B88" s="52"/>
      <c r="D88" s="51"/>
      <c r="E88" s="52"/>
      <c r="G88" s="51"/>
      <c r="H88" s="52"/>
    </row>
    <row r="89" spans="1:8" x14ac:dyDescent="0.25">
      <c r="A89" s="51"/>
      <c r="B89" s="52"/>
      <c r="D89" s="51"/>
      <c r="E89" s="52"/>
      <c r="G89" s="51"/>
      <c r="H89" s="52"/>
    </row>
    <row r="90" spans="1:8" x14ac:dyDescent="0.25">
      <c r="A90" s="51"/>
      <c r="B90" s="52"/>
      <c r="D90" s="51"/>
      <c r="E90" s="52"/>
      <c r="G90" s="51"/>
      <c r="H90" s="52"/>
    </row>
    <row r="91" spans="1:8" x14ac:dyDescent="0.25">
      <c r="A91" s="51"/>
      <c r="B91" s="52"/>
      <c r="D91" s="51"/>
      <c r="E91" s="52"/>
      <c r="G91" s="51"/>
      <c r="H91" s="52"/>
    </row>
    <row r="92" spans="1:8" x14ac:dyDescent="0.25">
      <c r="A92" s="51"/>
      <c r="B92" s="52"/>
      <c r="D92" s="51"/>
      <c r="E92" s="52"/>
      <c r="G92" s="51"/>
      <c r="H92" s="52"/>
    </row>
    <row r="93" spans="1:8" x14ac:dyDescent="0.25">
      <c r="A93" s="51"/>
      <c r="B93" s="52"/>
      <c r="D93" s="51"/>
      <c r="E93" s="52"/>
      <c r="G93" s="51"/>
      <c r="H93" s="52"/>
    </row>
    <row r="94" spans="1:8" x14ac:dyDescent="0.25">
      <c r="A94" s="51"/>
      <c r="B94" s="52"/>
      <c r="D94" s="51"/>
      <c r="E94" s="52"/>
      <c r="G94" s="51"/>
      <c r="H94" s="52"/>
    </row>
    <row r="95" spans="1:8" x14ac:dyDescent="0.25">
      <c r="A95" s="51"/>
      <c r="B95" s="52"/>
      <c r="D95" s="51"/>
      <c r="E95" s="52"/>
      <c r="G95" s="51"/>
      <c r="H95" s="52"/>
    </row>
    <row r="96" spans="1:8" x14ac:dyDescent="0.25">
      <c r="A96" s="51"/>
      <c r="B96" s="52"/>
      <c r="D96" s="51"/>
      <c r="E96" s="52"/>
      <c r="G96" s="51"/>
      <c r="H96" s="52"/>
    </row>
    <row r="97" spans="1:8" x14ac:dyDescent="0.25">
      <c r="A97" s="51"/>
      <c r="B97" s="52"/>
      <c r="D97" s="51"/>
      <c r="E97" s="52"/>
      <c r="G97" s="51"/>
      <c r="H97" s="52"/>
    </row>
    <row r="98" spans="1:8" x14ac:dyDescent="0.25">
      <c r="A98" s="51"/>
      <c r="B98" s="52"/>
      <c r="D98" s="51"/>
      <c r="E98" s="52"/>
      <c r="G98" s="51"/>
      <c r="H98" s="52"/>
    </row>
    <row r="99" spans="1:8" x14ac:dyDescent="0.25">
      <c r="A99" s="51"/>
      <c r="B99" s="52"/>
      <c r="D99" s="51"/>
      <c r="E99" s="52"/>
      <c r="G99" s="51"/>
      <c r="H99" s="52"/>
    </row>
    <row r="100" spans="1:8" x14ac:dyDescent="0.25">
      <c r="A100" s="51"/>
      <c r="B100" s="52"/>
      <c r="D100" s="51"/>
      <c r="E100" s="52"/>
      <c r="G100" s="51"/>
      <c r="H100" s="52"/>
    </row>
    <row r="101" spans="1:8" x14ac:dyDescent="0.25">
      <c r="A101" s="51"/>
      <c r="B101" s="52"/>
      <c r="D101" s="51"/>
      <c r="E101" s="52"/>
      <c r="G101" s="51"/>
      <c r="H101" s="52"/>
    </row>
    <row r="102" spans="1:8" x14ac:dyDescent="0.25">
      <c r="A102" s="51"/>
      <c r="B102" s="52"/>
      <c r="D102" s="51"/>
      <c r="E102" s="52"/>
      <c r="G102" s="51"/>
      <c r="H102" s="52"/>
    </row>
    <row r="103" spans="1:8" x14ac:dyDescent="0.25">
      <c r="A103" s="51"/>
      <c r="B103" s="52"/>
      <c r="D103" s="51"/>
      <c r="E103" s="52"/>
      <c r="G103" s="51"/>
      <c r="H103" s="52"/>
    </row>
    <row r="104" spans="1:8" x14ac:dyDescent="0.25">
      <c r="A104" s="51"/>
      <c r="B104" s="52"/>
      <c r="D104" s="51"/>
      <c r="E104" s="52"/>
      <c r="G104" s="51"/>
      <c r="H104" s="52"/>
    </row>
    <row r="105" spans="1:8" x14ac:dyDescent="0.25">
      <c r="A105" s="51"/>
      <c r="B105" s="52"/>
      <c r="D105" s="51"/>
      <c r="E105" s="52"/>
      <c r="G105" s="51"/>
      <c r="H105" s="52"/>
    </row>
    <row r="106" spans="1:8" x14ac:dyDescent="0.25">
      <c r="A106" s="51"/>
      <c r="B106" s="52"/>
      <c r="D106" s="51"/>
      <c r="E106" s="52"/>
      <c r="G106" s="51"/>
      <c r="H106" s="52"/>
    </row>
    <row r="107" spans="1:8" x14ac:dyDescent="0.25">
      <c r="A107" s="51"/>
      <c r="B107" s="52"/>
      <c r="D107" s="51"/>
      <c r="E107" s="52"/>
      <c r="G107" s="51"/>
      <c r="H107" s="52"/>
    </row>
    <row r="108" spans="1:8" x14ac:dyDescent="0.25">
      <c r="A108" s="51"/>
      <c r="B108" s="52"/>
      <c r="D108" s="51"/>
      <c r="E108" s="52"/>
      <c r="G108" s="51"/>
      <c r="H108" s="52"/>
    </row>
    <row r="109" spans="1:8" x14ac:dyDescent="0.25">
      <c r="A109" s="51"/>
      <c r="B109" s="52"/>
      <c r="D109" s="51"/>
      <c r="E109" s="52"/>
      <c r="G109" s="51"/>
      <c r="H109" s="52"/>
    </row>
    <row r="110" spans="1:8" x14ac:dyDescent="0.25">
      <c r="A110" s="51"/>
      <c r="B110" s="52"/>
      <c r="D110" s="51"/>
      <c r="E110" s="52"/>
      <c r="G110" s="51"/>
      <c r="H110" s="52"/>
    </row>
    <row r="111" spans="1:8" x14ac:dyDescent="0.25">
      <c r="A111" s="51"/>
      <c r="B111" s="52"/>
      <c r="D111" s="51"/>
      <c r="E111" s="52"/>
      <c r="G111" s="51"/>
      <c r="H111" s="52"/>
    </row>
    <row r="112" spans="1:8" x14ac:dyDescent="0.25">
      <c r="A112" s="51"/>
      <c r="B112" s="52"/>
      <c r="D112" s="51"/>
      <c r="E112" s="52"/>
      <c r="G112" s="51"/>
      <c r="H112" s="52"/>
    </row>
    <row r="113" spans="1:8" x14ac:dyDescent="0.25">
      <c r="A113" s="51"/>
      <c r="B113" s="52"/>
      <c r="D113" s="51"/>
      <c r="E113" s="52"/>
      <c r="G113" s="51"/>
      <c r="H113" s="52"/>
    </row>
    <row r="114" spans="1:8" x14ac:dyDescent="0.25">
      <c r="A114" s="51"/>
      <c r="B114" s="52"/>
      <c r="D114" s="51"/>
      <c r="E114" s="52"/>
      <c r="G114" s="51"/>
      <c r="H114" s="52"/>
    </row>
    <row r="115" spans="1:8" x14ac:dyDescent="0.25">
      <c r="A115" s="51"/>
      <c r="B115" s="52"/>
      <c r="D115" s="51"/>
      <c r="E115" s="52"/>
      <c r="G115" s="51"/>
      <c r="H115" s="52"/>
    </row>
    <row r="116" spans="1:8" x14ac:dyDescent="0.25">
      <c r="A116" s="51"/>
      <c r="B116" s="52"/>
      <c r="D116" s="51"/>
      <c r="E116" s="52"/>
      <c r="G116" s="51"/>
      <c r="H116" s="52"/>
    </row>
    <row r="117" spans="1:8" x14ac:dyDescent="0.25">
      <c r="A117" s="51"/>
      <c r="B117" s="52"/>
      <c r="D117" s="51"/>
      <c r="E117" s="52"/>
      <c r="G117" s="51"/>
      <c r="H117" s="52"/>
    </row>
    <row r="118" spans="1:8" x14ac:dyDescent="0.25">
      <c r="A118" s="51"/>
      <c r="B118" s="52"/>
      <c r="D118" s="51"/>
      <c r="E118" s="52"/>
      <c r="G118" s="51"/>
      <c r="H118" s="52"/>
    </row>
    <row r="119" spans="1:8" x14ac:dyDescent="0.25">
      <c r="A119" s="51"/>
      <c r="B119" s="52"/>
      <c r="D119" s="51"/>
      <c r="E119" s="52"/>
      <c r="G119" s="51"/>
      <c r="H119" s="52"/>
    </row>
    <row r="120" spans="1:8" x14ac:dyDescent="0.25">
      <c r="A120" s="51"/>
      <c r="B120" s="52"/>
      <c r="D120" s="51"/>
      <c r="E120" s="52"/>
      <c r="G120" s="51"/>
      <c r="H120" s="52"/>
    </row>
    <row r="121" spans="1:8" x14ac:dyDescent="0.25">
      <c r="A121" s="51"/>
      <c r="B121" s="52"/>
      <c r="D121" s="51"/>
      <c r="E121" s="52"/>
      <c r="G121" s="51"/>
      <c r="H121" s="52"/>
    </row>
    <row r="122" spans="1:8" x14ac:dyDescent="0.25">
      <c r="A122" s="51"/>
      <c r="B122" s="52"/>
      <c r="D122" s="51"/>
      <c r="E122" s="52"/>
      <c r="G122" s="51"/>
      <c r="H122" s="52"/>
    </row>
    <row r="123" spans="1:8" x14ac:dyDescent="0.25">
      <c r="A123" s="51"/>
      <c r="B123" s="52"/>
      <c r="D123" s="51"/>
      <c r="E123" s="52"/>
      <c r="G123" s="51"/>
      <c r="H123" s="52"/>
    </row>
    <row r="124" spans="1:8" x14ac:dyDescent="0.25">
      <c r="A124" s="51"/>
      <c r="B124" s="52"/>
      <c r="D124" s="51"/>
      <c r="E124" s="52"/>
      <c r="G124" s="51"/>
      <c r="H124" s="52"/>
    </row>
    <row r="125" spans="1:8" x14ac:dyDescent="0.25">
      <c r="A125" s="51"/>
      <c r="B125" s="52"/>
      <c r="D125" s="51"/>
      <c r="E125" s="52"/>
      <c r="G125" s="51"/>
      <c r="H125" s="52"/>
    </row>
    <row r="126" spans="1:8" x14ac:dyDescent="0.25">
      <c r="A126" s="51"/>
      <c r="B126" s="52"/>
      <c r="D126" s="51"/>
      <c r="E126" s="52"/>
      <c r="G126" s="51"/>
      <c r="H126" s="52"/>
    </row>
    <row r="127" spans="1:8" x14ac:dyDescent="0.25">
      <c r="A127" s="51"/>
      <c r="B127" s="52"/>
      <c r="D127" s="51"/>
      <c r="E127" s="52"/>
      <c r="G127" s="51"/>
      <c r="H127" s="52"/>
    </row>
    <row r="128" spans="1:8" x14ac:dyDescent="0.25">
      <c r="A128" s="51"/>
      <c r="B128" s="52"/>
      <c r="D128" s="51"/>
      <c r="E128" s="52"/>
      <c r="G128" s="51"/>
      <c r="H128" s="52"/>
    </row>
    <row r="129" spans="1:8" x14ac:dyDescent="0.25">
      <c r="A129" s="51"/>
      <c r="B129" s="52"/>
      <c r="D129" s="51"/>
      <c r="E129" s="52"/>
      <c r="G129" s="51"/>
      <c r="H129" s="52"/>
    </row>
    <row r="130" spans="1:8" x14ac:dyDescent="0.25">
      <c r="A130" s="51"/>
      <c r="B130" s="52"/>
      <c r="D130" s="51"/>
      <c r="E130" s="52"/>
      <c r="G130" s="51"/>
      <c r="H130" s="52"/>
    </row>
    <row r="131" spans="1:8" x14ac:dyDescent="0.25">
      <c r="A131" s="51"/>
      <c r="B131" s="52"/>
      <c r="D131" s="51"/>
      <c r="E131" s="52"/>
      <c r="G131" s="51"/>
      <c r="H131" s="52"/>
    </row>
    <row r="132" spans="1:8" x14ac:dyDescent="0.25">
      <c r="A132" s="51"/>
      <c r="B132" s="52"/>
      <c r="D132" s="51"/>
      <c r="E132" s="52"/>
      <c r="G132" s="51"/>
      <c r="H132" s="52"/>
    </row>
    <row r="133" spans="1:8" x14ac:dyDescent="0.25">
      <c r="A133" s="51"/>
      <c r="B133" s="52"/>
      <c r="D133" s="51"/>
      <c r="E133" s="52"/>
      <c r="G133" s="51"/>
      <c r="H133" s="52"/>
    </row>
    <row r="134" spans="1:8" x14ac:dyDescent="0.25">
      <c r="A134" s="51"/>
      <c r="B134" s="52"/>
      <c r="D134" s="51"/>
      <c r="E134" s="52"/>
      <c r="G134" s="51"/>
      <c r="H134" s="52"/>
    </row>
    <row r="135" spans="1:8" x14ac:dyDescent="0.25">
      <c r="A135" s="51"/>
      <c r="B135" s="52"/>
      <c r="D135" s="51"/>
      <c r="E135" s="52"/>
      <c r="G135" s="51"/>
      <c r="H135" s="52"/>
    </row>
    <row r="136" spans="1:8" x14ac:dyDescent="0.25">
      <c r="A136" s="51"/>
      <c r="B136" s="52"/>
      <c r="D136" s="51"/>
      <c r="E136" s="52"/>
      <c r="G136" s="51"/>
      <c r="H136" s="52"/>
    </row>
    <row r="137" spans="1:8" x14ac:dyDescent="0.25">
      <c r="A137" s="51"/>
      <c r="B137" s="52"/>
      <c r="D137" s="51"/>
      <c r="E137" s="52"/>
      <c r="G137" s="51"/>
      <c r="H137" s="52"/>
    </row>
    <row r="138" spans="1:8" x14ac:dyDescent="0.25">
      <c r="A138" s="51"/>
      <c r="B138" s="52"/>
      <c r="D138" s="51"/>
      <c r="E138" s="52"/>
      <c r="G138" s="51"/>
      <c r="H138" s="52"/>
    </row>
    <row r="139" spans="1:8" x14ac:dyDescent="0.25">
      <c r="A139" s="51"/>
      <c r="B139" s="52"/>
      <c r="D139" s="51"/>
      <c r="E139" s="52"/>
      <c r="G139" s="51"/>
      <c r="H139" s="52"/>
    </row>
    <row r="140" spans="1:8" x14ac:dyDescent="0.25">
      <c r="A140" s="51"/>
      <c r="B140" s="52"/>
      <c r="D140" s="51"/>
      <c r="E140" s="52"/>
      <c r="G140" s="51"/>
      <c r="H140" s="52"/>
    </row>
    <row r="141" spans="1:8" x14ac:dyDescent="0.25">
      <c r="A141" s="51"/>
      <c r="B141" s="52"/>
      <c r="D141" s="51"/>
      <c r="E141" s="52"/>
      <c r="G141" s="51"/>
      <c r="H141" s="52"/>
    </row>
    <row r="142" spans="1:8" x14ac:dyDescent="0.25">
      <c r="A142" s="51"/>
      <c r="B142" s="52"/>
      <c r="D142" s="51"/>
      <c r="E142" s="52"/>
      <c r="G142" s="51"/>
      <c r="H142" s="52"/>
    </row>
    <row r="143" spans="1:8" x14ac:dyDescent="0.25">
      <c r="A143" s="51"/>
      <c r="B143" s="52"/>
      <c r="D143" s="51"/>
      <c r="E143" s="52"/>
      <c r="G143" s="51"/>
      <c r="H143" s="52"/>
    </row>
    <row r="144" spans="1:8" x14ac:dyDescent="0.25">
      <c r="A144" s="51"/>
      <c r="B144" s="52"/>
      <c r="D144" s="51"/>
      <c r="E144" s="52"/>
      <c r="G144" s="51"/>
      <c r="H144" s="52"/>
    </row>
    <row r="145" spans="1:8" x14ac:dyDescent="0.25">
      <c r="A145" s="51"/>
      <c r="B145" s="52"/>
      <c r="D145" s="51"/>
      <c r="E145" s="52"/>
      <c r="G145" s="51"/>
      <c r="H145" s="52"/>
    </row>
    <row r="146" spans="1:8" x14ac:dyDescent="0.25">
      <c r="A146" s="51"/>
      <c r="B146" s="52"/>
      <c r="D146" s="51"/>
      <c r="E146" s="52"/>
      <c r="G146" s="51"/>
      <c r="H146" s="52"/>
    </row>
    <row r="147" spans="1:8" x14ac:dyDescent="0.25">
      <c r="A147" s="51"/>
      <c r="B147" s="52"/>
      <c r="D147" s="51"/>
      <c r="E147" s="52"/>
      <c r="G147" s="51"/>
      <c r="H147" s="52"/>
    </row>
    <row r="148" spans="1:8" x14ac:dyDescent="0.25">
      <c r="A148" s="51"/>
      <c r="B148" s="52"/>
      <c r="D148" s="51"/>
      <c r="E148" s="52"/>
      <c r="G148" s="51"/>
      <c r="H148" s="52"/>
    </row>
    <row r="149" spans="1:8" x14ac:dyDescent="0.25">
      <c r="A149" s="51"/>
      <c r="B149" s="52"/>
      <c r="D149" s="51"/>
      <c r="E149" s="52"/>
      <c r="G149" s="51"/>
      <c r="H149" s="52"/>
    </row>
    <row r="150" spans="1:8" x14ac:dyDescent="0.25">
      <c r="A150" s="51"/>
      <c r="B150" s="52"/>
      <c r="D150" s="51"/>
      <c r="E150" s="52"/>
      <c r="G150" s="51"/>
      <c r="H150" s="52"/>
    </row>
    <row r="151" spans="1:8" x14ac:dyDescent="0.25">
      <c r="A151" s="51"/>
      <c r="B151" s="52"/>
      <c r="D151" s="51"/>
      <c r="E151" s="52"/>
      <c r="G151" s="51"/>
      <c r="H151" s="52"/>
    </row>
    <row r="152" spans="1:8" x14ac:dyDescent="0.25">
      <c r="A152" s="51"/>
      <c r="B152" s="52"/>
      <c r="D152" s="51"/>
      <c r="E152" s="52"/>
      <c r="G152" s="51"/>
      <c r="H152" s="52"/>
    </row>
    <row r="153" spans="1:8" x14ac:dyDescent="0.25">
      <c r="A153" s="51"/>
      <c r="B153" s="52"/>
      <c r="D153" s="51"/>
      <c r="E153" s="52"/>
      <c r="G153" s="51"/>
      <c r="H153" s="52"/>
    </row>
    <row r="154" spans="1:8" x14ac:dyDescent="0.25">
      <c r="A154" s="51"/>
      <c r="B154" s="52"/>
      <c r="D154" s="51"/>
      <c r="E154" s="52"/>
      <c r="G154" s="51"/>
      <c r="H154" s="52"/>
    </row>
    <row r="155" spans="1:8" x14ac:dyDescent="0.25">
      <c r="A155" s="51"/>
      <c r="B155" s="52"/>
      <c r="D155" s="51"/>
      <c r="E155" s="52"/>
      <c r="G155" s="51"/>
      <c r="H155" s="52"/>
    </row>
    <row r="156" spans="1:8" x14ac:dyDescent="0.25">
      <c r="A156" s="51"/>
      <c r="B156" s="52"/>
      <c r="D156" s="51"/>
      <c r="E156" s="52"/>
      <c r="G156" s="51"/>
      <c r="H156" s="52"/>
    </row>
    <row r="157" spans="1:8" x14ac:dyDescent="0.25">
      <c r="A157" s="51"/>
      <c r="B157" s="52"/>
      <c r="D157" s="51"/>
      <c r="E157" s="52"/>
      <c r="G157" s="51"/>
      <c r="H157" s="52"/>
    </row>
    <row r="158" spans="1:8" x14ac:dyDescent="0.25">
      <c r="A158" s="51"/>
      <c r="B158" s="52"/>
      <c r="D158" s="51"/>
      <c r="E158" s="52"/>
      <c r="G158" s="51"/>
      <c r="H158" s="52"/>
    </row>
    <row r="159" spans="1:8" x14ac:dyDescent="0.25">
      <c r="A159" s="51"/>
      <c r="B159" s="52"/>
      <c r="D159" s="51"/>
      <c r="E159" s="52"/>
      <c r="G159" s="51"/>
      <c r="H159" s="52"/>
    </row>
    <row r="160" spans="1:8" x14ac:dyDescent="0.25">
      <c r="A160" s="51"/>
      <c r="B160" s="52"/>
      <c r="D160" s="51"/>
      <c r="E160" s="52"/>
      <c r="G160" s="51"/>
      <c r="H160" s="52"/>
    </row>
    <row r="161" spans="1:8" x14ac:dyDescent="0.25">
      <c r="A161" s="51"/>
      <c r="B161" s="52"/>
      <c r="D161" s="51"/>
      <c r="E161" s="52"/>
      <c r="G161" s="51"/>
      <c r="H161" s="52"/>
    </row>
    <row r="162" spans="1:8" x14ac:dyDescent="0.25">
      <c r="A162" s="51"/>
      <c r="B162" s="52"/>
      <c r="D162" s="51"/>
      <c r="E162" s="52"/>
      <c r="G162" s="51"/>
      <c r="H162" s="52"/>
    </row>
    <row r="163" spans="1:8" x14ac:dyDescent="0.25">
      <c r="A163" s="51"/>
      <c r="B163" s="52"/>
      <c r="D163" s="51"/>
      <c r="E163" s="52"/>
      <c r="G163" s="51"/>
      <c r="H163" s="52"/>
    </row>
    <row r="164" spans="1:8" x14ac:dyDescent="0.25">
      <c r="A164" s="51"/>
      <c r="B164" s="52"/>
      <c r="D164" s="51"/>
      <c r="E164" s="52"/>
      <c r="G164" s="51"/>
      <c r="H164" s="52"/>
    </row>
    <row r="165" spans="1:8" x14ac:dyDescent="0.25">
      <c r="A165" s="51"/>
      <c r="B165" s="52"/>
      <c r="D165" s="51"/>
      <c r="E165" s="52"/>
      <c r="G165" s="51"/>
      <c r="H165" s="52"/>
    </row>
    <row r="166" spans="1:8" x14ac:dyDescent="0.25">
      <c r="A166" s="51"/>
      <c r="B166" s="52"/>
      <c r="D166" s="51"/>
      <c r="E166" s="52"/>
      <c r="G166" s="51"/>
      <c r="H166" s="52"/>
    </row>
    <row r="167" spans="1:8" x14ac:dyDescent="0.25">
      <c r="A167" s="51"/>
      <c r="B167" s="52"/>
      <c r="D167" s="51"/>
      <c r="E167" s="52"/>
      <c r="G167" s="51"/>
      <c r="H167" s="52"/>
    </row>
    <row r="168" spans="1:8" x14ac:dyDescent="0.25">
      <c r="A168" s="51"/>
      <c r="B168" s="52"/>
      <c r="D168" s="51"/>
      <c r="E168" s="52"/>
      <c r="G168" s="51"/>
      <c r="H168" s="52"/>
    </row>
    <row r="169" spans="1:8" x14ac:dyDescent="0.25">
      <c r="A169" s="51"/>
      <c r="B169" s="52"/>
      <c r="D169" s="51"/>
      <c r="E169" s="52"/>
      <c r="G169" s="51"/>
      <c r="H169" s="52"/>
    </row>
    <row r="170" spans="1:8" x14ac:dyDescent="0.25">
      <c r="A170" s="51"/>
      <c r="B170" s="52"/>
      <c r="D170" s="51"/>
      <c r="E170" s="52"/>
      <c r="G170" s="51"/>
      <c r="H170" s="52"/>
    </row>
    <row r="171" spans="1:8" x14ac:dyDescent="0.25">
      <c r="A171" s="51"/>
      <c r="B171" s="52"/>
      <c r="D171" s="51"/>
      <c r="E171" s="52"/>
      <c r="G171" s="51"/>
      <c r="H171" s="52"/>
    </row>
    <row r="172" spans="1:8" x14ac:dyDescent="0.25">
      <c r="A172" s="51"/>
      <c r="B172" s="52"/>
      <c r="D172" s="51"/>
      <c r="E172" s="52"/>
      <c r="G172" s="51"/>
      <c r="H172" s="52"/>
    </row>
    <row r="173" spans="1:8" x14ac:dyDescent="0.25">
      <c r="A173" s="51"/>
      <c r="B173" s="52"/>
      <c r="D173" s="51"/>
      <c r="E173" s="52"/>
      <c r="G173" s="51"/>
      <c r="H173" s="52"/>
    </row>
    <row r="174" spans="1:8" x14ac:dyDescent="0.25">
      <c r="A174" s="51"/>
      <c r="B174" s="52"/>
      <c r="D174" s="51"/>
      <c r="E174" s="52"/>
      <c r="G174" s="51"/>
      <c r="H174" s="52"/>
    </row>
    <row r="175" spans="1:8" x14ac:dyDescent="0.25">
      <c r="A175" s="51"/>
      <c r="B175" s="52"/>
      <c r="D175" s="51"/>
      <c r="E175" s="52"/>
      <c r="G175" s="51"/>
      <c r="H175" s="52"/>
    </row>
    <row r="176" spans="1:8" x14ac:dyDescent="0.25">
      <c r="A176" s="51"/>
      <c r="B176" s="52"/>
      <c r="D176" s="51"/>
      <c r="E176" s="52"/>
      <c r="G176" s="51"/>
      <c r="H176" s="52"/>
    </row>
    <row r="177" spans="1:8" x14ac:dyDescent="0.25">
      <c r="A177" s="51"/>
      <c r="B177" s="52"/>
      <c r="D177" s="51"/>
      <c r="E177" s="52"/>
      <c r="G177" s="51"/>
      <c r="H177" s="52"/>
    </row>
    <row r="178" spans="1:8" x14ac:dyDescent="0.25">
      <c r="A178" s="51"/>
      <c r="B178" s="52"/>
      <c r="D178" s="51"/>
      <c r="E178" s="52"/>
      <c r="G178" s="51"/>
      <c r="H178" s="52"/>
    </row>
    <row r="179" spans="1:8" x14ac:dyDescent="0.25">
      <c r="A179" s="51"/>
      <c r="B179" s="52"/>
      <c r="D179" s="51"/>
      <c r="E179" s="52"/>
      <c r="G179" s="51"/>
      <c r="H179" s="52"/>
    </row>
    <row r="180" spans="1:8" x14ac:dyDescent="0.25">
      <c r="A180" s="51"/>
      <c r="B180" s="52"/>
      <c r="D180" s="51"/>
      <c r="E180" s="52"/>
      <c r="G180" s="51"/>
      <c r="H180" s="52"/>
    </row>
    <row r="181" spans="1:8" x14ac:dyDescent="0.25">
      <c r="A181" s="51"/>
      <c r="B181" s="52"/>
      <c r="D181" s="51"/>
      <c r="E181" s="52"/>
      <c r="G181" s="51"/>
      <c r="H181" s="52"/>
    </row>
    <row r="182" spans="1:8" x14ac:dyDescent="0.25">
      <c r="A182" s="51"/>
      <c r="B182" s="52"/>
      <c r="D182" s="51"/>
      <c r="E182" s="52"/>
      <c r="G182" s="51"/>
      <c r="H182" s="52"/>
    </row>
    <row r="183" spans="1:8" x14ac:dyDescent="0.25">
      <c r="A183" s="51"/>
      <c r="B183" s="52"/>
      <c r="D183" s="51"/>
      <c r="E183" s="52"/>
      <c r="G183" s="51"/>
      <c r="H183" s="52"/>
    </row>
    <row r="184" spans="1:8" x14ac:dyDescent="0.25">
      <c r="A184" s="51"/>
      <c r="B184" s="52"/>
      <c r="D184" s="51"/>
      <c r="E184" s="52"/>
      <c r="G184" s="51"/>
      <c r="H184" s="52"/>
    </row>
    <row r="185" spans="1:8" x14ac:dyDescent="0.25">
      <c r="A185" s="51"/>
      <c r="B185" s="52"/>
      <c r="D185" s="51"/>
      <c r="E185" s="52"/>
      <c r="G185" s="51"/>
      <c r="H185" s="52"/>
    </row>
    <row r="186" spans="1:8" x14ac:dyDescent="0.25">
      <c r="A186" s="51"/>
      <c r="B186" s="52"/>
      <c r="D186" s="51"/>
      <c r="E186" s="52"/>
      <c r="G186" s="51"/>
      <c r="H186" s="52"/>
    </row>
    <row r="187" spans="1:8" x14ac:dyDescent="0.25">
      <c r="A187" s="51"/>
      <c r="B187" s="52"/>
      <c r="D187" s="51"/>
      <c r="E187" s="52"/>
      <c r="G187" s="51"/>
      <c r="H187" s="52"/>
    </row>
    <row r="188" spans="1:8" x14ac:dyDescent="0.25">
      <c r="A188" s="51"/>
      <c r="B188" s="52"/>
      <c r="D188" s="51"/>
      <c r="E188" s="52"/>
      <c r="G188" s="51"/>
      <c r="H188" s="52"/>
    </row>
    <row r="189" spans="1:8" x14ac:dyDescent="0.25">
      <c r="A189" s="51"/>
      <c r="B189" s="52"/>
      <c r="D189" s="51"/>
      <c r="E189" s="52"/>
      <c r="G189" s="51"/>
      <c r="H189" s="52"/>
    </row>
    <row r="190" spans="1:8" x14ac:dyDescent="0.25">
      <c r="A190" s="51"/>
      <c r="B190" s="52"/>
      <c r="D190" s="51"/>
      <c r="E190" s="52"/>
      <c r="G190" s="51"/>
      <c r="H190" s="52"/>
    </row>
    <row r="191" spans="1:8" x14ac:dyDescent="0.25">
      <c r="A191" s="51"/>
      <c r="B191" s="52"/>
      <c r="D191" s="51"/>
      <c r="E191" s="52"/>
      <c r="G191" s="51"/>
      <c r="H191" s="52"/>
    </row>
    <row r="192" spans="1:8" x14ac:dyDescent="0.25">
      <c r="A192" s="51"/>
      <c r="B192" s="52"/>
      <c r="D192" s="51"/>
      <c r="E192" s="52"/>
      <c r="G192" s="51"/>
      <c r="H192" s="52"/>
    </row>
    <row r="193" spans="1:8" x14ac:dyDescent="0.25">
      <c r="A193" s="51"/>
      <c r="B193" s="52"/>
      <c r="D193" s="51"/>
      <c r="E193" s="52"/>
      <c r="G193" s="51"/>
      <c r="H193" s="52"/>
    </row>
    <row r="194" spans="1:8" x14ac:dyDescent="0.25">
      <c r="A194" s="51"/>
      <c r="B194" s="52"/>
      <c r="D194" s="51"/>
      <c r="E194" s="52"/>
      <c r="G194" s="51"/>
      <c r="H194" s="52"/>
    </row>
    <row r="195" spans="1:8" x14ac:dyDescent="0.25">
      <c r="A195" s="51"/>
      <c r="B195" s="52"/>
      <c r="D195" s="51"/>
      <c r="E195" s="52"/>
      <c r="G195" s="51"/>
      <c r="H195" s="52"/>
    </row>
    <row r="196" spans="1:8" x14ac:dyDescent="0.25">
      <c r="A196" s="51"/>
      <c r="B196" s="52"/>
      <c r="D196" s="51"/>
      <c r="E196" s="52"/>
      <c r="G196" s="51"/>
      <c r="H196" s="52"/>
    </row>
    <row r="197" spans="1:8" x14ac:dyDescent="0.25">
      <c r="A197" s="51"/>
      <c r="B197" s="52"/>
      <c r="D197" s="51"/>
      <c r="E197" s="52"/>
      <c r="G197" s="51"/>
      <c r="H197" s="52"/>
    </row>
    <row r="198" spans="1:8" x14ac:dyDescent="0.25">
      <c r="A198" s="51"/>
      <c r="B198" s="52"/>
      <c r="D198" s="51"/>
      <c r="E198" s="52"/>
      <c r="G198" s="51"/>
      <c r="H198" s="52"/>
    </row>
    <row r="199" spans="1:8" x14ac:dyDescent="0.25">
      <c r="A199" s="51"/>
      <c r="B199" s="52"/>
      <c r="D199" s="51"/>
      <c r="E199" s="52"/>
      <c r="G199" s="51"/>
      <c r="H199" s="52"/>
    </row>
    <row r="200" spans="1:8" x14ac:dyDescent="0.25">
      <c r="A200" s="51"/>
      <c r="B200" s="52"/>
      <c r="D200" s="51"/>
      <c r="E200" s="52"/>
      <c r="G200" s="51"/>
      <c r="H200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35BE-1F9A-46E1-994A-2372D2E4F12F}">
  <dimension ref="A1:AI569"/>
  <sheetViews>
    <sheetView zoomScale="90" zoomScaleNormal="90" workbookViewId="0">
      <selection activeCell="H3" sqref="H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2">_xlfn._xlws.SORT(_xlfn.UNIQUE(_xlfn._xlws.FILTER(V:V, ISNUMBER(V:V))))</f>
        <v>46094.625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62752</v>
      </c>
      <c r="I3" s="2">
        <f>INT(B5/H3)</f>
        <v>478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>
        <f>IF(U3&gt;$A$14,U3,"")</f>
        <v>46094.625</v>
      </c>
      <c r="W3" s="3">
        <v>46097.625</v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39</v>
      </c>
      <c r="C4" s="24" t="s">
        <v>14</v>
      </c>
      <c r="D4" s="23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>
        <f t="shared" ref="V4:V67" si="1">IF(U4&gt;$A$14,U4,"")</f>
        <v>46097.625</v>
      </c>
      <c r="W4" s="3">
        <v>46098.625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>
        <f t="shared" si="1"/>
        <v>46098.625</v>
      </c>
      <c r="W5" s="3">
        <v>46099.625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>
        <f t="shared" si="1"/>
        <v>46099.625</v>
      </c>
      <c r="W6" s="3">
        <v>46100.625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>
        <v>0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>
        <f t="shared" si="1"/>
        <v>46100.625</v>
      </c>
      <c r="W7" s="3">
        <v>46101.625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>
        <f t="shared" si="1"/>
        <v>46101.625</v>
      </c>
      <c r="W8" s="3">
        <v>46104.625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313.66000000000003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>
        <f t="shared" si="1"/>
        <v>46104.625</v>
      </c>
      <c r="W9" s="3">
        <v>46105.625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>
        <f t="shared" si="1"/>
        <v>46105.625</v>
      </c>
      <c r="W10" s="3">
        <v>46106.625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>
        <f t="shared" si="1"/>
        <v>46106.625</v>
      </c>
      <c r="W11" s="3">
        <v>46107.625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>
        <f t="shared" si="1"/>
        <v>46107.625</v>
      </c>
      <c r="W12" s="3">
        <v>46108.625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>
        <f t="shared" si="1"/>
        <v>46108.625</v>
      </c>
      <c r="W13" s="3">
        <v>46111.625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46049.625</v>
      </c>
      <c r="B14" s="40">
        <v>313.76</v>
      </c>
      <c r="C14" s="2"/>
      <c r="D14" s="18"/>
      <c r="E14" s="40">
        <f>IF(COUNTIF($W$2:W999,A14)=1,VLOOKUP(A14,Q:R,2), IF(COUNTIF($W$2:W999,A14)=0,$C$9,""))</f>
        <v>99.747</v>
      </c>
      <c r="F14" s="1"/>
      <c r="G14" s="18"/>
      <c r="H14" s="40">
        <v>241.37200000000001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>
        <f t="shared" si="1"/>
        <v>46111.625</v>
      </c>
      <c r="W14" s="3">
        <v>46112.625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46098.625</v>
      </c>
      <c r="B15" s="40">
        <f ca="1">IF(COUNTIF($W$2:W1000,A15)=1,VLOOKUP(A15,O:P,2), IF(COUNTIF($W$2:W1000,A15)=0,$B$9,""))</f>
        <v>307.76</v>
      </c>
      <c r="C15" s="2">
        <f ca="1">IF(ISERROR(B15-2),"",(B15-$B$14)*$G$3*$I$3)</f>
        <v>-573600</v>
      </c>
      <c r="D15" s="43"/>
      <c r="E15" s="40">
        <f ca="1">IF(COUNTIF($W$2:W1000,A15)=1,VLOOKUP(A15,Q:R,2), IF(COUNTIF($W$2:W1000,A15)=0,$C$9,""))</f>
        <v>99.992999999999995</v>
      </c>
      <c r="F15" s="2">
        <f ca="1">IF(ISERROR(B15-2),"",(E15-$E$14)/100*$C$5)</f>
        <v>63959.999999998727</v>
      </c>
      <c r="G15" s="43">
        <f ca="1">IF(ISERROR(B15-2),"",(INT(A15)-INT($A$14))/360*$C$6*$C$5-(INT(A15)-INT($A$14))/360*$C$7*$C$5*$E$14/100)</f>
        <v>214.88133333333826</v>
      </c>
      <c r="H15" s="40">
        <f ca="1">IF(COUNTIF($W$2:W1000,A15)=1,VLOOKUP(A15,S:T,2), IF(COUNTIF($W$2:W1000,A15)=0,$D$9,""))</f>
        <v>294.98399999999998</v>
      </c>
      <c r="I15" s="41">
        <f ca="1">IF(COUNTIF($X$2:X1000,INT(A15))=1,VLOOKUP(INT(A15),X:Y,2), IF(ISERROR(H15-2),"",I14*(1-$D$8*(H15-H14)*0.0001)))</f>
        <v>258.83109999999999</v>
      </c>
      <c r="J15" s="41">
        <f ca="1">IF(ISERROR(H15-2),"",I15)</f>
        <v>258.83109999999999</v>
      </c>
      <c r="K15" s="43">
        <f ca="1">IF(ISERROR(H15-2),"",(J15/$J$14-1)*$D$5)</f>
        <v>-378622.26512226602</v>
      </c>
      <c r="L15" s="43"/>
      <c r="M15" s="44">
        <f ca="1">IF(ISERROR(B15-2),"",C15+D15-F15-G15-K15+SUM($L$14:L15))</f>
        <v>-259152.61621106602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>
        <f t="shared" si="1"/>
        <v>46112.625</v>
      </c>
      <c r="W15" s="3">
        <v>46113.625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46099.625</v>
      </c>
      <c r="B16" s="40">
        <f ca="1">IF(COUNTIF($W$2:W1001,A16)=1,VLOOKUP(A16,O:P,2), IF(COUNTIF($W$2:W1001,A16)=0,$B$9,""))</f>
        <v>307.33999999999997</v>
      </c>
      <c r="C16" s="2">
        <f t="shared" ref="C16:C79" ca="1" si="4">IF(ISERROR(B16-2),"",(B16-$B$14)*$G$3*$I$3)</f>
        <v>-613752.00000000151</v>
      </c>
      <c r="D16" s="43"/>
      <c r="E16" s="40">
        <f ca="1">IF(COUNTIF($W$2:W1001,A16)=1,VLOOKUP(A16,Q:R,2), IF(COUNTIF($W$2:W1001,A16)=0,$C$9,""))</f>
        <v>99.841999999999999</v>
      </c>
      <c r="F16" s="2">
        <f t="shared" ref="F16:F79" ca="1" si="5">IF(ISERROR(B16-2),"",(E16-$E$14)/100*$C$5)</f>
        <v>24699.999999999705</v>
      </c>
      <c r="G16" s="43">
        <f t="shared" ref="G16:G79" ca="1" si="6">IF(ISERROR(B16-2),"",(INT(A16)-INT($A$14))/360*$C$6*$C$5-(INT(A16)-INT($A$14))/360*$C$7*$C$5*$E$14/100)</f>
        <v>219.26666666667734</v>
      </c>
      <c r="H16" s="40">
        <f ca="1">IF(COUNTIF($W$2:W1001,A16)=1,VLOOKUP(A16,S:T,2), IF(COUNTIF($W$2:W1001,A16)=0,$D$9,""))</f>
        <v>298.827</v>
      </c>
      <c r="I16" s="41">
        <f ca="1">IF(COUNTIF($X$2:X1001,INT(A16))=1,VLOOKUP(INT(A16),X:Y,2), IF(ISERROR(H16-2),"",I15*(1-$D$8*(H16-H15)*0.0001)))</f>
        <v>258.3931</v>
      </c>
      <c r="J16" s="41">
        <f t="shared" ref="J16:J79" ca="1" si="7">IF(ISERROR(H16-2),"",I16)</f>
        <v>258.3931</v>
      </c>
      <c r="K16" s="43">
        <f t="shared" ref="K16:K79" ca="1" si="8">IF(ISERROR(H16-2),"",(J16/$J$14-1)*$D$5)</f>
        <v>-409626.1261261254</v>
      </c>
      <c r="L16" s="43"/>
      <c r="M16" s="44">
        <f ca="1">IF(ISERROR(B16-2),"",C16+D16-F16-G16-K16+SUM($L$14:L16))</f>
        <v>-229045.14054054249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>
        <f t="shared" si="1"/>
        <v>46113.625</v>
      </c>
      <c r="W16" s="3">
        <v>46114.625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46100.625</v>
      </c>
      <c r="B17" s="40">
        <f ca="1">IF(COUNTIF($W$2:W1002,A17)=1,VLOOKUP(A17,O:P,2), IF(COUNTIF($W$2:W1002,A17)=0,$B$9,""))</f>
        <v>306.06</v>
      </c>
      <c r="C17" s="2">
        <f t="shared" ca="1" si="4"/>
        <v>-736119.99999999895</v>
      </c>
      <c r="D17" s="43"/>
      <c r="E17" s="40">
        <f ca="1">IF(COUNTIF($W$2:W1002,A17)=1,VLOOKUP(A17,Q:R,2), IF(COUNTIF($W$2:W1002,A17)=0,$C$9,""))</f>
        <v>99.638999999999996</v>
      </c>
      <c r="F17" s="2">
        <f t="shared" ca="1" si="5"/>
        <v>-28080.000000001066</v>
      </c>
      <c r="G17" s="43">
        <f t="shared" ca="1" si="6"/>
        <v>223.65199999998731</v>
      </c>
      <c r="H17" s="40">
        <f ca="1">IF(COUNTIF($W$2:W1002,A17)=1,VLOOKUP(A17,S:T,2), IF(COUNTIF($W$2:W1002,A17)=0,$D$9,""))</f>
        <v>309.03899999999999</v>
      </c>
      <c r="I17" s="41">
        <f ca="1">IF(COUNTIF($X$2:X1002,INT(A17))=1,VLOOKUP(INT(A17),X:Y,2), IF(ISERROR(H17-2),"",I16*(1-$D$8*(H17-H16)*0.0001)))</f>
        <v>257.0634</v>
      </c>
      <c r="J17" s="41">
        <f t="shared" ca="1" si="7"/>
        <v>257.0634</v>
      </c>
      <c r="K17" s="43">
        <f t="shared" ca="1" si="8"/>
        <v>-503749.03474903549</v>
      </c>
      <c r="L17" s="43"/>
      <c r="M17" s="44">
        <f ca="1">IF(ISERROR(B17-2),"",C17+D17-F17-G17-K17+SUM($L$14:L17))</f>
        <v>-204514.61725096242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46119.625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46101.625</v>
      </c>
      <c r="B18" s="40">
        <f ca="1">IF(COUNTIF($W$2:W1003,A18)=1,VLOOKUP(A18,O:P,2), IF(COUNTIF($W$2:W1003,A18)=0,$B$9,""))</f>
        <v>304.02</v>
      </c>
      <c r="C18" s="2">
        <f t="shared" ca="1" si="4"/>
        <v>-931144.00000000081</v>
      </c>
      <c r="D18" s="43"/>
      <c r="E18" s="40">
        <f ca="1">IF(COUNTIF($W$2:W1003,A18)=1,VLOOKUP(A18,Q:R,2), IF(COUNTIF($W$2:W1003,A18)=0,$C$9,""))</f>
        <v>99.41</v>
      </c>
      <c r="F18" s="2">
        <f t="shared" ca="1" si="5"/>
        <v>-87620.000000000859</v>
      </c>
      <c r="G18" s="43">
        <f t="shared" ca="1" si="6"/>
        <v>228.03733333332639</v>
      </c>
      <c r="H18" s="40">
        <f ca="1">IF(COUNTIF($W$2:W1003,A18)=1,VLOOKUP(A18,S:T,2), IF(COUNTIF($W$2:W1003,A18)=0,$D$9,""))</f>
        <v>350.86599999999999</v>
      </c>
      <c r="I18" s="41">
        <f ca="1">IF(COUNTIF($X$2:X1003,INT(A18))=1,VLOOKUP(INT(A18),X:Y,2), IF(ISERROR(H18-2),"",I17*(1-$D$8*(H18-H17)*0.0001)))</f>
        <v>255.87119999999999</v>
      </c>
      <c r="J18" s="41">
        <f t="shared" ca="1" si="7"/>
        <v>255.87119999999999</v>
      </c>
      <c r="K18" s="43">
        <f t="shared" ca="1" si="8"/>
        <v>-588138.99613899842</v>
      </c>
      <c r="L18" s="43"/>
      <c r="M18" s="44">
        <f ca="1">IF(ISERROR(B18-2),"",C18+D18-F18-G18-K18+SUM($L$14:L18))</f>
        <v>-255613.04119433486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46120.625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46104.625</v>
      </c>
      <c r="B19" s="40">
        <f ca="1">IF(COUNTIF($W$2:W1004,A19)=1,VLOOKUP(A19,O:P,2), IF(COUNTIF($W$2:W1004,A19)=0,$B$9,""))</f>
        <v>305</v>
      </c>
      <c r="C19" s="2">
        <f t="shared" ca="1" si="4"/>
        <v>-837455.99999999919</v>
      </c>
      <c r="D19" s="43"/>
      <c r="E19" s="40">
        <f ca="1">IF(COUNTIF($W$2:W1004,A19)=1,VLOOKUP(A19,Q:R,2), IF(COUNTIF($W$2:W1004,A19)=0,$C$9,""))</f>
        <v>99.53</v>
      </c>
      <c r="F19" s="2">
        <f t="shared" ca="1" si="5"/>
        <v>-56419.999999999673</v>
      </c>
      <c r="G19" s="43">
        <f t="shared" ca="1" si="6"/>
        <v>241.19333333332906</v>
      </c>
      <c r="H19" s="40">
        <f ca="1">IF(COUNTIF($W$2:W1004,A19)=1,VLOOKUP(A19,S:T,2), IF(COUNTIF($W$2:W1004,A19)=0,$D$9,""))</f>
        <v>341.82299999999998</v>
      </c>
      <c r="I19" s="41">
        <f ca="1">IF(COUNTIF($X$2:X1004,INT(A19))=1,VLOOKUP(INT(A19),X:Y,2), IF(ISERROR(H19-2),"",I18*(1-$D$8*(H19-H18)*0.0001)))</f>
        <v>256.74209999999999</v>
      </c>
      <c r="J19" s="41">
        <f t="shared" ca="1" si="7"/>
        <v>256.74209999999999</v>
      </c>
      <c r="K19" s="43">
        <f t="shared" ca="1" si="8"/>
        <v>-526492.27799227962</v>
      </c>
      <c r="L19" s="43"/>
      <c r="M19" s="44">
        <f ca="1">IF(ISERROR(B19-2),"",C19+D19-F19-G19-K19+SUM($L$14:L19))</f>
        <v>-254784.91534105327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46122.625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46105.625</v>
      </c>
      <c r="B20" s="40">
        <f ca="1">IF(COUNTIF($W$2:W1005,A20)=1,VLOOKUP(A20,O:P,2), IF(COUNTIF($W$2:W1005,A20)=0,$B$9,""))</f>
        <v>304.52</v>
      </c>
      <c r="C20" s="2">
        <f t="shared" ca="1" si="4"/>
        <v>-883344.00000000081</v>
      </c>
      <c r="D20" s="43"/>
      <c r="E20" s="40">
        <f ca="1">IF(COUNTIF($W$2:W1005,A20)=1,VLOOKUP(A20,Q:R,2), IF(COUNTIF($W$2:W1005,A20)=0,$C$9,""))</f>
        <v>99.400999999999996</v>
      </c>
      <c r="F20" s="2">
        <f t="shared" ca="1" si="5"/>
        <v>-89960.000000000946</v>
      </c>
      <c r="G20" s="43">
        <f t="shared" ca="1" si="6"/>
        <v>245.57866666666814</v>
      </c>
      <c r="H20" s="40">
        <f ca="1">IF(COUNTIF($W$2:W1005,A20)=1,VLOOKUP(A20,S:T,2), IF(COUNTIF($W$2:W1005,A20)=0,$D$9,""))</f>
        <v>342.43400000000003</v>
      </c>
      <c r="I20" s="41">
        <f ca="1">IF(COUNTIF($X$2:X1005,INT(A20))=1,VLOOKUP(INT(A20),X:Y,2), IF(ISERROR(H20-2),"",I19*(1-$D$8*(H20-H19)*0.0001)))</f>
        <v>256.9957</v>
      </c>
      <c r="J20" s="41">
        <f t="shared" ca="1" si="7"/>
        <v>256.9957</v>
      </c>
      <c r="K20" s="43">
        <f t="shared" ca="1" si="8"/>
        <v>-508541.1840411856</v>
      </c>
      <c r="L20" s="43"/>
      <c r="M20" s="44">
        <f ca="1">IF(ISERROR(B20-2),"",C20+D20-F20-G20-K20+SUM($L$14:L20))</f>
        <v>-285088.39462548093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46126.625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46106.625</v>
      </c>
      <c r="B21" s="40">
        <f ca="1">IF(COUNTIF($W$2:W1006,A21)=1,VLOOKUP(A21,O:P,2), IF(COUNTIF($W$2:W1006,A21)=0,$B$9,""))</f>
        <v>306.12</v>
      </c>
      <c r="C21" s="2">
        <f t="shared" ca="1" si="4"/>
        <v>-730383.99999999872</v>
      </c>
      <c r="D21" s="43"/>
      <c r="E21" s="40">
        <f ca="1">IF(COUNTIF($W$2:W1006,A21)=1,VLOOKUP(A21,Q:R,2), IF(COUNTIF($W$2:W1006,A21)=0,$C$9,""))</f>
        <v>99.501000000000005</v>
      </c>
      <c r="F21" s="2">
        <f t="shared" ca="1" si="5"/>
        <v>-63959.999999998727</v>
      </c>
      <c r="G21" s="43">
        <f t="shared" ca="1" si="6"/>
        <v>249.96400000000722</v>
      </c>
      <c r="H21" s="40">
        <f ca="1">IF(COUNTIF($W$2:W1006,A21)=1,VLOOKUP(A21,S:T,2), IF(COUNTIF($W$2:W1006,A21)=0,$D$9,""))</f>
        <v>334.50400000000002</v>
      </c>
      <c r="I21" s="41">
        <f ca="1">IF(COUNTIF($X$2:X1006,INT(A21))=1,VLOOKUP(INT(A21),X:Y,2), IF(ISERROR(H21-2),"",I20*(1-$D$8*(H21-H20)*0.0001)))</f>
        <v>258.20859999999999</v>
      </c>
      <c r="J21" s="41">
        <f t="shared" ca="1" si="7"/>
        <v>258.20859999999999</v>
      </c>
      <c r="K21" s="43">
        <f t="shared" ca="1" si="8"/>
        <v>-422685.9716859734</v>
      </c>
      <c r="L21" s="43"/>
      <c r="M21" s="44">
        <f ca="1">IF(ISERROR(B21-2),"",C21+D21-F21-G21-K21+SUM($L$14:L21))</f>
        <v>-243987.99231402663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46127.625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46107.625</v>
      </c>
      <c r="B22" s="40">
        <f ca="1">IF(COUNTIF($W$2:W1007,A22)=1,VLOOKUP(A22,O:P,2), IF(COUNTIF($W$2:W1007,A22)=0,$B$9,""))</f>
        <v>304.82</v>
      </c>
      <c r="C22" s="2">
        <f t="shared" ca="1" si="4"/>
        <v>-854663.99999999977</v>
      </c>
      <c r="D22" s="43"/>
      <c r="E22" s="40">
        <f ca="1">IF(COUNTIF($W$2:W1007,A22)=1,VLOOKUP(A22,Q:R,2), IF(COUNTIF($W$2:W1007,A22)=0,$C$9,""))</f>
        <v>99.313000000000002</v>
      </c>
      <c r="F22" s="2">
        <f t="shared" ca="1" si="5"/>
        <v>-112839.99999999935</v>
      </c>
      <c r="G22" s="43">
        <f t="shared" ca="1" si="6"/>
        <v>254.34933333334629</v>
      </c>
      <c r="H22" s="40">
        <f ca="1">IF(COUNTIF($W$2:W1007,A22)=1,VLOOKUP(A22,S:T,2), IF(COUNTIF($W$2:W1007,A22)=0,$D$9,""))</f>
        <v>344.47199999999998</v>
      </c>
      <c r="I22" s="41">
        <f ca="1">IF(COUNTIF($X$2:X1007,INT(A22))=1,VLOOKUP(INT(A22),X:Y,2), IF(ISERROR(H22-2),"",I21*(1-$D$8*(H22-H21)*0.0001)))</f>
        <v>255.99350000000001</v>
      </c>
      <c r="J22" s="41">
        <f t="shared" ca="1" si="7"/>
        <v>255.99350000000001</v>
      </c>
      <c r="K22" s="43">
        <f t="shared" ca="1" si="8"/>
        <v>-579481.98198198073</v>
      </c>
      <c r="L22" s="43"/>
      <c r="M22" s="44">
        <f ca="1">IF(ISERROR(B22-2),"",C22+D22-F22-G22-K22+SUM($L$14:L22))</f>
        <v>-162596.36735135305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46128.625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46108.625</v>
      </c>
      <c r="B23" s="40">
        <f ca="1">IF(COUNTIF($W$2:W1008,A23)=1,VLOOKUP(A23,O:P,2), IF(COUNTIF($W$2:W1008,A23)=0,$B$9,""))</f>
        <v>303.5</v>
      </c>
      <c r="C23" s="2">
        <f t="shared" ca="1" si="4"/>
        <v>-980855.99999999919</v>
      </c>
      <c r="D23" s="43"/>
      <c r="E23" s="40">
        <f ca="1">IF(COUNTIF($W$2:W1008,A23)=1,VLOOKUP(A23,Q:R,2), IF(COUNTIF($W$2:W1008,A23)=0,$C$9,""))</f>
        <v>99.304000000000002</v>
      </c>
      <c r="F23" s="2">
        <f t="shared" ca="1" si="5"/>
        <v>-115179.99999999943</v>
      </c>
      <c r="G23" s="43">
        <f t="shared" ca="1" si="6"/>
        <v>258.73466666667082</v>
      </c>
      <c r="H23" s="40">
        <f ca="1">IF(COUNTIF($W$2:W1008,A23)=1,VLOOKUP(A23,S:T,2), IF(COUNTIF($W$2:W1008,A23)=0,$D$9,""))</f>
        <v>361.33</v>
      </c>
      <c r="I23" s="41">
        <f ca="1">IF(COUNTIF($X$2:X1008,INT(A23))=1,VLOOKUP(INT(A23),X:Y,2), IF(ISERROR(H23-2),"",I22*(1-$D$8*(H23-H22)*0.0001)))</f>
        <v>254.57159999999999</v>
      </c>
      <c r="J23" s="41">
        <f t="shared" ca="1" si="7"/>
        <v>254.57159999999999</v>
      </c>
      <c r="K23" s="43">
        <f t="shared" ca="1" si="8"/>
        <v>-680131.27413127455</v>
      </c>
      <c r="L23" s="43"/>
      <c r="M23" s="44">
        <f ca="1">IF(ISERROR(B23-2),"",C23+D23-F23-G23-K23+SUM($L$14:L23))</f>
        <v>-185803.46053539193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46129.625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46111.625</v>
      </c>
      <c r="B24" s="40">
        <f ca="1">IF(COUNTIF($W$2:W1009,A24)=1,VLOOKUP(A24,O:P,2), IF(COUNTIF($W$2:W1009,A24)=0,$B$9,""))</f>
        <v>302.92</v>
      </c>
      <c r="C24" s="2">
        <f t="shared" ca="1" si="4"/>
        <v>-1036303.9999999976</v>
      </c>
      <c r="D24" s="43"/>
      <c r="E24" s="40">
        <f ca="1">IF(COUNTIF($W$2:W1009,A24)=1,VLOOKUP(A24,Q:R,2), IF(COUNTIF($W$2:W1009,A24)=0,$C$9,""))</f>
        <v>99.466999999999999</v>
      </c>
      <c r="F24" s="2">
        <f t="shared" ca="1" si="5"/>
        <v>-72800.000000000291</v>
      </c>
      <c r="G24" s="43">
        <f t="shared" ca="1" si="6"/>
        <v>271.8906666666735</v>
      </c>
      <c r="H24" s="40">
        <f ca="1">IF(COUNTIF($W$2:W1009,A24)=1,VLOOKUP(A24,S:T,2), IF(COUNTIF($W$2:W1009,A24)=0,$D$9,""))</f>
        <v>364.03399999999999</v>
      </c>
      <c r="I24" s="41">
        <f ca="1">IF(COUNTIF($X$2:X1009,INT(A24))=1,VLOOKUP(INT(A24),X:Y,2), IF(ISERROR(H24-2),"",I23*(1-$D$8*(H24-H23)*0.0001)))</f>
        <v>254.6893</v>
      </c>
      <c r="J24" s="41">
        <f t="shared" ca="1" si="7"/>
        <v>254.6893</v>
      </c>
      <c r="K24" s="43">
        <f t="shared" ca="1" si="8"/>
        <v>-671799.87129987078</v>
      </c>
      <c r="L24" s="43"/>
      <c r="M24" s="44">
        <f ca="1">IF(ISERROR(B24-2),"",C24+D24-F24-G24-K24+SUM($L$14:L24))</f>
        <v>-291976.0193667931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46132.625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46112.625</v>
      </c>
      <c r="B25" s="40">
        <f ca="1">IF(COUNTIF($W$2:W1010,A25)=1,VLOOKUP(A25,O:P,2), IF(COUNTIF($W$2:W1010,A25)=0,$B$9,""))</f>
        <v>304.16000000000003</v>
      </c>
      <c r="C25" s="2">
        <f t="shared" ca="1" si="4"/>
        <v>-917759.99999999674</v>
      </c>
      <c r="D25" s="43"/>
      <c r="E25" s="40">
        <f ca="1">IF(COUNTIF($W$2:W1010,A25)=1,VLOOKUP(A25,Q:R,2), IF(COUNTIF($W$2:W1010,A25)=0,$C$9,""))</f>
        <v>99.444000000000003</v>
      </c>
      <c r="F25" s="2">
        <f t="shared" ca="1" si="5"/>
        <v>-78779.999999999287</v>
      </c>
      <c r="G25" s="43">
        <f t="shared" ca="1" si="6"/>
        <v>276.27599999999802</v>
      </c>
      <c r="H25" s="40">
        <f ca="1">IF(COUNTIF($W$2:W1010,A25)=1,VLOOKUP(A25,S:T,2), IF(COUNTIF($W$2:W1010,A25)=0,$D$9,""))</f>
        <v>355.63</v>
      </c>
      <c r="I25" s="41">
        <f ca="1">IF(COUNTIF($X$2:X1010,INT(A25))=1,VLOOKUP(INT(A25),X:Y,2), IF(ISERROR(H25-2),"",I24*(1-$D$8*(H25-H24)*0.0001)))</f>
        <v>255.8124</v>
      </c>
      <c r="J25" s="41">
        <f t="shared" ca="1" si="7"/>
        <v>255.8124</v>
      </c>
      <c r="K25" s="43">
        <f t="shared" ca="1" si="8"/>
        <v>-592301.15830115799</v>
      </c>
      <c r="L25" s="43"/>
      <c r="M25" s="44">
        <f ca="1">IF(ISERROR(B25-2),"",C25+D25-F25-G25-K25+SUM($L$14:L25))</f>
        <v>-246955.1176988394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46133.625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46113.625</v>
      </c>
      <c r="B26" s="40">
        <f ca="1">IF(COUNTIF($W$2:W1011,A26)=1,VLOOKUP(A26,O:P,2), IF(COUNTIF($W$2:W1011,A26)=0,$B$9,""))</f>
        <v>306.24</v>
      </c>
      <c r="C26" s="2">
        <f t="shared" ca="1" si="4"/>
        <v>-718911.99999999825</v>
      </c>
      <c r="D26" s="43"/>
      <c r="E26" s="40">
        <f ca="1">IF(COUNTIF($W$2:W1011,A26)=1,VLOOKUP(A26,Q:R,2), IF(COUNTIF($W$2:W1011,A26)=0,$C$9,""))</f>
        <v>99.510999999999996</v>
      </c>
      <c r="F26" s="2">
        <f t="shared" ca="1" si="5"/>
        <v>-61360.000000001099</v>
      </c>
      <c r="G26" s="43">
        <f t="shared" ca="1" si="6"/>
        <v>280.6613333333371</v>
      </c>
      <c r="H26" s="40">
        <f ca="1">IF(COUNTIF($W$2:W1011,A26)=1,VLOOKUP(A26,S:T,2), IF(COUNTIF($W$2:W1011,A26)=0,$D$9,""))</f>
        <v>329.10599999999999</v>
      </c>
      <c r="I26" s="41">
        <f ca="1">IF(COUNTIF($X$2:X1011,INT(A26))=1,VLOOKUP(INT(A26),X:Y,2), IF(ISERROR(H26-2),"",I25*(1-$D$8*(H26-H25)*0.0001)))</f>
        <v>258.79109999999997</v>
      </c>
      <c r="J26" s="41">
        <f t="shared" ca="1" si="7"/>
        <v>258.79109999999997</v>
      </c>
      <c r="K26" s="43">
        <f t="shared" ca="1" si="8"/>
        <v>-381453.66795367067</v>
      </c>
      <c r="L26" s="43"/>
      <c r="M26" s="44">
        <f ca="1">IF(ISERROR(B26-2),"",C26+D26-F26-G26-K26+SUM($L$14:L26))</f>
        <v>-276378.99337965989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46134.625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46114.625</v>
      </c>
      <c r="B27" s="40">
        <f ca="1">IF(COUNTIF($W$2:W1012,A27)=1,VLOOKUP(A27,O:P,2), IF(COUNTIF($W$2:W1012,A27)=0,$B$9,""))</f>
        <v>306.5</v>
      </c>
      <c r="C27" s="2">
        <f t="shared" ca="1" si="4"/>
        <v>-694055.99999999919</v>
      </c>
      <c r="D27" s="43"/>
      <c r="E27" s="40">
        <f ca="1">IF(COUNTIF($W$2:W1012,A27)=1,VLOOKUP(A27,Q:R,2), IF(COUNTIF($W$2:W1012,A27)=0,$C$9,""))</f>
        <v>99.484999999999999</v>
      </c>
      <c r="F27" s="2">
        <f t="shared" ca="1" si="5"/>
        <v>-68120.000000000116</v>
      </c>
      <c r="G27" s="43">
        <f t="shared" ca="1" si="6"/>
        <v>285.04666666667617</v>
      </c>
      <c r="H27" s="40">
        <f ca="1">IF(COUNTIF($W$2:W1012,A27)=1,VLOOKUP(A27,S:T,2), IF(COUNTIF($W$2:W1012,A27)=0,$D$9,""))</f>
        <v>326.72000000000003</v>
      </c>
      <c r="I27" s="41">
        <f ca="1">IF(COUNTIF($X$2:X1012,INT(A27))=1,VLOOKUP(INT(A27),X:Y,2), IF(ISERROR(H27-2),"",I26*(1-$D$8*(H27-H26)*0.0001)))</f>
        <v>259.01429999999999</v>
      </c>
      <c r="J27" s="41">
        <f t="shared" ca="1" si="7"/>
        <v>259.01429999999999</v>
      </c>
      <c r="K27" s="43">
        <f t="shared" ca="1" si="8"/>
        <v>-365654.44015444181</v>
      </c>
      <c r="L27" s="43"/>
      <c r="M27" s="44">
        <f ca="1">IF(ISERROR(B27-2),"",C27+D27-F27-G27-K27+SUM($L$14:L27))</f>
        <v>-260566.60651222389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46136.625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46119.625</v>
      </c>
      <c r="B28" s="40">
        <f ca="1">IF(COUNTIF($W$2:W1013,A28)=1,VLOOKUP(A28,O:P,2), IF(COUNTIF($W$2:W1013,A28)=0,$B$9,""))</f>
        <v>305.86</v>
      </c>
      <c r="C28" s="2">
        <f t="shared" ca="1" si="4"/>
        <v>-755239.99999999779</v>
      </c>
      <c r="D28" s="43"/>
      <c r="E28" s="40">
        <f ca="1">IF(COUNTIF($W$2:W1013,A28)=1,VLOOKUP(A28,Q:R,2), IF(COUNTIF($W$2:W1013,A28)=0,$C$9,""))</f>
        <v>99.212999999999994</v>
      </c>
      <c r="F28" s="2">
        <f t="shared" ca="1" si="5"/>
        <v>-138840.00000000157</v>
      </c>
      <c r="G28" s="43">
        <f t="shared" ca="1" si="6"/>
        <v>306.9733333333279</v>
      </c>
      <c r="H28" s="40">
        <f ca="1">IF(COUNTIF($W$2:W1013,A28)=1,VLOOKUP(A28,S:T,2), IF(COUNTIF($W$2:W1013,A28)=0,$D$9,""))</f>
        <v>333.96699999999998</v>
      </c>
      <c r="I28" s="41">
        <f ca="1">IF(COUNTIF($X$2:X1013,INT(A28))=1,VLOOKUP(INT(A28),X:Y,2), IF(ISERROR(H28-2),"",I27*(1-$D$8*(H28-H27)*0.0001)))</f>
        <v>258.06200000000001</v>
      </c>
      <c r="J28" s="41">
        <f t="shared" ca="1" si="7"/>
        <v>258.06200000000001</v>
      </c>
      <c r="K28" s="43">
        <f t="shared" ca="1" si="8"/>
        <v>-433063.06306306168</v>
      </c>
      <c r="L28" s="43"/>
      <c r="M28" s="44">
        <f ca="1">IF(ISERROR(B28-2),"",C28+D28-F28-G28-K28+SUM($L$14:L28))</f>
        <v>-183643.91027026798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46139.625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46120.625</v>
      </c>
      <c r="B29" s="40">
        <f ca="1">IF(COUNTIF($W$2:W1014,A29)=1,VLOOKUP(A29,O:P,2), IF(COUNTIF($W$2:W1014,A29)=0,$B$9,""))</f>
        <v>309.58</v>
      </c>
      <c r="C29" s="2">
        <f t="shared" ca="1" si="4"/>
        <v>-399608.00000000064</v>
      </c>
      <c r="D29" s="43"/>
      <c r="E29" s="40">
        <f ca="1">IF(COUNTIF($W$2:W1014,A29)=1,VLOOKUP(A29,Q:R,2), IF(COUNTIF($W$2:W1014,A29)=0,$C$9,""))</f>
        <v>99.777000000000001</v>
      </c>
      <c r="F29" s="2">
        <f t="shared" ca="1" si="5"/>
        <v>7800.0000000002956</v>
      </c>
      <c r="G29" s="43">
        <f t="shared" ca="1" si="6"/>
        <v>311.35866666666698</v>
      </c>
      <c r="H29" s="40">
        <f ca="1">IF(COUNTIF($W$2:W1014,A29)=1,VLOOKUP(A29,S:T,2), IF(COUNTIF($W$2:W1014,A29)=0,$D$9,""))</f>
        <v>301.61900000000003</v>
      </c>
      <c r="I29" s="41">
        <f ca="1">IF(COUNTIF($X$2:X1014,INT(A29))=1,VLOOKUP(INT(A29),X:Y,2), IF(ISERROR(H29-2),"",I28*(1-$D$8*(H29-H28)*0.0001)))</f>
        <v>262.38350000000003</v>
      </c>
      <c r="J29" s="41">
        <f t="shared" ca="1" si="7"/>
        <v>262.38350000000003</v>
      </c>
      <c r="K29" s="43">
        <f t="shared" ca="1" si="8"/>
        <v>-127165.37966537764</v>
      </c>
      <c r="L29" s="43"/>
      <c r="M29" s="44">
        <f ca="1">IF(ISERROR(B29-2),"",C29+D29-F29-G29-K29+SUM($L$14:L29))</f>
        <v>-280553.97900128993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46140.625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46122.625</v>
      </c>
      <c r="B30" s="40">
        <f ca="1">IF(COUNTIF($W$2:W1015,A30)=1,VLOOKUP(A30,O:P,2), IF(COUNTIF($W$2:W1015,A30)=0,$B$9,""))</f>
        <v>309.45999999999998</v>
      </c>
      <c r="C30" s="2">
        <f t="shared" ca="1" si="4"/>
        <v>-411080.00000000111</v>
      </c>
      <c r="D30" s="43"/>
      <c r="E30" s="40">
        <f ca="1">IF(COUNTIF($W$2:W1015,A30)=1,VLOOKUP(A30,Q:R,2), IF(COUNTIF($W$2:W1015,A30)=0,$C$9,""))</f>
        <v>99.55</v>
      </c>
      <c r="F30" s="2">
        <f t="shared" ca="1" si="5"/>
        <v>-51220.000000000713</v>
      </c>
      <c r="G30" s="43">
        <f t="shared" ca="1" si="6"/>
        <v>320.12933333333058</v>
      </c>
      <c r="H30" s="40">
        <f ca="1">IF(COUNTIF($W$2:W1015,A30)=1,VLOOKUP(A30,S:T,2), IF(COUNTIF($W$2:W1015,A30)=0,$D$9,""))</f>
        <v>291.34300000000002</v>
      </c>
      <c r="I30" s="41">
        <f ca="1">IF(COUNTIF($X$2:X1015,INT(A30))=1,VLOOKUP(INT(A30),X:Y,2), IF(ISERROR(H30-2),"",I29*(1-$D$8*(H30-H29)*0.0001)))</f>
        <v>263.29309999999998</v>
      </c>
      <c r="J30" s="41">
        <f t="shared" ca="1" si="7"/>
        <v>263.29309999999998</v>
      </c>
      <c r="K30" s="43">
        <f t="shared" ca="1" si="8"/>
        <v>-62779.279279281996</v>
      </c>
      <c r="L30" s="43"/>
      <c r="M30" s="44">
        <f ca="1">IF(ISERROR(B30-2),"",C30+D30-F30-G30-K30+SUM($L$14:L30))</f>
        <v>-297400.85005405173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46141.625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46126.625</v>
      </c>
      <c r="B31" s="40">
        <f ca="1">IF(COUNTIF($W$2:W1016,A31)=1,VLOOKUP(A31,O:P,2), IF(COUNTIF($W$2:W1016,A31)=0,$B$9,""))</f>
        <v>309.89999999999998</v>
      </c>
      <c r="C31" s="2">
        <f t="shared" ca="1" si="4"/>
        <v>-369016.00000000128</v>
      </c>
      <c r="D31" s="43"/>
      <c r="E31" s="40">
        <f ca="1">IF(COUNTIF($W$2:W1016,A31)=1,VLOOKUP(A31,Q:R,2), IF(COUNTIF($W$2:W1016,A31)=0,$C$9,""))</f>
        <v>99.619</v>
      </c>
      <c r="F31" s="2">
        <f t="shared" ca="1" si="5"/>
        <v>-33280.000000000029</v>
      </c>
      <c r="G31" s="43">
        <f t="shared" ca="1" si="6"/>
        <v>337.67066666667233</v>
      </c>
      <c r="H31" s="40">
        <f ca="1">IF(COUNTIF($W$2:W1016,A31)=1,VLOOKUP(A31,S:T,2), IF(COUNTIF($W$2:W1016,A31)=0,$D$9,""))</f>
        <v>282.697</v>
      </c>
      <c r="I31" s="41">
        <f ca="1">IF(COUNTIF($X$2:X1016,INT(A31))=1,VLOOKUP(INT(A31),X:Y,2), IF(ISERROR(H31-2),"",I30*(1-$D$8*(H31-H30)*0.0001)))</f>
        <v>264.6927</v>
      </c>
      <c r="J31" s="41">
        <f t="shared" ca="1" si="7"/>
        <v>264.6927</v>
      </c>
      <c r="K31" s="43">
        <f t="shared" ca="1" si="8"/>
        <v>36291.505791503594</v>
      </c>
      <c r="L31" s="43"/>
      <c r="M31" s="44">
        <f ca="1">IF(ISERROR(B31-2),"",C31+D31-F31-G31-K31+SUM($L$14:L31))</f>
        <v>-372365.17645817157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46142.625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46127.625</v>
      </c>
      <c r="B32" s="40">
        <f ca="1">IF(COUNTIF($W$2:W1017,A32)=1,VLOOKUP(A32,O:P,2), IF(COUNTIF($W$2:W1017,A32)=0,$B$9,""))</f>
        <v>310.42</v>
      </c>
      <c r="C32" s="2">
        <f t="shared" ca="1" si="4"/>
        <v>-319303.99999999761</v>
      </c>
      <c r="D32" s="43"/>
      <c r="E32" s="40">
        <f ca="1">IF(COUNTIF($W$2:W1017,A32)=1,VLOOKUP(A32,Q:R,2), IF(COUNTIF($W$2:W1017,A32)=0,$C$9,""))</f>
        <v>99.653999999999996</v>
      </c>
      <c r="F32" s="2">
        <f t="shared" ca="1" si="5"/>
        <v>-24180.000000000917</v>
      </c>
      <c r="G32" s="43">
        <f t="shared" ca="1" si="6"/>
        <v>342.05600000001141</v>
      </c>
      <c r="H32" s="40">
        <f ca="1">IF(COUNTIF($W$2:W1017,A32)=1,VLOOKUP(A32,S:T,2), IF(COUNTIF($W$2:W1017,A32)=0,$D$9,""))</f>
        <v>282.51900000000001</v>
      </c>
      <c r="I32" s="41">
        <f ca="1">IF(COUNTIF($X$2:X1017,INT(A32))=1,VLOOKUP(INT(A32),X:Y,2), IF(ISERROR(H32-2),"",I31*(1-$D$8*(H32-H31)*0.0001)))</f>
        <v>264.62900000000002</v>
      </c>
      <c r="J32" s="41">
        <f t="shared" ca="1" si="7"/>
        <v>264.62900000000002</v>
      </c>
      <c r="K32" s="43">
        <f t="shared" ca="1" si="8"/>
        <v>31782.496782496895</v>
      </c>
      <c r="L32" s="43"/>
      <c r="M32" s="44">
        <f ca="1">IF(ISERROR(B32-2),"",C32+D32-F32-G32-K32+SUM($L$14:L32))</f>
        <v>-327248.55278249364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46147.625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46128.625</v>
      </c>
      <c r="B33" s="40">
        <f ca="1">IF(COUNTIF($W$2:W1018,A33)=1,VLOOKUP(A33,O:P,2), IF(COUNTIF($W$2:W1018,A33)=0,$B$9,""))</f>
        <v>310.64</v>
      </c>
      <c r="C33" s="2">
        <f t="shared" ca="1" si="4"/>
        <v>-298272.00000000041</v>
      </c>
      <c r="D33" s="43"/>
      <c r="E33" s="40">
        <f ca="1">IF(COUNTIF($W$2:W1018,A33)=1,VLOOKUP(A33,Q:R,2), IF(COUNTIF($W$2:W1018,A33)=0,$C$9,""))</f>
        <v>99.677000000000007</v>
      </c>
      <c r="F33" s="2">
        <f t="shared" ca="1" si="5"/>
        <v>-18199.999999998228</v>
      </c>
      <c r="G33" s="43">
        <f t="shared" ca="1" si="6"/>
        <v>346.44133333332138</v>
      </c>
      <c r="H33" s="40">
        <f ca="1">IF(COUNTIF($W$2:W1018,A33)=1,VLOOKUP(A33,S:T,2), IF(COUNTIF($W$2:W1018,A33)=0,$D$9,""))</f>
        <v>286.733</v>
      </c>
      <c r="I33" s="41">
        <f ca="1">IF(COUNTIF($X$2:X1018,INT(A33))=1,VLOOKUP(INT(A33),X:Y,2), IF(ISERROR(H33-2),"",I32*(1-$D$8*(H33-H32)*0.0001)))</f>
        <v>264.24419999999998</v>
      </c>
      <c r="J33" s="41">
        <f t="shared" ca="1" si="7"/>
        <v>264.24419999999998</v>
      </c>
      <c r="K33" s="43">
        <f t="shared" ca="1" si="8"/>
        <v>4544.4015444009219</v>
      </c>
      <c r="L33" s="43"/>
      <c r="M33" s="44">
        <f ca="1">IF(ISERROR(B33-2),"",C33+D33-F33-G33-K33+SUM($L$14:L33))</f>
        <v>-284962.84287773637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46148.625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46129.625</v>
      </c>
      <c r="B34" s="40">
        <f ca="1">IF(COUNTIF($W$2:W1019,A34)=1,VLOOKUP(A34,O:P,2), IF(COUNTIF($W$2:W1019,A34)=0,$B$9,""))</f>
        <v>312.38</v>
      </c>
      <c r="C34" s="2">
        <f t="shared" ca="1" si="4"/>
        <v>-131927.99999999956</v>
      </c>
      <c r="D34" s="43"/>
      <c r="E34" s="40">
        <f ca="1">IF(COUNTIF($W$2:W1019,A34)=1,VLOOKUP(A34,Q:R,2), IF(COUNTIF($W$2:W1019,A34)=0,$C$9,""))</f>
        <v>99.953999999999994</v>
      </c>
      <c r="F34" s="2">
        <f t="shared" ca="1" si="5"/>
        <v>53819.999999998348</v>
      </c>
      <c r="G34" s="43">
        <f t="shared" ca="1" si="6"/>
        <v>350.82666666668956</v>
      </c>
      <c r="H34" s="40">
        <f ca="1">IF(COUNTIF($W$2:W1019,A34)=1,VLOOKUP(A34,S:T,2), IF(COUNTIF($W$2:W1019,A34)=0,$D$9,""))</f>
        <v>275.16800000000001</v>
      </c>
      <c r="I34" s="41">
        <f ca="1">IF(COUNTIF($X$2:X1019,INT(A34))=1,VLOOKUP(INT(A34),X:Y,2), IF(ISERROR(H34-2),"",I33*(1-$D$8*(H34-H33)*0.0001)))</f>
        <v>265.60180000000003</v>
      </c>
      <c r="J34" s="41">
        <f t="shared" ca="1" si="7"/>
        <v>265.60180000000003</v>
      </c>
      <c r="K34" s="43">
        <f t="shared" ca="1" si="8"/>
        <v>100642.21364221333</v>
      </c>
      <c r="L34" s="43"/>
      <c r="M34" s="44">
        <f ca="1">IF(ISERROR(B34-2),"",C34+D34-F34-G34-K34+SUM($L$14:L34))</f>
        <v>-286741.04030887794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46149.625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46132.625</v>
      </c>
      <c r="B35" s="40">
        <f ca="1">IF(COUNTIF($W$2:W1020,A35)=1,VLOOKUP(A35,O:P,2), IF(COUNTIF($W$2:W1020,A35)=0,$B$9,""))</f>
        <v>311.66000000000003</v>
      </c>
      <c r="C35" s="2">
        <f t="shared" ca="1" si="4"/>
        <v>-200759.99999999674</v>
      </c>
      <c r="D35" s="43"/>
      <c r="E35" s="40">
        <f ca="1">IF(COUNTIF($W$2:W1020,A35)=1,VLOOKUP(A35,Q:R,2), IF(COUNTIF($W$2:W1020,A35)=0,$C$9,""))</f>
        <v>99.831000000000003</v>
      </c>
      <c r="F35" s="2">
        <f t="shared" ca="1" si="5"/>
        <v>21840.000000000826</v>
      </c>
      <c r="G35" s="43">
        <f t="shared" ca="1" si="6"/>
        <v>363.98266666667769</v>
      </c>
      <c r="H35" s="40">
        <f ca="1">IF(COUNTIF($W$2:W1020,A35)=1,VLOOKUP(A35,S:T,2), IF(COUNTIF($W$2:W1020,A35)=0,$D$9,""))</f>
        <v>280.36399999999998</v>
      </c>
      <c r="I35" s="41">
        <f ca="1">IF(COUNTIF($X$2:X1020,INT(A35))=1,VLOOKUP(INT(A35),X:Y,2), IF(ISERROR(H35-2),"",I34*(1-$D$8*(H35-H34)*0.0001)))</f>
        <v>265.2414</v>
      </c>
      <c r="J35" s="41">
        <f t="shared" ca="1" si="7"/>
        <v>265.2414</v>
      </c>
      <c r="K35" s="43">
        <f t="shared" ca="1" si="8"/>
        <v>75131.274131274666</v>
      </c>
      <c r="L35" s="43"/>
      <c r="M35" s="44">
        <f ca="1">IF(ISERROR(B35-2),"",C35+D35-F35-G35-K35+SUM($L$14:L35))</f>
        <v>-298095.2567979389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46150.625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46133.625</v>
      </c>
      <c r="B36" s="40">
        <f ca="1">IF(COUNTIF($W$2:W1021,A36)=1,VLOOKUP(A36,O:P,2), IF(COUNTIF($W$2:W1021,A36)=0,$B$9,""))</f>
        <v>311.39999999999998</v>
      </c>
      <c r="C36" s="2">
        <f t="shared" ca="1" si="4"/>
        <v>-225616.00000000131</v>
      </c>
      <c r="D36" s="43"/>
      <c r="E36" s="40">
        <f ca="1">IF(COUNTIF($W$2:W1021,A36)=1,VLOOKUP(A36,Q:R,2), IF(COUNTIF($W$2:W1021,A36)=0,$C$9,""))</f>
        <v>99.707999999999998</v>
      </c>
      <c r="F36" s="2">
        <f t="shared" ca="1" si="5"/>
        <v>-10140.000000000384</v>
      </c>
      <c r="G36" s="43">
        <f t="shared" ca="1" si="6"/>
        <v>368.36800000001676</v>
      </c>
      <c r="H36" s="40">
        <f ca="1">IF(COUNTIF($W$2:W1021,A36)=1,VLOOKUP(A36,S:T,2), IF(COUNTIF($W$2:W1021,A36)=0,$D$9,""))</f>
        <v>285.44799999999998</v>
      </c>
      <c r="I36" s="41">
        <f ca="1">IF(COUNTIF($X$2:X1021,INT(A36))=1,VLOOKUP(INT(A36),X:Y,2), IF(ISERROR(H36-2),"",I35*(1-$D$8*(H36-H35)*0.0001)))</f>
        <v>264.60359999999997</v>
      </c>
      <c r="J36" s="41">
        <f t="shared" ca="1" si="7"/>
        <v>264.60359999999997</v>
      </c>
      <c r="K36" s="43">
        <f t="shared" ca="1" si="8"/>
        <v>29984.555984555296</v>
      </c>
      <c r="L36" s="43"/>
      <c r="M36" s="44">
        <f ca="1">IF(ISERROR(B36-2),"",C36+D36-F36-G36-K36+SUM($L$14:L36))</f>
        <v>-245828.92398455626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46154.625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46134.625</v>
      </c>
      <c r="B37" s="40">
        <f ca="1">IF(COUNTIF($W$2:W1022,A37)=1,VLOOKUP(A37,O:P,2), IF(COUNTIF($W$2:W1022,A37)=0,$B$9,""))</f>
        <v>310.62</v>
      </c>
      <c r="C37" s="2">
        <f t="shared" ca="1" si="4"/>
        <v>-300183.99999999872</v>
      </c>
      <c r="D37" s="43"/>
      <c r="E37" s="40">
        <f ca="1">IF(COUNTIF($W$2:W1022,A37)=1,VLOOKUP(A37,Q:R,2), IF(COUNTIF($W$2:W1022,A37)=0,$C$9,""))</f>
        <v>99.655000000000001</v>
      </c>
      <c r="F37" s="2">
        <f t="shared" ca="1" si="5"/>
        <v>-23919.999999999673</v>
      </c>
      <c r="G37" s="43">
        <f t="shared" ca="1" si="6"/>
        <v>372.75333333332674</v>
      </c>
      <c r="H37" s="40">
        <f ca="1">IF(COUNTIF($W$2:W1022,A37)=1,VLOOKUP(A37,S:T,2), IF(COUNTIF($W$2:W1022,A37)=0,$D$9,""))</f>
        <v>285.53500000000003</v>
      </c>
      <c r="I37" s="41">
        <f ca="1">IF(COUNTIF($X$2:X1022,INT(A37))=1,VLOOKUP(INT(A37),X:Y,2), IF(ISERROR(H37-2),"",I36*(1-$D$8*(H37-H36)*0.0001)))</f>
        <v>264.55340000000001</v>
      </c>
      <c r="J37" s="41">
        <f t="shared" ca="1" si="7"/>
        <v>264.55340000000001</v>
      </c>
      <c r="K37" s="43">
        <f t="shared" ca="1" si="8"/>
        <v>26431.145431146819</v>
      </c>
      <c r="L37" s="43"/>
      <c r="M37" s="44">
        <f ca="1">IF(ISERROR(B37-2),"",C37+D37-F37-G37-K37+SUM($L$14:L37))</f>
        <v>-303067.89876447921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46155.625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46136.625</v>
      </c>
      <c r="B38" s="40">
        <f ca="1">IF(COUNTIF($W$2:W1023,A38)=1,VLOOKUP(A38,O:P,2), IF(COUNTIF($W$2:W1023,A38)=0,$B$9,""))</f>
        <v>310.48</v>
      </c>
      <c r="C38" s="2">
        <f t="shared" ca="1" si="4"/>
        <v>-313567.99999999738</v>
      </c>
      <c r="D38" s="43"/>
      <c r="E38" s="40">
        <f ca="1">IF(COUNTIF($W$2:W1023,A38)=1,VLOOKUP(A38,Q:R,2), IF(COUNTIF($W$2:W1023,A38)=0,$C$9,""))</f>
        <v>99.637</v>
      </c>
      <c r="F38" s="2">
        <f t="shared" ca="1" si="5"/>
        <v>-28599.999999999851</v>
      </c>
      <c r="G38" s="43">
        <f t="shared" ca="1" si="6"/>
        <v>381.52400000000489</v>
      </c>
      <c r="H38" s="40">
        <f ca="1">IF(COUNTIF($W$2:W1023,A38)=1,VLOOKUP(A38,S:T,2), IF(COUNTIF($W$2:W1023,A38)=0,$D$9,""))</f>
        <v>288.863</v>
      </c>
      <c r="I38" s="41">
        <f ca="1">IF(COUNTIF($X$2:X1023,INT(A38))=1,VLOOKUP(INT(A38),X:Y,2), IF(ISERROR(H38-2),"",I37*(1-$D$8*(H38-H37)*0.0001)))</f>
        <v>264.2679</v>
      </c>
      <c r="J38" s="41">
        <f t="shared" ca="1" si="7"/>
        <v>264.2679</v>
      </c>
      <c r="K38" s="43">
        <f t="shared" ca="1" si="8"/>
        <v>6222.0077220071616</v>
      </c>
      <c r="L38" s="43"/>
      <c r="M38" s="44">
        <f ca="1">IF(ISERROR(B38-2),"",C38+D38-F38-G38-K38+SUM($L$14:L38))</f>
        <v>-291571.5317220047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46157.625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46139.625</v>
      </c>
      <c r="B39" s="40">
        <f ca="1">IF(COUNTIF($W$2:W1024,A39)=1,VLOOKUP(A39,O:P,2), IF(COUNTIF($W$2:W1024,A39)=0,$B$9,""))</f>
        <v>310.7</v>
      </c>
      <c r="C39" s="2">
        <f t="shared" ca="1" si="4"/>
        <v>-292536.00000000023</v>
      </c>
      <c r="D39" s="43"/>
      <c r="E39" s="40">
        <f ca="1">IF(COUNTIF($W$2:W1024,A39)=1,VLOOKUP(A39,Q:R,2), IF(COUNTIF($W$2:W1024,A39)=0,$C$9,""))</f>
        <v>99.608000000000004</v>
      </c>
      <c r="F39" s="2">
        <f t="shared" ca="1" si="5"/>
        <v>-36139.999999998909</v>
      </c>
      <c r="G39" s="43">
        <f t="shared" ca="1" si="6"/>
        <v>394.67999999999302</v>
      </c>
      <c r="H39" s="40">
        <f ca="1">IF(COUNTIF($W$2:W1024,A39)=1,VLOOKUP(A39,S:T,2), IF(COUNTIF($W$2:W1024,A39)=0,$D$9,""))</f>
        <v>289.209</v>
      </c>
      <c r="I39" s="41">
        <f ca="1">IF(COUNTIF($X$2:X1024,INT(A39))=1,VLOOKUP(INT(A39),X:Y,2), IF(ISERROR(H39-2),"",I38*(1-$D$8*(H39-H38)*0.0001)))</f>
        <v>264.16750000000002</v>
      </c>
      <c r="J39" s="41">
        <f t="shared" ca="1" si="7"/>
        <v>264.16750000000002</v>
      </c>
      <c r="K39" s="43">
        <f t="shared" ca="1" si="8"/>
        <v>-884.81338481186663</v>
      </c>
      <c r="L39" s="43"/>
      <c r="M39" s="44">
        <f ca="1">IF(ISERROR(B39-2),"",C39+D39-F39-G39-K39+SUM($L$14:L39))</f>
        <v>-255905.86661518947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W39" s="3">
        <v>46161.625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46140.625</v>
      </c>
      <c r="B40" s="40">
        <f ca="1">IF(COUNTIF($W$2:W1025,A40)=1,VLOOKUP(A40,O:P,2), IF(COUNTIF($W$2:W1025,A40)=0,$B$9,""))</f>
        <v>309.88</v>
      </c>
      <c r="C40" s="2">
        <f t="shared" ca="1" si="4"/>
        <v>-370927.99999999959</v>
      </c>
      <c r="D40" s="43"/>
      <c r="E40" s="40">
        <f ca="1">IF(COUNTIF($W$2:W1025,A40)=1,VLOOKUP(A40,Q:R,2), IF(COUNTIF($W$2:W1025,A40)=0,$C$9,""))</f>
        <v>99.456000000000003</v>
      </c>
      <c r="F40" s="2">
        <f t="shared" ca="1" si="5"/>
        <v>-75659.999999999171</v>
      </c>
      <c r="G40" s="43">
        <f t="shared" ca="1" si="6"/>
        <v>399.06533333333209</v>
      </c>
      <c r="H40" s="40">
        <f ca="1">IF(COUNTIF($W$2:W1025,A40)=1,VLOOKUP(A40,S:T,2), IF(COUNTIF($W$2:W1025,A40)=0,$D$9,""))</f>
        <v>291.65699999999998</v>
      </c>
      <c r="I40" s="41">
        <f ca="1">IF(COUNTIF($X$2:X1025,INT(A40))=1,VLOOKUP(INT(A40),X:Y,2), IF(ISERROR(H40-2),"",I39*(1-$D$8*(H40-H39)*0.0001)))</f>
        <v>263.87139999999999</v>
      </c>
      <c r="J40" s="41">
        <f t="shared" ca="1" si="7"/>
        <v>263.87139999999999</v>
      </c>
      <c r="K40" s="43">
        <f t="shared" ca="1" si="8"/>
        <v>-21844.272844273248</v>
      </c>
      <c r="L40" s="43"/>
      <c r="M40" s="44">
        <f ca="1">IF(ISERROR(B40-2),"",C40+D40-F40-G40-K40+SUM($L$14:L40))</f>
        <v>-273822.79248906049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W40" s="3">
        <v>46162.625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46141.625</v>
      </c>
      <c r="B41" s="40">
        <f ca="1">IF(COUNTIF($W$2:W1026,A41)=1,VLOOKUP(A41,O:P,2), IF(COUNTIF($W$2:W1026,A41)=0,$B$9,""))</f>
        <v>309.58</v>
      </c>
      <c r="C41" s="2">
        <f t="shared" ca="1" si="4"/>
        <v>-399608.00000000064</v>
      </c>
      <c r="D41" s="43"/>
      <c r="E41" s="40">
        <f ca="1">IF(COUNTIF($W$2:W1026,A41)=1,VLOOKUP(A41,Q:R,2), IF(COUNTIF($W$2:W1026,A41)=0,$C$9,""))</f>
        <v>99.296000000000006</v>
      </c>
      <c r="F41" s="2">
        <f t="shared" ca="1" si="5"/>
        <v>-117259.99999999828</v>
      </c>
      <c r="G41" s="43">
        <f t="shared" ca="1" si="6"/>
        <v>403.45066666667117</v>
      </c>
      <c r="H41" s="40">
        <f ca="1">IF(COUNTIF($W$2:W1026,A41)=1,VLOOKUP(A41,S:T,2), IF(COUNTIF($W$2:W1026,A41)=0,$D$9,""))</f>
        <v>294.57900000000001</v>
      </c>
      <c r="I41" s="41">
        <f ca="1">IF(COUNTIF($X$2:X1026,INT(A41))=1,VLOOKUP(INT(A41),X:Y,2), IF(ISERROR(H41-2),"",I40*(1-$D$8*(H41-H40)*0.0001)))</f>
        <v>263.29599999999999</v>
      </c>
      <c r="J41" s="41">
        <f t="shared" ca="1" si="7"/>
        <v>263.29599999999999</v>
      </c>
      <c r="K41" s="43">
        <f t="shared" ca="1" si="8"/>
        <v>-62574.002574003418</v>
      </c>
      <c r="L41" s="43"/>
      <c r="M41" s="44">
        <f ca="1">IF(ISERROR(B41-2),"",C41+D41-F41-G41-K41+SUM($L$14:L41))</f>
        <v>-220177.44809266558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W41" s="3">
        <v>46163.625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46142.625</v>
      </c>
      <c r="B42" s="40">
        <f ca="1">IF(COUNTIF($W$2:W1027,A42)=1,VLOOKUP(A42,O:P,2), IF(COUNTIF($W$2:W1027,A42)=0,$B$9,""))</f>
        <v>310</v>
      </c>
      <c r="C42" s="2">
        <f t="shared" ca="1" si="4"/>
        <v>-359455.99999999913</v>
      </c>
      <c r="D42" s="43"/>
      <c r="E42" s="40">
        <f ca="1">IF(COUNTIF($W$2:W1027,A42)=1,VLOOKUP(A42,Q:R,2), IF(COUNTIF($W$2:W1027,A42)=0,$C$9,""))</f>
        <v>99.435000000000002</v>
      </c>
      <c r="F42" s="2">
        <f t="shared" ca="1" si="5"/>
        <v>-81119.999999999374</v>
      </c>
      <c r="G42" s="43">
        <f t="shared" ca="1" si="6"/>
        <v>407.83600000001024</v>
      </c>
      <c r="H42" s="40">
        <f ca="1">IF(COUNTIF($W$2:W1027,A42)=1,VLOOKUP(A42,S:T,2), IF(COUNTIF($W$2:W1027,A42)=0,$D$9,""))</f>
        <v>292.42099999999999</v>
      </c>
      <c r="I42" s="41">
        <f ca="1">IF(COUNTIF($X$2:X1027,INT(A42))=1,VLOOKUP(INT(A42),X:Y,2), IF(ISERROR(H42-2),"",I41*(1-$D$8*(H42-H41)*0.0001)))</f>
        <v>263.72019999999998</v>
      </c>
      <c r="J42" s="41">
        <f t="shared" ca="1" si="7"/>
        <v>263.72019999999998</v>
      </c>
      <c r="K42" s="43">
        <f t="shared" ca="1" si="8"/>
        <v>-32546.975546977552</v>
      </c>
      <c r="L42" s="43"/>
      <c r="M42" s="44">
        <f ca="1">IF(ISERROR(B42-2),"",C42+D42-F42-G42-K42+SUM($L$14:L42))</f>
        <v>-246196.86045302224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W42" s="3">
        <v>46168.625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46147.625</v>
      </c>
      <c r="B43" s="40">
        <f ca="1">IF(COUNTIF($W$2:W1028,A43)=1,VLOOKUP(A43,O:P,2), IF(COUNTIF($W$2:W1028,A43)=0,$B$9,""))</f>
        <v>310.38</v>
      </c>
      <c r="C43" s="2">
        <f t="shared" ca="1" si="4"/>
        <v>-323127.99999999959</v>
      </c>
      <c r="D43" s="43"/>
      <c r="E43" s="40">
        <f ca="1">IF(COUNTIF($W$2:W1028,A43)=1,VLOOKUP(A43,Q:R,2), IF(COUNTIF($W$2:W1028,A43)=0,$C$9,""))</f>
        <v>99.343000000000004</v>
      </c>
      <c r="F43" s="2">
        <f t="shared" ca="1" si="5"/>
        <v>-105039.99999999905</v>
      </c>
      <c r="G43" s="43">
        <f t="shared" ca="1" si="6"/>
        <v>429.76266666667652</v>
      </c>
      <c r="H43" s="40">
        <f ca="1">IF(COUNTIF($W$2:W1028,A43)=1,VLOOKUP(A43,S:T,2), IF(COUNTIF($W$2:W1028,A43)=0,$D$9,""))</f>
        <v>287.88900000000001</v>
      </c>
      <c r="I43" s="41">
        <f ca="1">IF(COUNTIF($X$2:X1028,INT(A43))=1,VLOOKUP(INT(A43),X:Y,2), IF(ISERROR(H43-2),"",I42*(1-$D$8*(H43-H42)*0.0001)))</f>
        <v>264.5573</v>
      </c>
      <c r="J43" s="41">
        <f t="shared" ca="1" si="7"/>
        <v>264.5573</v>
      </c>
      <c r="K43" s="43">
        <f t="shared" ca="1" si="8"/>
        <v>26707.207207207604</v>
      </c>
      <c r="L43" s="43"/>
      <c r="M43" s="44">
        <f ca="1">IF(ISERROR(B43-2),"",C43+D43-F43-G43-K43+SUM($L$14:L43))</f>
        <v>-245224.9698738748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W43" s="3">
        <v>46169.625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46148.625</v>
      </c>
      <c r="B44" s="40">
        <f ca="1">IF(COUNTIF($W$2:W1029,A44)=1,VLOOKUP(A44,O:P,2), IF(COUNTIF($W$2:W1029,A44)=0,$B$9,""))</f>
        <v>311.94</v>
      </c>
      <c r="C44" s="2">
        <f t="shared" ca="1" si="4"/>
        <v>-173991.99999999936</v>
      </c>
      <c r="D44" s="43"/>
      <c r="E44" s="40">
        <f ca="1">IF(COUNTIF($W$2:W1029,A44)=1,VLOOKUP(A44,Q:R,2), IF(COUNTIF($W$2:W1029,A44)=0,$C$9,""))</f>
        <v>99.63</v>
      </c>
      <c r="F44" s="2">
        <f t="shared" ca="1" si="5"/>
        <v>-30420.00000000115</v>
      </c>
      <c r="G44" s="43">
        <f t="shared" ca="1" si="6"/>
        <v>434.1479999999865</v>
      </c>
      <c r="H44" s="40">
        <f ca="1">IF(COUNTIF($W$2:W1029,A44)=1,VLOOKUP(A44,S:T,2), IF(COUNTIF($W$2:W1029,A44)=0,$D$9,""))</f>
        <v>275.09699999999998</v>
      </c>
      <c r="I44" s="41">
        <f ca="1">IF(COUNTIF($X$2:X1029,INT(A44))=1,VLOOKUP(INT(A44),X:Y,2), IF(ISERROR(H44-2),"",I43*(1-$D$8*(H44-H43)*0.0001)))</f>
        <v>266.11750000000001</v>
      </c>
      <c r="J44" s="41">
        <f t="shared" ca="1" si="7"/>
        <v>266.11750000000001</v>
      </c>
      <c r="K44" s="43">
        <f t="shared" ca="1" si="8"/>
        <v>137146.07464607395</v>
      </c>
      <c r="L44" s="43"/>
      <c r="M44" s="44">
        <f ca="1">IF(ISERROR(B44-2),"",C44+D44-F44-G44-K44+SUM($L$14:L44))</f>
        <v>-281152.22264607216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W44" s="3">
        <v>46170.625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46149.625</v>
      </c>
      <c r="B45" s="40">
        <f ca="1">IF(COUNTIF($W$2:W1030,A45)=1,VLOOKUP(A45,O:P,2), IF(COUNTIF($W$2:W1030,A45)=0,$B$9,""))</f>
        <v>312.06</v>
      </c>
      <c r="C45" s="2">
        <f t="shared" ca="1" si="4"/>
        <v>-162519.99999999892</v>
      </c>
      <c r="D45" s="43"/>
      <c r="E45" s="40">
        <f ca="1">IF(COUNTIF($W$2:W1030,A45)=1,VLOOKUP(A45,Q:R,2), IF(COUNTIF($W$2:W1030,A45)=0,$C$9,""))</f>
        <v>99.650999999999996</v>
      </c>
      <c r="F45" s="2">
        <f t="shared" ca="1" si="5"/>
        <v>-24960.000000000946</v>
      </c>
      <c r="G45" s="43">
        <f t="shared" ca="1" si="6"/>
        <v>438.53333333335468</v>
      </c>
      <c r="H45" s="40">
        <f ca="1">IF(COUNTIF($W$2:W1030,A45)=1,VLOOKUP(A45,S:T,2), IF(COUNTIF($W$2:W1030,A45)=0,$D$9,""))</f>
        <v>275.04599999999999</v>
      </c>
      <c r="I45" s="41">
        <f ca="1">IF(COUNTIF($X$2:X1030,INT(A45))=1,VLOOKUP(INT(A45),X:Y,2), IF(ISERROR(H45-2),"",I44*(1-$D$8*(H45-H44)*0.0001)))</f>
        <v>265.79050000000001</v>
      </c>
      <c r="J45" s="41">
        <f t="shared" ca="1" si="7"/>
        <v>265.79050000000001</v>
      </c>
      <c r="K45" s="43">
        <f t="shared" ca="1" si="8"/>
        <v>113999.35649935532</v>
      </c>
      <c r="L45" s="43"/>
      <c r="M45" s="44">
        <f ca="1">IF(ISERROR(B45-2),"",C45+D45-F45-G45-K45+SUM($L$14:L45))</f>
        <v>-251997.88983268663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W45" s="3">
        <v>46171.625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46150.625</v>
      </c>
      <c r="B46" s="40">
        <f ca="1">IF(COUNTIF($W$2:W1031,A46)=1,VLOOKUP(A46,O:P,2), IF(COUNTIF($W$2:W1031,A46)=0,$B$9,""))</f>
        <v>312.38</v>
      </c>
      <c r="C46" s="2">
        <f t="shared" ca="1" si="4"/>
        <v>-131927.99999999956</v>
      </c>
      <c r="D46" s="43"/>
      <c r="E46" s="40">
        <f ca="1">IF(COUNTIF($W$2:W1031,A46)=1,VLOOKUP(A46,Q:R,2), IF(COUNTIF($W$2:W1031,A46)=0,$C$9,""))</f>
        <v>99.58</v>
      </c>
      <c r="F46" s="2">
        <f t="shared" ca="1" si="5"/>
        <v>-43420.000000000415</v>
      </c>
      <c r="G46" s="43">
        <f t="shared" ca="1" si="6"/>
        <v>442.91866666663554</v>
      </c>
      <c r="H46" s="40">
        <f ca="1">IF(COUNTIF($W$2:W1031,A46)=1,VLOOKUP(A46,S:T,2), IF(COUNTIF($W$2:W1031,A46)=0,$D$9,""))</f>
        <v>277.74599999999998</v>
      </c>
      <c r="I46" s="41">
        <f ca="1">IF(COUNTIF($X$2:X1031,INT(A46))=1,VLOOKUP(INT(A46),X:Y,2), IF(ISERROR(H46-2),"",I45*(1-$D$8*(H46-H45)*0.0001)))</f>
        <v>265.83870000000002</v>
      </c>
      <c r="J46" s="41">
        <f t="shared" ca="1" si="7"/>
        <v>265.83870000000002</v>
      </c>
      <c r="K46" s="43">
        <f t="shared" ca="1" si="8"/>
        <v>117411.19691119937</v>
      </c>
      <c r="L46" s="43"/>
      <c r="M46" s="44">
        <f ca="1">IF(ISERROR(B46-2),"",C46+D46-F46-G46-K46+SUM($L$14:L46))</f>
        <v>-206362.11557786516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W46" s="3">
        <v>46174.625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46154.625</v>
      </c>
      <c r="B47" s="40">
        <f ca="1">IF(COUNTIF($W$2:W1032,A47)=1,VLOOKUP(A47,O:P,2), IF(COUNTIF($W$2:W1032,A47)=0,$B$9,""))</f>
        <v>311.7</v>
      </c>
      <c r="C47" s="2">
        <f t="shared" ca="1" si="4"/>
        <v>-196936.0000000002</v>
      </c>
      <c r="D47" s="43"/>
      <c r="E47" s="40">
        <f ca="1">IF(COUNTIF($W$2:W1032,A47)=1,VLOOKUP(A47,Q:R,2), IF(COUNTIF($W$2:W1032,A47)=0,$C$9,""))</f>
        <v>99.322999999999993</v>
      </c>
      <c r="F47" s="2">
        <f t="shared" ca="1" si="5"/>
        <v>-110240.00000000172</v>
      </c>
      <c r="G47" s="43">
        <f t="shared" ca="1" si="6"/>
        <v>460.45999999999185</v>
      </c>
      <c r="H47" s="40">
        <f ca="1">IF(COUNTIF($W$2:W1032,A47)=1,VLOOKUP(A47,S:T,2), IF(COUNTIF($W$2:W1032,A47)=0,$D$9,""))</f>
        <v>283.721</v>
      </c>
      <c r="I47" s="41">
        <f ca="1">IF(COUNTIF($X$2:X1032,INT(A47))=1,VLOOKUP(INT(A47),X:Y,2), IF(ISERROR(H47-2),"",I46*(1-$D$8*(H47-H46)*0.0001)))</f>
        <v>265.19240000000002</v>
      </c>
      <c r="J47" s="41">
        <f t="shared" ca="1" si="7"/>
        <v>265.19240000000002</v>
      </c>
      <c r="K47" s="43">
        <f t="shared" ca="1" si="8"/>
        <v>71662.805662807339</v>
      </c>
      <c r="L47" s="43"/>
      <c r="M47" s="44">
        <f ca="1">IF(ISERROR(B47-2),"",C47+D47-F47-G47-K47+SUM($L$14:L47))</f>
        <v>-158819.26566280582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W47" s="3">
        <v>46176.625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46155.625</v>
      </c>
      <c r="B48" s="40">
        <f ca="1">IF(COUNTIF($W$2:W1033,A48)=1,VLOOKUP(A48,O:P,2), IF(COUNTIF($W$2:W1033,A48)=0,$B$9,""))</f>
        <v>311.88</v>
      </c>
      <c r="C48" s="2">
        <f t="shared" ca="1" si="4"/>
        <v>-179727.99999999956</v>
      </c>
      <c r="D48" s="43"/>
      <c r="E48" s="40">
        <f ca="1">IF(COUNTIF($W$2:W1033,A48)=1,VLOOKUP(A48,Q:R,2), IF(COUNTIF($W$2:W1033,A48)=0,$C$9,""))</f>
        <v>99.292000000000002</v>
      </c>
      <c r="F48" s="2">
        <f t="shared" ca="1" si="5"/>
        <v>-118299.99999999955</v>
      </c>
      <c r="G48" s="43">
        <f t="shared" ca="1" si="6"/>
        <v>464.84533333333093</v>
      </c>
      <c r="H48" s="40">
        <f ca="1">IF(COUNTIF($W$2:W1033,A48)=1,VLOOKUP(A48,S:T,2), IF(COUNTIF($W$2:W1033,A48)=0,$D$9,""))</f>
        <v>280.03899999999999</v>
      </c>
      <c r="I48" s="41">
        <f ca="1">IF(COUNTIF($X$2:X1033,INT(A48))=1,VLOOKUP(INT(A48),X:Y,2), IF(ISERROR(H48-2),"",I47*(1-$D$8*(H48-H47)*0.0001)))</f>
        <v>265.76659999999998</v>
      </c>
      <c r="J48" s="41">
        <f t="shared" ca="1" si="7"/>
        <v>265.76659999999998</v>
      </c>
      <c r="K48" s="43">
        <f t="shared" ca="1" si="8"/>
        <v>112307.59330759221</v>
      </c>
      <c r="L48" s="43"/>
      <c r="M48" s="44">
        <f ca="1">IF(ISERROR(B48-2),"",C48+D48-F48-G48-K48+SUM($L$14:L48))</f>
        <v>-174200.43864092557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W48" s="3">
        <v>46177.625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46157.625</v>
      </c>
      <c r="B49" s="40">
        <f ca="1">IF(COUNTIF($W$2:W1034,A49)=1,VLOOKUP(A49,O:P,2), IF(COUNTIF($W$2:W1034,A49)=0,$B$9,""))</f>
        <v>311.48</v>
      </c>
      <c r="C49" s="2">
        <f t="shared" ca="1" si="4"/>
        <v>-217967.99999999738</v>
      </c>
      <c r="D49" s="43"/>
      <c r="E49" s="40">
        <f ca="1">IF(COUNTIF($W$2:W1034,A49)=1,VLOOKUP(A49,Q:R,2), IF(COUNTIF($W$2:W1034,A49)=0,$C$9,""))</f>
        <v>99.259</v>
      </c>
      <c r="F49" s="2">
        <f t="shared" ca="1" si="5"/>
        <v>-126879.99999999988</v>
      </c>
      <c r="G49" s="43">
        <f t="shared" ca="1" si="6"/>
        <v>473.61600000000908</v>
      </c>
      <c r="H49" s="40">
        <f ca="1">IF(COUNTIF($W$2:W1034,A49)=1,VLOOKUP(A49,S:T,2), IF(COUNTIF($W$2:W1034,A49)=0,$D$9,""))</f>
        <v>280.37200000000001</v>
      </c>
      <c r="I49" s="41">
        <f ca="1">IF(COUNTIF($X$2:X1034,INT(A49))=1,VLOOKUP(INT(A49),X:Y,2), IF(ISERROR(H49-2),"",I48*(1-$D$8*(H49-H48)*0.0001)))</f>
        <v>265.51639999999998</v>
      </c>
      <c r="J49" s="41">
        <f t="shared" ca="1" si="7"/>
        <v>265.51639999999998</v>
      </c>
      <c r="K49" s="43">
        <f t="shared" ca="1" si="8"/>
        <v>94597.168597164811</v>
      </c>
      <c r="L49" s="43"/>
      <c r="M49" s="44">
        <f ca="1">IF(ISERROR(B49-2),"",C49+D49-F49-G49-K49+SUM($L$14:L49))</f>
        <v>-186158.78459716233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W49" s="3">
        <v>46182.625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46161.625</v>
      </c>
      <c r="B50" s="40">
        <f ca="1">IF(COUNTIF($W$2:W1035,A50)=1,VLOOKUP(A50,O:P,2), IF(COUNTIF($W$2:W1035,A50)=0,$B$9,""))</f>
        <v>311.22000000000003</v>
      </c>
      <c r="C50" s="2">
        <f t="shared" ca="1" si="4"/>
        <v>-242823.99999999651</v>
      </c>
      <c r="D50" s="43"/>
      <c r="E50" s="40">
        <f ca="1">IF(COUNTIF($W$2:W1035,A50)=1,VLOOKUP(A50,Q:R,2), IF(COUNTIF($W$2:W1035,A50)=0,$C$9,""))</f>
        <v>99.180999999999997</v>
      </c>
      <c r="F50" s="2">
        <f t="shared" ca="1" si="5"/>
        <v>-147160.00000000067</v>
      </c>
      <c r="G50" s="43">
        <f t="shared" ca="1" si="6"/>
        <v>491.15733333333628</v>
      </c>
      <c r="H50" s="40">
        <f ca="1">IF(COUNTIF($W$2:W1035,A50)=1,VLOOKUP(A50,S:T,2), IF(COUNTIF($W$2:W1035,A50)=0,$D$9,""))</f>
        <v>285.488</v>
      </c>
      <c r="I50" s="41">
        <f ca="1">IF(COUNTIF($X$2:X1035,INT(A50))=1,VLOOKUP(INT(A50),X:Y,2), IF(ISERROR(H50-2),"",I49*(1-$D$8*(H50-H49)*0.0001)))</f>
        <v>265.08920000000001</v>
      </c>
      <c r="J50" s="41">
        <f t="shared" ca="1" si="7"/>
        <v>265.08920000000001</v>
      </c>
      <c r="K50" s="43">
        <f t="shared" ca="1" si="8"/>
        <v>64357.786357786084</v>
      </c>
      <c r="L50" s="43"/>
      <c r="M50" s="44">
        <f ca="1">IF(ISERROR(B50-2),"",C50+D50-F50-G50-K50+SUM($L$14:L50))</f>
        <v>-160512.94369111524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W50" s="3">
        <v>46188.625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46162.625</v>
      </c>
      <c r="B51" s="40">
        <f ca="1">IF(COUNTIF($W$2:W1036,A51)=1,VLOOKUP(A51,O:P,2), IF(COUNTIF($W$2:W1036,A51)=0,$B$9,""))</f>
        <v>311.52</v>
      </c>
      <c r="C51" s="2">
        <f t="shared" ca="1" si="4"/>
        <v>-214144.00000000087</v>
      </c>
      <c r="D51" s="43"/>
      <c r="E51" s="40">
        <f ca="1">IF(COUNTIF($W$2:W1036,A51)=1,VLOOKUP(A51,Q:R,2), IF(COUNTIF($W$2:W1036,A51)=0,$C$9,""))</f>
        <v>99.39</v>
      </c>
      <c r="F51" s="2">
        <f t="shared" ca="1" si="5"/>
        <v>-92819.999999999825</v>
      </c>
      <c r="G51" s="43">
        <f t="shared" ca="1" si="6"/>
        <v>495.54266666667536</v>
      </c>
      <c r="H51" s="40">
        <f ca="1">IF(COUNTIF($W$2:W1036,A51)=1,VLOOKUP(A51,S:T,2), IF(COUNTIF($W$2:W1036,A51)=0,$D$9,""))</f>
        <v>278.315</v>
      </c>
      <c r="I51" s="41">
        <f ca="1">IF(COUNTIF($X$2:X1036,INT(A51))=1,VLOOKUP(INT(A51),X:Y,2), IF(ISERROR(H51-2),"",I50*(1-$D$8*(H51-H50)*0.0001)))</f>
        <v>266.18329999999997</v>
      </c>
      <c r="J51" s="41">
        <f t="shared" ca="1" si="7"/>
        <v>266.18329999999997</v>
      </c>
      <c r="K51" s="43">
        <f t="shared" ca="1" si="8"/>
        <v>141803.73230372972</v>
      </c>
      <c r="L51" s="43"/>
      <c r="M51" s="44">
        <f ca="1">IF(ISERROR(B51-2),"",C51+D51-F51-G51-K51+SUM($L$14:L51))</f>
        <v>-263623.27497039747</v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W51" s="3">
        <v>46189.625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46163.625</v>
      </c>
      <c r="B52" s="40">
        <f ca="1">IF(COUNTIF($W$2:W1037,A52)=1,VLOOKUP(A52,O:P,2), IF(COUNTIF($W$2:W1037,A52)=0,$B$9,""))</f>
        <v>311.18</v>
      </c>
      <c r="C52" s="2">
        <f t="shared" ca="1" si="4"/>
        <v>-246647.99999999849</v>
      </c>
      <c r="D52" s="43"/>
      <c r="E52" s="40">
        <f ca="1">IF(COUNTIF($W$2:W1037,A52)=1,VLOOKUP(A52,Q:R,2), IF(COUNTIF($W$2:W1037,A52)=0,$C$9,""))</f>
        <v>99.37</v>
      </c>
      <c r="F52" s="2">
        <f t="shared" ca="1" si="5"/>
        <v>-98019.999999998792</v>
      </c>
      <c r="G52" s="43">
        <f t="shared" ca="1" si="6"/>
        <v>499.92800000001444</v>
      </c>
      <c r="H52" s="40">
        <f ca="1">IF(COUNTIF($W$2:W1037,A52)=1,VLOOKUP(A52,S:T,2), IF(COUNTIF($W$2:W1037,A52)=0,$D$9,""))</f>
        <v>279.541</v>
      </c>
      <c r="I52" s="41">
        <f ca="1">IF(COUNTIF($X$2:X1037,INT(A52))=1,VLOOKUP(INT(A52),X:Y,2), IF(ISERROR(H52-2),"",I51*(1-$D$8*(H52-H51)*0.0001)))</f>
        <v>265.81610000000001</v>
      </c>
      <c r="J52" s="41">
        <f t="shared" ca="1" si="7"/>
        <v>265.81610000000001</v>
      </c>
      <c r="K52" s="43">
        <f t="shared" ca="1" si="8"/>
        <v>115811.45431145377</v>
      </c>
      <c r="L52" s="43"/>
      <c r="M52" s="44">
        <f ca="1">IF(ISERROR(B52-2),"",C52+D52-F52-G52-K52+SUM($L$14:L52))</f>
        <v>-264939.38231145346</v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W52" s="3">
        <v>46190.625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46168.625</v>
      </c>
      <c r="B53" s="40">
        <f ca="1">IF(COUNTIF($W$2:W1038,A53)=1,VLOOKUP(A53,O:P,2), IF(COUNTIF($W$2:W1038,A53)=0,$B$9,""))</f>
        <v>312.5</v>
      </c>
      <c r="C53" s="2">
        <f t="shared" ca="1" si="4"/>
        <v>-120455.99999999913</v>
      </c>
      <c r="D53" s="43"/>
      <c r="E53" s="40">
        <f ca="1">IF(COUNTIF($W$2:W1038,A53)=1,VLOOKUP(A53,Q:R,2), IF(COUNTIF($W$2:W1038,A53)=0,$C$9,""))</f>
        <v>99.56</v>
      </c>
      <c r="F53" s="2">
        <f t="shared" ca="1" si="5"/>
        <v>-48619.999999999374</v>
      </c>
      <c r="G53" s="43">
        <f t="shared" ca="1" si="6"/>
        <v>521.85466666665161</v>
      </c>
      <c r="H53" s="40">
        <f ca="1">IF(COUNTIF($W$2:W1038,A53)=1,VLOOKUP(A53,S:T,2), IF(COUNTIF($W$2:W1038,A53)=0,$D$9,""))</f>
        <v>268.83499999999998</v>
      </c>
      <c r="I53" s="41">
        <f ca="1">IF(COUNTIF($X$2:X1038,INT(A53))=1,VLOOKUP(INT(A53),X:Y,2), IF(ISERROR(H53-2),"",I52*(1-$D$8*(H53-H52)*0.0001)))</f>
        <v>267.40750000000003</v>
      </c>
      <c r="J53" s="41">
        <f t="shared" ca="1" si="7"/>
        <v>267.40750000000003</v>
      </c>
      <c r="K53" s="43">
        <f t="shared" ca="1" si="8"/>
        <v>228458.81595881886</v>
      </c>
      <c r="L53" s="43"/>
      <c r="M53" s="44">
        <f ca="1">IF(ISERROR(B53-2),"",C53+D53-F53-G53-K53+SUM($L$14:L53))</f>
        <v>-300816.67062548525</v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46169.625</v>
      </c>
      <c r="B54" s="40">
        <f ca="1">IF(COUNTIF($W$2:W1039,A54)=1,VLOOKUP(A54,O:P,2), IF(COUNTIF($W$2:W1039,A54)=0,$B$9,""))</f>
        <v>312.83999999999997</v>
      </c>
      <c r="C54" s="2">
        <f t="shared" ca="1" si="4"/>
        <v>-87952.000000001528</v>
      </c>
      <c r="D54" s="43"/>
      <c r="E54" s="40">
        <f ca="1">IF(COUNTIF($W$2:W1039,A54)=1,VLOOKUP(A54,Q:R,2), IF(COUNTIF($W$2:W1039,A54)=0,$C$9,""))</f>
        <v>99.588999999999999</v>
      </c>
      <c r="F54" s="2">
        <f t="shared" ca="1" si="5"/>
        <v>-41080.000000000327</v>
      </c>
      <c r="G54" s="43">
        <f t="shared" ca="1" si="6"/>
        <v>526.23999999999069</v>
      </c>
      <c r="H54" s="40">
        <f ca="1">IF(COUNTIF($W$2:W1039,A54)=1,VLOOKUP(A54,S:T,2), IF(COUNTIF($W$2:W1039,A54)=0,$D$9,""))</f>
        <v>266.55900000000003</v>
      </c>
      <c r="I54" s="41">
        <f ca="1">IF(COUNTIF($X$2:X1039,INT(A54))=1,VLOOKUP(INT(A54),X:Y,2), IF(ISERROR(H54-2),"",I53*(1-$D$8*(H54-H53)*0.0001)))</f>
        <v>267.66390000000001</v>
      </c>
      <c r="J54" s="41">
        <f t="shared" ca="1" si="7"/>
        <v>267.66390000000001</v>
      </c>
      <c r="K54" s="43">
        <f t="shared" ca="1" si="8"/>
        <v>246608.10810810883</v>
      </c>
      <c r="L54" s="43"/>
      <c r="M54" s="44">
        <f ca="1">IF(ISERROR(B54-2),"",C54+D54-F54-G54-K54+SUM($L$14:L54))</f>
        <v>-294006.34810811002</v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46170.625</v>
      </c>
      <c r="B55" s="40">
        <f ca="1">IF(COUNTIF($W$2:W1040,A55)=1,VLOOKUP(A55,O:P,2), IF(COUNTIF($W$2:W1040,A55)=0,$B$9,""))</f>
        <v>312.7</v>
      </c>
      <c r="C55" s="2">
        <f t="shared" ca="1" si="4"/>
        <v>-101336.00000000022</v>
      </c>
      <c r="D55" s="43"/>
      <c r="E55" s="40">
        <f ca="1">IF(COUNTIF($W$2:W1040,A55)=1,VLOOKUP(A55,Q:R,2), IF(COUNTIF($W$2:W1040,A55)=0,$C$9,""))</f>
        <v>99.653999999999996</v>
      </c>
      <c r="F55" s="2">
        <f t="shared" ca="1" si="5"/>
        <v>-24180.000000000917</v>
      </c>
      <c r="G55" s="43">
        <f t="shared" ca="1" si="6"/>
        <v>530.62533333332976</v>
      </c>
      <c r="H55" s="40">
        <f ca="1">IF(COUNTIF($W$2:W1040,A55)=1,VLOOKUP(A55,S:T,2), IF(COUNTIF($W$2:W1040,A55)=0,$D$9,""))</f>
        <v>264.23200000000003</v>
      </c>
      <c r="I55" s="41">
        <f ca="1">IF(COUNTIF($X$2:X1040,INT(A55))=1,VLOOKUP(INT(A55),X:Y,2), IF(ISERROR(H55-2),"",I54*(1-$D$8*(H55-H54)*0.0001)))</f>
        <v>268.21620000000001</v>
      </c>
      <c r="J55" s="41">
        <f t="shared" ca="1" si="7"/>
        <v>268.21620000000001</v>
      </c>
      <c r="K55" s="43">
        <f t="shared" ca="1" si="8"/>
        <v>285702.7027027033</v>
      </c>
      <c r="L55" s="43"/>
      <c r="M55" s="44">
        <f ca="1">IF(ISERROR(B55-2),"",C55+D55-F55-G55-K55+SUM($L$14:L55))</f>
        <v>-363389.32803603593</v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46171.625</v>
      </c>
      <c r="B56" s="40">
        <f ca="1">IF(COUNTIF($W$2:W1041,A56)=1,VLOOKUP(A56,O:P,2), IF(COUNTIF($W$2:W1041,A56)=0,$B$9,""))</f>
        <v>313.77999999999997</v>
      </c>
      <c r="C56" s="2">
        <f t="shared" ca="1" si="4"/>
        <v>1911.999999998261</v>
      </c>
      <c r="D56" s="43"/>
      <c r="E56" s="40">
        <f ca="1">IF(COUNTIF($W$2:W1041,A56)=1,VLOOKUP(A56,Q:R,2), IF(COUNTIF($W$2:W1041,A56)=0,$C$9,""))</f>
        <v>99.679000000000002</v>
      </c>
      <c r="F56" s="2">
        <f t="shared" ca="1" si="5"/>
        <v>-17679.999999999436</v>
      </c>
      <c r="G56" s="43">
        <f t="shared" ca="1" si="6"/>
        <v>535.01066666666884</v>
      </c>
      <c r="H56" s="40">
        <f ca="1">IF(COUNTIF($W$2:W1041,A56)=1,VLOOKUP(A56,S:T,2), IF(COUNTIF($W$2:W1041,A56)=0,$D$9,""))</f>
        <v>258.70600000000002</v>
      </c>
      <c r="I56" s="41">
        <f ca="1">IF(COUNTIF($X$2:X1041,INT(A56))=1,VLOOKUP(INT(A56),X:Y,2), IF(ISERROR(H56-2),"",I55*(1-$D$8*(H56-H55)*0.0001)))</f>
        <v>268.76229999999998</v>
      </c>
      <c r="J56" s="41">
        <f t="shared" ca="1" si="7"/>
        <v>268.76229999999998</v>
      </c>
      <c r="K56" s="43">
        <f t="shared" ca="1" si="8"/>
        <v>324358.42985842697</v>
      </c>
      <c r="L56" s="43"/>
      <c r="M56" s="44">
        <f ca="1">IF(ISERROR(B56-2),"",C56+D56-F56-G56-K56+SUM($L$14:L56))</f>
        <v>-305301.44052509597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46174.625</v>
      </c>
      <c r="B57" s="40">
        <f ca="1">IF(COUNTIF($W$2:W1042,A57)=1,VLOOKUP(A57,O:P,2), IF(COUNTIF($W$2:W1042,A57)=0,$B$9,""))</f>
        <v>312.83999999999997</v>
      </c>
      <c r="C57" s="2">
        <f t="shared" ca="1" si="4"/>
        <v>-87952.000000001528</v>
      </c>
      <c r="D57" s="43"/>
      <c r="E57" s="40">
        <f ca="1">IF(COUNTIF($W$2:W1042,A57)=1,VLOOKUP(A57,Q:R,2), IF(COUNTIF($W$2:W1042,A57)=0,$C$9,""))</f>
        <v>99.450999999999993</v>
      </c>
      <c r="F57" s="2">
        <f t="shared" ca="1" si="5"/>
        <v>-76960.000000001688</v>
      </c>
      <c r="G57" s="43">
        <f t="shared" ca="1" si="6"/>
        <v>548.16666666665697</v>
      </c>
      <c r="H57" s="40">
        <f ca="1">IF(COUNTIF($W$2:W1042,A57)=1,VLOOKUP(A57,S:T,2), IF(COUNTIF($W$2:W1042,A57)=0,$D$9,""))</f>
        <v>265.43599999999998</v>
      </c>
      <c r="I57" s="41">
        <f ca="1">IF(COUNTIF($X$2:X1042,INT(A57))=1,VLOOKUP(INT(A57),X:Y,2), IF(ISERROR(H57-2),"",I56*(1-$D$8*(H57-H56)*0.0001)))</f>
        <v>268.39839999999998</v>
      </c>
      <c r="J57" s="41">
        <f t="shared" ca="1" si="7"/>
        <v>268.39839999999998</v>
      </c>
      <c r="K57" s="43">
        <f t="shared" ca="1" si="8"/>
        <v>298599.74259974121</v>
      </c>
      <c r="L57" s="43"/>
      <c r="M57" s="44">
        <f ca="1">IF(ISERROR(B57-2),"",C57+D57-F57-G57-K57+SUM($L$14:L57))</f>
        <v>-310139.90926640772</v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46176.625</v>
      </c>
      <c r="B58" s="40">
        <f ca="1">IF(COUNTIF($W$2:W1043,A58)=1,VLOOKUP(A58,O:P,2), IF(COUNTIF($W$2:W1043,A58)=0,$B$9,""))</f>
        <v>313.08</v>
      </c>
      <c r="C58" s="2">
        <f t="shared" ca="1" si="4"/>
        <v>-65008.000000000655</v>
      </c>
      <c r="D58" s="43"/>
      <c r="E58" s="40">
        <f ca="1">IF(COUNTIF($W$2:W1043,A58)=1,VLOOKUP(A58,Q:R,2), IF(COUNTIF($W$2:W1043,A58)=0,$C$9,""))</f>
        <v>99.421999999999997</v>
      </c>
      <c r="F58" s="2">
        <f t="shared" ca="1" si="5"/>
        <v>-84500.000000000742</v>
      </c>
      <c r="G58" s="43">
        <f t="shared" ca="1" si="6"/>
        <v>556.93733333333512</v>
      </c>
      <c r="H58" s="40">
        <f ca="1">IF(COUNTIF($W$2:W1043,A58)=1,VLOOKUP(A58,S:T,2), IF(COUNTIF($W$2:W1043,A58)=0,$D$9,""))</f>
        <v>261.79599999999999</v>
      </c>
      <c r="I58" s="41">
        <f ca="1">IF(COUNTIF($X$2:X1043,INT(A58))=1,VLOOKUP(INT(A58),X:Y,2), IF(ISERROR(H58-2),"",I57*(1-$D$8*(H58-H57)*0.0001)))</f>
        <v>268.40789999999998</v>
      </c>
      <c r="J58" s="41">
        <f t="shared" ca="1" si="7"/>
        <v>268.40789999999998</v>
      </c>
      <c r="K58" s="43">
        <f t="shared" ca="1" si="8"/>
        <v>299272.20077219815</v>
      </c>
      <c r="L58" s="43"/>
      <c r="M58" s="44">
        <f ca="1">IF(ISERROR(B58-2),"",C58+D58-F58-G58-K58+SUM($L$14:L58))</f>
        <v>-280337.1381055314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46177.625</v>
      </c>
      <c r="B59" s="40">
        <f ca="1">IF(COUNTIF($W$2:W1044,A59)=1,VLOOKUP(A59,O:P,2), IF(COUNTIF($W$2:W1044,A59)=0,$B$9,""))</f>
        <v>313.04000000000002</v>
      </c>
      <c r="C59" s="2">
        <f t="shared" ca="1" si="4"/>
        <v>-68831.999999997177</v>
      </c>
      <c r="D59" s="43"/>
      <c r="E59" s="40">
        <f ca="1">IF(COUNTIF($W$2:W1044,A59)=1,VLOOKUP(A59,Q:R,2), IF(COUNTIF($W$2:W1044,A59)=0,$C$9,""))</f>
        <v>99.430999999999997</v>
      </c>
      <c r="F59" s="2">
        <f t="shared" ca="1" si="5"/>
        <v>-82160.000000000655</v>
      </c>
      <c r="G59" s="43">
        <f t="shared" ca="1" si="6"/>
        <v>561.32266666667419</v>
      </c>
      <c r="H59" s="40">
        <f ca="1">IF(COUNTIF($W$2:W1044,A59)=1,VLOOKUP(A59,S:T,2), IF(COUNTIF($W$2:W1044,A59)=0,$D$9,""))</f>
        <v>261.392</v>
      </c>
      <c r="I59" s="41">
        <f ca="1">IF(COUNTIF($X$2:X1044,INT(A59))=1,VLOOKUP(INT(A59),X:Y,2), IF(ISERROR(H59-2),"",I58*(1-$D$8*(H59-H58)*0.0001)))</f>
        <v>268.64510000000001</v>
      </c>
      <c r="J59" s="41">
        <f t="shared" ca="1" si="7"/>
        <v>268.64510000000001</v>
      </c>
      <c r="K59" s="43">
        <f t="shared" ca="1" si="8"/>
        <v>316062.41956242156</v>
      </c>
      <c r="L59" s="43"/>
      <c r="M59" s="44">
        <f ca="1">IF(ISERROR(B59-2),"",C59+D59-F59-G59-K59+SUM($L$14:L59))</f>
        <v>-303295.74222908478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46182.625</v>
      </c>
      <c r="B60" s="40">
        <f ca="1">IF(COUNTIF($W$2:W1045,A60)=1,VLOOKUP(A60,O:P,2), IF(COUNTIF($W$2:W1045,A60)=0,$B$9,""))</f>
        <v>313.3</v>
      </c>
      <c r="C60" s="2">
        <f t="shared" ca="1" si="4"/>
        <v>-43975.999999998043</v>
      </c>
      <c r="D60" s="43"/>
      <c r="E60" s="40">
        <f ca="1">IF(COUNTIF($W$2:W1045,A60)=1,VLOOKUP(A60,Q:R,2), IF(COUNTIF($W$2:W1045,A60)=0,$C$9,""))</f>
        <v>99.396000000000001</v>
      </c>
      <c r="F60" s="2">
        <f t="shared" ca="1" si="5"/>
        <v>-91259.999999999767</v>
      </c>
      <c r="G60" s="43">
        <f t="shared" ca="1" si="6"/>
        <v>583.24933333331137</v>
      </c>
      <c r="H60" s="40">
        <f ca="1">IF(COUNTIF($W$2:W1045,A60)=1,VLOOKUP(A60,S:T,2), IF(COUNTIF($W$2:W1045,A60)=0,$D$9,""))</f>
        <v>261.05</v>
      </c>
      <c r="I60" s="41">
        <f ca="1">IF(COUNTIF($X$2:X1045,INT(A60))=1,VLOOKUP(INT(A60),X:Y,2), IF(ISERROR(H60-2),"",I59*(1-$D$8*(H60-H59)*0.0001)))</f>
        <v>268.3329</v>
      </c>
      <c r="J60" s="41">
        <f t="shared" ca="1" si="7"/>
        <v>268.3329</v>
      </c>
      <c r="K60" s="43">
        <f t="shared" ca="1" si="8"/>
        <v>293963.32046331867</v>
      </c>
      <c r="L60" s="43"/>
      <c r="M60" s="44">
        <f ca="1">IF(ISERROR(B60-2),"",C60+D60-F60-G60-K60+SUM($L$14:L60))</f>
        <v>-247262.56979665026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46188.625</v>
      </c>
      <c r="B61" s="40">
        <f ca="1">IF(COUNTIF($W$2:W1046,A61)=1,VLOOKUP(A61,O:P,2), IF(COUNTIF($W$2:W1046,A61)=0,$B$9,""))</f>
        <v>314.27999999999997</v>
      </c>
      <c r="C61" s="2">
        <f t="shared" ca="1" si="4"/>
        <v>49711.999999998261</v>
      </c>
      <c r="D61" s="43"/>
      <c r="E61" s="40">
        <f ca="1">IF(COUNTIF($W$2:W1046,A61)=1,VLOOKUP(A61,Q:R,2), IF(COUNTIF($W$2:W1046,A61)=0,$C$9,""))</f>
        <v>99.631</v>
      </c>
      <c r="F61" s="2">
        <f t="shared" ca="1" si="5"/>
        <v>-30159.999999999909</v>
      </c>
      <c r="G61" s="43">
        <f t="shared" ca="1" si="6"/>
        <v>609.56133333334583</v>
      </c>
      <c r="H61" s="40">
        <f ca="1">IF(COUNTIF($W$2:W1046,A61)=1,VLOOKUP(A61,S:T,2), IF(COUNTIF($W$2:W1046,A61)=0,$D$9,""))</f>
        <v>248.518</v>
      </c>
      <c r="I61" s="41">
        <f ca="1">IF(COUNTIF($X$2:X1046,INT(A61))=1,VLOOKUP(INT(A61),X:Y,2), IF(ISERROR(H61-2),"",I60*(1-$D$8*(H61-H60)*0.0001)))</f>
        <v>270.47059999999999</v>
      </c>
      <c r="J61" s="41">
        <f t="shared" ca="1" si="7"/>
        <v>270.47059999999999</v>
      </c>
      <c r="K61" s="43">
        <f t="shared" ca="1" si="8"/>
        <v>445280.56628056424</v>
      </c>
      <c r="L61" s="43"/>
      <c r="M61" s="44">
        <f ca="1">IF(ISERROR(B61-2),"",C61+D61-F61-G61-K61+SUM($L$14:L61))</f>
        <v>-366018.12761389941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46189.625</v>
      </c>
      <c r="B62" s="40">
        <f ca="1">IF(COUNTIF($W$2:W1047,A62)=1,VLOOKUP(A62,O:P,2), IF(COUNTIF($W$2:W1047,A62)=0,$B$9,""))</f>
        <v>314.16000000000003</v>
      </c>
      <c r="C62" s="2">
        <f t="shared" ca="1" si="4"/>
        <v>38240.00000000326</v>
      </c>
      <c r="D62" s="43"/>
      <c r="E62" s="40">
        <f ca="1">IF(COUNTIF($W$2:W1047,A62)=1,VLOOKUP(A62,Q:R,2), IF(COUNTIF($W$2:W1047,A62)=0,$C$9,""))</f>
        <v>99.625</v>
      </c>
      <c r="F62" s="2">
        <f t="shared" ca="1" si="5"/>
        <v>-31719.999999999971</v>
      </c>
      <c r="G62" s="43">
        <f t="shared" ca="1" si="6"/>
        <v>613.9466666666558</v>
      </c>
      <c r="H62" s="40">
        <f ca="1">IF(COUNTIF($W$2:W1047,A62)=1,VLOOKUP(A62,S:T,2), IF(COUNTIF($W$2:W1047,A62)=0,$D$9,""))</f>
        <v>249.79400000000001</v>
      </c>
      <c r="I62" s="41">
        <f ca="1">IF(COUNTIF($X$2:X1047,INT(A62))=1,VLOOKUP(INT(A62),X:Y,2), IF(ISERROR(H62-2),"",I61*(1-$D$8*(H62-H61)*0.0001)))</f>
        <v>270.3356</v>
      </c>
      <c r="J62" s="41">
        <f t="shared" ca="1" si="7"/>
        <v>270.3356</v>
      </c>
      <c r="K62" s="43">
        <f t="shared" ca="1" si="8"/>
        <v>435724.58172458195</v>
      </c>
      <c r="L62" s="43"/>
      <c r="M62" s="44">
        <f ca="1">IF(ISERROR(B62-2),"",C62+D62-F62-G62-K62+SUM($L$14:L62))</f>
        <v>-366378.5283912454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46190.625</v>
      </c>
      <c r="B63" s="40">
        <f ca="1">IF(COUNTIF($W$2:W1048,A63)=1,VLOOKUP(A63,O:P,2), IF(COUNTIF($W$2:W1048,A63)=0,$B$9,""))</f>
        <v>313.66000000000003</v>
      </c>
      <c r="C63" s="2">
        <f t="shared" ca="1" si="4"/>
        <v>-9559.9999999967404</v>
      </c>
      <c r="D63" s="43"/>
      <c r="E63" s="40">
        <f ca="1">IF(COUNTIF($W$2:W1048,A63)=1,VLOOKUP(A63,Q:R,2), IF(COUNTIF($W$2:W1048,A63)=0,$C$9,""))</f>
        <v>99.600999999999999</v>
      </c>
      <c r="F63" s="2">
        <f t="shared" ca="1" si="5"/>
        <v>-37960.000000000204</v>
      </c>
      <c r="G63" s="43">
        <f t="shared" ca="1" si="6"/>
        <v>618.33199999999488</v>
      </c>
      <c r="H63" s="40">
        <f ca="1">IF(COUNTIF($W$2:W1048,A63)=1,VLOOKUP(A63,S:T,2), IF(COUNTIF($W$2:W1048,A63)=0,$D$9,""))</f>
        <v>252.459</v>
      </c>
      <c r="I63" s="41">
        <f ca="1">IF(COUNTIF($X$2:X1048,INT(A63))=1,VLOOKUP(INT(A63),X:Y,2), IF(ISERROR(H63-2),"",I62*(1-$D$8*(H63-H62)*0.0001)))</f>
        <v>270.1644</v>
      </c>
      <c r="J63" s="41">
        <f t="shared" ca="1" si="7"/>
        <v>270.1644</v>
      </c>
      <c r="K63" s="43">
        <f t="shared" ca="1" si="8"/>
        <v>423606.17760617536</v>
      </c>
      <c r="L63" s="43"/>
      <c r="M63" s="44">
        <f ca="1">IF(ISERROR(B63-2),"",C63+D63-F63-G63-K63+SUM($L$14:L63))</f>
        <v>-395824.50960617187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46198.782066666667</v>
      </c>
      <c r="B64" s="40">
        <f ca="1">IF(COUNTIF($W$2:W1049,A64)=1,VLOOKUP(A64,O:P,2), IF(COUNTIF($W$2:W1049,A64)=0,$B$9,""))</f>
        <v>313.66000000000003</v>
      </c>
      <c r="C64" s="2">
        <f t="shared" ca="1" si="4"/>
        <v>-9559.9999999967404</v>
      </c>
      <c r="D64" s="43"/>
      <c r="E64" s="40">
        <f ca="1">IF(COUNTIF($W$2:W1049,A64)=1,VLOOKUP(A64,Q:R,2), IF(COUNTIF($W$2:W1049,A64)=0,$C$9,""))</f>
        <v>99.747</v>
      </c>
      <c r="F64" s="2">
        <f t="shared" ca="1" si="5"/>
        <v>0</v>
      </c>
      <c r="G64" s="43">
        <f t="shared" ca="1" si="6"/>
        <v>653.41466666667839</v>
      </c>
      <c r="H64" s="40">
        <f ca="1">IF(COUNTIF($W$2:W1049,A64)=1,VLOOKUP(A64,S:T,2), IF(COUNTIF($W$2:W1049,A64)=0,$D$9,""))</f>
        <v>247.30670000000001</v>
      </c>
      <c r="I64" s="41">
        <f ca="1">IF(COUNTIF($X$2:X1049,INT(A64))=1,VLOOKUP(INT(A64),X:Y,2), IF(ISERROR(H64-2),"",I63*(1-$D$8*(H64-H63)*0.0001)))</f>
        <v>270.97930000000002</v>
      </c>
      <c r="J64" s="41">
        <f t="shared" ca="1" si="7"/>
        <v>270.97930000000002</v>
      </c>
      <c r="K64" s="43">
        <f t="shared" ca="1" si="8"/>
        <v>481288.93178893486</v>
      </c>
      <c r="L64" s="43"/>
      <c r="M64" s="44">
        <f ca="1">IF(ISERROR(B64-2),"",C64+D64-F64-G64-K64+SUM($L$14:L64))</f>
        <v>-491502.34645559825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 t="str">
        <f t="shared" ca="1" si="3"/>
        <v/>
      </c>
      <c r="B65" s="40" t="str">
        <f ca="1">IF(COUNTIF($W$2:W1050,A65)=1,VLOOKUP(A65,O:P,2), IF(COUNTIF($W$2:W1050,A65)=0,$B$9,""))</f>
        <v/>
      </c>
      <c r="C65" s="2" t="str">
        <f t="shared" ca="1" si="4"/>
        <v/>
      </c>
      <c r="D65" s="43"/>
      <c r="E65" s="40" t="str">
        <f ca="1">IF(COUNTIF($W$2:W1050,A65)=1,VLOOKUP(A65,Q:R,2), IF(COUNTIF($W$2:W1050,A65)=0,$C$9,""))</f>
        <v/>
      </c>
      <c r="F65" s="2" t="str">
        <f t="shared" ca="1" si="5"/>
        <v/>
      </c>
      <c r="G65" s="43" t="str">
        <f t="shared" ca="1" si="6"/>
        <v/>
      </c>
      <c r="H65" s="40" t="str">
        <f ca="1">IF(COUNTIF($W$2:W1050,A65)=1,VLOOKUP(A65,S:T,2), IF(COUNTIF($W$2:W1050,A65)=0,$D$9,""))</f>
        <v/>
      </c>
      <c r="I65" s="41" t="str">
        <f ca="1">IF(COUNTIF($X$2:X1050,INT(A65))=1,VLOOKUP(INT(A65),X:Y,2), IF(ISERROR(H65-2),"",I64*(1-$D$8*(H65-H64)*0.0001)))</f>
        <v/>
      </c>
      <c r="J65" s="41" t="str">
        <f t="shared" ca="1" si="7"/>
        <v/>
      </c>
      <c r="K65" s="43" t="str">
        <f t="shared" ca="1" si="8"/>
        <v/>
      </c>
      <c r="L65" s="43"/>
      <c r="M65" s="44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 t="str">
        <f t="shared" ca="1" si="3"/>
        <v/>
      </c>
      <c r="B66" s="40" t="str">
        <f ca="1">IF(COUNTIF($W$2:W1051,A66)=1,VLOOKUP(A66,O:P,2), IF(COUNTIF($W$2:W1051,A66)=0,$B$9,""))</f>
        <v/>
      </c>
      <c r="C66" s="2" t="str">
        <f t="shared" ca="1" si="4"/>
        <v/>
      </c>
      <c r="D66" s="43"/>
      <c r="E66" s="40" t="str">
        <f ca="1">IF(COUNTIF($W$2:W1051,A66)=1,VLOOKUP(A66,Q:R,2), IF(COUNTIF($W$2:W1051,A66)=0,$C$9,""))</f>
        <v/>
      </c>
      <c r="F66" s="2" t="str">
        <f t="shared" ca="1" si="5"/>
        <v/>
      </c>
      <c r="G66" s="43" t="str">
        <f t="shared" ca="1" si="6"/>
        <v/>
      </c>
      <c r="H66" s="40" t="str">
        <f ca="1">IF(COUNTIF($W$2:W1051,A66)=1,VLOOKUP(A66,S:T,2), IF(COUNTIF($W$2:W1051,A66)=0,$D$9,""))</f>
        <v/>
      </c>
      <c r="I66" s="41" t="str">
        <f ca="1">IF(COUNTIF($X$2:X1051,INT(A66))=1,VLOOKUP(INT(A66),X:Y,2), IF(ISERROR(H66-2),"",I65*(1-$D$8*(H66-H65)*0.0001)))</f>
        <v/>
      </c>
      <c r="J66" s="41" t="str">
        <f t="shared" ca="1" si="7"/>
        <v/>
      </c>
      <c r="K66" s="43" t="str">
        <f t="shared" ca="1" si="8"/>
        <v/>
      </c>
      <c r="L66" s="43"/>
      <c r="M66" s="44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 t="str">
        <f t="shared" ca="1" si="3"/>
        <v/>
      </c>
      <c r="B67" s="40" t="str">
        <f ca="1">IF(COUNTIF($W$2:W1052,A67)=1,VLOOKUP(A67,O:P,2), IF(COUNTIF($W$2:W1052,A67)=0,$B$9,""))</f>
        <v/>
      </c>
      <c r="C67" s="2" t="str">
        <f t="shared" ca="1" si="4"/>
        <v/>
      </c>
      <c r="D67" s="43"/>
      <c r="E67" s="40" t="str">
        <f ca="1">IF(COUNTIF($W$2:W1052,A67)=1,VLOOKUP(A67,Q:R,2), IF(COUNTIF($W$2:W1052,A67)=0,$C$9,""))</f>
        <v/>
      </c>
      <c r="F67" s="2" t="str">
        <f t="shared" ca="1" si="5"/>
        <v/>
      </c>
      <c r="G67" s="43" t="str">
        <f t="shared" ca="1" si="6"/>
        <v/>
      </c>
      <c r="H67" s="40" t="str">
        <f ca="1">IF(COUNTIF($W$2:W1052,A67)=1,VLOOKUP(A67,S:T,2), IF(COUNTIF($W$2:W1052,A67)=0,$D$9,""))</f>
        <v/>
      </c>
      <c r="I67" s="41" t="str">
        <f ca="1">IF(COUNTIF($X$2:X1052,INT(A67))=1,VLOOKUP(INT(A67),X:Y,2), IF(ISERROR(H67-2),"",I66*(1-$D$8*(H67-H66)*0.0001)))</f>
        <v/>
      </c>
      <c r="J67" s="41" t="str">
        <f t="shared" ca="1" si="7"/>
        <v/>
      </c>
      <c r="K67" s="43" t="str">
        <f t="shared" ca="1" si="8"/>
        <v/>
      </c>
      <c r="L67" s="43"/>
      <c r="M67" s="44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 t="str">
        <f t="shared" ca="1" si="3"/>
        <v/>
      </c>
      <c r="B68" s="40" t="str">
        <f ca="1">IF(COUNTIF($W$2:W1053,A68)=1,VLOOKUP(A68,O:P,2), IF(COUNTIF($W$2:W1053,A68)=0,$B$9,""))</f>
        <v/>
      </c>
      <c r="C68" s="2" t="str">
        <f t="shared" ca="1" si="4"/>
        <v/>
      </c>
      <c r="D68" s="43"/>
      <c r="E68" s="40" t="str">
        <f ca="1">IF(COUNTIF($W$2:W1053,A68)=1,VLOOKUP(A68,Q:R,2), IF(COUNTIF($W$2:W1053,A68)=0,$C$9,""))</f>
        <v/>
      </c>
      <c r="F68" s="2" t="str">
        <f t="shared" ca="1" si="5"/>
        <v/>
      </c>
      <c r="G68" s="43" t="str">
        <f t="shared" ca="1" si="6"/>
        <v/>
      </c>
      <c r="H68" s="40" t="str">
        <f ca="1">IF(COUNTIF($W$2:W1053,A68)=1,VLOOKUP(A68,S:T,2), IF(COUNTIF($W$2:W1053,A68)=0,$D$9,""))</f>
        <v/>
      </c>
      <c r="I68" s="41" t="str">
        <f ca="1">IF(COUNTIF($X$2:X1053,INT(A68))=1,VLOOKUP(INT(A68),X:Y,2), IF(ISERROR(H68-2),"",I67*(1-$D$8*(H68-H67)*0.0001)))</f>
        <v/>
      </c>
      <c r="J68" s="41" t="str">
        <f t="shared" ca="1" si="7"/>
        <v/>
      </c>
      <c r="K68" s="43" t="str">
        <f t="shared" ca="1" si="8"/>
        <v/>
      </c>
      <c r="L68" s="43"/>
      <c r="M68" s="44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1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 t="str">
        <f t="shared" ca="1" si="3"/>
        <v/>
      </c>
      <c r="B69" s="40" t="str">
        <f ca="1">IF(COUNTIF($W$2:W1054,A69)=1,VLOOKUP(A69,O:P,2), IF(COUNTIF($W$2:W1054,A69)=0,$B$9,""))</f>
        <v/>
      </c>
      <c r="C69" s="2" t="str">
        <f t="shared" ca="1" si="4"/>
        <v/>
      </c>
      <c r="D69" s="43"/>
      <c r="E69" s="40" t="str">
        <f ca="1">IF(COUNTIF($W$2:W1054,A69)=1,VLOOKUP(A69,Q:R,2), IF(COUNTIF($W$2:W1054,A69)=0,$C$9,""))</f>
        <v/>
      </c>
      <c r="F69" s="2" t="str">
        <f t="shared" ca="1" si="5"/>
        <v/>
      </c>
      <c r="G69" s="43" t="str">
        <f t="shared" ca="1" si="6"/>
        <v/>
      </c>
      <c r="H69" s="40" t="str">
        <f ca="1">IF(COUNTIF($W$2:W1054,A69)=1,VLOOKUP(A69,S:T,2), IF(COUNTIF($W$2:W1054,A69)=0,$D$9,""))</f>
        <v/>
      </c>
      <c r="I69" s="41" t="str">
        <f ca="1">IF(COUNTIF($X$2:X1054,INT(A69))=1,VLOOKUP(INT(A69),X:Y,2), IF(ISERROR(H69-2),"",I68*(1-$D$8*(H69-H68)*0.0001)))</f>
        <v/>
      </c>
      <c r="J69" s="41" t="str">
        <f t="shared" ca="1" si="7"/>
        <v/>
      </c>
      <c r="K69" s="43" t="str">
        <f t="shared" ca="1" si="8"/>
        <v/>
      </c>
      <c r="L69" s="43"/>
      <c r="M69" s="44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1"/>
        <v>45874</v>
      </c>
      <c r="AE69" s="22"/>
      <c r="AF69" s="22"/>
      <c r="AG69" s="22"/>
      <c r="AH69" s="22"/>
      <c r="AI69" s="7"/>
    </row>
    <row r="70" spans="1:35" x14ac:dyDescent="0.25">
      <c r="A70" s="39" t="str">
        <f t="shared" ca="1" si="3"/>
        <v/>
      </c>
      <c r="B70" s="40" t="str">
        <f ca="1">IF(COUNTIF($W$2:W1055,A70)=1,VLOOKUP(A70,O:P,2), IF(COUNTIF($W$2:W1055,A70)=0,$B$9,""))</f>
        <v/>
      </c>
      <c r="C70" s="2" t="str">
        <f t="shared" ca="1" si="4"/>
        <v/>
      </c>
      <c r="D70" s="43"/>
      <c r="E70" s="40" t="str">
        <f ca="1">IF(COUNTIF($W$2:W1055,A70)=1,VLOOKUP(A70,Q:R,2), IF(COUNTIF($W$2:W1055,A70)=0,$C$9,""))</f>
        <v/>
      </c>
      <c r="F70" s="2" t="str">
        <f t="shared" ca="1" si="5"/>
        <v/>
      </c>
      <c r="G70" s="43" t="str">
        <f t="shared" ca="1" si="6"/>
        <v/>
      </c>
      <c r="H70" s="40" t="str">
        <f ca="1">IF(COUNTIF($W$2:W1055,A70)=1,VLOOKUP(A70,S:T,2), IF(COUNTIF($W$2:W1055,A70)=0,$D$9,""))</f>
        <v/>
      </c>
      <c r="I70" s="41" t="str">
        <f ca="1">IF(COUNTIF($X$2:X1055,INT(A70))=1,VLOOKUP(INT(A70),X:Y,2), IF(ISERROR(H70-2),"",I69*(1-$D$8*(H70-H69)*0.0001)))</f>
        <v/>
      </c>
      <c r="J70" s="41" t="str">
        <f t="shared" ca="1" si="7"/>
        <v/>
      </c>
      <c r="K70" s="43" t="str">
        <f t="shared" ca="1" si="8"/>
        <v/>
      </c>
      <c r="L70" s="43"/>
      <c r="M70" s="44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1"/>
        <v>45875</v>
      </c>
      <c r="AI70" s="7"/>
    </row>
    <row r="71" spans="1:35" x14ac:dyDescent="0.25">
      <c r="A71" s="39" t="str">
        <f t="shared" ca="1" si="3"/>
        <v/>
      </c>
      <c r="B71" s="40" t="str">
        <f ca="1">IF(COUNTIF($W$2:W1056,A71)=1,VLOOKUP(A71,O:P,2), IF(COUNTIF($W$2:W1056,A71)=0,$B$9,""))</f>
        <v/>
      </c>
      <c r="C71" s="2" t="str">
        <f t="shared" ca="1" si="4"/>
        <v/>
      </c>
      <c r="D71" s="43"/>
      <c r="E71" s="40" t="str">
        <f ca="1">IF(COUNTIF($W$2:W1056,A71)=1,VLOOKUP(A71,Q:R,2), IF(COUNTIF($W$2:W1056,A71)=0,$C$9,""))</f>
        <v/>
      </c>
      <c r="F71" s="2" t="str">
        <f t="shared" ca="1" si="5"/>
        <v/>
      </c>
      <c r="G71" s="43" t="str">
        <f t="shared" ca="1" si="6"/>
        <v/>
      </c>
      <c r="H71" s="40" t="str">
        <f ca="1">IF(COUNTIF($W$2:W1056,A71)=1,VLOOKUP(A71,S:T,2), IF(COUNTIF($W$2:W1056,A71)=0,$D$9,""))</f>
        <v/>
      </c>
      <c r="I71" s="41" t="str">
        <f ca="1">IF(COUNTIF($X$2:X1056,INT(A71))=1,VLOOKUP(INT(A71),X:Y,2), IF(ISERROR(H71-2),"",I70*(1-$D$8*(H71-H70)*0.0001)))</f>
        <v/>
      </c>
      <c r="J71" s="41" t="str">
        <f t="shared" ca="1" si="7"/>
        <v/>
      </c>
      <c r="K71" s="43" t="str">
        <f t="shared" ca="1" si="8"/>
        <v/>
      </c>
      <c r="L71" s="43"/>
      <c r="M71" s="44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1"/>
        <v>45876</v>
      </c>
      <c r="AI71" s="7"/>
    </row>
    <row r="72" spans="1:35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/>
      <c r="E72" s="40" t="str">
        <f ca="1">IF(COUNTIF($W$2:W1057,A72)=1,VLOOKUP(A72,Q:R,2), IF(COUNTIF($W$2:W1057,A72)=0,$C$9,""))</f>
        <v/>
      </c>
      <c r="F72" s="2" t="str">
        <f t="shared" ca="1" si="5"/>
        <v/>
      </c>
      <c r="G72" s="43" t="str">
        <f t="shared" ca="1" si="6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7"/>
        <v/>
      </c>
      <c r="K72" s="43" t="str">
        <f t="shared" ca="1" si="8"/>
        <v/>
      </c>
      <c r="L72" s="43"/>
      <c r="M72" s="44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1"/>
        <v>45877</v>
      </c>
      <c r="AI72" s="7"/>
    </row>
    <row r="73" spans="1:35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/>
      <c r="E73" s="40" t="str">
        <f ca="1">IF(COUNTIF($W$2:W1058,A73)=1,VLOOKUP(A73,Q:R,2), IF(COUNTIF($W$2:W1058,A73)=0,$C$9,""))</f>
        <v/>
      </c>
      <c r="F73" s="2" t="str">
        <f t="shared" ca="1" si="5"/>
        <v/>
      </c>
      <c r="G73" s="43" t="str">
        <f t="shared" ca="1" si="6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7"/>
        <v/>
      </c>
      <c r="K73" s="43" t="str">
        <f t="shared" ca="1" si="8"/>
        <v/>
      </c>
      <c r="L73" s="43"/>
      <c r="M73" s="44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1"/>
        <v>45880</v>
      </c>
      <c r="AI73" s="7"/>
    </row>
    <row r="74" spans="1:35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/>
      <c r="E74" s="40" t="str">
        <f ca="1">IF(COUNTIF($W$2:W1059,A74)=1,VLOOKUP(A74,Q:R,2), IF(COUNTIF($W$2:W1059,A74)=0,$C$9,""))</f>
        <v/>
      </c>
      <c r="F74" s="2" t="str">
        <f t="shared" ca="1" si="5"/>
        <v/>
      </c>
      <c r="G74" s="43" t="str">
        <f t="shared" ca="1" si="6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7"/>
        <v/>
      </c>
      <c r="K74" s="43" t="str">
        <f t="shared" ca="1" si="8"/>
        <v/>
      </c>
      <c r="L74" s="43"/>
      <c r="M74" s="44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1"/>
        <v>45881</v>
      </c>
      <c r="AI74" s="7"/>
    </row>
    <row r="75" spans="1:35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/>
      <c r="E75" s="40" t="str">
        <f ca="1">IF(COUNTIF($W$2:W1060,A75)=1,VLOOKUP(A75,Q:R,2), IF(COUNTIF($W$2:W1060,A75)=0,$C$9,""))</f>
        <v/>
      </c>
      <c r="F75" s="2" t="str">
        <f t="shared" ca="1" si="5"/>
        <v/>
      </c>
      <c r="G75" s="43" t="str">
        <f t="shared" ca="1" si="6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7"/>
        <v/>
      </c>
      <c r="K75" s="43" t="str">
        <f t="shared" ca="1" si="8"/>
        <v/>
      </c>
      <c r="L75" s="43"/>
      <c r="M75" s="44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1"/>
        <v>45882</v>
      </c>
      <c r="AI75" s="7"/>
    </row>
    <row r="76" spans="1:35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/>
      <c r="E76" s="40" t="str">
        <f ca="1">IF(COUNTIF($W$2:W1061,A76)=1,VLOOKUP(A76,Q:R,2), IF(COUNTIF($W$2:W1061,A76)=0,$C$9,""))</f>
        <v/>
      </c>
      <c r="F76" s="2" t="str">
        <f t="shared" ca="1" si="5"/>
        <v/>
      </c>
      <c r="G76" s="43" t="str">
        <f t="shared" ca="1" si="6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7"/>
        <v/>
      </c>
      <c r="K76" s="43" t="str">
        <f t="shared" ca="1" si="8"/>
        <v/>
      </c>
      <c r="L76" s="43"/>
      <c r="M76" s="44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1"/>
        <v>45883</v>
      </c>
      <c r="AI76" s="7"/>
    </row>
    <row r="77" spans="1:35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/>
      <c r="E77" s="40" t="str">
        <f ca="1">IF(COUNTIF($W$2:W1062,A77)=1,VLOOKUP(A77,Q:R,2), IF(COUNTIF($W$2:W1062,A77)=0,$C$9,""))</f>
        <v/>
      </c>
      <c r="F77" s="2" t="str">
        <f t="shared" ca="1" si="5"/>
        <v/>
      </c>
      <c r="G77" s="43" t="str">
        <f t="shared" ca="1" si="6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7"/>
        <v/>
      </c>
      <c r="K77" s="43" t="str">
        <f t="shared" ca="1" si="8"/>
        <v/>
      </c>
      <c r="L77" s="43"/>
      <c r="M77" s="44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1"/>
        <v>45884</v>
      </c>
      <c r="AI77" s="7"/>
    </row>
    <row r="78" spans="1:35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/>
      <c r="E78" s="40" t="str">
        <f ca="1">IF(COUNTIF($W$2:W1063,A78)=1,VLOOKUP(A78,Q:R,2), IF(COUNTIF($W$2:W1063,A78)=0,$C$9,""))</f>
        <v/>
      </c>
      <c r="F78" s="2" t="str">
        <f t="shared" ca="1" si="5"/>
        <v/>
      </c>
      <c r="G78" s="43" t="str">
        <f t="shared" ca="1" si="6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7"/>
        <v/>
      </c>
      <c r="K78" s="43" t="str">
        <f t="shared" ca="1" si="8"/>
        <v/>
      </c>
      <c r="L78" s="43"/>
      <c r="M78" s="44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1"/>
        <v>45887</v>
      </c>
    </row>
    <row r="79" spans="1:35" x14ac:dyDescent="0.25">
      <c r="A79" s="39" t="str">
        <f t="shared" ref="A79:A142" ca="1" si="12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/>
      <c r="E79" s="40" t="str">
        <f ca="1">IF(COUNTIF($W$2:W1064,A79)=1,VLOOKUP(A79,Q:R,2), IF(COUNTIF($W$2:W1064,A79)=0,$C$9,""))</f>
        <v/>
      </c>
      <c r="F79" s="2" t="str">
        <f t="shared" ca="1" si="5"/>
        <v/>
      </c>
      <c r="G79" s="43" t="str">
        <f t="shared" ca="1" si="6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7"/>
        <v/>
      </c>
      <c r="K79" s="43" t="str">
        <f t="shared" ca="1" si="8"/>
        <v/>
      </c>
      <c r="L79" s="43"/>
      <c r="M79" s="44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1"/>
        <v>45888</v>
      </c>
    </row>
    <row r="80" spans="1:35" x14ac:dyDescent="0.25">
      <c r="A80" s="39" t="str">
        <f t="shared" ca="1" si="12"/>
        <v/>
      </c>
      <c r="B80" s="40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3"/>
      <c r="E80" s="40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3" t="str">
        <f t="shared" ref="G80:G143" ca="1" si="15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6">IF(ISERROR(H80-2),"",I80)</f>
        <v/>
      </c>
      <c r="K80" s="43" t="str">
        <f t="shared" ref="K80:K143" ca="1" si="17">IF(ISERROR(H80-2),"",(J80/$J$14-1)*$D$5)</f>
        <v/>
      </c>
      <c r="L80" s="43"/>
      <c r="M80" s="44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1"/>
        <v>45889</v>
      </c>
    </row>
    <row r="81" spans="1:30" x14ac:dyDescent="0.25">
      <c r="A81" s="39" t="str">
        <f t="shared" ca="1" si="12"/>
        <v/>
      </c>
      <c r="B81" s="40" t="str">
        <f ca="1">IF(COUNTIF($W$2:W1066,A81)=1,VLOOKUP(A81,O:P,2), IF(COUNTIF($W$2:W1066,A81)=0,$B$9,""))</f>
        <v/>
      </c>
      <c r="C81" s="2" t="str">
        <f t="shared" ca="1" si="13"/>
        <v/>
      </c>
      <c r="D81" s="43"/>
      <c r="E81" s="40" t="str">
        <f ca="1">IF(COUNTIF($W$2:W1066,A81)=1,VLOOKUP(A81,Q:R,2), IF(COUNTIF($W$2:W1066,A81)=0,$C$9,""))</f>
        <v/>
      </c>
      <c r="F81" s="2" t="str">
        <f t="shared" ca="1" si="14"/>
        <v/>
      </c>
      <c r="G81" s="43" t="str">
        <f t="shared" ca="1" si="15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6"/>
        <v/>
      </c>
      <c r="K81" s="43" t="str">
        <f t="shared" ca="1" si="17"/>
        <v/>
      </c>
      <c r="L81" s="43"/>
      <c r="M81" s="44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1"/>
        <v>45890</v>
      </c>
    </row>
    <row r="82" spans="1:30" x14ac:dyDescent="0.25">
      <c r="A82" s="39" t="str">
        <f t="shared" ca="1" si="12"/>
        <v/>
      </c>
      <c r="B82" s="40" t="str">
        <f ca="1">IF(COUNTIF($W$2:W1067,A82)=1,VLOOKUP(A82,O:P,2), IF(COUNTIF($W$2:W1067,A82)=0,$B$9,""))</f>
        <v/>
      </c>
      <c r="C82" s="2" t="str">
        <f t="shared" ca="1" si="13"/>
        <v/>
      </c>
      <c r="D82" s="43"/>
      <c r="E82" s="40" t="str">
        <f ca="1">IF(COUNTIF($W$2:W1067,A82)=1,VLOOKUP(A82,Q:R,2), IF(COUNTIF($W$2:W1067,A82)=0,$C$9,""))</f>
        <v/>
      </c>
      <c r="F82" s="2" t="str">
        <f t="shared" ca="1" si="14"/>
        <v/>
      </c>
      <c r="G82" s="43" t="str">
        <f t="shared" ca="1" si="15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6"/>
        <v/>
      </c>
      <c r="K82" s="43" t="str">
        <f t="shared" ca="1" si="17"/>
        <v/>
      </c>
      <c r="L82" s="43"/>
      <c r="M82" s="44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1"/>
        <v>45891</v>
      </c>
    </row>
    <row r="83" spans="1:30" x14ac:dyDescent="0.25">
      <c r="A83" s="39" t="str">
        <f t="shared" ca="1" si="12"/>
        <v/>
      </c>
      <c r="B83" s="40" t="str">
        <f ca="1">IF(COUNTIF($W$2:W1068,A83)=1,VLOOKUP(A83,O:P,2), IF(COUNTIF($W$2:W1068,A83)=0,$B$9,""))</f>
        <v/>
      </c>
      <c r="C83" s="2" t="str">
        <f t="shared" ca="1" si="13"/>
        <v/>
      </c>
      <c r="D83" s="43"/>
      <c r="E83" s="40" t="str">
        <f ca="1">IF(COUNTIF($W$2:W1068,A83)=1,VLOOKUP(A83,Q:R,2), IF(COUNTIF($W$2:W1068,A83)=0,$C$9,""))</f>
        <v/>
      </c>
      <c r="F83" s="2" t="str">
        <f t="shared" ca="1" si="14"/>
        <v/>
      </c>
      <c r="G83" s="43" t="str">
        <f t="shared" ca="1" si="15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6"/>
        <v/>
      </c>
      <c r="K83" s="43" t="str">
        <f t="shared" ca="1" si="17"/>
        <v/>
      </c>
      <c r="L83" s="43"/>
      <c r="M83" s="44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1"/>
        <v>45895</v>
      </c>
    </row>
    <row r="84" spans="1:30" x14ac:dyDescent="0.25">
      <c r="A84" s="39" t="str">
        <f t="shared" ca="1" si="12"/>
        <v/>
      </c>
      <c r="B84" s="40" t="str">
        <f ca="1">IF(COUNTIF($W$2:W1069,A84)=1,VLOOKUP(A84,O:P,2), IF(COUNTIF($W$2:W1069,A84)=0,$B$9,""))</f>
        <v/>
      </c>
      <c r="C84" s="2" t="str">
        <f t="shared" ca="1" si="13"/>
        <v/>
      </c>
      <c r="D84" s="43"/>
      <c r="E84" s="40" t="str">
        <f ca="1">IF(COUNTIF($W$2:W1069,A84)=1,VLOOKUP(A84,Q:R,2), IF(COUNTIF($W$2:W1069,A84)=0,$C$9,""))</f>
        <v/>
      </c>
      <c r="F84" s="2" t="str">
        <f t="shared" ca="1" si="14"/>
        <v/>
      </c>
      <c r="G84" s="43" t="str">
        <f t="shared" ca="1" si="15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6"/>
        <v/>
      </c>
      <c r="K84" s="43" t="str">
        <f t="shared" ca="1" si="17"/>
        <v/>
      </c>
      <c r="L84" s="43"/>
      <c r="M84" s="44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1"/>
        <v>45896</v>
      </c>
    </row>
    <row r="85" spans="1:30" x14ac:dyDescent="0.25">
      <c r="A85" s="39" t="str">
        <f t="shared" ca="1" si="12"/>
        <v/>
      </c>
      <c r="B85" s="40" t="str">
        <f ca="1">IF(COUNTIF($W$2:W1070,A85)=1,VLOOKUP(A85,O:P,2), IF(COUNTIF($W$2:W1070,A85)=0,$B$9,""))</f>
        <v/>
      </c>
      <c r="C85" s="2" t="str">
        <f t="shared" ca="1" si="13"/>
        <v/>
      </c>
      <c r="D85" s="43"/>
      <c r="E85" s="40" t="str">
        <f ca="1">IF(COUNTIF($W$2:W1070,A85)=1,VLOOKUP(A85,Q:R,2), IF(COUNTIF($W$2:W1070,A85)=0,$C$9,""))</f>
        <v/>
      </c>
      <c r="F85" s="2" t="str">
        <f t="shared" ca="1" si="14"/>
        <v/>
      </c>
      <c r="G85" s="43" t="str">
        <f t="shared" ca="1" si="15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6"/>
        <v/>
      </c>
      <c r="K85" s="43" t="str">
        <f t="shared" ca="1" si="17"/>
        <v/>
      </c>
      <c r="L85" s="43"/>
      <c r="M85" s="44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1"/>
        <v>45897</v>
      </c>
    </row>
    <row r="86" spans="1:30" x14ac:dyDescent="0.25">
      <c r="A86" s="39" t="str">
        <f t="shared" ca="1" si="12"/>
        <v/>
      </c>
      <c r="B86" s="40" t="str">
        <f ca="1">IF(COUNTIF($W$2:W1071,A86)=1,VLOOKUP(A86,O:P,2), IF(COUNTIF($W$2:W1071,A86)=0,$B$9,""))</f>
        <v/>
      </c>
      <c r="C86" s="2" t="str">
        <f t="shared" ca="1" si="13"/>
        <v/>
      </c>
      <c r="D86" s="43"/>
      <c r="E86" s="40" t="str">
        <f ca="1">IF(COUNTIF($W$2:W1071,A86)=1,VLOOKUP(A86,Q:R,2), IF(COUNTIF($W$2:W1071,A86)=0,$C$9,""))</f>
        <v/>
      </c>
      <c r="F86" s="2" t="str">
        <f t="shared" ca="1" si="14"/>
        <v/>
      </c>
      <c r="G86" s="43" t="str">
        <f t="shared" ca="1" si="15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6"/>
        <v/>
      </c>
      <c r="K86" s="43" t="str">
        <f t="shared" ca="1" si="17"/>
        <v/>
      </c>
      <c r="L86" s="43"/>
      <c r="M86" s="44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1"/>
        <v>45898</v>
      </c>
    </row>
    <row r="87" spans="1:30" x14ac:dyDescent="0.25">
      <c r="A87" s="39" t="str">
        <f t="shared" ca="1" si="12"/>
        <v/>
      </c>
      <c r="B87" s="40" t="str">
        <f ca="1">IF(COUNTIF($W$2:W1072,A87)=1,VLOOKUP(A87,O:P,2), IF(COUNTIF($W$2:W1072,A87)=0,$B$9,""))</f>
        <v/>
      </c>
      <c r="C87" s="2" t="str">
        <f t="shared" ca="1" si="13"/>
        <v/>
      </c>
      <c r="D87" s="43"/>
      <c r="E87" s="40" t="str">
        <f ca="1">IF(COUNTIF($W$2:W1072,A87)=1,VLOOKUP(A87,Q:R,2), IF(COUNTIF($W$2:W1072,A87)=0,$C$9,""))</f>
        <v/>
      </c>
      <c r="F87" s="2" t="str">
        <f t="shared" ca="1" si="14"/>
        <v/>
      </c>
      <c r="G87" s="43" t="str">
        <f t="shared" ca="1" si="15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6"/>
        <v/>
      </c>
      <c r="K87" s="43" t="str">
        <f t="shared" ca="1" si="17"/>
        <v/>
      </c>
      <c r="L87" s="43"/>
      <c r="M87" s="44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1"/>
        <v>45901</v>
      </c>
    </row>
    <row r="88" spans="1:30" x14ac:dyDescent="0.25">
      <c r="A88" s="39" t="str">
        <f t="shared" ca="1" si="12"/>
        <v/>
      </c>
      <c r="B88" s="40" t="str">
        <f ca="1">IF(COUNTIF($W$2:W1073,A88)=1,VLOOKUP(A88,O:P,2), IF(COUNTIF($W$2:W1073,A88)=0,$B$9,""))</f>
        <v/>
      </c>
      <c r="C88" s="2" t="str">
        <f t="shared" ca="1" si="13"/>
        <v/>
      </c>
      <c r="D88" s="43"/>
      <c r="E88" s="40" t="str">
        <f ca="1">IF(COUNTIF($W$2:W1073,A88)=1,VLOOKUP(A88,Q:R,2), IF(COUNTIF($W$2:W1073,A88)=0,$C$9,""))</f>
        <v/>
      </c>
      <c r="F88" s="2" t="str">
        <f t="shared" ca="1" si="14"/>
        <v/>
      </c>
      <c r="G88" s="43" t="str">
        <f t="shared" ca="1" si="15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6"/>
        <v/>
      </c>
      <c r="K88" s="43" t="str">
        <f t="shared" ca="1" si="17"/>
        <v/>
      </c>
      <c r="L88" s="43"/>
      <c r="M88" s="44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1"/>
        <v>45902</v>
      </c>
    </row>
    <row r="89" spans="1:30" x14ac:dyDescent="0.25">
      <c r="A89" s="39" t="str">
        <f t="shared" ca="1" si="12"/>
        <v/>
      </c>
      <c r="B89" s="40" t="str">
        <f ca="1">IF(COUNTIF($W$2:W1074,A89)=1,VLOOKUP(A89,O:P,2), IF(COUNTIF($W$2:W1074,A89)=0,$B$9,""))</f>
        <v/>
      </c>
      <c r="C89" s="2" t="str">
        <f t="shared" ca="1" si="13"/>
        <v/>
      </c>
      <c r="D89" s="43"/>
      <c r="E89" s="40" t="str">
        <f ca="1">IF(COUNTIF($W$2:W1074,A89)=1,VLOOKUP(A89,Q:R,2), IF(COUNTIF($W$2:W1074,A89)=0,$C$9,""))</f>
        <v/>
      </c>
      <c r="F89" s="2" t="str">
        <f t="shared" ca="1" si="14"/>
        <v/>
      </c>
      <c r="G89" s="43" t="str">
        <f t="shared" ca="1" si="15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6"/>
        <v/>
      </c>
      <c r="K89" s="43" t="str">
        <f t="shared" ca="1" si="17"/>
        <v/>
      </c>
      <c r="L89" s="43"/>
      <c r="M89" s="44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1"/>
        <v>45903</v>
      </c>
    </row>
    <row r="90" spans="1:30" x14ac:dyDescent="0.25">
      <c r="A90" s="39" t="str">
        <f t="shared" ca="1" si="12"/>
        <v/>
      </c>
      <c r="B90" s="40" t="str">
        <f ca="1">IF(COUNTIF($W$2:W1075,A90)=1,VLOOKUP(A90,O:P,2), IF(COUNTIF($W$2:W1075,A90)=0,$B$9,""))</f>
        <v/>
      </c>
      <c r="C90" s="2" t="str">
        <f t="shared" ca="1" si="13"/>
        <v/>
      </c>
      <c r="D90" s="43"/>
      <c r="E90" s="40" t="str">
        <f ca="1">IF(COUNTIF($W$2:W1075,A90)=1,VLOOKUP(A90,Q:R,2), IF(COUNTIF($W$2:W1075,A90)=0,$C$9,""))</f>
        <v/>
      </c>
      <c r="F90" s="2" t="str">
        <f t="shared" ca="1" si="14"/>
        <v/>
      </c>
      <c r="G90" s="43" t="str">
        <f t="shared" ca="1" si="15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6"/>
        <v/>
      </c>
      <c r="K90" s="43" t="str">
        <f t="shared" ca="1" si="17"/>
        <v/>
      </c>
      <c r="L90" s="43"/>
      <c r="M90" s="44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1"/>
        <v>45904</v>
      </c>
    </row>
    <row r="91" spans="1:30" x14ac:dyDescent="0.25">
      <c r="A91" s="39" t="str">
        <f t="shared" ca="1" si="12"/>
        <v/>
      </c>
      <c r="B91" s="40" t="str">
        <f ca="1">IF(COUNTIF($W$2:W1076,A91)=1,VLOOKUP(A91,O:P,2), IF(COUNTIF($W$2:W1076,A91)=0,$B$9,""))</f>
        <v/>
      </c>
      <c r="C91" s="2" t="str">
        <f t="shared" ca="1" si="13"/>
        <v/>
      </c>
      <c r="D91" s="43"/>
      <c r="E91" s="40" t="str">
        <f ca="1">IF(COUNTIF($W$2:W1076,A91)=1,VLOOKUP(A91,Q:R,2), IF(COUNTIF($W$2:W1076,A91)=0,$C$9,""))</f>
        <v/>
      </c>
      <c r="F91" s="2" t="str">
        <f t="shared" ca="1" si="14"/>
        <v/>
      </c>
      <c r="G91" s="43" t="str">
        <f t="shared" ca="1" si="15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6"/>
        <v/>
      </c>
      <c r="K91" s="43" t="str">
        <f t="shared" ca="1" si="17"/>
        <v/>
      </c>
      <c r="L91" s="43"/>
      <c r="M91" s="44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1"/>
        <v>45905</v>
      </c>
    </row>
    <row r="92" spans="1:30" x14ac:dyDescent="0.25">
      <c r="A92" s="39" t="str">
        <f t="shared" ca="1" si="12"/>
        <v/>
      </c>
      <c r="B92" s="40" t="str">
        <f ca="1">IF(COUNTIF($W$2:W1077,A92)=1,VLOOKUP(A92,O:P,2), IF(COUNTIF($W$2:W1077,A92)=0,$B$9,""))</f>
        <v/>
      </c>
      <c r="C92" s="2" t="str">
        <f t="shared" ca="1" si="13"/>
        <v/>
      </c>
      <c r="D92" s="43"/>
      <c r="E92" s="40" t="str">
        <f ca="1">IF(COUNTIF($W$2:W1077,A92)=1,VLOOKUP(A92,Q:R,2), IF(COUNTIF($W$2:W1077,A92)=0,$C$9,""))</f>
        <v/>
      </c>
      <c r="F92" s="2" t="str">
        <f t="shared" ca="1" si="14"/>
        <v/>
      </c>
      <c r="G92" s="43" t="str">
        <f t="shared" ca="1" si="15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6"/>
        <v/>
      </c>
      <c r="K92" s="43" t="str">
        <f t="shared" ca="1" si="17"/>
        <v/>
      </c>
      <c r="L92" s="43"/>
      <c r="M92" s="44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1"/>
        <v>45908</v>
      </c>
    </row>
    <row r="93" spans="1:30" x14ac:dyDescent="0.25">
      <c r="A93" s="39" t="str">
        <f t="shared" ca="1" si="12"/>
        <v/>
      </c>
      <c r="B93" s="40" t="str">
        <f ca="1">IF(COUNTIF($W$2:W1078,A93)=1,VLOOKUP(A93,O:P,2), IF(COUNTIF($W$2:W1078,A93)=0,$B$9,""))</f>
        <v/>
      </c>
      <c r="C93" s="2" t="str">
        <f t="shared" ca="1" si="13"/>
        <v/>
      </c>
      <c r="D93" s="43"/>
      <c r="E93" s="40" t="str">
        <f ca="1">IF(COUNTIF($W$2:W1078,A93)=1,VLOOKUP(A93,Q:R,2), IF(COUNTIF($W$2:W1078,A93)=0,$C$9,""))</f>
        <v/>
      </c>
      <c r="F93" s="2" t="str">
        <f t="shared" ca="1" si="14"/>
        <v/>
      </c>
      <c r="G93" s="43" t="str">
        <f t="shared" ca="1" si="15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6"/>
        <v/>
      </c>
      <c r="K93" s="43" t="str">
        <f t="shared" ca="1" si="17"/>
        <v/>
      </c>
      <c r="L93" s="43"/>
      <c r="M93" s="44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1"/>
        <v>45909</v>
      </c>
    </row>
    <row r="94" spans="1:30" x14ac:dyDescent="0.25">
      <c r="A94" s="39" t="str">
        <f t="shared" ca="1" si="12"/>
        <v/>
      </c>
      <c r="B94" s="40" t="str">
        <f ca="1">IF(COUNTIF($W$2:W1079,A94)=1,VLOOKUP(A94,O:P,2), IF(COUNTIF($W$2:W1079,A94)=0,$B$9,""))</f>
        <v/>
      </c>
      <c r="C94" s="2" t="str">
        <f t="shared" ca="1" si="13"/>
        <v/>
      </c>
      <c r="D94" s="43"/>
      <c r="E94" s="40" t="str">
        <f ca="1">IF(COUNTIF($W$2:W1079,A94)=1,VLOOKUP(A94,Q:R,2), IF(COUNTIF($W$2:W1079,A94)=0,$C$9,""))</f>
        <v/>
      </c>
      <c r="F94" s="2" t="str">
        <f t="shared" ca="1" si="14"/>
        <v/>
      </c>
      <c r="G94" s="43" t="str">
        <f t="shared" ca="1" si="15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6"/>
        <v/>
      </c>
      <c r="K94" s="43" t="str">
        <f t="shared" ca="1" si="17"/>
        <v/>
      </c>
      <c r="L94" s="43"/>
      <c r="M94" s="44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1"/>
        <v>45910</v>
      </c>
    </row>
    <row r="95" spans="1:30" x14ac:dyDescent="0.25">
      <c r="A95" s="39" t="str">
        <f t="shared" ca="1" si="12"/>
        <v/>
      </c>
      <c r="B95" s="40" t="str">
        <f ca="1">IF(COUNTIF($W$2:W1080,A95)=1,VLOOKUP(A95,O:P,2), IF(COUNTIF($W$2:W1080,A95)=0,$B$9,""))</f>
        <v/>
      </c>
      <c r="C95" s="2" t="str">
        <f t="shared" ca="1" si="13"/>
        <v/>
      </c>
      <c r="D95" s="43"/>
      <c r="E95" s="40" t="str">
        <f ca="1">IF(COUNTIF($W$2:W1080,A95)=1,VLOOKUP(A95,Q:R,2), IF(COUNTIF($W$2:W1080,A95)=0,$C$9,""))</f>
        <v/>
      </c>
      <c r="F95" s="2" t="str">
        <f t="shared" ca="1" si="14"/>
        <v/>
      </c>
      <c r="G95" s="43" t="str">
        <f t="shared" ca="1" si="15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6"/>
        <v/>
      </c>
      <c r="K95" s="43" t="str">
        <f t="shared" ca="1" si="17"/>
        <v/>
      </c>
      <c r="L95" s="43"/>
      <c r="M95" s="44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1"/>
        <v>45911</v>
      </c>
    </row>
    <row r="96" spans="1:30" x14ac:dyDescent="0.25">
      <c r="A96" s="39" t="str">
        <f t="shared" ca="1" si="12"/>
        <v/>
      </c>
      <c r="B96" s="40" t="str">
        <f ca="1">IF(COUNTIF($W$2:W1081,A96)=1,VLOOKUP(A96,O:P,2), IF(COUNTIF($W$2:W1081,A96)=0,$B$9,""))</f>
        <v/>
      </c>
      <c r="C96" s="2" t="str">
        <f t="shared" ca="1" si="13"/>
        <v/>
      </c>
      <c r="D96" s="43"/>
      <c r="E96" s="40" t="str">
        <f ca="1">IF(COUNTIF($W$2:W1081,A96)=1,VLOOKUP(A96,Q:R,2), IF(COUNTIF($W$2:W1081,A96)=0,$C$9,""))</f>
        <v/>
      </c>
      <c r="F96" s="2" t="str">
        <f t="shared" ca="1" si="14"/>
        <v/>
      </c>
      <c r="G96" s="43" t="str">
        <f t="shared" ca="1" si="15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6"/>
        <v/>
      </c>
      <c r="K96" s="43" t="str">
        <f t="shared" ca="1" si="17"/>
        <v/>
      </c>
      <c r="L96" s="43"/>
      <c r="M96" s="44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1"/>
        <v>45912</v>
      </c>
    </row>
    <row r="97" spans="1:30" x14ac:dyDescent="0.25">
      <c r="A97" s="39" t="str">
        <f t="shared" ca="1" si="12"/>
        <v/>
      </c>
      <c r="B97" s="40" t="str">
        <f ca="1">IF(COUNTIF($W$2:W1082,A97)=1,VLOOKUP(A97,O:P,2), IF(COUNTIF($W$2:W1082,A97)=0,$B$9,""))</f>
        <v/>
      </c>
      <c r="C97" s="2" t="str">
        <f t="shared" ca="1" si="13"/>
        <v/>
      </c>
      <c r="D97" s="43"/>
      <c r="E97" s="40" t="str">
        <f ca="1">IF(COUNTIF($W$2:W1082,A97)=1,VLOOKUP(A97,Q:R,2), IF(COUNTIF($W$2:W1082,A97)=0,$C$9,""))</f>
        <v/>
      </c>
      <c r="F97" s="2" t="str">
        <f t="shared" ca="1" si="14"/>
        <v/>
      </c>
      <c r="G97" s="43" t="str">
        <f t="shared" ca="1" si="15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6"/>
        <v/>
      </c>
      <c r="K97" s="43" t="str">
        <f t="shared" ca="1" si="17"/>
        <v/>
      </c>
      <c r="L97" s="43"/>
      <c r="M97" s="44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1"/>
        <v>45915</v>
      </c>
    </row>
    <row r="98" spans="1:30" x14ac:dyDescent="0.25">
      <c r="A98" s="39" t="str">
        <f t="shared" ca="1" si="12"/>
        <v/>
      </c>
      <c r="B98" s="40" t="str">
        <f ca="1">IF(COUNTIF($W$2:W1083,A98)=1,VLOOKUP(A98,O:P,2), IF(COUNTIF($W$2:W1083,A98)=0,$B$9,""))</f>
        <v/>
      </c>
      <c r="C98" s="2" t="str">
        <f t="shared" ca="1" si="13"/>
        <v/>
      </c>
      <c r="D98" s="43"/>
      <c r="E98" s="40" t="str">
        <f ca="1">IF(COUNTIF($W$2:W1083,A98)=1,VLOOKUP(A98,Q:R,2), IF(COUNTIF($W$2:W1083,A98)=0,$C$9,""))</f>
        <v/>
      </c>
      <c r="F98" s="2" t="str">
        <f t="shared" ca="1" si="14"/>
        <v/>
      </c>
      <c r="G98" s="43" t="str">
        <f t="shared" ca="1" si="15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6"/>
        <v/>
      </c>
      <c r="K98" s="43" t="str">
        <f t="shared" ca="1" si="17"/>
        <v/>
      </c>
      <c r="L98" s="43"/>
      <c r="M98" s="44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1"/>
        <v>45916</v>
      </c>
    </row>
    <row r="99" spans="1:30" x14ac:dyDescent="0.25">
      <c r="A99" s="39" t="str">
        <f t="shared" ca="1" si="12"/>
        <v/>
      </c>
      <c r="B99" s="40" t="str">
        <f ca="1">IF(COUNTIF($W$2:W1084,A99)=1,VLOOKUP(A99,O:P,2), IF(COUNTIF($W$2:W1084,A99)=0,$B$9,""))</f>
        <v/>
      </c>
      <c r="C99" s="2" t="str">
        <f t="shared" ca="1" si="13"/>
        <v/>
      </c>
      <c r="D99" s="43"/>
      <c r="E99" s="40" t="str">
        <f ca="1">IF(COUNTIF($W$2:W1084,A99)=1,VLOOKUP(A99,Q:R,2), IF(COUNTIF($W$2:W1084,A99)=0,$C$9,""))</f>
        <v/>
      </c>
      <c r="F99" s="2" t="str">
        <f t="shared" ca="1" si="14"/>
        <v/>
      </c>
      <c r="G99" s="43" t="str">
        <f t="shared" ca="1" si="15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6"/>
        <v/>
      </c>
      <c r="K99" s="43" t="str">
        <f t="shared" ca="1" si="17"/>
        <v/>
      </c>
      <c r="L99" s="43"/>
      <c r="M99" s="44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9" t="str">
        <f t="shared" ca="1" si="12"/>
        <v/>
      </c>
      <c r="B100" s="40" t="str">
        <f ca="1">IF(COUNTIF($W$2:W1085,A100)=1,VLOOKUP(A100,O:P,2), IF(COUNTIF($W$2:W1085,A100)=0,$B$9,""))</f>
        <v/>
      </c>
      <c r="C100" s="2" t="str">
        <f t="shared" ca="1" si="13"/>
        <v/>
      </c>
      <c r="D100" s="43"/>
      <c r="E100" s="40" t="str">
        <f ca="1">IF(COUNTIF($W$2:W1085,A100)=1,VLOOKUP(A100,Q:R,2), IF(COUNTIF($W$2:W1085,A100)=0,$C$9,""))</f>
        <v/>
      </c>
      <c r="F100" s="2" t="str">
        <f t="shared" ca="1" si="14"/>
        <v/>
      </c>
      <c r="G100" s="43" t="str">
        <f t="shared" ca="1" si="15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6"/>
        <v/>
      </c>
      <c r="K100" s="43" t="str">
        <f t="shared" ca="1" si="17"/>
        <v/>
      </c>
      <c r="L100" s="43"/>
      <c r="M100" s="44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9" t="str">
        <f t="shared" ca="1" si="12"/>
        <v/>
      </c>
      <c r="B101" s="40" t="str">
        <f ca="1">IF(COUNTIF($W$2:W1086,A101)=1,VLOOKUP(A101,O:P,2), IF(COUNTIF($W$2:W1086,A101)=0,$B$9,""))</f>
        <v/>
      </c>
      <c r="C101" s="2" t="str">
        <f t="shared" ca="1" si="13"/>
        <v/>
      </c>
      <c r="D101" s="43"/>
      <c r="E101" s="40" t="str">
        <f ca="1">IF(COUNTIF($W$2:W1086,A101)=1,VLOOKUP(A101,Q:R,2), IF(COUNTIF($W$2:W1086,A101)=0,$C$9,""))</f>
        <v/>
      </c>
      <c r="F101" s="2" t="str">
        <f t="shared" ca="1" si="14"/>
        <v/>
      </c>
      <c r="G101" s="43" t="str">
        <f t="shared" ca="1" si="15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6"/>
        <v/>
      </c>
      <c r="K101" s="43" t="str">
        <f t="shared" ca="1" si="17"/>
        <v/>
      </c>
      <c r="L101" s="43"/>
      <c r="M101" s="44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1"/>
        <v>45919</v>
      </c>
    </row>
    <row r="102" spans="1:30" x14ac:dyDescent="0.25">
      <c r="A102" s="39" t="str">
        <f t="shared" ca="1" si="12"/>
        <v/>
      </c>
      <c r="B102" s="40" t="str">
        <f ca="1">IF(COUNTIF($W$2:W1087,A102)=1,VLOOKUP(A102,O:P,2), IF(COUNTIF($W$2:W1087,A102)=0,$B$9,""))</f>
        <v/>
      </c>
      <c r="C102" s="2" t="str">
        <f t="shared" ca="1" si="13"/>
        <v/>
      </c>
      <c r="D102" s="43"/>
      <c r="E102" s="40" t="str">
        <f ca="1">IF(COUNTIF($W$2:W1087,A102)=1,VLOOKUP(A102,Q:R,2), IF(COUNTIF($W$2:W1087,A102)=0,$C$9,""))</f>
        <v/>
      </c>
      <c r="F102" s="2" t="str">
        <f t="shared" ca="1" si="14"/>
        <v/>
      </c>
      <c r="G102" s="43" t="str">
        <f t="shared" ca="1" si="15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6"/>
        <v/>
      </c>
      <c r="K102" s="43" t="str">
        <f t="shared" ca="1" si="17"/>
        <v/>
      </c>
      <c r="L102" s="43"/>
      <c r="M102" s="44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9" t="str">
        <f t="shared" ca="1" si="12"/>
        <v/>
      </c>
      <c r="B103" s="40" t="str">
        <f ca="1">IF(COUNTIF($W$2:W1088,A103)=1,VLOOKUP(A103,O:P,2), IF(COUNTIF($W$2:W1088,A103)=0,$B$9,""))</f>
        <v/>
      </c>
      <c r="C103" s="2" t="str">
        <f t="shared" ca="1" si="13"/>
        <v/>
      </c>
      <c r="D103" s="43"/>
      <c r="E103" s="40" t="str">
        <f ca="1">IF(COUNTIF($W$2:W1088,A103)=1,VLOOKUP(A103,Q:R,2), IF(COUNTIF($W$2:W1088,A103)=0,$C$9,""))</f>
        <v/>
      </c>
      <c r="F103" s="2" t="str">
        <f t="shared" ca="1" si="14"/>
        <v/>
      </c>
      <c r="G103" s="43" t="str">
        <f t="shared" ca="1" si="15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6"/>
        <v/>
      </c>
      <c r="K103" s="43" t="str">
        <f t="shared" ca="1" si="17"/>
        <v/>
      </c>
      <c r="L103" s="43"/>
      <c r="M103" s="44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1"/>
        <v>45923</v>
      </c>
    </row>
    <row r="104" spans="1:30" x14ac:dyDescent="0.25">
      <c r="A104" s="39" t="str">
        <f t="shared" ca="1" si="12"/>
        <v/>
      </c>
      <c r="B104" s="40" t="str">
        <f ca="1">IF(COUNTIF($W$2:W1089,A104)=1,VLOOKUP(A104,O:P,2), IF(COUNTIF($W$2:W1089,A104)=0,$B$9,""))</f>
        <v/>
      </c>
      <c r="C104" s="2" t="str">
        <f t="shared" ca="1" si="13"/>
        <v/>
      </c>
      <c r="D104" s="43"/>
      <c r="E104" s="40" t="str">
        <f ca="1">IF(COUNTIF($W$2:W1089,A104)=1,VLOOKUP(A104,Q:R,2), IF(COUNTIF($W$2:W1089,A104)=0,$C$9,""))</f>
        <v/>
      </c>
      <c r="F104" s="2" t="str">
        <f t="shared" ca="1" si="14"/>
        <v/>
      </c>
      <c r="G104" s="43" t="str">
        <f t="shared" ca="1" si="15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6"/>
        <v/>
      </c>
      <c r="K104" s="43" t="str">
        <f t="shared" ca="1" si="17"/>
        <v/>
      </c>
      <c r="L104" s="43"/>
      <c r="M104" s="44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1"/>
        <v>45924</v>
      </c>
    </row>
    <row r="105" spans="1:30" x14ac:dyDescent="0.25">
      <c r="A105" s="39" t="str">
        <f t="shared" ca="1" si="12"/>
        <v/>
      </c>
      <c r="B105" s="40" t="str">
        <f ca="1">IF(COUNTIF($W$2:W1090,A105)=1,VLOOKUP(A105,O:P,2), IF(COUNTIF($W$2:W1090,A105)=0,$B$9,""))</f>
        <v/>
      </c>
      <c r="C105" s="2" t="str">
        <f t="shared" ca="1" si="13"/>
        <v/>
      </c>
      <c r="D105" s="43"/>
      <c r="E105" s="40" t="str">
        <f ca="1">IF(COUNTIF($W$2:W1090,A105)=1,VLOOKUP(A105,Q:R,2), IF(COUNTIF($W$2:W1090,A105)=0,$C$9,""))</f>
        <v/>
      </c>
      <c r="F105" s="2" t="str">
        <f t="shared" ca="1" si="14"/>
        <v/>
      </c>
      <c r="G105" s="43" t="str">
        <f t="shared" ca="1" si="15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6"/>
        <v/>
      </c>
      <c r="K105" s="43" t="str">
        <f t="shared" ca="1" si="17"/>
        <v/>
      </c>
      <c r="L105" s="43"/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9" t="str">
        <f t="shared" ca="1" si="12"/>
        <v/>
      </c>
      <c r="B106" s="40" t="str">
        <f ca="1">IF(COUNTIF($W$2:W1091,A106)=1,VLOOKUP(A106,O:P,2), IF(COUNTIF($W$2:W1091,A106)=0,$B$9,""))</f>
        <v/>
      </c>
      <c r="C106" s="2" t="str">
        <f t="shared" ca="1" si="13"/>
        <v/>
      </c>
      <c r="D106" s="43"/>
      <c r="E106" s="40" t="str">
        <f ca="1">IF(COUNTIF($W$2:W1091,A106)=1,VLOOKUP(A106,Q:R,2), IF(COUNTIF($W$2:W1091,A106)=0,$C$9,""))</f>
        <v/>
      </c>
      <c r="F106" s="2" t="str">
        <f t="shared" ca="1" si="14"/>
        <v/>
      </c>
      <c r="G106" s="43" t="str">
        <f t="shared" ca="1" si="15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6"/>
        <v/>
      </c>
      <c r="K106" s="43" t="str">
        <f t="shared" ca="1" si="17"/>
        <v/>
      </c>
      <c r="L106" s="43"/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9" t="str">
        <f t="shared" ca="1" si="12"/>
        <v/>
      </c>
      <c r="B107" s="40" t="str">
        <f ca="1">IF(COUNTIF($W$2:W1092,A107)=1,VLOOKUP(A107,O:P,2), IF(COUNTIF($W$2:W1092,A107)=0,$B$9,""))</f>
        <v/>
      </c>
      <c r="C107" s="2" t="str">
        <f t="shared" ca="1" si="13"/>
        <v/>
      </c>
      <c r="D107" s="43"/>
      <c r="E107" s="40" t="str">
        <f ca="1">IF(COUNTIF($W$2:W1092,A107)=1,VLOOKUP(A107,Q:R,2), IF(COUNTIF($W$2:W1092,A107)=0,$C$9,""))</f>
        <v/>
      </c>
      <c r="F107" s="2" t="str">
        <f t="shared" ca="1" si="14"/>
        <v/>
      </c>
      <c r="G107" s="43" t="str">
        <f t="shared" ca="1" si="15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6"/>
        <v/>
      </c>
      <c r="K107" s="43" t="str">
        <f t="shared" ca="1" si="17"/>
        <v/>
      </c>
      <c r="L107" s="43"/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9" t="str">
        <f t="shared" ca="1" si="12"/>
        <v/>
      </c>
      <c r="B108" s="40" t="str">
        <f ca="1">IF(COUNTIF($W$2:W1093,A108)=1,VLOOKUP(A108,O:P,2), IF(COUNTIF($W$2:W1093,A108)=0,$B$9,""))</f>
        <v/>
      </c>
      <c r="C108" s="2" t="str">
        <f t="shared" ca="1" si="13"/>
        <v/>
      </c>
      <c r="D108" s="43"/>
      <c r="E108" s="40" t="str">
        <f ca="1">IF(COUNTIF($W$2:W1093,A108)=1,VLOOKUP(A108,Q:R,2), IF(COUNTIF($W$2:W1093,A108)=0,$C$9,""))</f>
        <v/>
      </c>
      <c r="F108" s="2" t="str">
        <f t="shared" ca="1" si="14"/>
        <v/>
      </c>
      <c r="G108" s="43" t="str">
        <f t="shared" ca="1" si="15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6"/>
        <v/>
      </c>
      <c r="K108" s="43" t="str">
        <f t="shared" ca="1" si="17"/>
        <v/>
      </c>
      <c r="L108" s="43"/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9" t="str">
        <f t="shared" ca="1" si="12"/>
        <v/>
      </c>
      <c r="B109" s="40" t="str">
        <f ca="1">IF(COUNTIF($W$2:W1094,A109)=1,VLOOKUP(A109,O:P,2), IF(COUNTIF($W$2:W1094,A109)=0,$B$9,""))</f>
        <v/>
      </c>
      <c r="C109" s="2" t="str">
        <f t="shared" ca="1" si="13"/>
        <v/>
      </c>
      <c r="D109" s="43"/>
      <c r="E109" s="40" t="str">
        <f ca="1">IF(COUNTIF($W$2:W1094,A109)=1,VLOOKUP(A109,Q:R,2), IF(COUNTIF($W$2:W1094,A109)=0,$C$9,""))</f>
        <v/>
      </c>
      <c r="F109" s="2" t="str">
        <f t="shared" ca="1" si="14"/>
        <v/>
      </c>
      <c r="G109" s="43" t="str">
        <f t="shared" ca="1" si="15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6"/>
        <v/>
      </c>
      <c r="K109" s="43" t="str">
        <f t="shared" ca="1" si="17"/>
        <v/>
      </c>
      <c r="L109" s="43"/>
      <c r="M109" s="44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1"/>
        <v>45931</v>
      </c>
    </row>
    <row r="110" spans="1:30" x14ac:dyDescent="0.25">
      <c r="A110" s="39" t="str">
        <f t="shared" ca="1" si="12"/>
        <v/>
      </c>
      <c r="B110" s="40" t="str">
        <f ca="1">IF(COUNTIF($W$2:W1095,A110)=1,VLOOKUP(A110,O:P,2), IF(COUNTIF($W$2:W1095,A110)=0,$B$9,""))</f>
        <v/>
      </c>
      <c r="C110" s="2" t="str">
        <f t="shared" ca="1" si="13"/>
        <v/>
      </c>
      <c r="D110" s="43"/>
      <c r="E110" s="40" t="str">
        <f ca="1">IF(COUNTIF($W$2:W1095,A110)=1,VLOOKUP(A110,Q:R,2), IF(COUNTIF($W$2:W1095,A110)=0,$C$9,""))</f>
        <v/>
      </c>
      <c r="F110" s="2" t="str">
        <f t="shared" ca="1" si="14"/>
        <v/>
      </c>
      <c r="G110" s="43" t="str">
        <f t="shared" ca="1" si="15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6"/>
        <v/>
      </c>
      <c r="K110" s="43" t="str">
        <f t="shared" ca="1" si="17"/>
        <v/>
      </c>
      <c r="L110" s="43"/>
      <c r="M110" s="44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9" t="str">
        <f t="shared" ca="1" si="12"/>
        <v/>
      </c>
      <c r="B111" s="40" t="str">
        <f ca="1">IF(COUNTIF($W$2:W1096,A111)=1,VLOOKUP(A111,O:P,2), IF(COUNTIF($W$2:W1096,A111)=0,$B$9,""))</f>
        <v/>
      </c>
      <c r="C111" s="2" t="str">
        <f t="shared" ca="1" si="13"/>
        <v/>
      </c>
      <c r="D111" s="43"/>
      <c r="E111" s="40" t="str">
        <f ca="1">IF(COUNTIF($W$2:W1096,A111)=1,VLOOKUP(A111,Q:R,2), IF(COUNTIF($W$2:W1096,A111)=0,$C$9,""))</f>
        <v/>
      </c>
      <c r="F111" s="2" t="str">
        <f t="shared" ca="1" si="14"/>
        <v/>
      </c>
      <c r="G111" s="43" t="str">
        <f t="shared" ca="1" si="15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6"/>
        <v/>
      </c>
      <c r="K111" s="43" t="str">
        <f t="shared" ca="1" si="17"/>
        <v/>
      </c>
      <c r="L111" s="43"/>
      <c r="M111" s="44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1"/>
        <v>45933</v>
      </c>
    </row>
    <row r="112" spans="1:30" x14ac:dyDescent="0.25">
      <c r="A112" s="39" t="str">
        <f t="shared" ca="1" si="12"/>
        <v/>
      </c>
      <c r="B112" s="40" t="str">
        <f ca="1">IF(COUNTIF($W$2:W1097,A112)=1,VLOOKUP(A112,O:P,2), IF(COUNTIF($W$2:W1097,A112)=0,$B$9,""))</f>
        <v/>
      </c>
      <c r="C112" s="2" t="str">
        <f t="shared" ca="1" si="13"/>
        <v/>
      </c>
      <c r="D112" s="43"/>
      <c r="E112" s="40" t="str">
        <f ca="1">IF(COUNTIF($W$2:W1097,A112)=1,VLOOKUP(A112,Q:R,2), IF(COUNTIF($W$2:W1097,A112)=0,$C$9,""))</f>
        <v/>
      </c>
      <c r="F112" s="2" t="str">
        <f t="shared" ca="1" si="14"/>
        <v/>
      </c>
      <c r="G112" s="43" t="str">
        <f t="shared" ca="1" si="15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6"/>
        <v/>
      </c>
      <c r="K112" s="43" t="str">
        <f t="shared" ca="1" si="17"/>
        <v/>
      </c>
      <c r="L112" s="43"/>
      <c r="M112" s="44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1"/>
        <v>45936</v>
      </c>
    </row>
    <row r="113" spans="1:30" x14ac:dyDescent="0.25">
      <c r="A113" s="39" t="str">
        <f t="shared" ca="1" si="12"/>
        <v/>
      </c>
      <c r="B113" s="40" t="str">
        <f ca="1">IF(COUNTIF($W$2:W1098,A113)=1,VLOOKUP(A113,O:P,2), IF(COUNTIF($W$2:W1098,A113)=0,$B$9,""))</f>
        <v/>
      </c>
      <c r="C113" s="2" t="str">
        <f t="shared" ca="1" si="13"/>
        <v/>
      </c>
      <c r="D113" s="43"/>
      <c r="E113" s="40" t="str">
        <f ca="1">IF(COUNTIF($W$2:W1098,A113)=1,VLOOKUP(A113,Q:R,2), IF(COUNTIF($W$2:W1098,A113)=0,$C$9,""))</f>
        <v/>
      </c>
      <c r="F113" s="2" t="str">
        <f t="shared" ca="1" si="14"/>
        <v/>
      </c>
      <c r="G113" s="43" t="str">
        <f t="shared" ca="1" si="15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6"/>
        <v/>
      </c>
      <c r="K113" s="43" t="str">
        <f t="shared" ca="1" si="17"/>
        <v/>
      </c>
      <c r="L113" s="43"/>
      <c r="M113" s="44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9" t="str">
        <f t="shared" ca="1" si="12"/>
        <v/>
      </c>
      <c r="B114" s="40" t="str">
        <f ca="1">IF(COUNTIF($W$2:W1099,A114)=1,VLOOKUP(A114,O:P,2), IF(COUNTIF($W$2:W1099,A114)=0,$B$9,""))</f>
        <v/>
      </c>
      <c r="C114" s="2" t="str">
        <f t="shared" ca="1" si="13"/>
        <v/>
      </c>
      <c r="D114" s="43"/>
      <c r="E114" s="40" t="str">
        <f ca="1">IF(COUNTIF($W$2:W1099,A114)=1,VLOOKUP(A114,Q:R,2), IF(COUNTIF($W$2:W1099,A114)=0,$C$9,""))</f>
        <v/>
      </c>
      <c r="F114" s="2" t="str">
        <f t="shared" ca="1" si="14"/>
        <v/>
      </c>
      <c r="G114" s="43" t="str">
        <f t="shared" ca="1" si="15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6"/>
        <v/>
      </c>
      <c r="K114" s="43" t="str">
        <f t="shared" ca="1" si="17"/>
        <v/>
      </c>
      <c r="L114" s="43"/>
      <c r="M114" s="44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9" t="str">
        <f t="shared" ca="1" si="12"/>
        <v/>
      </c>
      <c r="B115" s="40" t="str">
        <f ca="1">IF(COUNTIF($W$2:W1100,A115)=1,VLOOKUP(A115,O:P,2), IF(COUNTIF($W$2:W1100,A115)=0,$B$9,""))</f>
        <v/>
      </c>
      <c r="C115" s="2" t="str">
        <f t="shared" ca="1" si="13"/>
        <v/>
      </c>
      <c r="D115" s="43"/>
      <c r="E115" s="40" t="str">
        <f ca="1">IF(COUNTIF($W$2:W1100,A115)=1,VLOOKUP(A115,Q:R,2), IF(COUNTIF($W$2:W1100,A115)=0,$C$9,""))</f>
        <v/>
      </c>
      <c r="F115" s="2" t="str">
        <f t="shared" ca="1" si="14"/>
        <v/>
      </c>
      <c r="G115" s="43" t="str">
        <f t="shared" ca="1" si="15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6"/>
        <v/>
      </c>
      <c r="K115" s="43" t="str">
        <f t="shared" ca="1" si="17"/>
        <v/>
      </c>
      <c r="L115" s="43"/>
      <c r="M115" s="44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9" t="str">
        <f t="shared" ca="1" si="12"/>
        <v/>
      </c>
      <c r="B116" s="40" t="str">
        <f ca="1">IF(COUNTIF($W$2:W1101,A116)=1,VLOOKUP(A116,O:P,2), IF(COUNTIF($W$2:W1101,A116)=0,$B$9,""))</f>
        <v/>
      </c>
      <c r="C116" s="2" t="str">
        <f t="shared" ca="1" si="13"/>
        <v/>
      </c>
      <c r="D116" s="43"/>
      <c r="E116" s="40" t="str">
        <f ca="1">IF(COUNTIF($W$2:W1101,A116)=1,VLOOKUP(A116,Q:R,2), IF(COUNTIF($W$2:W1101,A116)=0,$C$9,""))</f>
        <v/>
      </c>
      <c r="F116" s="2" t="str">
        <f t="shared" ca="1" si="14"/>
        <v/>
      </c>
      <c r="G116" s="43" t="str">
        <f t="shared" ca="1" si="15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6"/>
        <v/>
      </c>
      <c r="K116" s="43" t="str">
        <f t="shared" ca="1" si="17"/>
        <v/>
      </c>
      <c r="L116" s="43"/>
      <c r="M116" s="44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9" t="str">
        <f t="shared" ca="1" si="12"/>
        <v/>
      </c>
      <c r="B117" s="40" t="str">
        <f ca="1">IF(COUNTIF($W$2:W1102,A117)=1,VLOOKUP(A117,O:P,2), IF(COUNTIF($W$2:W1102,A117)=0,$B$9,""))</f>
        <v/>
      </c>
      <c r="C117" s="2" t="str">
        <f t="shared" ca="1" si="13"/>
        <v/>
      </c>
      <c r="D117" s="43"/>
      <c r="E117" s="40" t="str">
        <f ca="1">IF(COUNTIF($W$2:W1102,A117)=1,VLOOKUP(A117,Q:R,2), IF(COUNTIF($W$2:W1102,A117)=0,$C$9,""))</f>
        <v/>
      </c>
      <c r="F117" s="2" t="str">
        <f t="shared" ca="1" si="14"/>
        <v/>
      </c>
      <c r="G117" s="43" t="str">
        <f t="shared" ca="1" si="15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6"/>
        <v/>
      </c>
      <c r="K117" s="43" t="str">
        <f t="shared" ca="1" si="17"/>
        <v/>
      </c>
      <c r="L117" s="43"/>
      <c r="M117" s="44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9" t="str">
        <f t="shared" ca="1" si="12"/>
        <v/>
      </c>
      <c r="B118" s="40" t="str">
        <f ca="1">IF(COUNTIF($W$2:W1103,A118)=1,VLOOKUP(A118,O:P,2), IF(COUNTIF($W$2:W1103,A118)=0,$B$9,""))</f>
        <v/>
      </c>
      <c r="C118" s="2" t="str">
        <f t="shared" ca="1" si="13"/>
        <v/>
      </c>
      <c r="D118" s="43"/>
      <c r="E118" s="40" t="str">
        <f ca="1">IF(COUNTIF($W$2:W1103,A118)=1,VLOOKUP(A118,Q:R,2), IF(COUNTIF($W$2:W1103,A118)=0,$C$9,""))</f>
        <v/>
      </c>
      <c r="F118" s="2" t="str">
        <f t="shared" ca="1" si="14"/>
        <v/>
      </c>
      <c r="G118" s="43" t="str">
        <f t="shared" ca="1" si="15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6"/>
        <v/>
      </c>
      <c r="K118" s="43" t="str">
        <f t="shared" ca="1" si="17"/>
        <v/>
      </c>
      <c r="L118" s="43"/>
      <c r="M118" s="44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9" t="str">
        <f t="shared" ca="1" si="12"/>
        <v/>
      </c>
      <c r="B119" s="40" t="str">
        <f ca="1">IF(COUNTIF($W$2:W1104,A119)=1,VLOOKUP(A119,O:P,2), IF(COUNTIF($W$2:W1104,A119)=0,$B$9,""))</f>
        <v/>
      </c>
      <c r="C119" s="2" t="str">
        <f t="shared" ca="1" si="13"/>
        <v/>
      </c>
      <c r="D119" s="43"/>
      <c r="E119" s="40" t="str">
        <f ca="1">IF(COUNTIF($W$2:W1104,A119)=1,VLOOKUP(A119,Q:R,2), IF(COUNTIF($W$2:W1104,A119)=0,$C$9,""))</f>
        <v/>
      </c>
      <c r="F119" s="2" t="str">
        <f t="shared" ca="1" si="14"/>
        <v/>
      </c>
      <c r="G119" s="43" t="str">
        <f t="shared" ca="1" si="15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6"/>
        <v/>
      </c>
      <c r="K119" s="43" t="str">
        <f t="shared" ca="1" si="17"/>
        <v/>
      </c>
      <c r="L119" s="43"/>
      <c r="M119" s="44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9" t="str">
        <f t="shared" ca="1" si="12"/>
        <v/>
      </c>
      <c r="B120" s="40" t="str">
        <f ca="1">IF(COUNTIF($W$2:W1105,A120)=1,VLOOKUP(A120,O:P,2), IF(COUNTIF($W$2:W1105,A120)=0,$B$9,""))</f>
        <v/>
      </c>
      <c r="C120" s="2" t="str">
        <f t="shared" ca="1" si="13"/>
        <v/>
      </c>
      <c r="D120" s="43"/>
      <c r="E120" s="40" t="str">
        <f ca="1">IF(COUNTIF($W$2:W1105,A120)=1,VLOOKUP(A120,Q:R,2), IF(COUNTIF($W$2:W1105,A120)=0,$C$9,""))</f>
        <v/>
      </c>
      <c r="F120" s="2" t="str">
        <f t="shared" ca="1" si="14"/>
        <v/>
      </c>
      <c r="G120" s="43" t="str">
        <f t="shared" ca="1" si="15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6"/>
        <v/>
      </c>
      <c r="K120" s="43" t="str">
        <f t="shared" ca="1" si="17"/>
        <v/>
      </c>
      <c r="L120" s="43"/>
      <c r="M120" s="44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9" t="str">
        <f t="shared" ca="1" si="12"/>
        <v/>
      </c>
      <c r="B121" s="40" t="str">
        <f ca="1">IF(COUNTIF($W$2:W1106,A121)=1,VLOOKUP(A121,O:P,2), IF(COUNTIF($W$2:W1106,A121)=0,$B$9,""))</f>
        <v/>
      </c>
      <c r="C121" s="2" t="str">
        <f t="shared" ca="1" si="13"/>
        <v/>
      </c>
      <c r="D121" s="43"/>
      <c r="E121" s="40" t="str">
        <f ca="1">IF(COUNTIF($W$2:W1106,A121)=1,VLOOKUP(A121,Q:R,2), IF(COUNTIF($W$2:W1106,A121)=0,$C$9,""))</f>
        <v/>
      </c>
      <c r="F121" s="2" t="str">
        <f t="shared" ca="1" si="14"/>
        <v/>
      </c>
      <c r="G121" s="43" t="str">
        <f t="shared" ca="1" si="15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6"/>
        <v/>
      </c>
      <c r="K121" s="43" t="str">
        <f t="shared" ca="1" si="17"/>
        <v/>
      </c>
      <c r="L121" s="43"/>
      <c r="M121" s="44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9" t="str">
        <f t="shared" ca="1" si="12"/>
        <v/>
      </c>
      <c r="B122" s="40" t="str">
        <f ca="1">IF(COUNTIF($W$2:W1107,A122)=1,VLOOKUP(A122,O:P,2), IF(COUNTIF($W$2:W1107,A122)=0,$B$9,""))</f>
        <v/>
      </c>
      <c r="C122" s="2" t="str">
        <f t="shared" ca="1" si="13"/>
        <v/>
      </c>
      <c r="D122" s="43"/>
      <c r="E122" s="40" t="str">
        <f ca="1">IF(COUNTIF($W$2:W1107,A122)=1,VLOOKUP(A122,Q:R,2), IF(COUNTIF($W$2:W1107,A122)=0,$C$9,""))</f>
        <v/>
      </c>
      <c r="F122" s="2" t="str">
        <f t="shared" ca="1" si="14"/>
        <v/>
      </c>
      <c r="G122" s="43" t="str">
        <f t="shared" ca="1" si="15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6"/>
        <v/>
      </c>
      <c r="K122" s="43" t="str">
        <f t="shared" ca="1" si="17"/>
        <v/>
      </c>
      <c r="L122" s="43"/>
      <c r="M122" s="44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9" t="str">
        <f t="shared" ca="1" si="12"/>
        <v/>
      </c>
      <c r="B123" s="40" t="str">
        <f ca="1">IF(COUNTIF($W$2:W1108,A123)=1,VLOOKUP(A123,O:P,2), IF(COUNTIF($W$2:W1108,A123)=0,$B$9,""))</f>
        <v/>
      </c>
      <c r="C123" s="2" t="str">
        <f t="shared" ca="1" si="13"/>
        <v/>
      </c>
      <c r="D123" s="43"/>
      <c r="E123" s="40" t="str">
        <f ca="1">IF(COUNTIF($W$2:W1108,A123)=1,VLOOKUP(A123,Q:R,2), IF(COUNTIF($W$2:W1108,A123)=0,$C$9,""))</f>
        <v/>
      </c>
      <c r="F123" s="2" t="str">
        <f t="shared" ca="1" si="14"/>
        <v/>
      </c>
      <c r="G123" s="43" t="str">
        <f t="shared" ca="1" si="15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6"/>
        <v/>
      </c>
      <c r="K123" s="43" t="str">
        <f t="shared" ca="1" si="17"/>
        <v/>
      </c>
      <c r="L123" s="43"/>
      <c r="M123" s="44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9" t="str">
        <f t="shared" ca="1" si="12"/>
        <v/>
      </c>
      <c r="B124" s="40" t="str">
        <f ca="1">IF(COUNTIF($W$2:W1109,A124)=1,VLOOKUP(A124,O:P,2), IF(COUNTIF($W$2:W1109,A124)=0,$B$9,""))</f>
        <v/>
      </c>
      <c r="C124" s="2" t="str">
        <f t="shared" ca="1" si="13"/>
        <v/>
      </c>
      <c r="D124" s="43"/>
      <c r="E124" s="40" t="str">
        <f ca="1">IF(COUNTIF($W$2:W1109,A124)=1,VLOOKUP(A124,Q:R,2), IF(COUNTIF($W$2:W1109,A124)=0,$C$9,""))</f>
        <v/>
      </c>
      <c r="F124" s="2" t="str">
        <f t="shared" ca="1" si="14"/>
        <v/>
      </c>
      <c r="G124" s="43" t="str">
        <f t="shared" ca="1" si="15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6"/>
        <v/>
      </c>
      <c r="K124" s="43" t="str">
        <f t="shared" ca="1" si="17"/>
        <v/>
      </c>
      <c r="L124" s="43"/>
      <c r="M124" s="44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9" t="str">
        <f t="shared" ca="1" si="12"/>
        <v/>
      </c>
      <c r="B125" s="40" t="str">
        <f ca="1">IF(COUNTIF($W$2:W1110,A125)=1,VLOOKUP(A125,O:P,2), IF(COUNTIF($W$2:W1110,A125)=0,$B$9,""))</f>
        <v/>
      </c>
      <c r="C125" s="2" t="str">
        <f t="shared" ca="1" si="13"/>
        <v/>
      </c>
      <c r="D125" s="43"/>
      <c r="E125" s="40" t="str">
        <f ca="1">IF(COUNTIF($W$2:W1110,A125)=1,VLOOKUP(A125,Q:R,2), IF(COUNTIF($W$2:W1110,A125)=0,$C$9,""))</f>
        <v/>
      </c>
      <c r="F125" s="2" t="str">
        <f t="shared" ca="1" si="14"/>
        <v/>
      </c>
      <c r="G125" s="43" t="str">
        <f t="shared" ca="1" si="15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6"/>
        <v/>
      </c>
      <c r="K125" s="43" t="str">
        <f t="shared" ca="1" si="17"/>
        <v/>
      </c>
      <c r="L125" s="43"/>
      <c r="M125" s="44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9" t="str">
        <f t="shared" ca="1" si="12"/>
        <v/>
      </c>
      <c r="B126" s="40" t="str">
        <f ca="1">IF(COUNTIF($W$2:W1111,A126)=1,VLOOKUP(A126,O:P,2), IF(COUNTIF($W$2:W1111,A126)=0,$B$9,""))</f>
        <v/>
      </c>
      <c r="C126" s="2" t="str">
        <f t="shared" ca="1" si="13"/>
        <v/>
      </c>
      <c r="D126" s="43"/>
      <c r="E126" s="40" t="str">
        <f ca="1">IF(COUNTIF($W$2:W1111,A126)=1,VLOOKUP(A126,Q:R,2), IF(COUNTIF($W$2:W1111,A126)=0,$C$9,""))</f>
        <v/>
      </c>
      <c r="F126" s="2" t="str">
        <f t="shared" ca="1" si="14"/>
        <v/>
      </c>
      <c r="G126" s="43" t="str">
        <f t="shared" ca="1" si="15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6"/>
        <v/>
      </c>
      <c r="K126" s="43" t="str">
        <f t="shared" ca="1" si="17"/>
        <v/>
      </c>
      <c r="L126" s="43"/>
      <c r="M126" s="44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1"/>
        <v>45954</v>
      </c>
    </row>
    <row r="127" spans="1:30" x14ac:dyDescent="0.25">
      <c r="A127" s="39" t="str">
        <f t="shared" ca="1" si="12"/>
        <v/>
      </c>
      <c r="B127" s="40" t="str">
        <f ca="1">IF(COUNTIF($W$2:W1112,A127)=1,VLOOKUP(A127,O:P,2), IF(COUNTIF($W$2:W1112,A127)=0,$B$9,""))</f>
        <v/>
      </c>
      <c r="C127" s="2" t="str">
        <f t="shared" ca="1" si="13"/>
        <v/>
      </c>
      <c r="D127" s="43"/>
      <c r="E127" s="40" t="str">
        <f ca="1">IF(COUNTIF($W$2:W1112,A127)=1,VLOOKUP(A127,Q:R,2), IF(COUNTIF($W$2:W1112,A127)=0,$C$9,""))</f>
        <v/>
      </c>
      <c r="F127" s="2" t="str">
        <f t="shared" ca="1" si="14"/>
        <v/>
      </c>
      <c r="G127" s="43" t="str">
        <f t="shared" ca="1" si="15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6"/>
        <v/>
      </c>
      <c r="K127" s="43" t="str">
        <f t="shared" ca="1" si="17"/>
        <v/>
      </c>
      <c r="L127" s="43"/>
      <c r="M127" s="44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9" t="str">
        <f t="shared" ca="1" si="12"/>
        <v/>
      </c>
      <c r="B128" s="40" t="str">
        <f ca="1">IF(COUNTIF($W$2:W1113,A128)=1,VLOOKUP(A128,O:P,2), IF(COUNTIF($W$2:W1113,A128)=0,$B$9,""))</f>
        <v/>
      </c>
      <c r="C128" s="2" t="str">
        <f t="shared" ca="1" si="13"/>
        <v/>
      </c>
      <c r="D128" s="43"/>
      <c r="E128" s="40" t="str">
        <f ca="1">IF(COUNTIF($W$2:W1113,A128)=1,VLOOKUP(A128,Q:R,2), IF(COUNTIF($W$2:W1113,A128)=0,$C$9,""))</f>
        <v/>
      </c>
      <c r="F128" s="2" t="str">
        <f t="shared" ca="1" si="14"/>
        <v/>
      </c>
      <c r="G128" s="43" t="str">
        <f t="shared" ca="1" si="15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6"/>
        <v/>
      </c>
      <c r="K128" s="43" t="str">
        <f t="shared" ca="1" si="17"/>
        <v/>
      </c>
      <c r="L128" s="43"/>
      <c r="M128" s="44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9" t="str">
        <f t="shared" ca="1" si="12"/>
        <v/>
      </c>
      <c r="B129" s="40" t="str">
        <f ca="1">IF(COUNTIF($W$2:W1114,A129)=1,VLOOKUP(A129,O:P,2), IF(COUNTIF($W$2:W1114,A129)=0,$B$9,""))</f>
        <v/>
      </c>
      <c r="C129" s="2" t="str">
        <f t="shared" ca="1" si="13"/>
        <v/>
      </c>
      <c r="D129" s="43"/>
      <c r="E129" s="40" t="str">
        <f ca="1">IF(COUNTIF($W$2:W1114,A129)=1,VLOOKUP(A129,Q:R,2), IF(COUNTIF($W$2:W1114,A129)=0,$C$9,""))</f>
        <v/>
      </c>
      <c r="F129" s="2" t="str">
        <f t="shared" ca="1" si="14"/>
        <v/>
      </c>
      <c r="G129" s="43" t="str">
        <f t="shared" ca="1" si="15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6"/>
        <v/>
      </c>
      <c r="K129" s="43" t="str">
        <f t="shared" ca="1" si="17"/>
        <v/>
      </c>
      <c r="L129" s="43"/>
      <c r="M129" s="44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9" t="str">
        <f t="shared" ca="1" si="12"/>
        <v/>
      </c>
      <c r="B130" s="40" t="str">
        <f ca="1">IF(COUNTIF($W$2:W1115,A130)=1,VLOOKUP(A130,O:P,2), IF(COUNTIF($W$2:W1115,A130)=0,$B$9,""))</f>
        <v/>
      </c>
      <c r="C130" s="2" t="str">
        <f t="shared" ca="1" si="13"/>
        <v/>
      </c>
      <c r="D130" s="43"/>
      <c r="E130" s="40" t="str">
        <f ca="1">IF(COUNTIF($W$2:W1115,A130)=1,VLOOKUP(A130,Q:R,2), IF(COUNTIF($W$2:W1115,A130)=0,$C$9,""))</f>
        <v/>
      </c>
      <c r="F130" s="2" t="str">
        <f t="shared" ca="1" si="14"/>
        <v/>
      </c>
      <c r="G130" s="43" t="str">
        <f t="shared" ca="1" si="15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6"/>
        <v/>
      </c>
      <c r="K130" s="43" t="str">
        <f t="shared" ca="1" si="17"/>
        <v/>
      </c>
      <c r="L130" s="43"/>
      <c r="M130" s="44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9" t="str">
        <f t="shared" ca="1" si="12"/>
        <v/>
      </c>
      <c r="B131" s="40" t="str">
        <f ca="1">IF(COUNTIF($W$2:W1116,A131)=1,VLOOKUP(A131,O:P,2), IF(COUNTIF($W$2:W1116,A131)=0,$B$9,""))</f>
        <v/>
      </c>
      <c r="C131" s="2" t="str">
        <f t="shared" ca="1" si="13"/>
        <v/>
      </c>
      <c r="D131" s="43"/>
      <c r="E131" s="40" t="str">
        <f ca="1">IF(COUNTIF($W$2:W1116,A131)=1,VLOOKUP(A131,Q:R,2), IF(COUNTIF($W$2:W1116,A131)=0,$C$9,""))</f>
        <v/>
      </c>
      <c r="F131" s="2" t="str">
        <f t="shared" ca="1" si="14"/>
        <v/>
      </c>
      <c r="G131" s="43" t="str">
        <f t="shared" ca="1" si="15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6"/>
        <v/>
      </c>
      <c r="K131" s="43" t="str">
        <f t="shared" ca="1" si="17"/>
        <v/>
      </c>
      <c r="L131" s="43"/>
      <c r="M131" s="44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1"/>
        <v>45961</v>
      </c>
    </row>
    <row r="132" spans="1:30" x14ac:dyDescent="0.25">
      <c r="A132" s="39" t="str">
        <f t="shared" ca="1" si="12"/>
        <v/>
      </c>
      <c r="B132" s="40" t="str">
        <f ca="1">IF(COUNTIF($W$2:W1117,A132)=1,VLOOKUP(A132,O:P,2), IF(COUNTIF($W$2:W1117,A132)=0,$B$9,""))</f>
        <v/>
      </c>
      <c r="C132" s="2" t="str">
        <f t="shared" ca="1" si="13"/>
        <v/>
      </c>
      <c r="D132" s="43"/>
      <c r="E132" s="40" t="str">
        <f ca="1">IF(COUNTIF($W$2:W1117,A132)=1,VLOOKUP(A132,Q:R,2), IF(COUNTIF($W$2:W1117,A132)=0,$C$9,""))</f>
        <v/>
      </c>
      <c r="F132" s="2" t="str">
        <f t="shared" ca="1" si="14"/>
        <v/>
      </c>
      <c r="G132" s="43" t="str">
        <f t="shared" ca="1" si="15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6"/>
        <v/>
      </c>
      <c r="K132" s="43" t="str">
        <f t="shared" ca="1" si="17"/>
        <v/>
      </c>
      <c r="L132" s="43"/>
      <c r="M132" s="44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9" t="str">
        <f t="shared" ca="1" si="12"/>
        <v/>
      </c>
      <c r="B133" s="40" t="str">
        <f ca="1">IF(COUNTIF($W$2:W1118,A133)=1,VLOOKUP(A133,O:P,2), IF(COUNTIF($W$2:W1118,A133)=0,$B$9,""))</f>
        <v/>
      </c>
      <c r="C133" s="2" t="str">
        <f t="shared" ca="1" si="13"/>
        <v/>
      </c>
      <c r="D133" s="43"/>
      <c r="E133" s="40" t="str">
        <f ca="1">IF(COUNTIF($W$2:W1118,A133)=1,VLOOKUP(A133,Q:R,2), IF(COUNTIF($W$2:W1118,A133)=0,$C$9,""))</f>
        <v/>
      </c>
      <c r="F133" s="2" t="str">
        <f t="shared" ca="1" si="14"/>
        <v/>
      </c>
      <c r="G133" s="43" t="str">
        <f t="shared" ca="1" si="15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6"/>
        <v/>
      </c>
      <c r="K133" s="43" t="str">
        <f t="shared" ca="1" si="17"/>
        <v/>
      </c>
      <c r="L133" s="43"/>
      <c r="M133" s="44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9" t="str">
        <f t="shared" ca="1" si="12"/>
        <v/>
      </c>
      <c r="B134" s="40" t="str">
        <f ca="1">IF(COUNTIF($W$2:W1119,A134)=1,VLOOKUP(A134,O:P,2), IF(COUNTIF($W$2:W1119,A134)=0,$B$9,""))</f>
        <v/>
      </c>
      <c r="C134" s="2" t="str">
        <f t="shared" ca="1" si="13"/>
        <v/>
      </c>
      <c r="D134" s="43"/>
      <c r="E134" s="40" t="str">
        <f ca="1">IF(COUNTIF($W$2:W1119,A134)=1,VLOOKUP(A134,Q:R,2), IF(COUNTIF($W$2:W1119,A134)=0,$C$9,""))</f>
        <v/>
      </c>
      <c r="F134" s="2" t="str">
        <f t="shared" ca="1" si="14"/>
        <v/>
      </c>
      <c r="G134" s="43" t="str">
        <f t="shared" ca="1" si="15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6"/>
        <v/>
      </c>
      <c r="K134" s="43" t="str">
        <f t="shared" ca="1" si="17"/>
        <v/>
      </c>
      <c r="L134" s="43"/>
      <c r="M134" s="44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9" t="str">
        <f t="shared" ca="1" si="12"/>
        <v/>
      </c>
      <c r="B135" s="40" t="str">
        <f ca="1">IF(COUNTIF($W$2:W1120,A135)=1,VLOOKUP(A135,O:P,2), IF(COUNTIF($W$2:W1120,A135)=0,$B$9,""))</f>
        <v/>
      </c>
      <c r="C135" s="2" t="str">
        <f t="shared" ca="1" si="13"/>
        <v/>
      </c>
      <c r="D135" s="43"/>
      <c r="E135" s="40" t="str">
        <f ca="1">IF(COUNTIF($W$2:W1120,A135)=1,VLOOKUP(A135,Q:R,2), IF(COUNTIF($W$2:W1120,A135)=0,$C$9,""))</f>
        <v/>
      </c>
      <c r="F135" s="2" t="str">
        <f t="shared" ca="1" si="14"/>
        <v/>
      </c>
      <c r="G135" s="43" t="str">
        <f t="shared" ca="1" si="15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6"/>
        <v/>
      </c>
      <c r="K135" s="43" t="str">
        <f t="shared" ca="1" si="17"/>
        <v/>
      </c>
      <c r="L135" s="43"/>
      <c r="M135" s="44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9" t="str">
        <f t="shared" ca="1" si="12"/>
        <v/>
      </c>
      <c r="B136" s="40" t="str">
        <f ca="1">IF(COUNTIF($W$2:W1121,A136)=1,VLOOKUP(A136,O:P,2), IF(COUNTIF($W$2:W1121,A136)=0,$B$9,""))</f>
        <v/>
      </c>
      <c r="C136" s="2" t="str">
        <f t="shared" ca="1" si="13"/>
        <v/>
      </c>
      <c r="D136" s="43"/>
      <c r="E136" s="40" t="str">
        <f ca="1">IF(COUNTIF($W$2:W1121,A136)=1,VLOOKUP(A136,Q:R,2), IF(COUNTIF($W$2:W1121,A136)=0,$C$9,""))</f>
        <v/>
      </c>
      <c r="F136" s="2" t="str">
        <f t="shared" ca="1" si="14"/>
        <v/>
      </c>
      <c r="G136" s="43" t="str">
        <f t="shared" ca="1" si="15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6"/>
        <v/>
      </c>
      <c r="K136" s="43" t="str">
        <f t="shared" ca="1" si="17"/>
        <v/>
      </c>
      <c r="L136" s="43"/>
      <c r="M136" s="44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9" t="str">
        <f t="shared" ca="1" si="12"/>
        <v/>
      </c>
      <c r="B137" s="40" t="str">
        <f ca="1">IF(COUNTIF($W$2:W1122,A137)=1,VLOOKUP(A137,O:P,2), IF(COUNTIF($W$2:W1122,A137)=0,$B$9,""))</f>
        <v/>
      </c>
      <c r="C137" s="2" t="str">
        <f t="shared" ca="1" si="13"/>
        <v/>
      </c>
      <c r="D137" s="43"/>
      <c r="E137" s="40" t="str">
        <f ca="1">IF(COUNTIF($W$2:W1122,A137)=1,VLOOKUP(A137,Q:R,2), IF(COUNTIF($W$2:W1122,A137)=0,$C$9,""))</f>
        <v/>
      </c>
      <c r="F137" s="2" t="str">
        <f t="shared" ca="1" si="14"/>
        <v/>
      </c>
      <c r="G137" s="43" t="str">
        <f t="shared" ca="1" si="15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6"/>
        <v/>
      </c>
      <c r="K137" s="43" t="str">
        <f t="shared" ca="1" si="17"/>
        <v/>
      </c>
      <c r="L137" s="43"/>
      <c r="M137" s="44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9" t="str">
        <f t="shared" ca="1" si="12"/>
        <v/>
      </c>
      <c r="B138" s="40" t="str">
        <f ca="1">IF(COUNTIF($W$2:W1123,A138)=1,VLOOKUP(A138,O:P,2), IF(COUNTIF($W$2:W1123,A138)=0,$B$9,""))</f>
        <v/>
      </c>
      <c r="C138" s="2" t="str">
        <f t="shared" ca="1" si="13"/>
        <v/>
      </c>
      <c r="D138" s="43"/>
      <c r="E138" s="40" t="str">
        <f ca="1">IF(COUNTIF($W$2:W1123,A138)=1,VLOOKUP(A138,Q:R,2), IF(COUNTIF($W$2:W1123,A138)=0,$C$9,""))</f>
        <v/>
      </c>
      <c r="F138" s="2" t="str">
        <f t="shared" ca="1" si="14"/>
        <v/>
      </c>
      <c r="G138" s="43" t="str">
        <f t="shared" ca="1" si="15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6"/>
        <v/>
      </c>
      <c r="K138" s="43" t="str">
        <f t="shared" ca="1" si="17"/>
        <v/>
      </c>
      <c r="L138" s="43"/>
      <c r="M138" s="44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9" t="str">
        <f t="shared" ca="1" si="12"/>
        <v/>
      </c>
      <c r="B139" s="40" t="str">
        <f ca="1">IF(COUNTIF($W$2:W1124,A139)=1,VLOOKUP(A139,O:P,2), IF(COUNTIF($W$2:W1124,A139)=0,$B$9,""))</f>
        <v/>
      </c>
      <c r="C139" s="2" t="str">
        <f t="shared" ca="1" si="13"/>
        <v/>
      </c>
      <c r="D139" s="43"/>
      <c r="E139" s="40" t="str">
        <f ca="1">IF(COUNTIF($W$2:W1124,A139)=1,VLOOKUP(A139,Q:R,2), IF(COUNTIF($W$2:W1124,A139)=0,$C$9,""))</f>
        <v/>
      </c>
      <c r="F139" s="2" t="str">
        <f t="shared" ca="1" si="14"/>
        <v/>
      </c>
      <c r="G139" s="43" t="str">
        <f t="shared" ca="1" si="15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6"/>
        <v/>
      </c>
      <c r="K139" s="43" t="str">
        <f t="shared" ca="1" si="17"/>
        <v/>
      </c>
      <c r="L139" s="43"/>
      <c r="M139" s="44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9" t="str">
        <f t="shared" ca="1" si="12"/>
        <v/>
      </c>
      <c r="B140" s="40" t="str">
        <f ca="1">IF(COUNTIF($W$2:W1125,A140)=1,VLOOKUP(A140,O:P,2), IF(COUNTIF($W$2:W1125,A140)=0,$B$9,""))</f>
        <v/>
      </c>
      <c r="C140" s="2" t="str">
        <f t="shared" ca="1" si="13"/>
        <v/>
      </c>
      <c r="D140" s="43"/>
      <c r="E140" s="40" t="str">
        <f ca="1">IF(COUNTIF($W$2:W1125,A140)=1,VLOOKUP(A140,Q:R,2), IF(COUNTIF($W$2:W1125,A140)=0,$C$9,""))</f>
        <v/>
      </c>
      <c r="F140" s="2" t="str">
        <f t="shared" ca="1" si="14"/>
        <v/>
      </c>
      <c r="G140" s="43" t="str">
        <f t="shared" ca="1" si="15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6"/>
        <v/>
      </c>
      <c r="K140" s="43" t="str">
        <f t="shared" ca="1" si="17"/>
        <v/>
      </c>
      <c r="L140" s="43"/>
      <c r="M140" s="44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9" t="str">
        <f t="shared" ca="1" si="12"/>
        <v/>
      </c>
      <c r="B141" s="40" t="str">
        <f ca="1">IF(COUNTIF($W$2:W1126,A141)=1,VLOOKUP(A141,O:P,2), IF(COUNTIF($W$2:W1126,A141)=0,$B$9,""))</f>
        <v/>
      </c>
      <c r="C141" s="2" t="str">
        <f t="shared" ca="1" si="13"/>
        <v/>
      </c>
      <c r="D141" s="43"/>
      <c r="E141" s="40" t="str">
        <f ca="1">IF(COUNTIF($W$2:W1126,A141)=1,VLOOKUP(A141,Q:R,2), IF(COUNTIF($W$2:W1126,A141)=0,$C$9,""))</f>
        <v/>
      </c>
      <c r="F141" s="2" t="str">
        <f t="shared" ca="1" si="14"/>
        <v/>
      </c>
      <c r="G141" s="43" t="str">
        <f t="shared" ca="1" si="15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6"/>
        <v/>
      </c>
      <c r="K141" s="43" t="str">
        <f t="shared" ca="1" si="17"/>
        <v/>
      </c>
      <c r="L141" s="43"/>
      <c r="M141" s="44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9" t="str">
        <f t="shared" ca="1" si="12"/>
        <v/>
      </c>
      <c r="B142" s="40" t="str">
        <f ca="1">IF(COUNTIF($W$2:W1127,A142)=1,VLOOKUP(A142,O:P,2), IF(COUNTIF($W$2:W1127,A142)=0,$B$9,""))</f>
        <v/>
      </c>
      <c r="C142" s="2" t="str">
        <f t="shared" ca="1" si="13"/>
        <v/>
      </c>
      <c r="D142" s="43"/>
      <c r="E142" s="40" t="str">
        <f ca="1">IF(COUNTIF($W$2:W1127,A142)=1,VLOOKUP(A142,Q:R,2), IF(COUNTIF($W$2:W1127,A142)=0,$C$9,""))</f>
        <v/>
      </c>
      <c r="F142" s="2" t="str">
        <f t="shared" ca="1" si="14"/>
        <v/>
      </c>
      <c r="G142" s="43" t="str">
        <f t="shared" ca="1" si="15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6"/>
        <v/>
      </c>
      <c r="K142" s="43" t="str">
        <f t="shared" ca="1" si="17"/>
        <v/>
      </c>
      <c r="L142" s="43"/>
      <c r="M142" s="44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9" t="str">
        <f t="shared" ref="A143:A167" ca="1" si="21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3"/>
        <v/>
      </c>
      <c r="D143" s="43"/>
      <c r="E143" s="40" t="str">
        <f ca="1">IF(COUNTIF($W$2:W1128,A143)=1,VLOOKUP(A143,Q:R,2), IF(COUNTIF($W$2:W1128,A143)=0,$C$9,""))</f>
        <v/>
      </c>
      <c r="F143" s="2" t="str">
        <f t="shared" ca="1" si="14"/>
        <v/>
      </c>
      <c r="G143" s="43" t="str">
        <f t="shared" ca="1" si="15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6"/>
        <v/>
      </c>
      <c r="K143" s="43" t="str">
        <f t="shared" ca="1" si="17"/>
        <v/>
      </c>
      <c r="L143" s="43"/>
      <c r="M143" s="44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9" t="str">
        <f t="shared" ca="1" si="21"/>
        <v/>
      </c>
      <c r="B144" s="40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3"/>
      <c r="E144" s="40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3" t="str">
        <f t="shared" ref="G144:G167" ca="1" si="24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167" ca="1" si="25">IF(ISERROR(H144-2),"",I144)</f>
        <v/>
      </c>
      <c r="K144" s="43" t="str">
        <f t="shared" ref="K144:K167" ca="1" si="26">IF(ISERROR(H144-2),"",(J144/$J$14-1)*$D$5)</f>
        <v/>
      </c>
      <c r="L144" s="43"/>
      <c r="M144" s="44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9" t="str">
        <f t="shared" ca="1" si="21"/>
        <v/>
      </c>
      <c r="B145" s="40" t="str">
        <f ca="1">IF(COUNTIF($W$2:W1130,A145)=1,VLOOKUP(A145,O:P,2), IF(COUNTIF($W$2:W1130,A145)=0,$B$9,""))</f>
        <v/>
      </c>
      <c r="C145" s="2" t="str">
        <f t="shared" ca="1" si="22"/>
        <v/>
      </c>
      <c r="D145" s="43"/>
      <c r="E145" s="40" t="str">
        <f ca="1">IF(COUNTIF($W$2:W1130,A145)=1,VLOOKUP(A145,Q:R,2), IF(COUNTIF($W$2:W1130,A145)=0,$C$9,""))</f>
        <v/>
      </c>
      <c r="F145" s="2" t="str">
        <f t="shared" ca="1" si="23"/>
        <v/>
      </c>
      <c r="G145" s="43" t="str">
        <f t="shared" ca="1" si="24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5"/>
        <v/>
      </c>
      <c r="K145" s="43" t="str">
        <f t="shared" ca="1" si="26"/>
        <v/>
      </c>
      <c r="L145" s="43"/>
      <c r="M145" s="44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9" t="str">
        <f t="shared" ca="1" si="21"/>
        <v/>
      </c>
      <c r="B146" s="40" t="str">
        <f ca="1">IF(COUNTIF($W$2:W1131,A146)=1,VLOOKUP(A146,O:P,2), IF(COUNTIF($W$2:W1131,A146)=0,$B$9,""))</f>
        <v/>
      </c>
      <c r="C146" s="2" t="str">
        <f t="shared" ca="1" si="22"/>
        <v/>
      </c>
      <c r="D146" s="43"/>
      <c r="E146" s="40" t="str">
        <f ca="1">IF(COUNTIF($W$2:W1131,A146)=1,VLOOKUP(A146,Q:R,2), IF(COUNTIF($W$2:W1131,A146)=0,$C$9,""))</f>
        <v/>
      </c>
      <c r="F146" s="2" t="str">
        <f t="shared" ca="1" si="23"/>
        <v/>
      </c>
      <c r="G146" s="43" t="str">
        <f t="shared" ca="1" si="24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5"/>
        <v/>
      </c>
      <c r="K146" s="43" t="str">
        <f t="shared" ca="1" si="26"/>
        <v/>
      </c>
      <c r="L146" s="43"/>
      <c r="M146" s="44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9" t="str">
        <f t="shared" ca="1" si="21"/>
        <v/>
      </c>
      <c r="B147" s="40" t="str">
        <f ca="1">IF(COUNTIF($W$2:W1132,A147)=1,VLOOKUP(A147,O:P,2), IF(COUNTIF($W$2:W1132,A147)=0,$B$9,""))</f>
        <v/>
      </c>
      <c r="C147" s="2" t="str">
        <f t="shared" ca="1" si="22"/>
        <v/>
      </c>
      <c r="D147" s="43"/>
      <c r="E147" s="40" t="str">
        <f ca="1">IF(COUNTIF($W$2:W1132,A147)=1,VLOOKUP(A147,Q:R,2), IF(COUNTIF($W$2:W1132,A147)=0,$C$9,""))</f>
        <v/>
      </c>
      <c r="F147" s="2" t="str">
        <f t="shared" ca="1" si="23"/>
        <v/>
      </c>
      <c r="G147" s="43" t="str">
        <f t="shared" ca="1" si="24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5"/>
        <v/>
      </c>
      <c r="K147" s="43" t="str">
        <f t="shared" ca="1" si="26"/>
        <v/>
      </c>
      <c r="L147" s="43"/>
      <c r="M147" s="44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9" t="str">
        <f t="shared" ca="1" si="21"/>
        <v/>
      </c>
      <c r="B148" s="40" t="str">
        <f ca="1">IF(COUNTIF($W$2:W1133,A148)=1,VLOOKUP(A148,O:P,2), IF(COUNTIF($W$2:W1133,A148)=0,$B$9,""))</f>
        <v/>
      </c>
      <c r="C148" s="2" t="str">
        <f t="shared" ca="1" si="22"/>
        <v/>
      </c>
      <c r="D148" s="43"/>
      <c r="E148" s="40" t="str">
        <f ca="1">IF(COUNTIF($W$2:W1133,A148)=1,VLOOKUP(A148,Q:R,2), IF(COUNTIF($W$2:W1133,A148)=0,$C$9,""))</f>
        <v/>
      </c>
      <c r="F148" s="2" t="str">
        <f t="shared" ca="1" si="23"/>
        <v/>
      </c>
      <c r="G148" s="43" t="str">
        <f t="shared" ca="1" si="24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5"/>
        <v/>
      </c>
      <c r="K148" s="43" t="str">
        <f t="shared" ca="1" si="26"/>
        <v/>
      </c>
      <c r="L148" s="43"/>
      <c r="M148" s="44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9" t="str">
        <f t="shared" ca="1" si="21"/>
        <v/>
      </c>
      <c r="B149" s="40" t="str">
        <f ca="1">IF(COUNTIF($W$2:W1134,A149)=1,VLOOKUP(A149,O:P,2), IF(COUNTIF($W$2:W1134,A149)=0,$B$9,""))</f>
        <v/>
      </c>
      <c r="C149" s="2" t="str">
        <f t="shared" ca="1" si="22"/>
        <v/>
      </c>
      <c r="D149" s="43"/>
      <c r="E149" s="40" t="str">
        <f ca="1">IF(COUNTIF($W$2:W1134,A149)=1,VLOOKUP(A149,Q:R,2), IF(COUNTIF($W$2:W1134,A149)=0,$C$9,""))</f>
        <v/>
      </c>
      <c r="F149" s="2" t="str">
        <f t="shared" ca="1" si="23"/>
        <v/>
      </c>
      <c r="G149" s="43" t="str">
        <f t="shared" ca="1" si="24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5"/>
        <v/>
      </c>
      <c r="K149" s="43" t="str">
        <f t="shared" ca="1" si="26"/>
        <v/>
      </c>
      <c r="L149" s="43"/>
      <c r="M149" s="44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9" t="str">
        <f t="shared" ca="1" si="21"/>
        <v/>
      </c>
      <c r="B150" s="40" t="str">
        <f ca="1">IF(COUNTIF($W$2:W1135,A150)=1,VLOOKUP(A150,O:P,2), IF(COUNTIF($W$2:W1135,A150)=0,$B$9,""))</f>
        <v/>
      </c>
      <c r="C150" s="2" t="str">
        <f t="shared" ca="1" si="22"/>
        <v/>
      </c>
      <c r="D150" s="43"/>
      <c r="E150" s="40" t="str">
        <f ca="1">IF(COUNTIF($W$2:W1135,A150)=1,VLOOKUP(A150,Q:R,2), IF(COUNTIF($W$2:W1135,A150)=0,$C$9,""))</f>
        <v/>
      </c>
      <c r="F150" s="2" t="str">
        <f t="shared" ca="1" si="23"/>
        <v/>
      </c>
      <c r="G150" s="43" t="str">
        <f t="shared" ca="1" si="24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5"/>
        <v/>
      </c>
      <c r="K150" s="43" t="str">
        <f t="shared" ca="1" si="26"/>
        <v/>
      </c>
      <c r="L150" s="43"/>
      <c r="M150" s="44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9" t="str">
        <f t="shared" ca="1" si="21"/>
        <v/>
      </c>
      <c r="B151" s="40" t="str">
        <f ca="1">IF(COUNTIF($W$2:W1136,A151)=1,VLOOKUP(A151,O:P,2), IF(COUNTIF($W$2:W1136,A151)=0,$B$9,""))</f>
        <v/>
      </c>
      <c r="C151" s="2" t="str">
        <f t="shared" ca="1" si="22"/>
        <v/>
      </c>
      <c r="D151" s="43"/>
      <c r="E151" s="40" t="str">
        <f ca="1">IF(COUNTIF($W$2:W1136,A151)=1,VLOOKUP(A151,Q:R,2), IF(COUNTIF($W$2:W1136,A151)=0,$C$9,""))</f>
        <v/>
      </c>
      <c r="F151" s="2" t="str">
        <f t="shared" ca="1" si="23"/>
        <v/>
      </c>
      <c r="G151" s="43" t="str">
        <f t="shared" ca="1" si="24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5"/>
        <v/>
      </c>
      <c r="K151" s="43" t="str">
        <f t="shared" ca="1" si="26"/>
        <v/>
      </c>
      <c r="L151" s="43"/>
      <c r="M151" s="44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9" t="str">
        <f t="shared" ca="1" si="21"/>
        <v/>
      </c>
      <c r="B152" s="40" t="str">
        <f ca="1">IF(COUNTIF($W$2:W1137,A152)=1,VLOOKUP(A152,O:P,2), IF(COUNTIF($W$2:W1137,A152)=0,$B$9,""))</f>
        <v/>
      </c>
      <c r="C152" s="2" t="str">
        <f t="shared" ca="1" si="22"/>
        <v/>
      </c>
      <c r="D152" s="43"/>
      <c r="E152" s="40" t="str">
        <f ca="1">IF(COUNTIF($W$2:W1137,A152)=1,VLOOKUP(A152,Q:R,2), IF(COUNTIF($W$2:W1137,A152)=0,$C$9,""))</f>
        <v/>
      </c>
      <c r="F152" s="2" t="str">
        <f t="shared" ca="1" si="23"/>
        <v/>
      </c>
      <c r="G152" s="43" t="str">
        <f t="shared" ca="1" si="24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5"/>
        <v/>
      </c>
      <c r="K152" s="43" t="str">
        <f t="shared" ca="1" si="26"/>
        <v/>
      </c>
      <c r="L152" s="43"/>
      <c r="M152" s="44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9" t="str">
        <f t="shared" ca="1" si="21"/>
        <v/>
      </c>
      <c r="B153" s="40" t="str">
        <f ca="1">IF(COUNTIF($W$2:W1138,A153)=1,VLOOKUP(A153,O:P,2), IF(COUNTIF($W$2:W1138,A153)=0,$B$9,""))</f>
        <v/>
      </c>
      <c r="C153" s="2" t="str">
        <f t="shared" ca="1" si="22"/>
        <v/>
      </c>
      <c r="D153" s="43"/>
      <c r="E153" s="40" t="str">
        <f ca="1">IF(COUNTIF($W$2:W1138,A153)=1,VLOOKUP(A153,Q:R,2), IF(COUNTIF($W$2:W1138,A153)=0,$C$9,""))</f>
        <v/>
      </c>
      <c r="F153" s="2" t="str">
        <f t="shared" ca="1" si="23"/>
        <v/>
      </c>
      <c r="G153" s="43" t="str">
        <f t="shared" ca="1" si="24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5"/>
        <v/>
      </c>
      <c r="K153" s="43" t="str">
        <f t="shared" ca="1" si="26"/>
        <v/>
      </c>
      <c r="L153" s="43"/>
      <c r="M153" s="44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9" t="str">
        <f t="shared" ca="1" si="21"/>
        <v/>
      </c>
      <c r="B154" s="40" t="str">
        <f ca="1">IF(COUNTIF($W$2:W1139,A154)=1,VLOOKUP(A154,O:P,2), IF(COUNTIF($W$2:W1139,A154)=0,$B$9,""))</f>
        <v/>
      </c>
      <c r="C154" s="2" t="str">
        <f t="shared" ca="1" si="22"/>
        <v/>
      </c>
      <c r="D154" s="43"/>
      <c r="E154" s="40" t="str">
        <f ca="1">IF(COUNTIF($W$2:W1139,A154)=1,VLOOKUP(A154,Q:R,2), IF(COUNTIF($W$2:W1139,A154)=0,$C$9,""))</f>
        <v/>
      </c>
      <c r="F154" s="2" t="str">
        <f t="shared" ca="1" si="23"/>
        <v/>
      </c>
      <c r="G154" s="43" t="str">
        <f t="shared" ca="1" si="24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5"/>
        <v/>
      </c>
      <c r="K154" s="43" t="str">
        <f t="shared" ca="1" si="26"/>
        <v/>
      </c>
      <c r="L154" s="43"/>
      <c r="M154" s="44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9" t="str">
        <f t="shared" ca="1" si="21"/>
        <v/>
      </c>
      <c r="B155" s="40" t="str">
        <f ca="1">IF(COUNTIF($W$2:W1140,A155)=1,VLOOKUP(A155,O:P,2), IF(COUNTIF($W$2:W1140,A155)=0,$B$9,""))</f>
        <v/>
      </c>
      <c r="C155" s="2" t="str">
        <f t="shared" ca="1" si="22"/>
        <v/>
      </c>
      <c r="D155" s="43"/>
      <c r="E155" s="40" t="str">
        <f ca="1">IF(COUNTIF($W$2:W1140,A155)=1,VLOOKUP(A155,Q:R,2), IF(COUNTIF($W$2:W1140,A155)=0,$C$9,""))</f>
        <v/>
      </c>
      <c r="F155" s="2" t="str">
        <f t="shared" ca="1" si="23"/>
        <v/>
      </c>
      <c r="G155" s="43" t="str">
        <f t="shared" ca="1" si="24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5"/>
        <v/>
      </c>
      <c r="K155" s="43" t="str">
        <f t="shared" ca="1" si="26"/>
        <v/>
      </c>
      <c r="L155" s="43"/>
      <c r="M155" s="44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0"/>
        <v>45995</v>
      </c>
    </row>
    <row r="156" spans="1:30" x14ac:dyDescent="0.25">
      <c r="A156" s="39" t="str">
        <f t="shared" ca="1" si="21"/>
        <v/>
      </c>
      <c r="B156" s="40" t="str">
        <f ca="1">IF(COUNTIF($W$2:W1141,A156)=1,VLOOKUP(A156,O:P,2), IF(COUNTIF($W$2:W1141,A156)=0,$B$9,""))</f>
        <v/>
      </c>
      <c r="C156" s="2" t="str">
        <f t="shared" ca="1" si="22"/>
        <v/>
      </c>
      <c r="D156" s="43"/>
      <c r="E156" s="40" t="str">
        <f ca="1">IF(COUNTIF($W$2:W1141,A156)=1,VLOOKUP(A156,Q:R,2), IF(COUNTIF($W$2:W1141,A156)=0,$C$9,""))</f>
        <v/>
      </c>
      <c r="F156" s="2" t="str">
        <f t="shared" ca="1" si="23"/>
        <v/>
      </c>
      <c r="G156" s="43" t="str">
        <f t="shared" ca="1" si="24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5"/>
        <v/>
      </c>
      <c r="K156" s="43" t="str">
        <f t="shared" ca="1" si="26"/>
        <v/>
      </c>
      <c r="L156" s="43"/>
      <c r="M156" s="44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9" t="str">
        <f t="shared" ca="1" si="21"/>
        <v/>
      </c>
      <c r="B157" s="40" t="str">
        <f ca="1">IF(COUNTIF($W$2:W1142,A157)=1,VLOOKUP(A157,O:P,2), IF(COUNTIF($W$2:W1142,A157)=0,$B$9,""))</f>
        <v/>
      </c>
      <c r="C157" s="2" t="str">
        <f t="shared" ca="1" si="22"/>
        <v/>
      </c>
      <c r="D157" s="43"/>
      <c r="E157" s="40" t="str">
        <f ca="1">IF(COUNTIF($W$2:W1142,A157)=1,VLOOKUP(A157,Q:R,2), IF(COUNTIF($W$2:W1142,A157)=0,$C$9,""))</f>
        <v/>
      </c>
      <c r="F157" s="2" t="str">
        <f t="shared" ca="1" si="23"/>
        <v/>
      </c>
      <c r="G157" s="43" t="str">
        <f t="shared" ca="1" si="24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5"/>
        <v/>
      </c>
      <c r="K157" s="43" t="str">
        <f t="shared" ca="1" si="26"/>
        <v/>
      </c>
      <c r="L157" s="43"/>
      <c r="M157" s="44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0"/>
        <v>45999</v>
      </c>
    </row>
    <row r="158" spans="1:30" x14ac:dyDescent="0.25">
      <c r="A158" s="39" t="str">
        <f t="shared" ca="1" si="21"/>
        <v/>
      </c>
      <c r="B158" s="40" t="str">
        <f ca="1">IF(COUNTIF($W$2:W1143,A158)=1,VLOOKUP(A158,O:P,2), IF(COUNTIF($W$2:W1143,A158)=0,$B$9,""))</f>
        <v/>
      </c>
      <c r="C158" s="2" t="str">
        <f t="shared" ca="1" si="22"/>
        <v/>
      </c>
      <c r="D158" s="43"/>
      <c r="E158" s="40" t="str">
        <f ca="1">IF(COUNTIF($W$2:W1143,A158)=1,VLOOKUP(A158,Q:R,2), IF(COUNTIF($W$2:W1143,A158)=0,$C$9,""))</f>
        <v/>
      </c>
      <c r="F158" s="2" t="str">
        <f t="shared" ca="1" si="23"/>
        <v/>
      </c>
      <c r="G158" s="43" t="str">
        <f t="shared" ca="1" si="24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5"/>
        <v/>
      </c>
      <c r="K158" s="43" t="str">
        <f t="shared" ca="1" si="26"/>
        <v/>
      </c>
      <c r="L158" s="43"/>
      <c r="M158" s="44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0"/>
        <v>46000</v>
      </c>
    </row>
    <row r="159" spans="1:30" x14ac:dyDescent="0.25">
      <c r="A159" s="39" t="str">
        <f t="shared" ca="1" si="21"/>
        <v/>
      </c>
      <c r="B159" s="40" t="str">
        <f ca="1">IF(COUNTIF($W$2:W1144,A159)=1,VLOOKUP(A159,O:P,2), IF(COUNTIF($W$2:W1144,A159)=0,$B$9,""))</f>
        <v/>
      </c>
      <c r="C159" s="2" t="str">
        <f t="shared" ca="1" si="22"/>
        <v/>
      </c>
      <c r="D159" s="43"/>
      <c r="E159" s="40" t="str">
        <f ca="1">IF(COUNTIF($W$2:W1144,A159)=1,VLOOKUP(A159,Q:R,2), IF(COUNTIF($W$2:W1144,A159)=0,$C$9,""))</f>
        <v/>
      </c>
      <c r="F159" s="2" t="str">
        <f t="shared" ca="1" si="23"/>
        <v/>
      </c>
      <c r="G159" s="43" t="str">
        <f t="shared" ca="1" si="24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5"/>
        <v/>
      </c>
      <c r="K159" s="43" t="str">
        <f t="shared" ca="1" si="26"/>
        <v/>
      </c>
      <c r="L159" s="43"/>
      <c r="M159" s="44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0"/>
        <v>46001</v>
      </c>
    </row>
    <row r="160" spans="1:30" x14ac:dyDescent="0.25">
      <c r="A160" s="39" t="str">
        <f t="shared" ca="1" si="21"/>
        <v/>
      </c>
      <c r="B160" s="40" t="str">
        <f ca="1">IF(COUNTIF($W$2:W1145,A160)=1,VLOOKUP(A160,O:P,2), IF(COUNTIF($W$2:W1145,A160)=0,$B$9,""))</f>
        <v/>
      </c>
      <c r="C160" s="2" t="str">
        <f t="shared" ca="1" si="22"/>
        <v/>
      </c>
      <c r="D160" s="43"/>
      <c r="E160" s="40" t="str">
        <f ca="1">IF(COUNTIF($W$2:W1145,A160)=1,VLOOKUP(A160,Q:R,2), IF(COUNTIF($W$2:W1145,A160)=0,$C$9,""))</f>
        <v/>
      </c>
      <c r="F160" s="2" t="str">
        <f t="shared" ca="1" si="23"/>
        <v/>
      </c>
      <c r="G160" s="43" t="str">
        <f t="shared" ca="1" si="24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5"/>
        <v/>
      </c>
      <c r="K160" s="43" t="str">
        <f t="shared" ca="1" si="26"/>
        <v/>
      </c>
      <c r="L160" s="43"/>
      <c r="M160" s="44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9" t="str">
        <f t="shared" ca="1" si="21"/>
        <v/>
      </c>
      <c r="B161" s="40" t="str">
        <f ca="1">IF(COUNTIF($W$2:W1146,A161)=1,VLOOKUP(A161,O:P,2), IF(COUNTIF($W$2:W1146,A161)=0,$B$9,""))</f>
        <v/>
      </c>
      <c r="C161" s="2" t="str">
        <f t="shared" ca="1" si="22"/>
        <v/>
      </c>
      <c r="D161" s="43"/>
      <c r="E161" s="40" t="str">
        <f ca="1">IF(COUNTIF($W$2:W1146,A161)=1,VLOOKUP(A161,Q:R,2), IF(COUNTIF($W$2:W1146,A161)=0,$C$9,""))</f>
        <v/>
      </c>
      <c r="F161" s="2" t="str">
        <f t="shared" ca="1" si="23"/>
        <v/>
      </c>
      <c r="G161" s="43" t="str">
        <f t="shared" ca="1" si="24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5"/>
        <v/>
      </c>
      <c r="K161" s="43" t="str">
        <f t="shared" ca="1" si="26"/>
        <v/>
      </c>
      <c r="L161" s="43"/>
      <c r="M161" s="44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0"/>
        <v>46003</v>
      </c>
    </row>
    <row r="162" spans="1:30" x14ac:dyDescent="0.25">
      <c r="A162" s="39" t="str">
        <f t="shared" ca="1" si="21"/>
        <v/>
      </c>
      <c r="B162" s="40" t="str">
        <f ca="1">IF(COUNTIF($W$2:W1147,A162)=1,VLOOKUP(A162,O:P,2), IF(COUNTIF($W$2:W1147,A162)=0,$B$9,""))</f>
        <v/>
      </c>
      <c r="C162" s="2" t="str">
        <f t="shared" ca="1" si="22"/>
        <v/>
      </c>
      <c r="D162" s="43"/>
      <c r="E162" s="40" t="str">
        <f ca="1">IF(COUNTIF($W$2:W1147,A162)=1,VLOOKUP(A162,Q:R,2), IF(COUNTIF($W$2:W1147,A162)=0,$C$9,""))</f>
        <v/>
      </c>
      <c r="F162" s="2" t="str">
        <f t="shared" ca="1" si="23"/>
        <v/>
      </c>
      <c r="G162" s="43" t="str">
        <f t="shared" ca="1" si="24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5"/>
        <v/>
      </c>
      <c r="K162" s="43" t="str">
        <f t="shared" ca="1" si="26"/>
        <v/>
      </c>
      <c r="L162" s="43"/>
      <c r="M162" s="44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9" t="str">
        <f t="shared" ca="1" si="21"/>
        <v/>
      </c>
      <c r="B163" s="40" t="str">
        <f ca="1">IF(COUNTIF($W$2:W1148,A163)=1,VLOOKUP(A163,O:P,2), IF(COUNTIF($W$2:W1148,A163)=0,$B$9,""))</f>
        <v/>
      </c>
      <c r="C163" s="2" t="str">
        <f t="shared" ca="1" si="22"/>
        <v/>
      </c>
      <c r="D163" s="43"/>
      <c r="E163" s="40" t="str">
        <f ca="1">IF(COUNTIF($W$2:W1148,A163)=1,VLOOKUP(A163,Q:R,2), IF(COUNTIF($W$2:W1148,A163)=0,$C$9,""))</f>
        <v/>
      </c>
      <c r="F163" s="2" t="str">
        <f t="shared" ca="1" si="23"/>
        <v/>
      </c>
      <c r="G163" s="43" t="str">
        <f t="shared" ca="1" si="24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5"/>
        <v/>
      </c>
      <c r="K163" s="43" t="str">
        <f t="shared" ca="1" si="26"/>
        <v/>
      </c>
      <c r="L163" s="43"/>
      <c r="M163" s="44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9" t="str">
        <f t="shared" ca="1" si="21"/>
        <v/>
      </c>
      <c r="B164" s="40" t="str">
        <f ca="1">IF(COUNTIF($W$2:W1149,A164)=1,VLOOKUP(A164,O:P,2), IF(COUNTIF($W$2:W1149,A164)=0,$B$9,""))</f>
        <v/>
      </c>
      <c r="C164" s="2" t="str">
        <f t="shared" ca="1" si="22"/>
        <v/>
      </c>
      <c r="D164" s="43"/>
      <c r="E164" s="40" t="str">
        <f ca="1">IF(COUNTIF($W$2:W1149,A164)=1,VLOOKUP(A164,Q:R,2), IF(COUNTIF($W$2:W1149,A164)=0,$C$9,""))</f>
        <v/>
      </c>
      <c r="F164" s="2" t="str">
        <f t="shared" ca="1" si="23"/>
        <v/>
      </c>
      <c r="G164" s="43" t="str">
        <f t="shared" ca="1" si="24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5"/>
        <v/>
      </c>
      <c r="K164" s="43" t="str">
        <f t="shared" ca="1" si="26"/>
        <v/>
      </c>
      <c r="L164" s="43"/>
      <c r="M164" s="44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9" t="str">
        <f t="shared" ca="1" si="21"/>
        <v/>
      </c>
      <c r="B165" s="40" t="str">
        <f ca="1">IF(COUNTIF($W$2:W1150,A165)=1,VLOOKUP(A165,O:P,2), IF(COUNTIF($W$2:W1150,A165)=0,$B$9,""))</f>
        <v/>
      </c>
      <c r="C165" s="2" t="str">
        <f t="shared" ca="1" si="22"/>
        <v/>
      </c>
      <c r="D165" s="43"/>
      <c r="E165" s="40" t="str">
        <f ca="1">IF(COUNTIF($W$2:W1150,A165)=1,VLOOKUP(A165,Q:R,2), IF(COUNTIF($W$2:W1150,A165)=0,$C$9,""))</f>
        <v/>
      </c>
      <c r="F165" s="2" t="str">
        <f t="shared" ca="1" si="23"/>
        <v/>
      </c>
      <c r="G165" s="43" t="str">
        <f t="shared" ca="1" si="24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5"/>
        <v/>
      </c>
      <c r="K165" s="43" t="str">
        <f t="shared" ca="1" si="26"/>
        <v/>
      </c>
      <c r="L165" s="43"/>
      <c r="M165" s="44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9" t="str">
        <f t="shared" ca="1" si="21"/>
        <v/>
      </c>
      <c r="B166" s="40" t="str">
        <f ca="1">IF(COUNTIF($W$2:W1151,A166)=1,VLOOKUP(A166,O:P,2), IF(COUNTIF($W$2:W1151,A166)=0,$B$9,""))</f>
        <v/>
      </c>
      <c r="C166" s="2" t="str">
        <f t="shared" ca="1" si="22"/>
        <v/>
      </c>
      <c r="D166" s="43"/>
      <c r="E166" s="40" t="str">
        <f ca="1">IF(COUNTIF($W$2:W1151,A166)=1,VLOOKUP(A166,Q:R,2), IF(COUNTIF($W$2:W1151,A166)=0,$C$9,""))</f>
        <v/>
      </c>
      <c r="F166" s="2" t="str">
        <f t="shared" ca="1" si="23"/>
        <v/>
      </c>
      <c r="G166" s="43" t="str">
        <f t="shared" ca="1" si="24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5"/>
        <v/>
      </c>
      <c r="K166" s="43" t="str">
        <f t="shared" ca="1" si="26"/>
        <v/>
      </c>
      <c r="L166" s="43"/>
      <c r="M166" s="44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0"/>
        <v>46010</v>
      </c>
    </row>
    <row r="167" spans="1:30" x14ac:dyDescent="0.25">
      <c r="A167" s="39" t="str">
        <f t="shared" ca="1" si="21"/>
        <v/>
      </c>
      <c r="B167" s="40" t="str">
        <f ca="1">IF(COUNTIF($W$2:W1152,A167)=1,VLOOKUP(A167,O:P,2), IF(COUNTIF($W$2:W1152,A167)=0,$B$9,""))</f>
        <v/>
      </c>
      <c r="C167" s="2" t="str">
        <f t="shared" ca="1" si="22"/>
        <v/>
      </c>
      <c r="D167" s="43"/>
      <c r="E167" s="40" t="str">
        <f ca="1">IF(COUNTIF($W$2:W1152,A167)=1,VLOOKUP(A167,Q:R,2), IF(COUNTIF($W$2:W1152,A167)=0,$C$9,""))</f>
        <v/>
      </c>
      <c r="F167" s="2" t="str">
        <f t="shared" ca="1" si="23"/>
        <v/>
      </c>
      <c r="G167" s="43" t="str">
        <f t="shared" ca="1" si="24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5"/>
        <v/>
      </c>
      <c r="K167" s="43" t="str">
        <f t="shared" ca="1" si="26"/>
        <v/>
      </c>
      <c r="L167" s="43"/>
      <c r="M167" s="44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9"/>
      <c r="B168" s="40"/>
      <c r="C168" s="2"/>
      <c r="D168" s="43"/>
      <c r="E168" s="40"/>
      <c r="F168" s="2"/>
      <c r="G168" s="43"/>
      <c r="H168" s="40"/>
      <c r="I168" s="41"/>
      <c r="J168" s="41"/>
      <c r="K168" s="43"/>
      <c r="L168" s="43"/>
      <c r="M168" s="44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0"/>
        <v>46014</v>
      </c>
    </row>
    <row r="169" spans="1:30" x14ac:dyDescent="0.25">
      <c r="A169" s="39"/>
      <c r="B169" s="40"/>
      <c r="C169" s="2"/>
      <c r="D169" s="43"/>
      <c r="E169" s="40"/>
      <c r="F169" s="2"/>
      <c r="G169" s="43"/>
      <c r="H169" s="40"/>
      <c r="I169" s="41"/>
      <c r="J169" s="41"/>
      <c r="K169" s="43"/>
      <c r="L169" s="43"/>
      <c r="M169" s="44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9"/>
      <c r="B170" s="40"/>
      <c r="C170" s="2"/>
      <c r="D170" s="43"/>
      <c r="E170" s="40"/>
      <c r="F170" s="2"/>
      <c r="G170" s="43"/>
      <c r="H170" s="40"/>
      <c r="I170" s="41"/>
      <c r="J170" s="41"/>
      <c r="K170" s="43"/>
      <c r="L170" s="43"/>
      <c r="M170" s="44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0"/>
        <v>46020</v>
      </c>
    </row>
    <row r="171" spans="1:30" x14ac:dyDescent="0.25">
      <c r="A171" s="39"/>
      <c r="B171" s="40"/>
      <c r="C171" s="2"/>
      <c r="D171" s="43"/>
      <c r="E171" s="40"/>
      <c r="F171" s="2"/>
      <c r="G171" s="43"/>
      <c r="H171" s="40"/>
      <c r="I171" s="41"/>
      <c r="J171" s="41"/>
      <c r="K171" s="43"/>
      <c r="L171" s="43"/>
      <c r="M171" s="44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9"/>
      <c r="B172" s="40"/>
      <c r="C172" s="2"/>
      <c r="D172" s="43"/>
      <c r="E172" s="40"/>
      <c r="F172" s="2"/>
      <c r="G172" s="43"/>
      <c r="H172" s="40"/>
      <c r="I172" s="41"/>
      <c r="J172" s="41"/>
      <c r="K172" s="43"/>
      <c r="L172" s="43"/>
      <c r="M172" s="44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0"/>
        <v>46022</v>
      </c>
    </row>
    <row r="173" spans="1:30" x14ac:dyDescent="0.25">
      <c r="A173" s="39"/>
      <c r="B173" s="40"/>
      <c r="C173" s="2"/>
      <c r="D173" s="43"/>
      <c r="E173" s="40"/>
      <c r="F173" s="2"/>
      <c r="G173" s="43"/>
      <c r="H173" s="40"/>
      <c r="I173" s="41"/>
      <c r="J173" s="41"/>
      <c r="K173" s="43"/>
      <c r="L173" s="43"/>
      <c r="M173" s="44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0"/>
        <v>46024</v>
      </c>
    </row>
    <row r="174" spans="1:30" x14ac:dyDescent="0.25">
      <c r="A174" s="39"/>
      <c r="B174" s="40"/>
      <c r="C174" s="2"/>
      <c r="D174" s="43"/>
      <c r="E174" s="40"/>
      <c r="F174" s="2"/>
      <c r="G174" s="43"/>
      <c r="H174" s="40"/>
      <c r="I174" s="41"/>
      <c r="J174" s="41"/>
      <c r="K174" s="43"/>
      <c r="L174" s="43"/>
      <c r="M174" s="44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9"/>
      <c r="B175" s="40"/>
      <c r="C175" s="2"/>
      <c r="D175" s="43"/>
      <c r="E175" s="40"/>
      <c r="F175" s="2"/>
      <c r="G175" s="43"/>
      <c r="H175" s="40"/>
      <c r="I175" s="41"/>
      <c r="J175" s="41"/>
      <c r="K175" s="43"/>
      <c r="L175" s="43"/>
      <c r="M175" s="44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9"/>
      <c r="B176" s="40"/>
      <c r="C176" s="2"/>
      <c r="D176" s="43"/>
      <c r="E176" s="40"/>
      <c r="F176" s="2"/>
      <c r="G176" s="43"/>
      <c r="H176" s="40"/>
      <c r="I176" s="41"/>
      <c r="J176" s="41"/>
      <c r="K176" s="43"/>
      <c r="L176" s="43"/>
      <c r="M176" s="44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0"/>
        <v>46029</v>
      </c>
    </row>
    <row r="177" spans="1:30" x14ac:dyDescent="0.25">
      <c r="A177" s="39"/>
      <c r="B177" s="40"/>
      <c r="C177" s="2"/>
      <c r="D177" s="43"/>
      <c r="E177" s="40"/>
      <c r="F177" s="2"/>
      <c r="G177" s="43"/>
      <c r="H177" s="40"/>
      <c r="I177" s="41"/>
      <c r="J177" s="41"/>
      <c r="K177" s="43"/>
      <c r="L177" s="43"/>
      <c r="M177" s="44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0"/>
        <v>46030</v>
      </c>
    </row>
    <row r="178" spans="1:30" x14ac:dyDescent="0.25">
      <c r="A178" s="39"/>
      <c r="B178" s="40"/>
      <c r="C178" s="2"/>
      <c r="D178" s="43"/>
      <c r="E178" s="40"/>
      <c r="F178" s="2"/>
      <c r="G178" s="43"/>
      <c r="H178" s="40"/>
      <c r="I178" s="41"/>
      <c r="J178" s="41"/>
      <c r="K178" s="43"/>
      <c r="L178" s="43"/>
      <c r="M178" s="44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9"/>
      <c r="B179" s="40"/>
      <c r="C179" s="2"/>
      <c r="D179" s="43"/>
      <c r="E179" s="40"/>
      <c r="F179" s="2"/>
      <c r="G179" s="43"/>
      <c r="H179" s="40"/>
      <c r="I179" s="41"/>
      <c r="J179" s="41"/>
      <c r="K179" s="43"/>
      <c r="L179" s="43"/>
      <c r="M179" s="44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9"/>
      <c r="B180" s="40"/>
      <c r="C180" s="2"/>
      <c r="D180" s="43"/>
      <c r="E180" s="40"/>
      <c r="F180" s="2"/>
      <c r="G180" s="43"/>
      <c r="H180" s="40"/>
      <c r="I180" s="41"/>
      <c r="J180" s="41"/>
      <c r="K180" s="43"/>
      <c r="L180" s="43"/>
      <c r="M180" s="44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9"/>
      <c r="B181" s="40"/>
      <c r="C181" s="2"/>
      <c r="D181" s="43"/>
      <c r="E181" s="40"/>
      <c r="F181" s="2"/>
      <c r="G181" s="43"/>
      <c r="H181" s="40"/>
      <c r="I181" s="41"/>
      <c r="J181" s="41"/>
      <c r="K181" s="43"/>
      <c r="L181" s="43"/>
      <c r="M181" s="44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9"/>
      <c r="B182" s="40"/>
      <c r="C182" s="2"/>
      <c r="D182" s="43"/>
      <c r="E182" s="40"/>
      <c r="F182" s="2"/>
      <c r="G182" s="43"/>
      <c r="H182" s="40"/>
      <c r="I182" s="41"/>
      <c r="J182" s="41"/>
      <c r="K182" s="43"/>
      <c r="L182" s="43"/>
      <c r="M182" s="44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0"/>
        <v>46037</v>
      </c>
    </row>
    <row r="183" spans="1:30" x14ac:dyDescent="0.25">
      <c r="A183" s="39"/>
      <c r="B183" s="40"/>
      <c r="C183" s="2"/>
      <c r="D183" s="43"/>
      <c r="E183" s="40"/>
      <c r="F183" s="2"/>
      <c r="G183" s="43"/>
      <c r="H183" s="40"/>
      <c r="I183" s="41"/>
      <c r="J183" s="41"/>
      <c r="K183" s="43"/>
      <c r="L183" s="43"/>
      <c r="M183" s="44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9"/>
      <c r="B184" s="40"/>
      <c r="C184" s="2"/>
      <c r="D184" s="43"/>
      <c r="E184" s="40"/>
      <c r="F184" s="2"/>
      <c r="G184" s="43"/>
      <c r="H184" s="40"/>
      <c r="I184" s="41"/>
      <c r="J184" s="41"/>
      <c r="K184" s="43"/>
      <c r="L184" s="43"/>
      <c r="M184" s="44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9"/>
      <c r="B185" s="40"/>
      <c r="C185" s="2"/>
      <c r="D185" s="43"/>
      <c r="E185" s="40"/>
      <c r="F185" s="2"/>
      <c r="G185" s="43"/>
      <c r="H185" s="40"/>
      <c r="I185" s="41"/>
      <c r="J185" s="41"/>
      <c r="K185" s="43"/>
      <c r="L185" s="43"/>
      <c r="M185" s="44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0"/>
        <v>46042</v>
      </c>
    </row>
    <row r="186" spans="1:30" x14ac:dyDescent="0.25">
      <c r="A186" s="39"/>
      <c r="B186" s="40"/>
      <c r="C186" s="2"/>
      <c r="D186" s="43"/>
      <c r="E186" s="40"/>
      <c r="F186" s="2"/>
      <c r="G186" s="43"/>
      <c r="H186" s="40"/>
      <c r="I186" s="41"/>
      <c r="J186" s="41"/>
      <c r="K186" s="43"/>
      <c r="L186" s="43"/>
      <c r="M186" s="44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9"/>
      <c r="B187" s="40"/>
      <c r="C187" s="2"/>
      <c r="D187" s="43"/>
      <c r="E187" s="40"/>
      <c r="F187" s="2"/>
      <c r="G187" s="43"/>
      <c r="H187" s="40"/>
      <c r="I187" s="41"/>
      <c r="J187" s="41"/>
      <c r="K187" s="43"/>
      <c r="L187" s="43"/>
      <c r="M187" s="44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0"/>
        <v>46044</v>
      </c>
    </row>
    <row r="188" spans="1:30" x14ac:dyDescent="0.25">
      <c r="A188" s="39"/>
      <c r="B188" s="40"/>
      <c r="C188" s="2"/>
      <c r="D188" s="43"/>
      <c r="E188" s="40"/>
      <c r="F188" s="2"/>
      <c r="G188" s="43"/>
      <c r="H188" s="40"/>
      <c r="I188" s="41"/>
      <c r="J188" s="41"/>
      <c r="K188" s="43"/>
      <c r="L188" s="43"/>
      <c r="M188" s="44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9"/>
      <c r="B189" s="40"/>
      <c r="C189" s="2"/>
      <c r="D189" s="43"/>
      <c r="E189" s="40"/>
      <c r="F189" s="2"/>
      <c r="G189" s="43"/>
      <c r="H189" s="40"/>
      <c r="I189" s="41"/>
      <c r="J189" s="41"/>
      <c r="K189" s="43"/>
      <c r="L189" s="43"/>
      <c r="M189" s="44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9"/>
      <c r="B190" s="40"/>
      <c r="C190" s="2"/>
      <c r="D190" s="43"/>
      <c r="E190" s="40"/>
      <c r="F190" s="2"/>
      <c r="G190" s="43"/>
      <c r="H190" s="40"/>
      <c r="I190" s="41"/>
      <c r="J190" s="41"/>
      <c r="K190" s="43"/>
      <c r="L190" s="43"/>
      <c r="M190" s="44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0"/>
        <v>46049</v>
      </c>
    </row>
    <row r="191" spans="1:30" x14ac:dyDescent="0.25">
      <c r="A191" s="39"/>
      <c r="B191" s="40"/>
      <c r="C191" s="2"/>
      <c r="D191" s="43"/>
      <c r="E191" s="40"/>
      <c r="F191" s="2"/>
      <c r="G191" s="43"/>
      <c r="H191" s="40"/>
      <c r="I191" s="41"/>
      <c r="J191" s="41"/>
      <c r="K191" s="43"/>
      <c r="L191" s="43"/>
      <c r="M191" s="44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0"/>
        <v>46050</v>
      </c>
    </row>
    <row r="192" spans="1:30" x14ac:dyDescent="0.25">
      <c r="A192" s="39"/>
      <c r="B192" s="40"/>
      <c r="C192" s="2"/>
      <c r="D192" s="43"/>
      <c r="E192" s="40"/>
      <c r="F192" s="2"/>
      <c r="G192" s="43"/>
      <c r="H192" s="40"/>
      <c r="I192" s="41"/>
      <c r="J192" s="41"/>
      <c r="K192" s="43"/>
      <c r="L192" s="43"/>
      <c r="M192" s="44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9"/>
      <c r="B193" s="40"/>
      <c r="C193" s="2"/>
      <c r="D193" s="43"/>
      <c r="E193" s="40"/>
      <c r="F193" s="2"/>
      <c r="G193" s="43"/>
      <c r="H193" s="40"/>
      <c r="I193" s="41"/>
      <c r="J193" s="41"/>
      <c r="K193" s="43"/>
      <c r="L193" s="43"/>
      <c r="M193" s="44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9"/>
      <c r="B194" s="40"/>
      <c r="C194" s="2"/>
      <c r="D194" s="43"/>
      <c r="E194" s="40"/>
      <c r="F194" s="2"/>
      <c r="G194" s="43"/>
      <c r="H194" s="40"/>
      <c r="I194" s="41"/>
      <c r="J194" s="41"/>
      <c r="K194" s="43"/>
      <c r="L194" s="43"/>
      <c r="M194" s="44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9"/>
      <c r="B195" s="40"/>
      <c r="C195" s="2"/>
      <c r="D195" s="43"/>
      <c r="E195" s="40"/>
      <c r="F195" s="2"/>
      <c r="G195" s="43"/>
      <c r="H195" s="40"/>
      <c r="I195" s="41"/>
      <c r="J195" s="41"/>
      <c r="K195" s="43"/>
      <c r="L195" s="43"/>
      <c r="M195" s="44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9"/>
      <c r="B196" s="40"/>
      <c r="C196" s="2"/>
      <c r="D196" s="43"/>
      <c r="E196" s="40"/>
      <c r="F196" s="2"/>
      <c r="G196" s="43"/>
      <c r="H196" s="40"/>
      <c r="I196" s="41"/>
      <c r="J196" s="41"/>
      <c r="K196" s="43"/>
      <c r="L196" s="43"/>
      <c r="M196" s="44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9"/>
      <c r="B197" s="40"/>
      <c r="C197" s="2"/>
      <c r="D197" s="43"/>
      <c r="E197" s="40"/>
      <c r="F197" s="2"/>
      <c r="G197" s="43"/>
      <c r="H197" s="40"/>
      <c r="I197" s="41"/>
      <c r="J197" s="41"/>
      <c r="K197" s="43"/>
      <c r="L197" s="43"/>
      <c r="M197" s="44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9"/>
      <c r="B198" s="40"/>
      <c r="C198" s="2"/>
      <c r="D198" s="43"/>
      <c r="E198" s="40"/>
      <c r="F198" s="2"/>
      <c r="G198" s="43"/>
      <c r="H198" s="40"/>
      <c r="I198" s="41"/>
      <c r="J198" s="41"/>
      <c r="K198" s="43"/>
      <c r="L198" s="43"/>
      <c r="M198" s="44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9"/>
      <c r="B199" s="40"/>
      <c r="C199" s="2"/>
      <c r="D199" s="43"/>
      <c r="E199" s="40"/>
      <c r="F199" s="2"/>
      <c r="G199" s="43"/>
      <c r="H199" s="40"/>
      <c r="I199" s="41"/>
      <c r="J199" s="41"/>
      <c r="K199" s="43"/>
      <c r="L199" s="43"/>
      <c r="M199" s="44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29"/>
        <v>46062</v>
      </c>
    </row>
    <row r="200" spans="1:30" x14ac:dyDescent="0.25">
      <c r="A200" s="39"/>
      <c r="B200" s="40"/>
      <c r="C200" s="2"/>
      <c r="D200" s="43"/>
      <c r="E200" s="40"/>
      <c r="F200" s="2"/>
      <c r="G200" s="43"/>
      <c r="H200" s="40"/>
      <c r="I200" s="41"/>
      <c r="J200" s="41"/>
      <c r="K200" s="43"/>
      <c r="L200" s="43"/>
      <c r="M200" s="44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29"/>
        <v>46063</v>
      </c>
    </row>
    <row r="201" spans="1:30" x14ac:dyDescent="0.25">
      <c r="A201" s="39"/>
      <c r="B201" s="40"/>
      <c r="C201" s="2"/>
      <c r="D201" s="43"/>
      <c r="E201" s="40"/>
      <c r="F201" s="2"/>
      <c r="G201" s="43"/>
      <c r="H201" s="40"/>
      <c r="I201" s="41"/>
      <c r="J201" s="41"/>
      <c r="K201" s="43"/>
      <c r="L201" s="43"/>
      <c r="M201" s="44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29"/>
        <v>46064</v>
      </c>
    </row>
    <row r="202" spans="1:30" x14ac:dyDescent="0.25">
      <c r="A202" s="39"/>
      <c r="B202" s="40"/>
      <c r="C202" s="2"/>
      <c r="D202" s="43"/>
      <c r="E202" s="40"/>
      <c r="F202" s="2"/>
      <c r="G202" s="43"/>
      <c r="H202" s="40"/>
      <c r="I202" s="41"/>
      <c r="J202" s="41"/>
      <c r="K202" s="43"/>
      <c r="L202" s="43"/>
      <c r="M202" s="44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29"/>
        <v>46065</v>
      </c>
    </row>
    <row r="203" spans="1:30" x14ac:dyDescent="0.25">
      <c r="A203" s="39"/>
      <c r="B203" s="40"/>
      <c r="C203" s="2"/>
      <c r="D203" s="43"/>
      <c r="E203" s="40"/>
      <c r="F203" s="2"/>
      <c r="G203" s="43"/>
      <c r="H203" s="40"/>
      <c r="I203" s="41"/>
      <c r="J203" s="41"/>
      <c r="K203" s="43"/>
      <c r="L203" s="43"/>
      <c r="M203" s="44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29"/>
        <v>46066</v>
      </c>
    </row>
    <row r="204" spans="1:30" x14ac:dyDescent="0.25">
      <c r="A204" s="39"/>
      <c r="B204" s="40"/>
      <c r="C204" s="2"/>
      <c r="D204" s="43"/>
      <c r="E204" s="40"/>
      <c r="F204" s="2"/>
      <c r="G204" s="43"/>
      <c r="H204" s="40"/>
      <c r="I204" s="41"/>
      <c r="J204" s="41"/>
      <c r="K204" s="43"/>
      <c r="L204" s="43"/>
      <c r="M204" s="44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29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29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29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29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29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29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29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29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29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29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29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29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29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29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2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2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2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2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2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2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2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2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2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2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0"/>
        <v/>
      </c>
      <c r="V294" s="3" t="str">
        <f t="shared" si="31"/>
        <v/>
      </c>
      <c r="AD294" s="6" t="str">
        <f t="shared" si="32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6"/>
        <v/>
      </c>
      <c r="V422" s="3" t="str">
        <f t="shared" si="37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6"/>
        <v/>
      </c>
      <c r="V423" s="3" t="str">
        <f t="shared" si="37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6"/>
        <v/>
      </c>
      <c r="V424" s="3" t="str">
        <f t="shared" si="37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6"/>
        <v/>
      </c>
      <c r="V425" s="3" t="str">
        <f t="shared" si="37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6"/>
        <v/>
      </c>
      <c r="V426" s="3" t="str">
        <f t="shared" si="37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6"/>
        <v/>
      </c>
      <c r="V427" s="3" t="str">
        <f t="shared" si="37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6"/>
        <v/>
      </c>
      <c r="V428" s="3" t="str">
        <f t="shared" si="37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6"/>
        <v/>
      </c>
      <c r="V429" s="3" t="str">
        <f t="shared" si="37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6"/>
        <v/>
      </c>
      <c r="V430" s="3" t="str">
        <f t="shared" si="37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6"/>
        <v/>
      </c>
      <c r="V431" s="3" t="str">
        <f t="shared" si="37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6"/>
        <v/>
      </c>
      <c r="V432" s="3" t="str">
        <f t="shared" si="37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6"/>
        <v/>
      </c>
      <c r="V433" s="3" t="str">
        <f t="shared" si="37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6"/>
        <v/>
      </c>
      <c r="V434" s="3" t="str">
        <f t="shared" si="37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6"/>
        <v/>
      </c>
      <c r="V435" s="3" t="str">
        <f t="shared" si="37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6"/>
        <v/>
      </c>
      <c r="V436" s="3" t="str">
        <f t="shared" si="37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6"/>
        <v/>
      </c>
      <c r="V437" s="3" t="str">
        <f t="shared" si="37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6"/>
        <v/>
      </c>
      <c r="V438" s="3" t="str">
        <f t="shared" si="37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6"/>
        <v/>
      </c>
      <c r="V439" s="3" t="str">
        <f t="shared" si="37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6"/>
        <v/>
      </c>
      <c r="V440" s="3" t="str">
        <f t="shared" si="37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6"/>
        <v/>
      </c>
      <c r="V441" s="3" t="str">
        <f t="shared" si="37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6"/>
        <v/>
      </c>
      <c r="V442" s="3" t="str">
        <f t="shared" si="37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6"/>
        <v/>
      </c>
      <c r="V443" s="3" t="str">
        <f t="shared" si="37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6"/>
        <v/>
      </c>
      <c r="V444" s="3" t="str">
        <f t="shared" si="37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6"/>
        <v/>
      </c>
      <c r="V445" s="3" t="str">
        <f t="shared" si="37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6"/>
        <v/>
      </c>
      <c r="V446" s="3" t="str">
        <f t="shared" si="37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6"/>
        <v/>
      </c>
      <c r="V447" s="3" t="str">
        <f t="shared" si="37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6"/>
        <v/>
      </c>
      <c r="V448" s="3" t="str">
        <f t="shared" si="37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6"/>
        <v/>
      </c>
      <c r="V449" s="3" t="str">
        <f t="shared" si="37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6"/>
        <v/>
      </c>
      <c r="V450" s="3" t="str">
        <f t="shared" si="37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6"/>
        <v/>
      </c>
      <c r="V451" s="3" t="str">
        <f t="shared" si="37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39"/>
        <v/>
      </c>
      <c r="V453" s="3" t="str">
        <f t="shared" si="40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39"/>
        <v/>
      </c>
      <c r="V454" s="3" t="str">
        <f t="shared" si="40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39"/>
        <v/>
      </c>
      <c r="V455" s="3" t="str">
        <f t="shared" si="40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39"/>
        <v/>
      </c>
      <c r="V456" s="3" t="str">
        <f t="shared" si="40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39"/>
        <v/>
      </c>
      <c r="V457" s="3" t="str">
        <f t="shared" si="40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39"/>
        <v/>
      </c>
      <c r="V458" s="3" t="str">
        <f t="shared" si="40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39"/>
        <v/>
      </c>
      <c r="V459" s="3" t="str">
        <f t="shared" si="40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39"/>
        <v/>
      </c>
      <c r="V460" s="3" t="str">
        <f t="shared" si="40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39"/>
        <v/>
      </c>
      <c r="V461" s="3" t="str">
        <f t="shared" si="40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39"/>
        <v/>
      </c>
      <c r="V462" s="3" t="str">
        <f t="shared" si="40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39"/>
        <v/>
      </c>
      <c r="V463" s="3" t="str">
        <f t="shared" si="40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39"/>
        <v/>
      </c>
      <c r="V464" s="3" t="str">
        <f t="shared" si="40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39"/>
        <v/>
      </c>
      <c r="V465" s="3" t="str">
        <f t="shared" si="40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39"/>
        <v/>
      </c>
      <c r="V466" s="3" t="str">
        <f t="shared" si="40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39"/>
        <v/>
      </c>
      <c r="V467" s="3" t="str">
        <f t="shared" si="40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39"/>
        <v/>
      </c>
      <c r="V468" s="3" t="str">
        <f t="shared" si="40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39"/>
        <v/>
      </c>
      <c r="V469" s="3" t="str">
        <f t="shared" si="40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39"/>
        <v/>
      </c>
      <c r="V470" s="3" t="str">
        <f t="shared" si="40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39"/>
        <v/>
      </c>
      <c r="V471" s="3" t="str">
        <f t="shared" si="40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39"/>
        <v/>
      </c>
      <c r="V472" s="3" t="str">
        <f t="shared" si="40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39"/>
        <v/>
      </c>
      <c r="V473" s="3" t="str">
        <f t="shared" si="40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39"/>
        <v/>
      </c>
      <c r="V474" s="3" t="str">
        <f t="shared" si="40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39"/>
        <v/>
      </c>
      <c r="V475" s="3" t="str">
        <f t="shared" si="40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39"/>
        <v/>
      </c>
      <c r="V476" s="3" t="str">
        <f t="shared" si="40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39"/>
        <v/>
      </c>
      <c r="V477" s="3" t="str">
        <f t="shared" si="40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39"/>
        <v/>
      </c>
      <c r="V478" s="3" t="str">
        <f t="shared" si="40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39"/>
        <v/>
      </c>
      <c r="V479" s="3" t="str">
        <f t="shared" si="40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39"/>
        <v/>
      </c>
      <c r="V480" s="3" t="str">
        <f t="shared" si="40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39"/>
        <v/>
      </c>
      <c r="V481" s="3" t="str">
        <f t="shared" si="40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39"/>
        <v/>
      </c>
      <c r="V482" s="3" t="str">
        <f t="shared" si="40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39"/>
        <v/>
      </c>
      <c r="V483" s="3" t="str">
        <f t="shared" si="40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39"/>
        <v/>
      </c>
      <c r="V484" s="3" t="str">
        <f t="shared" si="40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39"/>
        <v/>
      </c>
      <c r="V485" s="3" t="str">
        <f t="shared" si="40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39"/>
        <v/>
      </c>
      <c r="V486" s="3" t="str">
        <f t="shared" si="40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39"/>
        <v/>
      </c>
      <c r="V487" s="3" t="str">
        <f t="shared" si="40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39"/>
        <v/>
      </c>
      <c r="V488" s="3" t="str">
        <f t="shared" si="40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39"/>
        <v/>
      </c>
      <c r="V489" s="3" t="str">
        <f t="shared" si="40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39"/>
        <v/>
      </c>
      <c r="V490" s="3" t="str">
        <f t="shared" si="40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39"/>
        <v/>
      </c>
      <c r="V491" s="3" t="str">
        <f t="shared" si="40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39"/>
        <v/>
      </c>
      <c r="V492" s="3" t="str">
        <f t="shared" si="40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39"/>
        <v/>
      </c>
      <c r="V493" s="3" t="str">
        <f t="shared" si="40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39"/>
        <v/>
      </c>
      <c r="V494" s="3" t="str">
        <f t="shared" si="40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39"/>
        <v/>
      </c>
      <c r="V495" s="3" t="str">
        <f t="shared" si="40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39"/>
        <v/>
      </c>
      <c r="V496" s="3" t="str">
        <f t="shared" si="40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39"/>
        <v/>
      </c>
      <c r="V497" s="3" t="str">
        <f t="shared" si="40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39"/>
        <v/>
      </c>
      <c r="V498" s="3" t="str">
        <f t="shared" si="40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39"/>
        <v/>
      </c>
      <c r="V499" s="3" t="str">
        <f t="shared" si="40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39"/>
        <v/>
      </c>
      <c r="V500" s="3" t="str">
        <f t="shared" si="40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39"/>
        <v/>
      </c>
      <c r="V501" s="3" t="str">
        <f t="shared" si="40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39"/>
        <v/>
      </c>
      <c r="V502" s="3" t="str">
        <f t="shared" si="40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39"/>
        <v/>
      </c>
      <c r="V503" s="3" t="str">
        <f t="shared" si="40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39"/>
        <v/>
      </c>
      <c r="V504" s="3" t="str">
        <f t="shared" si="40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39"/>
        <v/>
      </c>
      <c r="V505" s="3" t="str">
        <f t="shared" si="40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39"/>
        <v/>
      </c>
      <c r="V506" s="3" t="str">
        <f t="shared" si="40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39"/>
        <v/>
      </c>
      <c r="V507" s="3" t="str">
        <f t="shared" si="40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39"/>
        <v/>
      </c>
      <c r="V508" s="3" t="str">
        <f t="shared" si="40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39"/>
        <v/>
      </c>
      <c r="V509" s="3" t="str">
        <f t="shared" si="40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39"/>
        <v/>
      </c>
      <c r="V510" s="3" t="str">
        <f t="shared" si="40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39"/>
        <v/>
      </c>
      <c r="V511" s="3" t="str">
        <f t="shared" si="40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39"/>
        <v/>
      </c>
      <c r="V512" s="3" t="str">
        <f t="shared" si="40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39"/>
        <v/>
      </c>
      <c r="V513" s="3" t="str">
        <f t="shared" si="40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39"/>
        <v/>
      </c>
      <c r="V514" s="3" t="str">
        <f t="shared" si="40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39"/>
        <v/>
      </c>
      <c r="V515" s="3" t="str">
        <f t="shared" si="40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1"/>
        <v/>
      </c>
      <c r="V517" s="3" t="str">
        <f t="shared" si="42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1"/>
        <v/>
      </c>
      <c r="V518" s="3" t="str">
        <f t="shared" si="42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1"/>
        <v/>
      </c>
      <c r="V519" s="3" t="str">
        <f t="shared" si="42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1"/>
        <v/>
      </c>
      <c r="V520" s="3" t="str">
        <f t="shared" si="42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1"/>
        <v/>
      </c>
      <c r="V521" s="3" t="str">
        <f t="shared" si="42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1"/>
        <v/>
      </c>
      <c r="V522" s="3" t="str">
        <f t="shared" si="42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1"/>
        <v/>
      </c>
      <c r="V523" s="3" t="str">
        <f t="shared" si="42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1"/>
        <v/>
      </c>
      <c r="V524" s="3" t="str">
        <f t="shared" si="42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1"/>
        <v/>
      </c>
      <c r="V525" s="3" t="str">
        <f t="shared" si="42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1"/>
        <v/>
      </c>
      <c r="V526" s="3" t="str">
        <f t="shared" si="42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1"/>
        <v/>
      </c>
      <c r="V527" s="3" t="str">
        <f t="shared" si="42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1"/>
        <v/>
      </c>
      <c r="V528" s="3" t="str">
        <f t="shared" si="42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1"/>
        <v/>
      </c>
      <c r="V529" s="3" t="str">
        <f t="shared" si="42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1"/>
        <v/>
      </c>
      <c r="V530" s="3" t="str">
        <f t="shared" si="42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1"/>
        <v/>
      </c>
      <c r="V531" s="3" t="str">
        <f t="shared" si="42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1"/>
        <v/>
      </c>
      <c r="V532" s="3" t="str">
        <f t="shared" si="42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1"/>
        <v/>
      </c>
      <c r="V533" s="3" t="str">
        <f t="shared" si="42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1"/>
        <v/>
      </c>
      <c r="V534" s="3" t="str">
        <f t="shared" si="42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1"/>
        <v/>
      </c>
      <c r="V535" s="3" t="str">
        <f t="shared" si="42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1"/>
        <v/>
      </c>
      <c r="V536" s="3" t="str">
        <f t="shared" si="42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1"/>
        <v/>
      </c>
      <c r="V537" s="3" t="str">
        <f t="shared" si="42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1"/>
        <v/>
      </c>
      <c r="V538" s="3" t="str">
        <f t="shared" si="42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1"/>
        <v/>
      </c>
      <c r="V539" s="3" t="str">
        <f t="shared" si="42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1"/>
        <v/>
      </c>
      <c r="V540" s="3" t="str">
        <f t="shared" si="42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1"/>
        <v/>
      </c>
      <c r="V541" s="3" t="str">
        <f t="shared" si="42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1"/>
        <v/>
      </c>
      <c r="V542" s="3" t="str">
        <f t="shared" si="42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1"/>
        <v/>
      </c>
      <c r="V543" s="3" t="str">
        <f t="shared" si="42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1"/>
        <v/>
      </c>
      <c r="V544" s="3" t="str">
        <f t="shared" si="42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1"/>
        <v/>
      </c>
      <c r="V545" s="3" t="str">
        <f t="shared" si="42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1"/>
        <v/>
      </c>
      <c r="V546" s="3" t="str">
        <f t="shared" si="42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1"/>
        <v/>
      </c>
      <c r="V547" s="3" t="str">
        <f t="shared" si="42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1"/>
        <v/>
      </c>
      <c r="V548" s="3" t="str">
        <f t="shared" si="42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1"/>
        <v/>
      </c>
      <c r="V549" s="3" t="str">
        <f t="shared" si="42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1"/>
        <v/>
      </c>
      <c r="V550" s="3" t="str">
        <f t="shared" si="42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1"/>
        <v/>
      </c>
      <c r="V551" s="3" t="str">
        <f t="shared" si="42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1"/>
        <v/>
      </c>
      <c r="V552" s="3" t="str">
        <f t="shared" si="42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1"/>
        <v/>
      </c>
      <c r="V553" s="3" t="str">
        <f t="shared" si="42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AI63:AI77 N116:N1048576">
    <cfRule type="cellIs" dxfId="3" priority="1" operator="lessThan">
      <formula>0</formula>
    </cfRule>
  </conditionalFormatting>
  <hyperlinks>
    <hyperlink ref="C4" r:id="rId1" xr:uid="{F638B4EB-443F-46E3-9CA5-E6B86A9FBD7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28E1-12D4-4ABC-9A0A-A3C92FA0A232}">
  <dimension ref="A1:AI569"/>
  <sheetViews>
    <sheetView zoomScale="90" zoomScaleNormal="90" workbookViewId="0">
      <selection activeCell="N16" sqref="N16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320034.13697461062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103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13</v>
      </c>
      <c r="C4" s="24" t="s">
        <v>14</v>
      </c>
      <c r="D4" s="23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46050.625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>
        <f t="shared" si="1"/>
        <v>46050.625</v>
      </c>
      <c r="W5" s="3">
        <v>46051.625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>
        <f t="shared" si="1"/>
        <v>46051.625</v>
      </c>
      <c r="W6" s="3">
        <v>46052.625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 cm="1">
        <f t="array" ref="B7">_xll.BDP("EURR002W INDEX","PX_LAST")/100+0.25/100</f>
        <v>2.6499999999999999E-2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>
        <f t="shared" si="1"/>
        <v>46052.625</v>
      </c>
      <c r="W7" s="3">
        <v>46055.625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>
        <f t="shared" si="1"/>
        <v>46055.625</v>
      </c>
      <c r="W8" s="3">
        <v>46056.625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91.16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>
        <f t="shared" si="1"/>
        <v>46056.625</v>
      </c>
      <c r="W9" s="3">
        <v>46057.625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>
        <f t="shared" si="1"/>
        <v>46057.625</v>
      </c>
      <c r="W10" s="3">
        <v>46058.625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>
        <f t="shared" si="1"/>
        <v>46058.625</v>
      </c>
      <c r="W11" s="3">
        <v>46059.625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>
        <f t="shared" si="1"/>
        <v>46059.625</v>
      </c>
      <c r="W12" s="3">
        <v>46062.625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>
        <f t="shared" si="1"/>
        <v>46062.625</v>
      </c>
      <c r="W13" s="3">
        <v>46064.625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46049.625</v>
      </c>
      <c r="B14" s="40">
        <v>93.74</v>
      </c>
      <c r="C14" s="2"/>
      <c r="D14" s="18"/>
      <c r="E14" s="40">
        <v>100.59</v>
      </c>
      <c r="F14" s="1"/>
      <c r="G14" s="18"/>
      <c r="H14" s="40">
        <v>241.37200000000001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>
        <f t="shared" si="1"/>
        <v>46064.625</v>
      </c>
      <c r="W14" s="3">
        <v>46065.625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46050.625</v>
      </c>
      <c r="B15" s="40">
        <f ca="1">IF(COUNTIF($W$2:W1000,A15)=1,VLOOKUP(A15,O:P,2), IF(COUNTIF($W$2:W1000,A15)=0,$B$9,""))</f>
        <v>93.63</v>
      </c>
      <c r="C15" s="2">
        <f ca="1">IF(ISERROR(B15-2),"",(B15/$B$14-1)*$B$5)</f>
        <v>-35203.755067207967</v>
      </c>
      <c r="D15" s="43">
        <f ca="1">IF(ISERROR(B15-2),"",-1*(INT(A15)-INT($A$14))/360*$B$7*$B$5)</f>
        <v>-2208.3333333333335</v>
      </c>
      <c r="E15" s="40">
        <f ca="1">IF(COUNTIF($W$2:W1000,A15)=1,VLOOKUP(A15,Q:R,2), IF(COUNTIF($W$2:W1000,A15)=0,$C$9,""))</f>
        <v>100.65</v>
      </c>
      <c r="F15" s="2">
        <f ca="1">IF(ISERROR(B15-2),"",(E15-$E$14)/100*$C$5)</f>
        <v>15600.000000000591</v>
      </c>
      <c r="G15" s="43">
        <f ca="1">IF(ISERROR(B15-2),"",(INT(A15)-INT($A$14))/360*$C$6*$C$5-(INT(A15)-INT($A$14))/360*$C$7*$C$5*$E$14/100)</f>
        <v>-10.226666666666915</v>
      </c>
      <c r="H15" s="40">
        <f ca="1">IF(COUNTIF($W$2:W1000,A15)=1,VLOOKUP(A15,S:T,2), IF(COUNTIF($W$2:W1000,A15)=0,$D$9,""))</f>
        <v>244.39099999999999</v>
      </c>
      <c r="I15" s="41">
        <f ca="1">IF(COUNTIF($X$2:X1000,INT(A15))=1,VLOOKUP(INT(A15),X:Y,2), IF(ISERROR(H15-2),"",I14*(1-$D$8*(H15-H14)*0.0001)))</f>
        <v>263.77480000000003</v>
      </c>
      <c r="J15" s="41">
        <f ca="1">IF(ISERROR(H15-2),"",I15)</f>
        <v>263.77480000000003</v>
      </c>
      <c r="K15" s="43">
        <f ca="1">IF(ISERROR(H15-2),"",(J15/$J$14-1)*$D$5)</f>
        <v>-28682.110682109917</v>
      </c>
      <c r="L15" s="43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4">
        <f ca="1">IF(ISERROR(B15-2),"",C15+D15-F15-G15-K15+SUM($L$14:L15))</f>
        <v>-24319.751051765306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>
        <f t="shared" si="1"/>
        <v>46065.625</v>
      </c>
      <c r="W15" s="3">
        <v>46066.625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46051.625</v>
      </c>
      <c r="B16" s="40">
        <f ca="1">IF(COUNTIF($W$2:W1001,A16)=1,VLOOKUP(A16,O:P,2), IF(COUNTIF($W$2:W1001,A16)=0,$B$9,""))</f>
        <v>93.53</v>
      </c>
      <c r="C16" s="2">
        <f t="shared" ref="C16:C79" ca="1" si="4">IF(ISERROR(B16-2),"",(B16/$B$14-1)*$B$5)</f>
        <v>-67207.16876466581</v>
      </c>
      <c r="D16" s="43">
        <f t="shared" ref="D16:D79" ca="1" si="5">IF(ISERROR(B16-2),"",-1*(INT(A16)-INT($A$14))/360*$B$7*$B$5)</f>
        <v>-4416.666666666667</v>
      </c>
      <c r="E16" s="40">
        <f ca="1">IF(COUNTIF($W$2:W1001,A16)=1,VLOOKUP(A16,Q:R,2), IF(COUNTIF($W$2:W1001,A16)=0,$C$9,""))</f>
        <v>100.706</v>
      </c>
      <c r="F16" s="2">
        <f t="shared" ref="F16:F79" ca="1" si="6">IF(ISERROR(B16-2),"",(E16-$E$14)/100*$C$5)</f>
        <v>30159.999999999909</v>
      </c>
      <c r="G16" s="43">
        <f t="shared" ref="G16:G79" ca="1" si="7">IF(ISERROR(B16-2),"",(INT(A16)-INT($A$14))/360*$C$6*$C$5-(INT(A16)-INT($A$14))/360*$C$7*$C$5*$E$14/100)</f>
        <v>-20.453333333333831</v>
      </c>
      <c r="H16" s="40">
        <f ca="1">IF(COUNTIF($W$2:W1001,A16)=1,VLOOKUP(A16,S:T,2), IF(COUNTIF($W$2:W1001,A16)=0,$D$9,""))</f>
        <v>249.25</v>
      </c>
      <c r="I16" s="41">
        <f ca="1">IF(COUNTIF($X$2:X1001,INT(A16))=1,VLOOKUP(INT(A16),X:Y,2), IF(ISERROR(H16-2),"",I15*(1-$D$8*(H16-H15)*0.0001)))</f>
        <v>263.46510000000001</v>
      </c>
      <c r="J16" s="41">
        <f t="shared" ref="J16:J79" ca="1" si="8">IF(ISERROR(H16-2),"",I16)</f>
        <v>263.46510000000001</v>
      </c>
      <c r="K16" s="43">
        <f t="shared" ref="K16:K79" ca="1" si="9">IF(ISERROR(H16-2),"",(J16/$J$14-1)*$D$5)</f>
        <v>-50604.247104247959</v>
      </c>
      <c r="L16" s="43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4">
        <f ca="1">IF(ISERROR(B16-2),"",C16+D16-F16-G16-K16+SUM($L$14:L16))</f>
        <v>-51159.134993751097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>
        <f t="shared" si="1"/>
        <v>46066.625</v>
      </c>
      <c r="W16" s="3">
        <v>46069.625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46052.625</v>
      </c>
      <c r="B17" s="40">
        <f ca="1">IF(COUNTIF($W$2:W1002,A17)=1,VLOOKUP(A17,O:P,2), IF(COUNTIF($W$2:W1002,A17)=0,$B$9,""))</f>
        <v>93.62</v>
      </c>
      <c r="C17" s="2">
        <f t="shared" ca="1" si="4"/>
        <v>-38404.096436951419</v>
      </c>
      <c r="D17" s="43">
        <f t="shared" ca="1" si="5"/>
        <v>-6625</v>
      </c>
      <c r="E17" s="40">
        <f ca="1">IF(COUNTIF($W$2:W1002,A17)=1,VLOOKUP(A17,Q:R,2), IF(COUNTIF($W$2:W1002,A17)=0,$C$9,""))</f>
        <v>100.675</v>
      </c>
      <c r="F17" s="2">
        <f t="shared" ca="1" si="6"/>
        <v>22099.999999998374</v>
      </c>
      <c r="G17" s="43">
        <f t="shared" ca="1" si="7"/>
        <v>-30.680000000000291</v>
      </c>
      <c r="H17" s="40">
        <f ca="1">IF(COUNTIF($W$2:W1002,A17)=1,VLOOKUP(A17,S:T,2), IF(COUNTIF($W$2:W1002,A17)=0,$D$9,""))</f>
        <v>246.12</v>
      </c>
      <c r="I17" s="41">
        <f ca="1">IF(COUNTIF($X$2:X1002,INT(A17))=1,VLOOKUP(INT(A17),X:Y,2), IF(ISERROR(H17-2),"",I16*(1-$D$8*(H17-H16)*0.0001)))</f>
        <v>263.61529999999999</v>
      </c>
      <c r="J17" s="41">
        <f t="shared" ca="1" si="8"/>
        <v>263.61529999999999</v>
      </c>
      <c r="K17" s="43">
        <f t="shared" ca="1" si="9"/>
        <v>-39972.329472330013</v>
      </c>
      <c r="L17" s="43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4">
        <f ca="1">IF(ISERROR(B17-2),"",C17+D17-F17-G17-K17+SUM($L$14:L17))</f>
        <v>-27126.08696461979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>
        <f t="shared" si="1"/>
        <v>46069.625</v>
      </c>
      <c r="W17" s="3">
        <v>46070.625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46055.625</v>
      </c>
      <c r="B18" s="40">
        <f ca="1">IF(COUNTIF($W$2:W1003,A18)=1,VLOOKUP(A18,O:P,2), IF(COUNTIF($W$2:W1003,A18)=0,$B$9,""))</f>
        <v>93.64</v>
      </c>
      <c r="C18" s="2">
        <f t="shared" ca="1" si="4"/>
        <v>-32003.413697457851</v>
      </c>
      <c r="D18" s="43">
        <f t="shared" ca="1" si="5"/>
        <v>-13250</v>
      </c>
      <c r="E18" s="40">
        <f ca="1">IF(COUNTIF($W$2:W1003,A18)=1,VLOOKUP(A18,Q:R,2), IF(COUNTIF($W$2:W1003,A18)=0,$C$9,""))</f>
        <v>100.607</v>
      </c>
      <c r="F18" s="2">
        <f t="shared" ca="1" si="6"/>
        <v>4419.9999999989359</v>
      </c>
      <c r="G18" s="43">
        <f t="shared" ca="1" si="7"/>
        <v>-61.360000000000582</v>
      </c>
      <c r="H18" s="40">
        <f ca="1">IF(COUNTIF($W$2:W1003,A18)=1,VLOOKUP(A18,S:T,2), IF(COUNTIF($W$2:W1003,A18)=0,$D$9,""))</f>
        <v>243.642</v>
      </c>
      <c r="I18" s="41">
        <f ca="1">IF(COUNTIF($X$2:X1003,INT(A18))=1,VLOOKUP(INT(A18),X:Y,2), IF(ISERROR(H18-2),"",I17*(1-$D$8*(H18-H17)*0.0001)))</f>
        <v>264.12970000000001</v>
      </c>
      <c r="J18" s="41">
        <f t="shared" ca="1" si="8"/>
        <v>264.12970000000001</v>
      </c>
      <c r="K18" s="43">
        <f t="shared" ca="1" si="9"/>
        <v>-3560.4890604889806</v>
      </c>
      <c r="L18" s="43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4">
        <f ca="1">IF(ISERROR(B18-2),"",C18+D18-F18-G18-K18+SUM($L$14:L18))</f>
        <v>-46051.564636967807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>
        <f t="shared" si="1"/>
        <v>46070.625</v>
      </c>
      <c r="W18" s="3">
        <v>46071.625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46056.625</v>
      </c>
      <c r="B19" s="40">
        <f ca="1">IF(COUNTIF($W$2:W1004,A19)=1,VLOOKUP(A19,O:P,2), IF(COUNTIF($W$2:W1004,A19)=0,$B$9,""))</f>
        <v>93.64</v>
      </c>
      <c r="C19" s="2">
        <f t="shared" ca="1" si="4"/>
        <v>-32003.413697457851</v>
      </c>
      <c r="D19" s="43">
        <f t="shared" ca="1" si="5"/>
        <v>-15458.333333333334</v>
      </c>
      <c r="E19" s="40">
        <f ca="1">IF(COUNTIF($W$2:W1004,A19)=1,VLOOKUP(A19,Q:R,2), IF(COUNTIF($W$2:W1004,A19)=0,$C$9,""))</f>
        <v>100.57599999999999</v>
      </c>
      <c r="F19" s="2">
        <f t="shared" ca="1" si="6"/>
        <v>-3640.0000000026007</v>
      </c>
      <c r="G19" s="43">
        <f t="shared" ca="1" si="7"/>
        <v>-71.586666666666133</v>
      </c>
      <c r="H19" s="40">
        <f ca="1">IF(COUNTIF($W$2:W1004,A19)=1,VLOOKUP(A19,S:T,2), IF(COUNTIF($W$2:W1004,A19)=0,$D$9,""))</f>
        <v>243.64</v>
      </c>
      <c r="I19" s="41">
        <f ca="1">IF(COUNTIF($X$2:X1004,INT(A19))=1,VLOOKUP(INT(A19),X:Y,2), IF(ISERROR(H19-2),"",I18*(1-$D$8*(H19-H18)*0.0001)))</f>
        <v>264</v>
      </c>
      <c r="J19" s="41">
        <f t="shared" ca="1" si="8"/>
        <v>264</v>
      </c>
      <c r="K19" s="43">
        <f t="shared" ca="1" si="9"/>
        <v>-12741.312741312471</v>
      </c>
      <c r="L19" s="43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4">
        <f ca="1">IF(ISERROR(B19-2),"",C19+D19-F19-G19-K19+SUM($L$14:L19))</f>
        <v>-31008.847622809455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>
        <f t="shared" si="1"/>
        <v>46071.625</v>
      </c>
      <c r="W19" s="3">
        <v>46072.625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46057.625</v>
      </c>
      <c r="B20" s="40">
        <f ca="1">IF(COUNTIF($W$2:W1005,A20)=1,VLOOKUP(A20,O:P,2), IF(COUNTIF($W$2:W1005,A20)=0,$B$9,""))</f>
        <v>93.61</v>
      </c>
      <c r="C20" s="2">
        <f t="shared" ca="1" si="4"/>
        <v>-41604.437806698203</v>
      </c>
      <c r="D20" s="43">
        <f t="shared" ca="1" si="5"/>
        <v>-17666.666666666668</v>
      </c>
      <c r="E20" s="40">
        <f ca="1">IF(COUNTIF($W$2:W1005,A20)=1,VLOOKUP(A20,Q:R,2), IF(COUNTIF($W$2:W1005,A20)=0,$C$9,""))</f>
        <v>100.637</v>
      </c>
      <c r="F20" s="2">
        <f t="shared" ca="1" si="6"/>
        <v>12219.999999999232</v>
      </c>
      <c r="G20" s="43">
        <f t="shared" ca="1" si="7"/>
        <v>-81.813333333335322</v>
      </c>
      <c r="H20" s="40">
        <f ca="1">IF(COUNTIF($W$2:W1005,A20)=1,VLOOKUP(A20,S:T,2), IF(COUNTIF($W$2:W1005,A20)=0,$D$9,""))</f>
        <v>244.55699999999999</v>
      </c>
      <c r="I20" s="41">
        <f ca="1">IF(COUNTIF($X$2:X1005,INT(A20))=1,VLOOKUP(INT(A20),X:Y,2), IF(ISERROR(H20-2),"",I19*(1-$D$8*(H20-H19)*0.0001)))</f>
        <v>263.81950000000001</v>
      </c>
      <c r="J20" s="41">
        <f t="shared" ca="1" si="8"/>
        <v>263.81950000000001</v>
      </c>
      <c r="K20" s="43">
        <f t="shared" ca="1" si="9"/>
        <v>-25518.01801801916</v>
      </c>
      <c r="L20" s="43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4">
        <f ca="1">IF(ISERROR(B20-2),"",C20+D20-F20-G20-K20+SUM($L$14:L20))</f>
        <v>-45891.273122011604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>
        <f t="shared" si="1"/>
        <v>46072.625</v>
      </c>
      <c r="W20" s="3">
        <v>46073.625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46058.625</v>
      </c>
      <c r="B21" s="40">
        <f ca="1">IF(COUNTIF($W$2:W1006,A21)=1,VLOOKUP(A21,O:P,2), IF(COUNTIF($W$2:W1006,A21)=0,$B$9,""))</f>
        <v>93.49</v>
      </c>
      <c r="C21" s="2">
        <f t="shared" ca="1" si="4"/>
        <v>-80008.534243652946</v>
      </c>
      <c r="D21" s="43">
        <f t="shared" ca="1" si="5"/>
        <v>-19875</v>
      </c>
      <c r="E21" s="40">
        <f ca="1">IF(COUNTIF($W$2:W1006,A21)=1,VLOOKUP(A21,Q:R,2), IF(COUNTIF($W$2:W1006,A21)=0,$C$9,""))</f>
        <v>100.67</v>
      </c>
      <c r="F21" s="2">
        <f t="shared" ca="1" si="6"/>
        <v>20799.999999999556</v>
      </c>
      <c r="G21" s="43">
        <f t="shared" ca="1" si="7"/>
        <v>-92.040000000000873</v>
      </c>
      <c r="H21" s="40">
        <f ca="1">IF(COUNTIF($W$2:W1006,A21)=1,VLOOKUP(A21,S:T,2), IF(COUNTIF($W$2:W1006,A21)=0,$D$9,""))</f>
        <v>249.851</v>
      </c>
      <c r="I21" s="41">
        <f ca="1">IF(COUNTIF($X$2:X1006,INT(A21))=1,VLOOKUP(INT(A21),X:Y,2), IF(ISERROR(H21-2),"",I20*(1-$D$8*(H21-H20)*0.0001)))</f>
        <v>263.54730000000001</v>
      </c>
      <c r="J21" s="41">
        <f t="shared" ca="1" si="8"/>
        <v>263.54730000000001</v>
      </c>
      <c r="K21" s="43">
        <f t="shared" ca="1" si="9"/>
        <v>-44785.714285713293</v>
      </c>
      <c r="L21" s="43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4">
        <f ca="1">IF(ISERROR(B21-2),"",C21+D21-F21-G21-K21+SUM($L$14:L21))</f>
        <v>-75805.779957939201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>
        <f t="shared" si="1"/>
        <v>46073.625</v>
      </c>
      <c r="W21" s="3">
        <v>46076.625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46059.625</v>
      </c>
      <c r="B22" s="40">
        <f ca="1">IF(COUNTIF($W$2:W1007,A22)=1,VLOOKUP(A22,O:P,2), IF(COUNTIF($W$2:W1007,A22)=0,$B$9,""))</f>
        <v>93.62</v>
      </c>
      <c r="C22" s="2">
        <f t="shared" ca="1" si="4"/>
        <v>-38404.096436951419</v>
      </c>
      <c r="D22" s="43">
        <f t="shared" ca="1" si="5"/>
        <v>-22083.333333333332</v>
      </c>
      <c r="E22" s="40">
        <f ca="1">IF(COUNTIF($W$2:W1007,A22)=1,VLOOKUP(A22,Q:R,2), IF(COUNTIF($W$2:W1007,A22)=0,$C$9,""))</f>
        <v>100.67</v>
      </c>
      <c r="F22" s="2">
        <f t="shared" ca="1" si="6"/>
        <v>20799.999999999556</v>
      </c>
      <c r="G22" s="43">
        <f t="shared" ca="1" si="7"/>
        <v>-102.26666666666642</v>
      </c>
      <c r="H22" s="40">
        <f ca="1">IF(COUNTIF($W$2:W1007,A22)=1,VLOOKUP(A22,S:T,2), IF(COUNTIF($W$2:W1007,A22)=0,$D$9,""))</f>
        <v>244.11</v>
      </c>
      <c r="I22" s="41">
        <f ca="1">IF(COUNTIF($X$2:X1007,INT(A22))=1,VLOOKUP(INT(A22),X:Y,2), IF(ISERROR(H22-2),"",I21*(1-$D$8*(H22-H21)*0.0001)))</f>
        <v>264.17489999999998</v>
      </c>
      <c r="J22" s="41">
        <f t="shared" ca="1" si="8"/>
        <v>264.17489999999998</v>
      </c>
      <c r="K22" s="43">
        <f t="shared" ca="1" si="9"/>
        <v>-361.00386100608171</v>
      </c>
      <c r="L22" s="43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4">
        <f ca="1">IF(ISERROR(B22-2),"",C22+D22-F22-G22-K22+SUM($L$14:L22))</f>
        <v>-80824.159242611553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>
        <f t="shared" si="1"/>
        <v>46076.625</v>
      </c>
      <c r="W22" s="3">
        <v>46077.625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46062.625</v>
      </c>
      <c r="B23" s="40">
        <f ca="1">IF(COUNTIF($W$2:W1008,A23)=1,VLOOKUP(A23,O:P,2), IF(COUNTIF($W$2:W1008,A23)=0,$B$9,""))</f>
        <v>93.76</v>
      </c>
      <c r="C23" s="2">
        <f t="shared" ca="1" si="4"/>
        <v>6400.6827394935681</v>
      </c>
      <c r="D23" s="43">
        <f t="shared" ca="1" si="5"/>
        <v>-28708.333333333328</v>
      </c>
      <c r="E23" s="40">
        <f ca="1">IF(COUNTIF($W$2:W1008,A23)=1,VLOOKUP(A23,Q:R,2), IF(COUNTIF($W$2:W1008,A23)=0,$C$9,""))</f>
        <v>100.702</v>
      </c>
      <c r="F23" s="2">
        <f t="shared" ca="1" si="6"/>
        <v>29119.999999998639</v>
      </c>
      <c r="G23" s="43">
        <f t="shared" ca="1" si="7"/>
        <v>-132.94666666666672</v>
      </c>
      <c r="H23" s="40">
        <f ca="1">IF(COUNTIF($W$2:W1008,A23)=1,VLOOKUP(A23,S:T,2), IF(COUNTIF($W$2:W1008,A23)=0,$D$9,""))</f>
        <v>241.44</v>
      </c>
      <c r="I23" s="41">
        <f ca="1">IF(COUNTIF($X$2:X1008,INT(A23))=1,VLOOKUP(INT(A23),X:Y,2), IF(ISERROR(H23-2),"",I22*(1-$D$8*(H23-H22)*0.0001)))</f>
        <v>264.56029999999998</v>
      </c>
      <c r="J23" s="41">
        <f t="shared" ca="1" si="8"/>
        <v>264.56029999999998</v>
      </c>
      <c r="K23" s="43">
        <f t="shared" ca="1" si="9"/>
        <v>26919.562419560461</v>
      </c>
      <c r="L23" s="43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4">
        <f ca="1">IF(ISERROR(B23-2),"",C23+D23-F23-G23-K23+SUM($L$14:L23))</f>
        <v>-78214.266346732198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>
        <f t="shared" si="1"/>
        <v>46077.625</v>
      </c>
      <c r="W23" s="3">
        <v>46078.625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46064.625</v>
      </c>
      <c r="B24" s="40">
        <f ca="1">IF(COUNTIF($W$2:W1009,A24)=1,VLOOKUP(A24,O:P,2), IF(COUNTIF($W$2:W1009,A24)=0,$B$9,""))</f>
        <v>93.63</v>
      </c>
      <c r="C24" s="2">
        <f t="shared" ca="1" si="4"/>
        <v>-35203.755067207967</v>
      </c>
      <c r="D24" s="43">
        <f t="shared" ca="1" si="5"/>
        <v>-33124.999999999993</v>
      </c>
      <c r="E24" s="40">
        <f ca="1">IF(COUNTIF($W$2:W1009,A24)=1,VLOOKUP(A24,Q:R,2), IF(COUNTIF($W$2:W1009,A24)=0,$C$9,""))</f>
        <v>100.73</v>
      </c>
      <c r="F24" s="2">
        <f t="shared" ca="1" si="6"/>
        <v>36400.000000000146</v>
      </c>
      <c r="G24" s="43">
        <f t="shared" ca="1" si="7"/>
        <v>-153.40000000000146</v>
      </c>
      <c r="H24" s="40">
        <f ca="1">IF(COUNTIF($W$2:W1009,A24)=1,VLOOKUP(A24,S:T,2), IF(COUNTIF($W$2:W1009,A24)=0,$D$9,""))</f>
        <v>242.79599999999999</v>
      </c>
      <c r="I24" s="41">
        <f ca="1">IF(COUNTIF($X$2:X1009,INT(A24))=1,VLOOKUP(INT(A24),X:Y,2), IF(ISERROR(H24-2),"",I23*(1-$D$8*(H24-H23)*0.0001)))</f>
        <v>264.35489999999999</v>
      </c>
      <c r="J24" s="41">
        <f t="shared" ca="1" si="8"/>
        <v>264.35489999999999</v>
      </c>
      <c r="K24" s="43">
        <f t="shared" ca="1" si="9"/>
        <v>12380.308880306389</v>
      </c>
      <c r="L24" s="43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4">
        <f ca="1">IF(ISERROR(B24-2),"",C24+D24-F24-G24-K24+SUM($L$14:L24))</f>
        <v>-116955.66394751451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>
        <f t="shared" si="1"/>
        <v>46078.625</v>
      </c>
      <c r="W24" s="3">
        <v>46079.625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46065.625</v>
      </c>
      <c r="B25" s="40">
        <f ca="1">IF(COUNTIF($W$2:W1010,A25)=1,VLOOKUP(A25,O:P,2), IF(COUNTIF($W$2:W1010,A25)=0,$B$9,""))</f>
        <v>93.65</v>
      </c>
      <c r="C25" s="2">
        <f t="shared" ca="1" si="4"/>
        <v>-28803.072327711066</v>
      </c>
      <c r="D25" s="43">
        <f t="shared" ca="1" si="5"/>
        <v>-35333.333333333336</v>
      </c>
      <c r="E25" s="40">
        <f ca="1">IF(COUNTIF($W$2:W1010,A25)=1,VLOOKUP(A25,Q:R,2), IF(COUNTIF($W$2:W1010,A25)=0,$C$9,""))</f>
        <v>100.751</v>
      </c>
      <c r="F25" s="2">
        <f t="shared" ca="1" si="6"/>
        <v>41860.000000000349</v>
      </c>
      <c r="G25" s="43">
        <f t="shared" ca="1" si="7"/>
        <v>-163.62666666667064</v>
      </c>
      <c r="H25" s="40">
        <f ca="1">IF(COUNTIF($W$2:W1010,A25)=1,VLOOKUP(A25,S:T,2), IF(COUNTIF($W$2:W1010,A25)=0,$D$9,""))</f>
        <v>244.61799999999999</v>
      </c>
      <c r="I25" s="41">
        <f ca="1">IF(COUNTIF($X$2:X1010,INT(A25))=1,VLOOKUP(INT(A25),X:Y,2), IF(ISERROR(H25-2),"",I24*(1-$D$8*(H25-H24)*0.0001)))</f>
        <v>264.04489999999998</v>
      </c>
      <c r="J25" s="41">
        <f t="shared" ca="1" si="8"/>
        <v>264.04489999999998</v>
      </c>
      <c r="K25" s="43">
        <f t="shared" ca="1" si="9"/>
        <v>-9563.0630630648575</v>
      </c>
      <c r="L25" s="43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4">
        <f ca="1">IF(ISERROR(B25-2),"",C25+D25-F25-G25-K25+SUM($L$14:L25))</f>
        <v>-96269.715931313229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>
        <f t="shared" si="1"/>
        <v>46079.625</v>
      </c>
      <c r="W25" s="3">
        <v>46080.625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46066.625</v>
      </c>
      <c r="B26" s="40">
        <f ca="1">IF(COUNTIF($W$2:W1011,A26)=1,VLOOKUP(A26,O:P,2), IF(COUNTIF($W$2:W1011,A26)=0,$B$9,""))</f>
        <v>93.55</v>
      </c>
      <c r="C26" s="2">
        <f t="shared" ca="1" si="4"/>
        <v>-60806.486025175574</v>
      </c>
      <c r="D26" s="43">
        <f t="shared" ca="1" si="5"/>
        <v>-37541.666666666664</v>
      </c>
      <c r="E26" s="40">
        <f ca="1">IF(COUNTIF($W$2:W1011,A26)=1,VLOOKUP(A26,Q:R,2), IF(COUNTIF($W$2:W1011,A26)=0,$C$9,""))</f>
        <v>100.819</v>
      </c>
      <c r="F26" s="2">
        <f t="shared" ca="1" si="6"/>
        <v>59539.999999999796</v>
      </c>
      <c r="G26" s="43">
        <f t="shared" ca="1" si="7"/>
        <v>-173.85333333333256</v>
      </c>
      <c r="H26" s="40">
        <f ca="1">IF(COUNTIF($W$2:W1011,A26)=1,VLOOKUP(A26,S:T,2), IF(COUNTIF($W$2:W1011,A26)=0,$D$9,""))</f>
        <v>247.57300000000001</v>
      </c>
      <c r="I26" s="41">
        <f ca="1">IF(COUNTIF($X$2:X1011,INT(A26))=1,VLOOKUP(INT(A26),X:Y,2), IF(ISERROR(H26-2),"",I25*(1-$D$8*(H26-H25)*0.0001)))</f>
        <v>263.8886</v>
      </c>
      <c r="J26" s="41">
        <f t="shared" ca="1" si="8"/>
        <v>263.8886</v>
      </c>
      <c r="K26" s="43">
        <f t="shared" ca="1" si="9"/>
        <v>-20626.769626771093</v>
      </c>
      <c r="L26" s="43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4">
        <f ca="1">IF(ISERROR(B26-2),"",C26+D26-F26-G26-K26+SUM($L$14:L26))</f>
        <v>-137087.5297317376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>
        <f t="shared" si="1"/>
        <v>46080.625</v>
      </c>
      <c r="W26" s="3">
        <v>46083.625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46069.625</v>
      </c>
      <c r="B27" s="40">
        <f ca="1">IF(COUNTIF($W$2:W1012,A27)=1,VLOOKUP(A27,O:P,2), IF(COUNTIF($W$2:W1012,A27)=0,$B$9,""))</f>
        <v>93.55</v>
      </c>
      <c r="C27" s="2">
        <f t="shared" ca="1" si="4"/>
        <v>-60806.486025175574</v>
      </c>
      <c r="D27" s="43">
        <f t="shared" ca="1" si="5"/>
        <v>-44166.666666666664</v>
      </c>
      <c r="E27" s="40">
        <f ca="1">IF(COUNTIF($W$2:W1012,A27)=1,VLOOKUP(A27,Q:R,2), IF(COUNTIF($W$2:W1012,A27)=0,$C$9,""))</f>
        <v>100.827</v>
      </c>
      <c r="F27" s="2">
        <f t="shared" ca="1" si="6"/>
        <v>61619.999999998639</v>
      </c>
      <c r="G27" s="43">
        <f t="shared" ca="1" si="7"/>
        <v>-204.53333333333285</v>
      </c>
      <c r="H27" s="40">
        <f ca="1">IF(COUNTIF($W$2:W1012,A27)=1,VLOOKUP(A27,S:T,2), IF(COUNTIF($W$2:W1012,A27)=0,$D$9,""))</f>
        <v>248.94900000000001</v>
      </c>
      <c r="I27" s="41">
        <f ca="1">IF(COUNTIF($X$2:X1012,INT(A27))=1,VLOOKUP(INT(A27),X:Y,2), IF(ISERROR(H27-2),"",I26*(1-$D$8*(H27-H26)*0.0001)))</f>
        <v>263.76089999999999</v>
      </c>
      <c r="J27" s="41">
        <f t="shared" ca="1" si="8"/>
        <v>263.76089999999999</v>
      </c>
      <c r="K27" s="43">
        <f t="shared" ca="1" si="9"/>
        <v>-29666.023166023937</v>
      </c>
      <c r="L27" s="43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4">
        <f ca="1">IF(ISERROR(B27-2),"",C27+D27-F27-G27-K27+SUM($L$14:L27))</f>
        <v>-136722.59619248362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>
        <f t="shared" si="1"/>
        <v>46083.625</v>
      </c>
      <c r="W27" s="3">
        <v>46084.625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46070.625</v>
      </c>
      <c r="B28" s="40">
        <f ca="1">IF(COUNTIF($W$2:W1013,A28)=1,VLOOKUP(A28,O:P,2), IF(COUNTIF($W$2:W1013,A28)=0,$B$9,""))</f>
        <v>93.48</v>
      </c>
      <c r="C28" s="2">
        <f t="shared" ca="1" si="4"/>
        <v>-83208.875613396405</v>
      </c>
      <c r="D28" s="43">
        <f t="shared" ca="1" si="5"/>
        <v>-46375</v>
      </c>
      <c r="E28" s="40">
        <f ca="1">IF(COUNTIF($W$2:W1013,A28)=1,VLOOKUP(A28,Q:R,2), IF(COUNTIF($W$2:W1013,A28)=0,$C$9,""))</f>
        <v>100.84399999999999</v>
      </c>
      <c r="F28" s="2">
        <f t="shared" ca="1" si="6"/>
        <v>66039.999999997584</v>
      </c>
      <c r="G28" s="43">
        <f t="shared" ca="1" si="7"/>
        <v>-214.76000000000204</v>
      </c>
      <c r="H28" s="40">
        <f ca="1">IF(COUNTIF($W$2:W1013,A28)=1,VLOOKUP(A28,S:T,2), IF(COUNTIF($W$2:W1013,A28)=0,$D$9,""))</f>
        <v>252.08199999999999</v>
      </c>
      <c r="I28" s="41">
        <f ca="1">IF(COUNTIF($X$2:X1013,INT(A28))=1,VLOOKUP(INT(A28),X:Y,2), IF(ISERROR(H28-2),"",I27*(1-$D$8*(H28-H27)*0.0001)))</f>
        <v>263.60289999999998</v>
      </c>
      <c r="J28" s="41">
        <f t="shared" ca="1" si="8"/>
        <v>263.60289999999998</v>
      </c>
      <c r="K28" s="43">
        <f t="shared" ca="1" si="9"/>
        <v>-40850.064350065528</v>
      </c>
      <c r="L28" s="43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4">
        <f ca="1">IF(ISERROR(B28-2),"",C28+D28-F28-G28-K28+SUM($L$14:L28))</f>
        <v>-154559.05126332847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>
        <f t="shared" si="1"/>
        <v>46084.625</v>
      </c>
      <c r="W28" s="3">
        <v>46085.625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46071.625</v>
      </c>
      <c r="B29" s="40">
        <f ca="1">IF(COUNTIF($W$2:W1014,A29)=1,VLOOKUP(A29,O:P,2), IF(COUNTIF($W$2:W1014,A29)=0,$B$9,""))</f>
        <v>93.67</v>
      </c>
      <c r="C29" s="2">
        <f t="shared" ca="1" si="4"/>
        <v>-22402.389588220827</v>
      </c>
      <c r="D29" s="43">
        <f t="shared" ca="1" si="5"/>
        <v>-48583.333333333328</v>
      </c>
      <c r="E29" s="40">
        <f ca="1">IF(COUNTIF($W$2:W1014,A29)=1,VLOOKUP(A29,Q:R,2), IF(COUNTIF($W$2:W1014,A29)=0,$C$9,""))</f>
        <v>100.795</v>
      </c>
      <c r="F29" s="2">
        <f t="shared" ca="1" si="6"/>
        <v>53299.999999999556</v>
      </c>
      <c r="G29" s="43">
        <f t="shared" ca="1" si="7"/>
        <v>-224.98666666667123</v>
      </c>
      <c r="H29" s="40">
        <f ca="1">IF(COUNTIF($W$2:W1014,A29)=1,VLOOKUP(A29,S:T,2), IF(COUNTIF($W$2:W1014,A29)=0,$D$9,""))</f>
        <v>245.43600000000001</v>
      </c>
      <c r="I29" s="41">
        <f ca="1">IF(COUNTIF($X$2:X1014,INT(A29))=1,VLOOKUP(INT(A29),X:Y,2), IF(ISERROR(H29-2),"",I28*(1-$D$8*(H29-H28)*0.0001)))</f>
        <v>264.26510000000002</v>
      </c>
      <c r="J29" s="41">
        <f t="shared" ca="1" si="8"/>
        <v>264.26510000000002</v>
      </c>
      <c r="K29" s="43">
        <f t="shared" ca="1" si="9"/>
        <v>6023.8095238111637</v>
      </c>
      <c r="L29" s="43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4">
        <f ca="1">IF(ISERROR(B29-2),"",C29+D29-F29-G29-K29+SUM($L$14:L29))</f>
        <v>-130084.5457786982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>
        <f t="shared" si="1"/>
        <v>46085.625</v>
      </c>
      <c r="W29" s="3">
        <v>46087.625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46072.625</v>
      </c>
      <c r="B30" s="40">
        <f ca="1">IF(COUNTIF($W$2:W1015,A30)=1,VLOOKUP(A30,O:P,2), IF(COUNTIF($W$2:W1015,A30)=0,$B$9,""))</f>
        <v>93.64</v>
      </c>
      <c r="C30" s="2">
        <f t="shared" ca="1" si="4"/>
        <v>-32003.413697457851</v>
      </c>
      <c r="D30" s="43">
        <f t="shared" ca="1" si="5"/>
        <v>-50791.666666666657</v>
      </c>
      <c r="E30" s="40">
        <f ca="1">IF(COUNTIF($W$2:W1015,A30)=1,VLOOKUP(A30,Q:R,2), IF(COUNTIF($W$2:W1015,A30)=0,$C$9,""))</f>
        <v>100.789</v>
      </c>
      <c r="F30" s="2">
        <f t="shared" ca="1" si="6"/>
        <v>51739.999999999491</v>
      </c>
      <c r="G30" s="43">
        <f t="shared" ca="1" si="7"/>
        <v>-235.21333333333314</v>
      </c>
      <c r="H30" s="40">
        <f ca="1">IF(COUNTIF($W$2:W1015,A30)=1,VLOOKUP(A30,S:T,2), IF(COUNTIF($W$2:W1015,A30)=0,$D$9,""))</f>
        <v>249.529</v>
      </c>
      <c r="I30" s="41">
        <f ca="1">IF(COUNTIF($X$2:X1015,INT(A30))=1,VLOOKUP(INT(A30),X:Y,2), IF(ISERROR(H30-2),"",I29*(1-$D$8*(H30-H29)*0.0001)))</f>
        <v>263.74880000000002</v>
      </c>
      <c r="J30" s="41">
        <f t="shared" ca="1" si="8"/>
        <v>263.74880000000002</v>
      </c>
      <c r="K30" s="43">
        <f t="shared" ca="1" si="9"/>
        <v>-30522.522522522089</v>
      </c>
      <c r="L30" s="43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4">
        <f ca="1">IF(ISERROR(B30-2),"",C30+D30-F30-G30-K30+SUM($L$14:L30))</f>
        <v>-103777.34450826856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>
        <f t="shared" si="1"/>
        <v>46087.625</v>
      </c>
      <c r="W30" s="3">
        <v>46090.625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46073.625</v>
      </c>
      <c r="B31" s="40">
        <f ca="1">IF(COUNTIF($W$2:W1016,A31)=1,VLOOKUP(A31,O:P,2), IF(COUNTIF($W$2:W1016,A31)=0,$B$9,""))</f>
        <v>93.75</v>
      </c>
      <c r="C31" s="2">
        <f t="shared" ca="1" si="4"/>
        <v>3200.341369746784</v>
      </c>
      <c r="D31" s="43">
        <f t="shared" ca="1" si="5"/>
        <v>-53000</v>
      </c>
      <c r="E31" s="40">
        <f ca="1">IF(COUNTIF($W$2:W1016,A31)=1,VLOOKUP(A31,Q:R,2), IF(COUNTIF($W$2:W1016,A31)=0,$C$9,""))</f>
        <v>100.77500000000001</v>
      </c>
      <c r="F31" s="2">
        <f t="shared" ca="1" si="6"/>
        <v>48100.000000000589</v>
      </c>
      <c r="G31" s="43">
        <f t="shared" ca="1" si="7"/>
        <v>-245.44000000000233</v>
      </c>
      <c r="H31" s="40">
        <f ca="1">IF(COUNTIF($W$2:W1016,A31)=1,VLOOKUP(A31,S:T,2), IF(COUNTIF($W$2:W1016,A31)=0,$D$9,""))</f>
        <v>246.54499999999999</v>
      </c>
      <c r="I31" s="41">
        <f ca="1">IF(COUNTIF($X$2:X1016,INT(A31))=1,VLOOKUP(INT(A31),X:Y,2), IF(ISERROR(H31-2),"",I30*(1-$D$8*(H31-H30)*0.0001)))</f>
        <v>264.06599999999997</v>
      </c>
      <c r="J31" s="41">
        <f t="shared" ca="1" si="8"/>
        <v>264.06599999999997</v>
      </c>
      <c r="K31" s="43">
        <f t="shared" ca="1" si="9"/>
        <v>-8069.4980694998367</v>
      </c>
      <c r="L31" s="43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4">
        <f ca="1">IF(ISERROR(B31-2),"",C31+D31-F31-G31-K31+SUM($L$14:L31))</f>
        <v>-89584.720560753965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>
        <f t="shared" si="1"/>
        <v>46090.625</v>
      </c>
      <c r="W31" s="3">
        <v>46091.625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46076.625</v>
      </c>
      <c r="B32" s="40">
        <f ca="1">IF(COUNTIF($W$2:W1017,A32)=1,VLOOKUP(A32,O:P,2), IF(COUNTIF($W$2:W1017,A32)=0,$B$9,""))</f>
        <v>93.75</v>
      </c>
      <c r="C32" s="2">
        <f t="shared" ca="1" si="4"/>
        <v>3200.341369746784</v>
      </c>
      <c r="D32" s="43">
        <f t="shared" ca="1" si="5"/>
        <v>-59624.999999999993</v>
      </c>
      <c r="E32" s="40">
        <f ca="1">IF(COUNTIF($W$2:W1017,A32)=1,VLOOKUP(A32,Q:R,2), IF(COUNTIF($W$2:W1017,A32)=0,$C$9,""))</f>
        <v>100.827</v>
      </c>
      <c r="F32" s="2">
        <f t="shared" ca="1" si="6"/>
        <v>61619.999999998639</v>
      </c>
      <c r="G32" s="43">
        <f t="shared" ca="1" si="7"/>
        <v>-276.12000000000262</v>
      </c>
      <c r="H32" s="40">
        <f ca="1">IF(COUNTIF($W$2:W1017,A32)=1,VLOOKUP(A32,S:T,2), IF(COUNTIF($W$2:W1017,A32)=0,$D$9,""))</f>
        <v>249.63800000000001</v>
      </c>
      <c r="I32" s="41">
        <f ca="1">IF(COUNTIF($X$2:X1017,INT(A32))=1,VLOOKUP(INT(A32),X:Y,2), IF(ISERROR(H32-2),"",I31*(1-$D$8*(H32-H31)*0.0001)))</f>
        <v>263.87049999999999</v>
      </c>
      <c r="J32" s="41">
        <f t="shared" ca="1" si="8"/>
        <v>263.87049999999999</v>
      </c>
      <c r="K32" s="43">
        <f t="shared" ca="1" si="9"/>
        <v>-21907.979407981184</v>
      </c>
      <c r="L32" s="43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4">
        <f ca="1">IF(ISERROR(B32-2),"",C32+D32-F32-G32-K32+SUM($L$14:L32))</f>
        <v>-95860.559222270676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>
        <f t="shared" si="1"/>
        <v>46091.625</v>
      </c>
      <c r="W32" s="3">
        <v>46092.625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46077.625</v>
      </c>
      <c r="B33" s="40">
        <f ca="1">IF(COUNTIF($W$2:W1018,A33)=1,VLOOKUP(A33,O:P,2), IF(COUNTIF($W$2:W1018,A33)=0,$B$9,""))</f>
        <v>93.71</v>
      </c>
      <c r="C33" s="2">
        <f t="shared" ca="1" si="4"/>
        <v>-9601.0241092370215</v>
      </c>
      <c r="D33" s="43">
        <f t="shared" ca="1" si="5"/>
        <v>-61833.333333333336</v>
      </c>
      <c r="E33" s="40">
        <f ca="1">IF(COUNTIF($W$2:W1018,A33)=1,VLOOKUP(A33,Q:R,2), IF(COUNTIF($W$2:W1018,A33)=0,$C$9,""))</f>
        <v>100.815</v>
      </c>
      <c r="F33" s="2">
        <f t="shared" ca="1" si="6"/>
        <v>58499.999999998516</v>
      </c>
      <c r="G33" s="43">
        <f t="shared" ca="1" si="7"/>
        <v>-286.34666666666453</v>
      </c>
      <c r="H33" s="40">
        <f ca="1">IF(COUNTIF($W$2:W1018,A33)=1,VLOOKUP(A33,S:T,2), IF(COUNTIF($W$2:W1018,A33)=0,$D$9,""))</f>
        <v>252.33600000000001</v>
      </c>
      <c r="I33" s="41">
        <f ca="1">IF(COUNTIF($X$2:X1018,INT(A33))=1,VLOOKUP(INT(A33),X:Y,2), IF(ISERROR(H33-2),"",I32*(1-$D$8*(H33-H32)*0.0001)))</f>
        <v>263.58609999999999</v>
      </c>
      <c r="J33" s="41">
        <f t="shared" ca="1" si="8"/>
        <v>263.58609999999999</v>
      </c>
      <c r="K33" s="43">
        <f t="shared" ca="1" si="9"/>
        <v>-42039.253539253972</v>
      </c>
      <c r="L33" s="43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4">
        <f ca="1">IF(ISERROR(B33-2),"",C33+D33-F33-G33-K33+SUM($L$14:L33))</f>
        <v>-87608.757236648235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>
        <f t="shared" si="1"/>
        <v>46092.625</v>
      </c>
      <c r="W33" s="3">
        <v>46093.625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46078.625</v>
      </c>
      <c r="B34" s="40">
        <f ca="1">IF(COUNTIF($W$2:W1019,A34)=1,VLOOKUP(A34,O:P,2), IF(COUNTIF($W$2:W1019,A34)=0,$B$9,""))</f>
        <v>93.78</v>
      </c>
      <c r="C34" s="2">
        <f t="shared" ca="1" si="4"/>
        <v>12801.365478987136</v>
      </c>
      <c r="D34" s="43">
        <f t="shared" ca="1" si="5"/>
        <v>-64041.666666666672</v>
      </c>
      <c r="E34" s="40">
        <f ca="1">IF(COUNTIF($W$2:W1019,A34)=1,VLOOKUP(A34,Q:R,2), IF(COUNTIF($W$2:W1019,A34)=0,$C$9,""))</f>
        <v>100.824</v>
      </c>
      <c r="F34" s="2">
        <f t="shared" ca="1" si="6"/>
        <v>60839.999999998618</v>
      </c>
      <c r="G34" s="43">
        <f t="shared" ca="1" si="7"/>
        <v>-296.573333333341</v>
      </c>
      <c r="H34" s="40">
        <f ca="1">IF(COUNTIF($W$2:W1019,A34)=1,VLOOKUP(A34,S:T,2), IF(COUNTIF($W$2:W1019,A34)=0,$D$9,""))</f>
        <v>251.27199999999999</v>
      </c>
      <c r="I34" s="41">
        <f ca="1">IF(COUNTIF($X$2:X1019,INT(A34))=1,VLOOKUP(INT(A34),X:Y,2), IF(ISERROR(H34-2),"",I33*(1-$D$8*(H34-H33)*0.0001)))</f>
        <v>263.79109999999997</v>
      </c>
      <c r="J34" s="41">
        <f t="shared" ca="1" si="8"/>
        <v>263.79109999999997</v>
      </c>
      <c r="K34" s="43">
        <f t="shared" ca="1" si="9"/>
        <v>-27528.314028315694</v>
      </c>
      <c r="L34" s="43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4">
        <f ca="1">IF(ISERROR(B34-2),"",C34+D34-F34-G34-K34+SUM($L$14:L34))</f>
        <v>-84255.413826029122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>
        <f t="shared" si="1"/>
        <v>46093.625</v>
      </c>
      <c r="W34" s="3">
        <v>46094.625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46079.625</v>
      </c>
      <c r="B35" s="40">
        <f ca="1">IF(COUNTIF($W$2:W1020,A35)=1,VLOOKUP(A35,O:P,2), IF(COUNTIF($W$2:W1020,A35)=0,$B$9,""))</f>
        <v>93.67</v>
      </c>
      <c r="C35" s="2">
        <f t="shared" ca="1" si="4"/>
        <v>-22402.389588220827</v>
      </c>
      <c r="D35" s="43">
        <f t="shared" ca="1" si="5"/>
        <v>-66249.999999999985</v>
      </c>
      <c r="E35" s="40">
        <f ca="1">IF(COUNTIF($W$2:W1020,A35)=1,VLOOKUP(A35,Q:R,2), IF(COUNTIF($W$2:W1020,A35)=0,$C$9,""))</f>
        <v>100.834</v>
      </c>
      <c r="F35" s="2">
        <f t="shared" ca="1" si="6"/>
        <v>63439.999999999942</v>
      </c>
      <c r="G35" s="43">
        <f t="shared" ca="1" si="7"/>
        <v>-306.80000000000291</v>
      </c>
      <c r="H35" s="40">
        <f ca="1">IF(COUNTIF($W$2:W1020,A35)=1,VLOOKUP(A35,S:T,2), IF(COUNTIF($W$2:W1020,A35)=0,$D$9,""))</f>
        <v>252.99199999999999</v>
      </c>
      <c r="I35" s="41">
        <f ca="1">IF(COUNTIF($X$2:X1020,INT(A35))=1,VLOOKUP(INT(A35),X:Y,2), IF(ISERROR(H35-2),"",I34*(1-$D$8*(H35-H34)*0.0001)))</f>
        <v>263.42880000000002</v>
      </c>
      <c r="J35" s="41">
        <f t="shared" ca="1" si="8"/>
        <v>263.42880000000002</v>
      </c>
      <c r="K35" s="43">
        <f t="shared" ca="1" si="9"/>
        <v>-53173.745173744494</v>
      </c>
      <c r="L35" s="43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4">
        <f ca="1">IF(ISERROR(B35-2),"",C35+D35-F35-G35-K35+SUM($L$14:L35))</f>
        <v>-98611.844414476262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>
        <f t="shared" si="1"/>
        <v>46094.625</v>
      </c>
      <c r="W35" s="3">
        <v>46097.625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46080.625</v>
      </c>
      <c r="B36" s="40">
        <f ca="1">IF(COUNTIF($W$2:W1021,A36)=1,VLOOKUP(A36,O:P,2), IF(COUNTIF($W$2:W1021,A36)=0,$B$9,""))</f>
        <v>93.58</v>
      </c>
      <c r="C36" s="2">
        <f t="shared" ca="1" si="4"/>
        <v>-51205.461915935222</v>
      </c>
      <c r="D36" s="43">
        <f t="shared" ca="1" si="5"/>
        <v>-68458.333333333328</v>
      </c>
      <c r="E36" s="40">
        <f ca="1">IF(COUNTIF($W$2:W1021,A36)=1,VLOOKUP(A36,Q:R,2), IF(COUNTIF($W$2:W1021,A36)=0,$C$9,""))</f>
        <v>100.923</v>
      </c>
      <c r="F36" s="2">
        <f t="shared" ca="1" si="6"/>
        <v>86579.999999999578</v>
      </c>
      <c r="G36" s="43">
        <f t="shared" ca="1" si="7"/>
        <v>-317.02666666666482</v>
      </c>
      <c r="H36" s="40">
        <f ca="1">IF(COUNTIF($W$2:W1021,A36)=1,VLOOKUP(A36,S:T,2), IF(COUNTIF($W$2:W1021,A36)=0,$D$9,""))</f>
        <v>260.255</v>
      </c>
      <c r="I36" s="41">
        <f ca="1">IF(COUNTIF($X$2:X1021,INT(A36))=1,VLOOKUP(INT(A36),X:Y,2), IF(ISERROR(H36-2),"",I35*(1-$D$8*(H36-H35)*0.0001)))</f>
        <v>262.72750000000002</v>
      </c>
      <c r="J36" s="41">
        <f t="shared" ca="1" si="8"/>
        <v>262.72750000000002</v>
      </c>
      <c r="K36" s="43">
        <f t="shared" ca="1" si="9"/>
        <v>-102815.31531531371</v>
      </c>
      <c r="L36" s="43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4">
        <f ca="1">IF(ISERROR(B36-2),"",C36+D36-F36-G36-K36+SUM($L$14:L36))</f>
        <v>-103111.45326728774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>
        <f t="shared" si="1"/>
        <v>46097.625</v>
      </c>
      <c r="W36" s="3">
        <v>46098.625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46083.625</v>
      </c>
      <c r="B37" s="40">
        <f ca="1">IF(COUNTIF($W$2:W1022,A37)=1,VLOOKUP(A37,O:P,2), IF(COUNTIF($W$2:W1022,A37)=0,$B$9,""))</f>
        <v>93.24</v>
      </c>
      <c r="C37" s="2">
        <f t="shared" ca="1" si="4"/>
        <v>-160017.06848730589</v>
      </c>
      <c r="D37" s="43">
        <f t="shared" ca="1" si="5"/>
        <v>-75083.333333333328</v>
      </c>
      <c r="E37" s="40">
        <f ca="1">IF(COUNTIF($W$2:W1022,A37)=1,VLOOKUP(A37,Q:R,2), IF(COUNTIF($W$2:W1022,A37)=0,$C$9,""))</f>
        <v>100.748</v>
      </c>
      <c r="F37" s="2">
        <f t="shared" ca="1" si="6"/>
        <v>41080.000000000327</v>
      </c>
      <c r="G37" s="43">
        <f t="shared" ca="1" si="7"/>
        <v>-347.70666666666511</v>
      </c>
      <c r="H37" s="40">
        <f ca="1">IF(COUNTIF($W$2:W1022,A37)=1,VLOOKUP(A37,S:T,2), IF(COUNTIF($W$2:W1022,A37)=0,$D$9,""))</f>
        <v>267.18200000000002</v>
      </c>
      <c r="I37" s="41">
        <f ca="1">IF(COUNTIF($X$2:X1022,INT(A37))=1,VLOOKUP(INT(A37),X:Y,2), IF(ISERROR(H37-2),"",I36*(1-$D$8*(H37-H36)*0.0001)))</f>
        <v>262.18009999999998</v>
      </c>
      <c r="J37" s="41">
        <f t="shared" ca="1" si="8"/>
        <v>262.18009999999998</v>
      </c>
      <c r="K37" s="43">
        <f t="shared" ca="1" si="9"/>
        <v>-141563.06306306523</v>
      </c>
      <c r="L37" s="43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4">
        <f ca="1">IF(ISERROR(B37-2),"",C37+D37-F37-G37-K37+SUM($L$14:L37))</f>
        <v>-134269.63209090766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>
        <f t="shared" si="1"/>
        <v>46098.625</v>
      </c>
      <c r="W37" s="3">
        <v>46099.625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46084.625</v>
      </c>
      <c r="B38" s="40">
        <f ca="1">IF(COUNTIF($W$2:W1023,A38)=1,VLOOKUP(A38,O:P,2), IF(COUNTIF($W$2:W1023,A38)=0,$B$9,""))</f>
        <v>92.69</v>
      </c>
      <c r="C38" s="2">
        <f t="shared" ca="1" si="4"/>
        <v>-336035.84382333909</v>
      </c>
      <c r="D38" s="43">
        <f t="shared" ca="1" si="5"/>
        <v>-77291.666666666672</v>
      </c>
      <c r="E38" s="40">
        <f ca="1">IF(COUNTIF($W$2:W1023,A38)=1,VLOOKUP(A38,Q:R,2), IF(COUNTIF($W$2:W1023,A38)=0,$C$9,""))</f>
        <v>100.50700000000001</v>
      </c>
      <c r="F38" s="2">
        <f t="shared" ca="1" si="6"/>
        <v>-21579.999999999585</v>
      </c>
      <c r="G38" s="43">
        <f t="shared" ca="1" si="7"/>
        <v>-357.9333333333343</v>
      </c>
      <c r="H38" s="40">
        <f ca="1">IF(COUNTIF($W$2:W1023,A38)=1,VLOOKUP(A38,S:T,2), IF(COUNTIF($W$2:W1023,A38)=0,$D$9,""))</f>
        <v>279.875</v>
      </c>
      <c r="I38" s="41">
        <f ca="1">IF(COUNTIF($X$2:X1023,INT(A38))=1,VLOOKUP(INT(A38),X:Y,2), IF(ISERROR(H38-2),"",I37*(1-$D$8*(H38-H37)*0.0001)))</f>
        <v>260.81470000000002</v>
      </c>
      <c r="J38" s="41">
        <f t="shared" ca="1" si="8"/>
        <v>260.81470000000002</v>
      </c>
      <c r="K38" s="43">
        <f t="shared" ca="1" si="9"/>
        <v>-238212.99871299713</v>
      </c>
      <c r="L38" s="43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4">
        <f ca="1">IF(ISERROR(B38-2),"",C38+D38-F38-G38-K38+SUM($L$14:L38))</f>
        <v>-153176.57844367571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>
        <f t="shared" si="1"/>
        <v>46099.625</v>
      </c>
      <c r="W38" s="3">
        <v>46100.625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46085.625</v>
      </c>
      <c r="B39" s="40">
        <f ca="1">IF(COUNTIF($W$2:W1024,A39)=1,VLOOKUP(A39,O:P,2), IF(COUNTIF($W$2:W1024,A39)=0,$B$9,""))</f>
        <v>93.3</v>
      </c>
      <c r="C39" s="2">
        <f t="shared" ca="1" si="4"/>
        <v>-140815.02026882852</v>
      </c>
      <c r="D39" s="43">
        <f t="shared" ca="1" si="5"/>
        <v>-79500</v>
      </c>
      <c r="E39" s="40">
        <f ca="1">IF(COUNTIF($W$2:W1024,A39)=1,VLOOKUP(A39,Q:R,2), IF(COUNTIF($W$2:W1024,A39)=0,$C$9,""))</f>
        <v>100.57899999999999</v>
      </c>
      <c r="F39" s="2">
        <f t="shared" ca="1" si="6"/>
        <v>-2860.0000000025716</v>
      </c>
      <c r="G39" s="43">
        <f t="shared" ca="1" si="7"/>
        <v>-368.16000000000349</v>
      </c>
      <c r="H39" s="40">
        <f ca="1">IF(COUNTIF($W$2:W1024,A39)=1,VLOOKUP(A39,S:T,2), IF(COUNTIF($W$2:W1024,A39)=0,$D$9,""))</f>
        <v>265.24</v>
      </c>
      <c r="I39" s="41">
        <f ca="1">IF(COUNTIF($X$2:X1024,INT(A39))=1,VLOOKUP(INT(A39),X:Y,2), IF(ISERROR(H39-2),"",I38*(1-$D$8*(H39-H38)*0.0001)))</f>
        <v>262.13139999999999</v>
      </c>
      <c r="J39" s="41">
        <f t="shared" ca="1" si="8"/>
        <v>262.13139999999999</v>
      </c>
      <c r="K39" s="43">
        <f t="shared" ca="1" si="9"/>
        <v>-145010.29601029726</v>
      </c>
      <c r="L39" s="43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4">
        <f ca="1">IF(ISERROR(B39-2),"",C39+D39-F39-G39-K39+SUM($L$14:L39))</f>
        <v>-72076.564258528699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>
        <f t="shared" si="1"/>
        <v>46100.625</v>
      </c>
      <c r="W39" s="3">
        <v>46101.625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46087.625</v>
      </c>
      <c r="B40" s="40">
        <f ca="1">IF(COUNTIF($W$2:W1025,A40)=1,VLOOKUP(A40,O:P,2), IF(COUNTIF($W$2:W1025,A40)=0,$B$9,""))</f>
        <v>92.48</v>
      </c>
      <c r="C40" s="2">
        <f t="shared" ca="1" si="4"/>
        <v>-403243.01258800487</v>
      </c>
      <c r="D40" s="43">
        <f t="shared" ca="1" si="5"/>
        <v>-83916.666666666672</v>
      </c>
      <c r="E40" s="40">
        <f ca="1">IF(COUNTIF($W$2:W1025,A40)=1,VLOOKUP(A40,Q:R,2), IF(COUNTIF($W$2:W1025,A40)=0,$C$9,""))</f>
        <v>100.179</v>
      </c>
      <c r="F40" s="2">
        <f t="shared" ca="1" si="6"/>
        <v>-106860.00000000036</v>
      </c>
      <c r="G40" s="43">
        <f t="shared" ca="1" si="7"/>
        <v>-388.61333333332732</v>
      </c>
      <c r="H40" s="40">
        <f ca="1">IF(COUNTIF($W$2:W1025,A40)=1,VLOOKUP(A40,S:T,2), IF(COUNTIF($W$2:W1025,A40)=0,$D$9,""))</f>
        <v>288.95600000000002</v>
      </c>
      <c r="I40" s="41">
        <f ca="1">IF(COUNTIF($X$2:X1025,INT(A40))=1,VLOOKUP(INT(A40),X:Y,2), IF(ISERROR(H40-2),"",I39*(1-$D$8*(H40-H39)*0.0001)))</f>
        <v>259.30169999999998</v>
      </c>
      <c r="J40" s="41">
        <f t="shared" ca="1" si="8"/>
        <v>259.30169999999998</v>
      </c>
      <c r="K40" s="43">
        <f t="shared" ca="1" si="9"/>
        <v>-345310.81081081199</v>
      </c>
      <c r="L40" s="43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4">
        <f ca="1">IF(ISERROR(B40-2),"",C40+D40-F40-G40-K40+SUM($L$14:L40))</f>
        <v>-34600.255110525875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>
        <f t="shared" si="1"/>
        <v>46101.625</v>
      </c>
      <c r="W40" s="3">
        <v>46104.625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46090.625</v>
      </c>
      <c r="B41" s="40">
        <f ca="1">IF(COUNTIF($W$2:W1026,A41)=1,VLOOKUP(A41,O:P,2), IF(COUNTIF($W$2:W1026,A41)=0,$B$9,""))</f>
        <v>92.3</v>
      </c>
      <c r="C41" s="2">
        <f t="shared" ca="1" si="4"/>
        <v>-460849.15724343702</v>
      </c>
      <c r="D41" s="43">
        <f t="shared" ca="1" si="5"/>
        <v>-90541.666666666672</v>
      </c>
      <c r="E41" s="40">
        <f ca="1">IF(COUNTIF($W$2:W1026,A41)=1,VLOOKUP(A41,Q:R,2), IF(COUNTIF($W$2:W1026,A41)=0,$C$9,""))</f>
        <v>100.143</v>
      </c>
      <c r="F41" s="2">
        <f t="shared" ca="1" si="6"/>
        <v>-116220.0000000007</v>
      </c>
      <c r="G41" s="43">
        <f t="shared" ca="1" si="7"/>
        <v>-419.29333333333489</v>
      </c>
      <c r="H41" s="40">
        <f ca="1">IF(COUNTIF($W$2:W1026,A41)=1,VLOOKUP(A41,S:T,2), IF(COUNTIF($W$2:W1026,A41)=0,$D$9,""))</f>
        <v>293.44200000000001</v>
      </c>
      <c r="I41" s="41">
        <f ca="1">IF(COUNTIF($X$2:X1026,INT(A41))=1,VLOOKUP(INT(A41),X:Y,2), IF(ISERROR(H41-2),"",I40*(1-$D$8*(H41-H40)*0.0001)))</f>
        <v>259.07319999999999</v>
      </c>
      <c r="J41" s="41">
        <f t="shared" ca="1" si="8"/>
        <v>259.07319999999999</v>
      </c>
      <c r="K41" s="43">
        <f t="shared" ca="1" si="9"/>
        <v>-361485.19948520174</v>
      </c>
      <c r="L41" s="43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4">
        <f ca="1">IF(ISERROR(B41-2),"",C41+D41-F41-G41-K41+SUM($L$14:L41))</f>
        <v>-73266.331091567874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>
        <f t="shared" si="1"/>
        <v>46104.625</v>
      </c>
      <c r="W41" s="3">
        <v>46105.625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46091.625</v>
      </c>
      <c r="B42" s="40">
        <f ca="1">IF(COUNTIF($W$2:W1027,A42)=1,VLOOKUP(A42,O:P,2), IF(COUNTIF($W$2:W1027,A42)=0,$B$9,""))</f>
        <v>92.84</v>
      </c>
      <c r="C42" s="2">
        <f t="shared" ca="1" si="4"/>
        <v>-288030.72327714728</v>
      </c>
      <c r="D42" s="43">
        <f t="shared" ca="1" si="5"/>
        <v>-92750</v>
      </c>
      <c r="E42" s="40">
        <f ca="1">IF(COUNTIF($W$2:W1027,A42)=1,VLOOKUP(A42,Q:R,2), IF(COUNTIF($W$2:W1027,A42)=0,$C$9,""))</f>
        <v>100.342</v>
      </c>
      <c r="F42" s="2">
        <f t="shared" ca="1" si="6"/>
        <v>-64480.000000001208</v>
      </c>
      <c r="G42" s="43">
        <f t="shared" ca="1" si="7"/>
        <v>-429.52000000000407</v>
      </c>
      <c r="H42" s="40">
        <f ca="1">IF(COUNTIF($W$2:W1027,A42)=1,VLOOKUP(A42,S:T,2), IF(COUNTIF($W$2:W1027,A42)=0,$D$9,""))</f>
        <v>273.53199999999998</v>
      </c>
      <c r="I42" s="41">
        <f ca="1">IF(COUNTIF($X$2:X1027,INT(A42))=1,VLOOKUP(INT(A42),X:Y,2), IF(ISERROR(H42-2),"",I41*(1-$D$8*(H42-H41)*0.0001)))</f>
        <v>261.08800000000002</v>
      </c>
      <c r="J42" s="41">
        <f t="shared" ca="1" si="8"/>
        <v>261.08800000000002</v>
      </c>
      <c r="K42" s="43">
        <f t="shared" ca="1" si="9"/>
        <v>-218867.43886743821</v>
      </c>
      <c r="L42" s="43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4">
        <f ca="1">IF(ISERROR(B42-2),"",C42+D42-F42-G42-K42+SUM($L$14:L42))</f>
        <v>-97003.76440970783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>
        <f t="shared" si="1"/>
        <v>46105.625</v>
      </c>
      <c r="W42" s="3">
        <v>46106.625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46092.625</v>
      </c>
      <c r="B43" s="40">
        <f ca="1">IF(COUNTIF($W$2:W1028,A43)=1,VLOOKUP(A43,O:P,2), IF(COUNTIF($W$2:W1028,A43)=0,$B$9,""))</f>
        <v>92.41</v>
      </c>
      <c r="C43" s="2">
        <f t="shared" ca="1" si="4"/>
        <v>-425645.40217623237</v>
      </c>
      <c r="D43" s="43">
        <f t="shared" ca="1" si="5"/>
        <v>-94958.333333333328</v>
      </c>
      <c r="E43" s="40">
        <f ca="1">IF(COUNTIF($W$2:W1028,A43)=1,VLOOKUP(A43,Q:R,2), IF(COUNTIF($W$2:W1028,A43)=0,$C$9,""))</f>
        <v>99.995000000000005</v>
      </c>
      <c r="F43" s="2">
        <f t="shared" ca="1" si="6"/>
        <v>-154699.99999999971</v>
      </c>
      <c r="G43" s="43">
        <f t="shared" ca="1" si="7"/>
        <v>-439.74666666667326</v>
      </c>
      <c r="H43" s="40">
        <f ca="1">IF(COUNTIF($W$2:W1028,A43)=1,VLOOKUP(A43,S:T,2), IF(COUNTIF($W$2:W1028,A43)=0,$D$9,""))</f>
        <v>289.27199999999999</v>
      </c>
      <c r="I43" s="41">
        <f ca="1">IF(COUNTIF($X$2:X1028,INT(A43))=1,VLOOKUP(INT(A43),X:Y,2), IF(ISERROR(H43-2),"",I42*(1-$D$8*(H43-H42)*0.0001)))</f>
        <v>259.59120000000001</v>
      </c>
      <c r="J43" s="41">
        <f t="shared" ca="1" si="8"/>
        <v>259.59120000000001</v>
      </c>
      <c r="K43" s="43">
        <f t="shared" ca="1" si="9"/>
        <v>-324818.53281853313</v>
      </c>
      <c r="L43" s="43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4">
        <f ca="1">IF(ISERROR(B43-2),"",C43+D43-F43-G43-K43+SUM($L$14:L43))</f>
        <v>-40645.456024366198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>
        <f t="shared" si="1"/>
        <v>46106.625</v>
      </c>
      <c r="W43" s="3">
        <v>46107.625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46093.625</v>
      </c>
      <c r="B44" s="40">
        <f ca="1">IF(COUNTIF($W$2:W1029,A44)=1,VLOOKUP(A44,O:P,2), IF(COUNTIF($W$2:W1029,A44)=0,$B$9,""))</f>
        <v>92.08</v>
      </c>
      <c r="C44" s="2">
        <f t="shared" ca="1" si="4"/>
        <v>-531256.66737785295</v>
      </c>
      <c r="D44" s="43">
        <f t="shared" ca="1" si="5"/>
        <v>-97166.666666666657</v>
      </c>
      <c r="E44" s="40">
        <f ca="1">IF(COUNTIF($W$2:W1029,A44)=1,VLOOKUP(A44,Q:R,2), IF(COUNTIF($W$2:W1029,A44)=0,$C$9,""))</f>
        <v>99.95</v>
      </c>
      <c r="F44" s="2">
        <f t="shared" ca="1" si="6"/>
        <v>-166400.00000000015</v>
      </c>
      <c r="G44" s="43">
        <f t="shared" ca="1" si="7"/>
        <v>-449.97333333334245</v>
      </c>
      <c r="H44" s="40">
        <f ca="1">IF(COUNTIF($W$2:W1029,A44)=1,VLOOKUP(A44,S:T,2), IF(COUNTIF($W$2:W1029,A44)=0,$D$9,""))</f>
        <v>296.22500000000002</v>
      </c>
      <c r="I44" s="41">
        <f ca="1">IF(COUNTIF($X$2:X1029,INT(A44))=1,VLOOKUP(INT(A44),X:Y,2), IF(ISERROR(H44-2),"",I43*(1-$D$8*(H44-H43)*0.0001)))</f>
        <v>258.51130000000001</v>
      </c>
      <c r="J44" s="41">
        <f t="shared" ca="1" si="8"/>
        <v>258.51130000000001</v>
      </c>
      <c r="K44" s="43">
        <f t="shared" ca="1" si="9"/>
        <v>-401259.33075933158</v>
      </c>
      <c r="L44" s="43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4">
        <f ca="1">IF(ISERROR(B44-2),"",C44+D44-F44-G44-K44+SUM($L$14:L44))</f>
        <v>-60314.029951854551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>
        <f t="shared" si="1"/>
        <v>46107.625</v>
      </c>
      <c r="W44" s="3">
        <v>46108.625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46094.625</v>
      </c>
      <c r="B45" s="40">
        <f ca="1">IF(COUNTIF($W$2:W1030,A45)=1,VLOOKUP(A45,O:P,2), IF(COUNTIF($W$2:W1030,A45)=0,$B$9,""))</f>
        <v>91.86</v>
      </c>
      <c r="C45" s="2">
        <f t="shared" ca="1" si="4"/>
        <v>-601664.17751226551</v>
      </c>
      <c r="D45" s="43">
        <f t="shared" ca="1" si="5"/>
        <v>-99375</v>
      </c>
      <c r="E45" s="40">
        <f ca="1">IF(COUNTIF($W$2:W1030,A45)=1,VLOOKUP(A45,Q:R,2), IF(COUNTIF($W$2:W1030,A45)=0,$C$9,""))</f>
        <v>99.905000000000001</v>
      </c>
      <c r="F45" s="2">
        <f t="shared" ca="1" si="6"/>
        <v>-178100.00000000058</v>
      </c>
      <c r="G45" s="43">
        <f t="shared" ca="1" si="7"/>
        <v>-460.19999999999709</v>
      </c>
      <c r="H45" s="40">
        <f ca="1">IF(COUNTIF($W$2:W1030,A45)=1,VLOOKUP(A45,S:T,2), IF(COUNTIF($W$2:W1030,A45)=0,$D$9,""))</f>
        <v>306.91800000000001</v>
      </c>
      <c r="I45" s="41">
        <f ca="1">IF(COUNTIF($X$2:X1030,INT(A45))=1,VLOOKUP(INT(A45),X:Y,2), IF(ISERROR(H45-2),"",I44*(1-$D$8*(H45-H44)*0.0001)))</f>
        <v>257.45740000000001</v>
      </c>
      <c r="J45" s="41">
        <f t="shared" ca="1" si="8"/>
        <v>257.45740000000001</v>
      </c>
      <c r="K45" s="43">
        <f t="shared" ca="1" si="9"/>
        <v>-475859.71685971582</v>
      </c>
      <c r="L45" s="43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4">
        <f ca="1">IF(ISERROR(B45-2),"",C45+D45-F45-G45-K45+SUM($L$14:L45))</f>
        <v>-46619.260652549099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>
        <f t="shared" si="1"/>
        <v>46108.625</v>
      </c>
      <c r="W45" s="3">
        <v>46111.625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46097.625</v>
      </c>
      <c r="B46" s="40">
        <f ca="1">IF(COUNTIF($W$2:W1031,A46)=1,VLOOKUP(A46,O:P,2), IF(COUNTIF($W$2:W1031,A46)=0,$B$9,""))</f>
        <v>91.95</v>
      </c>
      <c r="C46" s="2">
        <f t="shared" ca="1" si="4"/>
        <v>-572861.1051845511</v>
      </c>
      <c r="D46" s="43">
        <f t="shared" ca="1" si="5"/>
        <v>-106000</v>
      </c>
      <c r="E46" s="40">
        <f ca="1">IF(COUNTIF($W$2:W1031,A46)=1,VLOOKUP(A46,Q:R,2), IF(COUNTIF($W$2:W1031,A46)=0,$C$9,""))</f>
        <v>99.959000000000003</v>
      </c>
      <c r="F46" s="2">
        <f t="shared" ca="1" si="6"/>
        <v>-164060.00000000006</v>
      </c>
      <c r="G46" s="43">
        <f t="shared" ca="1" si="7"/>
        <v>-490.88000000000466</v>
      </c>
      <c r="H46" s="40">
        <f ca="1">IF(COUNTIF($W$2:W1031,A46)=1,VLOOKUP(A46,S:T,2), IF(COUNTIF($W$2:W1031,A46)=0,$D$9,""))</f>
        <v>300.69400000000002</v>
      </c>
      <c r="I46" s="41">
        <f ca="1">IF(COUNTIF($X$2:X1031,INT(A46))=1,VLOOKUP(INT(A46),X:Y,2), IF(ISERROR(H46-2),"",I45*(1-$D$8*(H46-H45)*0.0001)))</f>
        <v>257.82310000000001</v>
      </c>
      <c r="J46" s="41">
        <f t="shared" ca="1" si="8"/>
        <v>257.82310000000001</v>
      </c>
      <c r="K46" s="43">
        <f t="shared" ca="1" si="9"/>
        <v>-449973.61647361628</v>
      </c>
      <c r="L46" s="43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4">
        <f ca="1">IF(ISERROR(B46-2),"",C46+D46-F46-G46-K46+SUM($L$14:L46))</f>
        <v>-64336.608710934757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>
        <f t="shared" si="1"/>
        <v>46111.625</v>
      </c>
      <c r="W46" s="3">
        <v>46112.625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46098.625</v>
      </c>
      <c r="B47" s="40">
        <f ca="1">IF(COUNTIF($W$2:W1032,A47)=1,VLOOKUP(A47,O:P,2), IF(COUNTIF($W$2:W1032,A47)=0,$B$9,""))</f>
        <v>92.21</v>
      </c>
      <c r="C47" s="2">
        <f t="shared" ca="1" si="4"/>
        <v>-489652.22957115475</v>
      </c>
      <c r="D47" s="43">
        <f t="shared" ca="1" si="5"/>
        <v>-108208.33333333331</v>
      </c>
      <c r="E47" s="40">
        <f ca="1">IF(COUNTIF($W$2:W1032,A47)=1,VLOOKUP(A47,Q:R,2), IF(COUNTIF($W$2:W1032,A47)=0,$C$9,""))</f>
        <v>99.992999999999995</v>
      </c>
      <c r="F47" s="2">
        <f t="shared" ca="1" si="6"/>
        <v>-155220.00000000218</v>
      </c>
      <c r="G47" s="43">
        <f t="shared" ca="1" si="7"/>
        <v>-501.10666666667385</v>
      </c>
      <c r="H47" s="40">
        <f ca="1">IF(COUNTIF($W$2:W1032,A47)=1,VLOOKUP(A47,S:T,2), IF(COUNTIF($W$2:W1032,A47)=0,$D$9,""))</f>
        <v>294.98399999999998</v>
      </c>
      <c r="I47" s="41">
        <f ca="1">IF(COUNTIF($X$2:X1032,INT(A47))=1,VLOOKUP(INT(A47),X:Y,2), IF(ISERROR(H47-2),"",I46*(1-$D$8*(H47-H46)*0.0001)))</f>
        <v>258.83109999999999</v>
      </c>
      <c r="J47" s="41">
        <f t="shared" ca="1" si="8"/>
        <v>258.83109999999999</v>
      </c>
      <c r="K47" s="43">
        <f t="shared" ca="1" si="9"/>
        <v>-378622.26512226602</v>
      </c>
      <c r="L47" s="43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4">
        <f ca="1">IF(ISERROR(B47-2),"",C47+D47-F47-G47-K47+SUM($L$14:L47))</f>
        <v>-63517.191115553142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>
        <f t="shared" si="1"/>
        <v>46112.625</v>
      </c>
      <c r="W47" s="3">
        <v>46113.625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46099.625</v>
      </c>
      <c r="B48" s="40">
        <f ca="1">IF(COUNTIF($W$2:W1033,A48)=1,VLOOKUP(A48,O:P,2), IF(COUNTIF($W$2:W1033,A48)=0,$B$9,""))</f>
        <v>92.17</v>
      </c>
      <c r="C48" s="2">
        <f t="shared" ca="1" si="4"/>
        <v>-502453.59505013522</v>
      </c>
      <c r="D48" s="43">
        <f t="shared" ca="1" si="5"/>
        <v>-110416.66666666666</v>
      </c>
      <c r="E48" s="40">
        <f ca="1">IF(COUNTIF($W$2:W1033,A48)=1,VLOOKUP(A48,Q:R,2), IF(COUNTIF($W$2:W1033,A48)=0,$C$9,""))</f>
        <v>99.841999999999999</v>
      </c>
      <c r="F48" s="2">
        <f t="shared" ca="1" si="6"/>
        <v>-194480.00000000122</v>
      </c>
      <c r="G48" s="43">
        <f t="shared" ca="1" si="7"/>
        <v>-511.33333333332848</v>
      </c>
      <c r="H48" s="40">
        <f ca="1">IF(COUNTIF($W$2:W1033,A48)=1,VLOOKUP(A48,S:T,2), IF(COUNTIF($W$2:W1033,A48)=0,$D$9,""))</f>
        <v>298.827</v>
      </c>
      <c r="I48" s="41">
        <f ca="1">IF(COUNTIF($X$2:X1033,INT(A48))=1,VLOOKUP(INT(A48),X:Y,2), IF(ISERROR(H48-2),"",I47*(1-$D$8*(H48-H47)*0.0001)))</f>
        <v>258.3931</v>
      </c>
      <c r="J48" s="41">
        <f t="shared" ca="1" si="8"/>
        <v>258.3931</v>
      </c>
      <c r="K48" s="43">
        <f t="shared" ca="1" si="9"/>
        <v>-409626.1261261254</v>
      </c>
      <c r="L48" s="43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4">
        <f ca="1">IF(ISERROR(B48-2),"",C48+D48-F48-G48-K48+SUM($L$14:L48))</f>
        <v>-8252.802257341973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>
        <f t="shared" si="1"/>
        <v>46113.625</v>
      </c>
      <c r="W48" s="3">
        <v>46114.625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46100.625</v>
      </c>
      <c r="B49" s="40">
        <f ca="1">IF(COUNTIF($W$2:W1034,A49)=1,VLOOKUP(A49,O:P,2), IF(COUNTIF($W$2:W1034,A49)=0,$B$9,""))</f>
        <v>89.42</v>
      </c>
      <c r="C49" s="2">
        <f t="shared" ca="1" si="4"/>
        <v>-1382547.4717303144</v>
      </c>
      <c r="D49" s="43">
        <f t="shared" ca="1" si="5"/>
        <v>-112625</v>
      </c>
      <c r="E49" s="40">
        <f ca="1">IF(COUNTIF($W$2:W1034,A49)=1,VLOOKUP(A49,Q:R,2), IF(COUNTIF($W$2:W1034,A49)=0,$C$9,""))</f>
        <v>99.638999999999996</v>
      </c>
      <c r="F49" s="2">
        <f t="shared" ca="1" si="6"/>
        <v>-247260.00000000198</v>
      </c>
      <c r="G49" s="43">
        <f t="shared" ca="1" si="7"/>
        <v>-521.55999999999767</v>
      </c>
      <c r="H49" s="40">
        <f ca="1">IF(COUNTIF($W$2:W1034,A49)=1,VLOOKUP(A49,S:T,2), IF(COUNTIF($W$2:W1034,A49)=0,$D$9,""))</f>
        <v>309.03899999999999</v>
      </c>
      <c r="I49" s="41">
        <f ca="1">IF(COUNTIF($X$2:X1034,INT(A49))=1,VLOOKUP(INT(A49),X:Y,2), IF(ISERROR(H49-2),"",I48*(1-$D$8*(H49-H48)*0.0001)))</f>
        <v>257.0634</v>
      </c>
      <c r="J49" s="41">
        <f t="shared" ca="1" si="8"/>
        <v>257.0634</v>
      </c>
      <c r="K49" s="43">
        <f t="shared" ca="1" si="9"/>
        <v>-503749.03474903549</v>
      </c>
      <c r="L49" s="43">
        <f ca="1">IF($A49="","",IF(COUNTIFS(Dividends!$G:$G,"&gt;"&amp;INT($A48),Dividends!$G:$G,"&lt;="&amp;INT($A49))=0,"",$H$2*SUMIFS(Dividends!$H:$H,Dividends!$G:$G,"&gt;"&amp;INT($A48),Dividends!$G:$G,"&lt;="&amp;INT($A49))))</f>
        <v>745775.54939193511</v>
      </c>
      <c r="M49" s="44">
        <f ca="1">IF(ISERROR(B49-2),"",C49+D49-F49-G49-K49+SUM($L$14:L49))</f>
        <v>2133.6724106583279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46119.625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46101.625</v>
      </c>
      <c r="B50" s="40">
        <f ca="1">IF(COUNTIF($W$2:W1035,A50)=1,VLOOKUP(A50,O:P,2), IF(COUNTIF($W$2:W1035,A50)=0,$B$9,""))</f>
        <v>89.08</v>
      </c>
      <c r="C50" s="2">
        <f t="shared" ca="1" si="4"/>
        <v>-1491359.0783016849</v>
      </c>
      <c r="D50" s="43">
        <f t="shared" ca="1" si="5"/>
        <v>-114833.33333333331</v>
      </c>
      <c r="E50" s="40">
        <f ca="1">IF(COUNTIF($W$2:W1035,A50)=1,VLOOKUP(A50,Q:R,2), IF(COUNTIF($W$2:W1035,A50)=0,$C$9,""))</f>
        <v>99.41</v>
      </c>
      <c r="F50" s="2">
        <f t="shared" ca="1" si="6"/>
        <v>-306800.00000000175</v>
      </c>
      <c r="G50" s="43">
        <f t="shared" ca="1" si="7"/>
        <v>-531.78666666666686</v>
      </c>
      <c r="H50" s="40">
        <f ca="1">IF(COUNTIF($W$2:W1035,A50)=1,VLOOKUP(A50,S:T,2), IF(COUNTIF($W$2:W1035,A50)=0,$D$9,""))</f>
        <v>350.86599999999999</v>
      </c>
      <c r="I50" s="41">
        <f ca="1">IF(COUNTIF($X$2:X1035,INT(A50))=1,VLOOKUP(INT(A50),X:Y,2), IF(ISERROR(H50-2),"",I49*(1-$D$8*(H50-H49)*0.0001)))</f>
        <v>255.87119999999999</v>
      </c>
      <c r="J50" s="41">
        <f t="shared" ca="1" si="8"/>
        <v>255.87119999999999</v>
      </c>
      <c r="K50" s="43">
        <f t="shared" ca="1" si="9"/>
        <v>-588138.99613899842</v>
      </c>
      <c r="L50" s="43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4">
        <f ca="1">IF(ISERROR(B50-2),"",C50+D50-F50-G50-K50+SUM($L$14:L50))</f>
        <v>35053.920562583604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46120.625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46104.625</v>
      </c>
      <c r="B51" s="40">
        <f ca="1">IF(COUNTIF($W$2:W1036,A51)=1,VLOOKUP(A51,O:P,2), IF(COUNTIF($W$2:W1036,A51)=0,$B$9,""))</f>
        <v>89.33</v>
      </c>
      <c r="C51" s="2">
        <f t="shared" ca="1" si="4"/>
        <v>-1411350.5440580321</v>
      </c>
      <c r="D51" s="43">
        <f t="shared" ca="1" si="5"/>
        <v>-121458.33333333334</v>
      </c>
      <c r="E51" s="40">
        <f ca="1">IF(COUNTIF($W$2:W1036,A51)=1,VLOOKUP(A51,Q:R,2), IF(COUNTIF($W$2:W1036,A51)=0,$C$9,""))</f>
        <v>99.53</v>
      </c>
      <c r="F51" s="2">
        <f t="shared" ca="1" si="6"/>
        <v>-275600.00000000058</v>
      </c>
      <c r="G51" s="43">
        <f t="shared" ca="1" si="7"/>
        <v>-562.46666666667443</v>
      </c>
      <c r="H51" s="40">
        <f ca="1">IF(COUNTIF($W$2:W1036,A51)=1,VLOOKUP(A51,S:T,2), IF(COUNTIF($W$2:W1036,A51)=0,$D$9,""))</f>
        <v>341.82299999999998</v>
      </c>
      <c r="I51" s="41">
        <f ca="1">IF(COUNTIF($X$2:X1036,INT(A51))=1,VLOOKUP(INT(A51),X:Y,2), IF(ISERROR(H51-2),"",I50*(1-$D$8*(H51-H50)*0.0001)))</f>
        <v>256.74209999999999</v>
      </c>
      <c r="J51" s="41">
        <f t="shared" ca="1" si="8"/>
        <v>256.74209999999999</v>
      </c>
      <c r="K51" s="43">
        <f t="shared" ca="1" si="9"/>
        <v>-526492.27799227962</v>
      </c>
      <c r="L51" s="43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4">
        <f ca="1">IF(ISERROR(B51-2),"",C51+D51-F51-G51-K51+SUM($L$14:L51))</f>
        <v>15621.416659516632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46121.625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46105.625</v>
      </c>
      <c r="B52" s="40">
        <f ca="1">IF(COUNTIF($W$2:W1037,A52)=1,VLOOKUP(A52,O:P,2), IF(COUNTIF($W$2:W1037,A52)=0,$B$9,""))</f>
        <v>89.26</v>
      </c>
      <c r="C52" s="2">
        <f t="shared" ca="1" si="4"/>
        <v>-1433752.9336462528</v>
      </c>
      <c r="D52" s="43">
        <f t="shared" ca="1" si="5"/>
        <v>-123666.66666666667</v>
      </c>
      <c r="E52" s="40">
        <f ca="1">IF(COUNTIF($W$2:W1037,A52)=1,VLOOKUP(A52,Q:R,2), IF(COUNTIF($W$2:W1037,A52)=0,$C$9,""))</f>
        <v>99.400999999999996</v>
      </c>
      <c r="F52" s="2">
        <f t="shared" ca="1" si="6"/>
        <v>-309140.00000000186</v>
      </c>
      <c r="G52" s="43">
        <f t="shared" ca="1" si="7"/>
        <v>-572.69333333332906</v>
      </c>
      <c r="H52" s="40">
        <f ca="1">IF(COUNTIF($W$2:W1037,A52)=1,VLOOKUP(A52,S:T,2), IF(COUNTIF($W$2:W1037,A52)=0,$D$9,""))</f>
        <v>342.43400000000003</v>
      </c>
      <c r="I52" s="41">
        <f ca="1">IF(COUNTIF($X$2:X1037,INT(A52))=1,VLOOKUP(INT(A52),X:Y,2), IF(ISERROR(H52-2),"",I51*(1-$D$8*(H52-H51)*0.0001)))</f>
        <v>256.9957</v>
      </c>
      <c r="J52" s="41">
        <f t="shared" ca="1" si="8"/>
        <v>256.9957</v>
      </c>
      <c r="K52" s="43">
        <f t="shared" ca="1" si="9"/>
        <v>-508541.1840411856</v>
      </c>
      <c r="L52" s="43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4">
        <f ca="1">IF(ISERROR(B52-2),"",C52+D52-F52-G52-K52+SUM($L$14:L52))</f>
        <v>6609.8264535362832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46122.625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46106.625</v>
      </c>
      <c r="B53" s="40">
        <f ca="1">IF(COUNTIF($W$2:W1038,A53)=1,VLOOKUP(A53,O:P,2), IF(COUNTIF($W$2:W1038,A53)=0,$B$9,""))</f>
        <v>89.54</v>
      </c>
      <c r="C53" s="2">
        <f t="shared" ca="1" si="4"/>
        <v>-1344143.3752933596</v>
      </c>
      <c r="D53" s="43">
        <f t="shared" ca="1" si="5"/>
        <v>-125874.99999999999</v>
      </c>
      <c r="E53" s="40">
        <f ca="1">IF(COUNTIF($W$2:W1038,A53)=1,VLOOKUP(A53,Q:R,2), IF(COUNTIF($W$2:W1038,A53)=0,$C$9,""))</f>
        <v>99.501000000000005</v>
      </c>
      <c r="F53" s="2">
        <f t="shared" ca="1" si="6"/>
        <v>-283139.99999999965</v>
      </c>
      <c r="G53" s="43">
        <f t="shared" ca="1" si="7"/>
        <v>-582.91999999999825</v>
      </c>
      <c r="H53" s="40">
        <f ca="1">IF(COUNTIF($W$2:W1038,A53)=1,VLOOKUP(A53,S:T,2), IF(COUNTIF($W$2:W1038,A53)=0,$D$9,""))</f>
        <v>334.50400000000002</v>
      </c>
      <c r="I53" s="41">
        <f ca="1">IF(COUNTIF($X$2:X1038,INT(A53))=1,VLOOKUP(INT(A53),X:Y,2), IF(ISERROR(H53-2),"",I52*(1-$D$8*(H53-H52)*0.0001)))</f>
        <v>258.20859999999999</v>
      </c>
      <c r="J53" s="41">
        <f t="shared" ca="1" si="8"/>
        <v>258.20859999999999</v>
      </c>
      <c r="K53" s="43">
        <f t="shared" ca="1" si="9"/>
        <v>-422685.9716859734</v>
      </c>
      <c r="L53" s="43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4">
        <f ca="1">IF(ISERROR(B53-2),"",C53+D53-F53-G53-K53+SUM($L$14:L53))</f>
        <v>-17833.934215451591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46125.625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46107.625</v>
      </c>
      <c r="B54" s="40">
        <f ca="1">IF(COUNTIF($W$2:W1039,A54)=1,VLOOKUP(A54,O:P,2), IF(COUNTIF($W$2:W1039,A54)=0,$B$9,""))</f>
        <v>89.29</v>
      </c>
      <c r="C54" s="2">
        <f t="shared" ca="1" si="4"/>
        <v>-1424151.9095370125</v>
      </c>
      <c r="D54" s="43">
        <f t="shared" ca="1" si="5"/>
        <v>-128083.33333333334</v>
      </c>
      <c r="E54" s="40">
        <f ca="1">IF(COUNTIF($W$2:W1039,A54)=1,VLOOKUP(A54,Q:R,2), IF(COUNTIF($W$2:W1039,A54)=0,$C$9,""))</f>
        <v>99.313000000000002</v>
      </c>
      <c r="F54" s="2">
        <f t="shared" ca="1" si="6"/>
        <v>-332020.00000000029</v>
      </c>
      <c r="G54" s="43">
        <f t="shared" ca="1" si="7"/>
        <v>-593.14666666668199</v>
      </c>
      <c r="H54" s="40">
        <f ca="1">IF(COUNTIF($W$2:W1039,A54)=1,VLOOKUP(A54,S:T,2), IF(COUNTIF($W$2:W1039,A54)=0,$D$9,""))</f>
        <v>344.47199999999998</v>
      </c>
      <c r="I54" s="41">
        <f ca="1">IF(COUNTIF($X$2:X1039,INT(A54))=1,VLOOKUP(INT(A54),X:Y,2), IF(ISERROR(H54-2),"",I53*(1-$D$8*(H54-H53)*0.0001)))</f>
        <v>255.99350000000001</v>
      </c>
      <c r="J54" s="41">
        <f t="shared" ca="1" si="8"/>
        <v>255.99350000000001</v>
      </c>
      <c r="K54" s="43">
        <f t="shared" ca="1" si="9"/>
        <v>-579481.98198198073</v>
      </c>
      <c r="L54" s="43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4">
        <f ca="1">IF(ISERROR(B54-2),"",C54+D54-F54-G54-K54+SUM($L$14:L54))</f>
        <v>105635.43517023709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46126.625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46108.625</v>
      </c>
      <c r="B55" s="40">
        <f ca="1">IF(COUNTIF($W$2:W1040,A55)=1,VLOOKUP(A55,O:P,2), IF(COUNTIF($W$2:W1040,A55)=0,$B$9,""))</f>
        <v>88.99</v>
      </c>
      <c r="C55" s="2">
        <f t="shared" ca="1" si="4"/>
        <v>-1520162.1506293993</v>
      </c>
      <c r="D55" s="43">
        <f t="shared" ca="1" si="5"/>
        <v>-130291.66666666667</v>
      </c>
      <c r="E55" s="40">
        <f ca="1">IF(COUNTIF($W$2:W1040,A55)=1,VLOOKUP(A55,Q:R,2), IF(COUNTIF($W$2:W1040,A55)=0,$C$9,""))</f>
        <v>99.304000000000002</v>
      </c>
      <c r="F55" s="2">
        <f t="shared" ca="1" si="6"/>
        <v>-334360.00000000035</v>
      </c>
      <c r="G55" s="43">
        <f t="shared" ca="1" si="7"/>
        <v>-603.37333333333663</v>
      </c>
      <c r="H55" s="40">
        <f ca="1">IF(COUNTIF($W$2:W1040,A55)=1,VLOOKUP(A55,S:T,2), IF(COUNTIF($W$2:W1040,A55)=0,$D$9,""))</f>
        <v>361.33</v>
      </c>
      <c r="I55" s="41">
        <f ca="1">IF(COUNTIF($X$2:X1040,INT(A55))=1,VLOOKUP(INT(A55),X:Y,2), IF(ISERROR(H55-2),"",I54*(1-$D$8*(H55-H54)*0.0001)))</f>
        <v>254.57159999999999</v>
      </c>
      <c r="J55" s="41">
        <f t="shared" ca="1" si="8"/>
        <v>254.57159999999999</v>
      </c>
      <c r="K55" s="43">
        <f t="shared" ca="1" si="9"/>
        <v>-680131.27413127455</v>
      </c>
      <c r="L55" s="43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4">
        <f ca="1">IF(ISERROR(B55-2),"",C55+D55-F55-G55-K55+SUM($L$14:L55))</f>
        <v>110416.3795604771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46127.625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46111.625</v>
      </c>
      <c r="B56" s="40">
        <f ca="1">IF(COUNTIF($W$2:W1041,A56)=1,VLOOKUP(A56,O:P,2), IF(COUNTIF($W$2:W1041,A56)=0,$B$9,""))</f>
        <v>88.85</v>
      </c>
      <c r="C56" s="2">
        <f t="shared" ca="1" si="4"/>
        <v>-1564966.9298058478</v>
      </c>
      <c r="D56" s="43">
        <f t="shared" ca="1" si="5"/>
        <v>-136916.66666666666</v>
      </c>
      <c r="E56" s="40">
        <f ca="1">IF(COUNTIF($W$2:W1041,A56)=1,VLOOKUP(A56,Q:R,2), IF(COUNTIF($W$2:W1041,A56)=0,$C$9,""))</f>
        <v>99.466999999999999</v>
      </c>
      <c r="F56" s="2">
        <f t="shared" ca="1" si="6"/>
        <v>-291980.00000000122</v>
      </c>
      <c r="G56" s="43">
        <f t="shared" ca="1" si="7"/>
        <v>-634.05333333332965</v>
      </c>
      <c r="H56" s="40">
        <f ca="1">IF(COUNTIF($W$2:W1041,A56)=1,VLOOKUP(A56,S:T,2), IF(COUNTIF($W$2:W1041,A56)=0,$D$9,""))</f>
        <v>364.03399999999999</v>
      </c>
      <c r="I56" s="41">
        <f ca="1">IF(COUNTIF($X$2:X1041,INT(A56))=1,VLOOKUP(INT(A56),X:Y,2), IF(ISERROR(H56-2),"",I55*(1-$D$8*(H56-H55)*0.0001)))</f>
        <v>254.6893</v>
      </c>
      <c r="J56" s="41">
        <f t="shared" ca="1" si="8"/>
        <v>254.6893</v>
      </c>
      <c r="K56" s="43">
        <f t="shared" ca="1" si="9"/>
        <v>-671799.87129987078</v>
      </c>
      <c r="L56" s="43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4">
        <f ca="1">IF(ISERROR(B56-2),"",C56+D56-F56-G56-K56+SUM($L$14:L56))</f>
        <v>8305.8775526257232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46128.625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46112.625</v>
      </c>
      <c r="B57" s="40">
        <f ca="1">IF(COUNTIF($W$2:W1042,A57)=1,VLOOKUP(A57,O:P,2), IF(COUNTIF($W$2:W1042,A57)=0,$B$9,""))</f>
        <v>89.12</v>
      </c>
      <c r="C57" s="2">
        <f t="shared" ca="1" si="4"/>
        <v>-1478557.7128226978</v>
      </c>
      <c r="D57" s="43">
        <f t="shared" ca="1" si="5"/>
        <v>-139124.99999999997</v>
      </c>
      <c r="E57" s="40">
        <f ca="1">IF(COUNTIF($W$2:W1042,A57)=1,VLOOKUP(A57,Q:R,2), IF(COUNTIF($W$2:W1042,A57)=0,$C$9,""))</f>
        <v>99.444000000000003</v>
      </c>
      <c r="F57" s="2">
        <f t="shared" ca="1" si="6"/>
        <v>-297960.00000000023</v>
      </c>
      <c r="G57" s="43">
        <f t="shared" ca="1" si="7"/>
        <v>-644.27999999999884</v>
      </c>
      <c r="H57" s="40">
        <f ca="1">IF(COUNTIF($W$2:W1042,A57)=1,VLOOKUP(A57,S:T,2), IF(COUNTIF($W$2:W1042,A57)=0,$D$9,""))</f>
        <v>355.63</v>
      </c>
      <c r="I57" s="41">
        <f ca="1">IF(COUNTIF($X$2:X1042,INT(A57))=1,VLOOKUP(INT(A57),X:Y,2), IF(ISERROR(H57-2),"",I56*(1-$D$8*(H57-H56)*0.0001)))</f>
        <v>255.8124</v>
      </c>
      <c r="J57" s="41">
        <f t="shared" ca="1" si="8"/>
        <v>255.8124</v>
      </c>
      <c r="K57" s="43">
        <f t="shared" ca="1" si="9"/>
        <v>-592301.15830115799</v>
      </c>
      <c r="L57" s="43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4">
        <f ca="1">IF(ISERROR(B57-2),"",C57+D57-F57-G57-K57+SUM($L$14:L57))</f>
        <v>18998.274870395544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46129.625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46113.625</v>
      </c>
      <c r="B58" s="40">
        <f ca="1">IF(COUNTIF($W$2:W1043,A58)=1,VLOOKUP(A58,O:P,2), IF(COUNTIF($W$2:W1043,A58)=0,$B$9,""))</f>
        <v>89.8</v>
      </c>
      <c r="C58" s="2">
        <f t="shared" ca="1" si="4"/>
        <v>-1260934.4996799666</v>
      </c>
      <c r="D58" s="43">
        <f t="shared" ca="1" si="5"/>
        <v>-141333.33333333334</v>
      </c>
      <c r="E58" s="40">
        <f ca="1">IF(COUNTIF($W$2:W1043,A58)=1,VLOOKUP(A58,Q:R,2), IF(COUNTIF($W$2:W1043,A58)=0,$C$9,""))</f>
        <v>99.510999999999996</v>
      </c>
      <c r="F58" s="2">
        <f t="shared" ca="1" si="6"/>
        <v>-280540.00000000204</v>
      </c>
      <c r="G58" s="43">
        <f t="shared" ca="1" si="7"/>
        <v>-654.50666666668258</v>
      </c>
      <c r="H58" s="40">
        <f ca="1">IF(COUNTIF($W$2:W1043,A58)=1,VLOOKUP(A58,S:T,2), IF(COUNTIF($W$2:W1043,A58)=0,$D$9,""))</f>
        <v>329.10599999999999</v>
      </c>
      <c r="I58" s="41">
        <f ca="1">IF(COUNTIF($X$2:X1043,INT(A58))=1,VLOOKUP(INT(A58),X:Y,2), IF(ISERROR(H58-2),"",I57*(1-$D$8*(H58-H57)*0.0001)))</f>
        <v>258.79109999999997</v>
      </c>
      <c r="J58" s="41">
        <f t="shared" ca="1" si="8"/>
        <v>258.79109999999997</v>
      </c>
      <c r="K58" s="43">
        <f t="shared" ca="1" si="9"/>
        <v>-381453.66795367067</v>
      </c>
      <c r="L58" s="43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4">
        <f ca="1">IF(ISERROR(B58-2),"",C58+D58-F58-G58-K58+SUM($L$14:L58))</f>
        <v>6155.8909989746753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46132.625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46114.625</v>
      </c>
      <c r="B59" s="40">
        <f ca="1">IF(COUNTIF($W$2:W1044,A59)=1,VLOOKUP(A59,O:P,2), IF(COUNTIF($W$2:W1044,A59)=0,$B$9,""))</f>
        <v>89.7</v>
      </c>
      <c r="C59" s="2">
        <f t="shared" ca="1" si="4"/>
        <v>-1292937.9133774245</v>
      </c>
      <c r="D59" s="43">
        <f t="shared" ca="1" si="5"/>
        <v>-143541.66666666666</v>
      </c>
      <c r="E59" s="40">
        <f ca="1">IF(COUNTIF($W$2:W1044,A59)=1,VLOOKUP(A59,Q:R,2), IF(COUNTIF($W$2:W1044,A59)=0,$C$9,""))</f>
        <v>99.484999999999999</v>
      </c>
      <c r="F59" s="2">
        <f t="shared" ca="1" si="6"/>
        <v>-287300.00000000099</v>
      </c>
      <c r="G59" s="43">
        <f t="shared" ca="1" si="7"/>
        <v>-664.73333333333721</v>
      </c>
      <c r="H59" s="40">
        <f ca="1">IF(COUNTIF($W$2:W1044,A59)=1,VLOOKUP(A59,S:T,2), IF(COUNTIF($W$2:W1044,A59)=0,$D$9,""))</f>
        <v>326.72000000000003</v>
      </c>
      <c r="I59" s="41">
        <f ca="1">IF(COUNTIF($X$2:X1044,INT(A59))=1,VLOOKUP(INT(A59),X:Y,2), IF(ISERROR(H59-2),"",I58*(1-$D$8*(H59-H58)*0.0001)))</f>
        <v>259.01429999999999</v>
      </c>
      <c r="J59" s="41">
        <f t="shared" ca="1" si="8"/>
        <v>259.01429999999999</v>
      </c>
      <c r="K59" s="43">
        <f t="shared" ca="1" si="9"/>
        <v>-365654.44015444181</v>
      </c>
      <c r="L59" s="43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4">
        <f ca="1">IF(ISERROR(B59-2),"",C59+D59-F59-G59-K59+SUM($L$14:L59))</f>
        <v>-37084.857164379908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46133.625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46119.625</v>
      </c>
      <c r="B60" s="40">
        <f ca="1">IF(COUNTIF($W$2:W1045,A60)=1,VLOOKUP(A60,O:P,2), IF(COUNTIF($W$2:W1045,A60)=0,$B$9,""))</f>
        <v>89.6</v>
      </c>
      <c r="C60" s="2">
        <f t="shared" ca="1" si="4"/>
        <v>-1324941.3270748889</v>
      </c>
      <c r="D60" s="43">
        <f t="shared" ca="1" si="5"/>
        <v>-154583.33333333334</v>
      </c>
      <c r="E60" s="40">
        <f ca="1">IF(COUNTIF($W$2:W1045,A60)=1,VLOOKUP(A60,Q:R,2), IF(COUNTIF($W$2:W1045,A60)=0,$C$9,""))</f>
        <v>99.212999999999994</v>
      </c>
      <c r="F60" s="2">
        <f t="shared" ca="1" si="6"/>
        <v>-358020.00000000244</v>
      </c>
      <c r="G60" s="43">
        <f t="shared" ca="1" si="7"/>
        <v>-715.86666666666861</v>
      </c>
      <c r="H60" s="40">
        <f ca="1">IF(COUNTIF($W$2:W1045,A60)=1,VLOOKUP(A60,S:T,2), IF(COUNTIF($W$2:W1045,A60)=0,$D$9,""))</f>
        <v>333.96699999999998</v>
      </c>
      <c r="I60" s="41">
        <f ca="1">IF(COUNTIF($X$2:X1045,INT(A60))=1,VLOOKUP(INT(A60),X:Y,2), IF(ISERROR(H60-2),"",I59*(1-$D$8*(H60-H59)*0.0001)))</f>
        <v>258.06200000000001</v>
      </c>
      <c r="J60" s="41">
        <f t="shared" ca="1" si="8"/>
        <v>258.06200000000001</v>
      </c>
      <c r="K60" s="43">
        <f t="shared" ca="1" si="9"/>
        <v>-433063.06306306168</v>
      </c>
      <c r="L60" s="43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4">
        <f ca="1">IF(ISERROR(B60-2),"",C60+D60-F60-G60-K60+SUM($L$14:L60))</f>
        <v>58049.818713443703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W60" s="3">
        <v>46134.625</v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46120.625</v>
      </c>
      <c r="B61" s="40">
        <f ca="1">IF(COUNTIF($W$2:W1046,A61)=1,VLOOKUP(A61,O:P,2), IF(COUNTIF($W$2:W1046,A61)=0,$B$9,""))</f>
        <v>90.56</v>
      </c>
      <c r="C61" s="2">
        <f t="shared" ca="1" si="4"/>
        <v>-1017708.5555792609</v>
      </c>
      <c r="D61" s="43">
        <f t="shared" ca="1" si="5"/>
        <v>-156791.66666666666</v>
      </c>
      <c r="E61" s="40">
        <f ca="1">IF(COUNTIF($W$2:W1046,A61)=1,VLOOKUP(A61,Q:R,2), IF(COUNTIF($W$2:W1046,A61)=0,$C$9,""))</f>
        <v>99.777000000000001</v>
      </c>
      <c r="F61" s="2">
        <f t="shared" ca="1" si="6"/>
        <v>-211380.00000000064</v>
      </c>
      <c r="G61" s="43">
        <f t="shared" ca="1" si="7"/>
        <v>-726.09333333332324</v>
      </c>
      <c r="H61" s="40">
        <f ca="1">IF(COUNTIF($W$2:W1046,A61)=1,VLOOKUP(A61,S:T,2), IF(COUNTIF($W$2:W1046,A61)=0,$D$9,""))</f>
        <v>301.61900000000003</v>
      </c>
      <c r="I61" s="41">
        <f ca="1">IF(COUNTIF($X$2:X1046,INT(A61))=1,VLOOKUP(INT(A61),X:Y,2), IF(ISERROR(H61-2),"",I60*(1-$D$8*(H61-H60)*0.0001)))</f>
        <v>262.38350000000003</v>
      </c>
      <c r="J61" s="41">
        <f t="shared" ca="1" si="8"/>
        <v>262.38350000000003</v>
      </c>
      <c r="K61" s="43">
        <f t="shared" ca="1" si="9"/>
        <v>-127165.37966537764</v>
      </c>
      <c r="L61" s="43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4">
        <f ca="1">IF(ISERROR(B61-2),"",C61+D61-F61-G61-K61+SUM($L$14:L61))</f>
        <v>-89453.199855280924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W61" s="3">
        <v>46135.625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46121.625</v>
      </c>
      <c r="B62" s="40">
        <f ca="1">IF(COUNTIF($W$2:W1047,A62)=1,VLOOKUP(A62,O:P,2), IF(COUNTIF($W$2:W1047,A62)=0,$B$9,""))</f>
        <v>90.47</v>
      </c>
      <c r="C62" s="2">
        <f t="shared" ca="1" si="4"/>
        <v>-1046511.6279069752</v>
      </c>
      <c r="D62" s="43">
        <f t="shared" ca="1" si="5"/>
        <v>-159000</v>
      </c>
      <c r="E62" s="40">
        <f ca="1">IF(COUNTIF($W$2:W1047,A62)=1,VLOOKUP(A62,Q:R,2), IF(COUNTIF($W$2:W1047,A62)=0,$C$9,""))</f>
        <v>99.576999999999998</v>
      </c>
      <c r="F62" s="2">
        <f t="shared" ca="1" si="6"/>
        <v>-263380.00000000134</v>
      </c>
      <c r="G62" s="43">
        <f t="shared" ca="1" si="7"/>
        <v>-736.32000000000698</v>
      </c>
      <c r="H62" s="40">
        <f ca="1">IF(COUNTIF($W$2:W1047,A62)=1,VLOOKUP(A62,S:T,2), IF(COUNTIF($W$2:W1047,A62)=0,$D$9,""))</f>
        <v>299.79199999999997</v>
      </c>
      <c r="I62" s="41">
        <f ca="1">IF(COUNTIF($X$2:X1047,INT(A62))=1,VLOOKUP(INT(A62),X:Y,2), IF(ISERROR(H62-2),"",I61*(1-$D$8*(H62-H61)*0.0001)))</f>
        <v>263.26260000000002</v>
      </c>
      <c r="J62" s="41">
        <f t="shared" ca="1" si="8"/>
        <v>263.26260000000002</v>
      </c>
      <c r="K62" s="43">
        <f t="shared" ca="1" si="9"/>
        <v>-64938.223938223447</v>
      </c>
      <c r="L62" s="43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4">
        <f ca="1">IF(ISERROR(B62-2),"",C62+D62-F62-G62-K62+SUM($L$14:L62))</f>
        <v>-130681.53457681532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W62" s="3">
        <v>46136.625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46122.625</v>
      </c>
      <c r="B63" s="40">
        <f ca="1">IF(COUNTIF($W$2:W1048,A63)=1,VLOOKUP(A63,O:P,2), IF(COUNTIF($W$2:W1048,A63)=0,$B$9,""))</f>
        <v>90.75</v>
      </c>
      <c r="C63" s="2">
        <f t="shared" ca="1" si="4"/>
        <v>-956902.06955408526</v>
      </c>
      <c r="D63" s="43">
        <f t="shared" ca="1" si="5"/>
        <v>-161208.33333333334</v>
      </c>
      <c r="E63" s="40">
        <f ca="1">IF(COUNTIF($W$2:W1048,A63)=1,VLOOKUP(A63,Q:R,2), IF(COUNTIF($W$2:W1048,A63)=0,$C$9,""))</f>
        <v>99.55</v>
      </c>
      <c r="F63" s="2">
        <f t="shared" ca="1" si="6"/>
        <v>-270400.00000000163</v>
      </c>
      <c r="G63" s="43">
        <f t="shared" ca="1" si="7"/>
        <v>-746.54666666667617</v>
      </c>
      <c r="H63" s="40">
        <f ca="1">IF(COUNTIF($W$2:W1048,A63)=1,VLOOKUP(A63,S:T,2), IF(COUNTIF($W$2:W1048,A63)=0,$D$9,""))</f>
        <v>291.34300000000002</v>
      </c>
      <c r="I63" s="41">
        <f ca="1">IF(COUNTIF($X$2:X1048,INT(A63))=1,VLOOKUP(INT(A63),X:Y,2), IF(ISERROR(H63-2),"",I62*(1-$D$8*(H63-H62)*0.0001)))</f>
        <v>263.29309999999998</v>
      </c>
      <c r="J63" s="41">
        <f t="shared" ca="1" si="8"/>
        <v>263.29309999999998</v>
      </c>
      <c r="K63" s="43">
        <f t="shared" ca="1" si="9"/>
        <v>-62779.279279281996</v>
      </c>
      <c r="L63" s="43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4">
        <f ca="1">IF(ISERROR(B63-2),"",C63+D63-F63-G63-K63+SUM($L$14:L63))</f>
        <v>-38409.02754953329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W63" s="3">
        <v>46139.625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46125.625</v>
      </c>
      <c r="B64" s="40">
        <f ca="1">IF(COUNTIF($W$2:W1049,A64)=1,VLOOKUP(A64,O:P,2), IF(COUNTIF($W$2:W1049,A64)=0,$B$9,""))</f>
        <v>90.46</v>
      </c>
      <c r="C64" s="2">
        <f t="shared" ca="1" si="4"/>
        <v>-1049711.9692767221</v>
      </c>
      <c r="D64" s="43">
        <f t="shared" ca="1" si="5"/>
        <v>-167833.33333333334</v>
      </c>
      <c r="E64" s="40">
        <f ca="1">IF(COUNTIF($W$2:W1049,A64)=1,VLOOKUP(A64,Q:R,2), IF(COUNTIF($W$2:W1049,A64)=0,$C$9,""))</f>
        <v>99.418000000000006</v>
      </c>
      <c r="F64" s="2">
        <f t="shared" ca="1" si="6"/>
        <v>-304719.99999999924</v>
      </c>
      <c r="G64" s="43">
        <f t="shared" ca="1" si="7"/>
        <v>-777.22666666665464</v>
      </c>
      <c r="H64" s="40">
        <f ca="1">IF(COUNTIF($W$2:W1049,A64)=1,VLOOKUP(A64,S:T,2), IF(COUNTIF($W$2:W1049,A64)=0,$D$9,""))</f>
        <v>294.25299999999999</v>
      </c>
      <c r="I64" s="41">
        <f ca="1">IF(COUNTIF($X$2:X1049,INT(A64))=1,VLOOKUP(INT(A64),X:Y,2), IF(ISERROR(H64-2),"",I63*(1-$D$8*(H64-H63)*0.0001)))</f>
        <v>263.03910000000002</v>
      </c>
      <c r="J64" s="41">
        <f t="shared" ca="1" si="8"/>
        <v>263.03910000000002</v>
      </c>
      <c r="K64" s="43">
        <f t="shared" ca="1" si="9"/>
        <v>-80758.687258685532</v>
      </c>
      <c r="L64" s="43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4">
        <f ca="1">IF(ISERROR(B64-2),"",C64+D64-F64-G64-K64+SUM($L$14:L64))</f>
        <v>-85513.839292768622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W64" s="3">
        <v>46140.625</v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>
        <f t="shared" ca="1" si="3"/>
        <v>46126.625</v>
      </c>
      <c r="B65" s="40">
        <f ca="1">IF(COUNTIF($W$2:W1050,A65)=1,VLOOKUP(A65,O:P,2), IF(COUNTIF($W$2:W1050,A65)=0,$B$9,""))</f>
        <v>90.75</v>
      </c>
      <c r="C65" s="2">
        <f t="shared" ca="1" si="4"/>
        <v>-956902.06955408526</v>
      </c>
      <c r="D65" s="43">
        <f t="shared" ca="1" si="5"/>
        <v>-170041.66666666666</v>
      </c>
      <c r="E65" s="40">
        <f ca="1">IF(COUNTIF($W$2:W1050,A65)=1,VLOOKUP(A65,Q:R,2), IF(COUNTIF($W$2:W1050,A65)=0,$C$9,""))</f>
        <v>99.619</v>
      </c>
      <c r="F65" s="2">
        <f t="shared" ca="1" si="6"/>
        <v>-252460.00000000093</v>
      </c>
      <c r="G65" s="43">
        <f t="shared" ca="1" si="7"/>
        <v>-787.45333333333838</v>
      </c>
      <c r="H65" s="40">
        <f ca="1">IF(COUNTIF($W$2:W1050,A65)=1,VLOOKUP(A65,S:T,2), IF(COUNTIF($W$2:W1050,A65)=0,$D$9,""))</f>
        <v>282.697</v>
      </c>
      <c r="I65" s="41">
        <f ca="1">IF(COUNTIF($X$2:X1050,INT(A65))=1,VLOOKUP(INT(A65),X:Y,2), IF(ISERROR(H65-2),"",I64*(1-$D$8*(H65-H64)*0.0001)))</f>
        <v>264.6927</v>
      </c>
      <c r="J65" s="41">
        <f t="shared" ca="1" si="8"/>
        <v>264.6927</v>
      </c>
      <c r="K65" s="43">
        <f t="shared" ca="1" si="9"/>
        <v>36291.505791503594</v>
      </c>
      <c r="L65" s="43" t="str">
        <f ca="1">IF($A65="","",IF(COUNTIFS(Dividends!$G:$G,"&gt;"&amp;INT($A64),Dividends!$G:$G,"&lt;="&amp;INT($A65))=0,"",$H$2*SUMIFS(Dividends!$H:$H,Dividends!$G:$G,"&gt;"&amp;INT($A64),Dividends!$G:$G,"&lt;="&amp;INT($A65))))</f>
        <v/>
      </c>
      <c r="M65" s="44">
        <f ca="1">IF(ISERROR(B65-2),"",C65+D65-F65-G65-K65+SUM($L$14:L65))</f>
        <v>-164212.23928698606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W65" s="3">
        <v>46141.625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>
        <f t="shared" ca="1" si="3"/>
        <v>46127.625</v>
      </c>
      <c r="B66" s="40">
        <f ca="1">IF(COUNTIF($W$2:W1051,A66)=1,VLOOKUP(A66,O:P,2), IF(COUNTIF($W$2:W1051,A66)=0,$B$9,""))</f>
        <v>90.88</v>
      </c>
      <c r="C66" s="2">
        <f t="shared" ca="1" si="4"/>
        <v>-915297.63174738712</v>
      </c>
      <c r="D66" s="43">
        <f t="shared" ca="1" si="5"/>
        <v>-172250</v>
      </c>
      <c r="E66" s="40">
        <f ca="1">IF(COUNTIF($W$2:W1051,A66)=1,VLOOKUP(A66,Q:R,2), IF(COUNTIF($W$2:W1051,A66)=0,$C$9,""))</f>
        <v>99.653999999999996</v>
      </c>
      <c r="F66" s="2">
        <f t="shared" ca="1" si="6"/>
        <v>-243360.0000000018</v>
      </c>
      <c r="G66" s="43">
        <f t="shared" ca="1" si="7"/>
        <v>-797.68000000002212</v>
      </c>
      <c r="H66" s="40">
        <f ca="1">IF(COUNTIF($W$2:W1051,A66)=1,VLOOKUP(A66,S:T,2), IF(COUNTIF($W$2:W1051,A66)=0,$D$9,""))</f>
        <v>282.51900000000001</v>
      </c>
      <c r="I66" s="41">
        <f ca="1">IF(COUNTIF($X$2:X1051,INT(A66))=1,VLOOKUP(INT(A66),X:Y,2), IF(ISERROR(H66-2),"",I65*(1-$D$8*(H66-H65)*0.0001)))</f>
        <v>264.62900000000002</v>
      </c>
      <c r="J66" s="41">
        <f t="shared" ca="1" si="8"/>
        <v>264.62900000000002</v>
      </c>
      <c r="K66" s="43">
        <f t="shared" ca="1" si="9"/>
        <v>31782.496782496895</v>
      </c>
      <c r="L66" s="43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4">
        <f ca="1">IF(ISERROR(B66-2),"",C66+D66-F66-G66-K66+SUM($L$14:L66))</f>
        <v>-129396.89913794701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W66" s="3">
        <v>46142.625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>
        <f t="shared" ca="1" si="3"/>
        <v>46128.625</v>
      </c>
      <c r="B67" s="40">
        <f ca="1">IF(COUNTIF($W$2:W1052,A67)=1,VLOOKUP(A67,O:P,2), IF(COUNTIF($W$2:W1052,A67)=0,$B$9,""))</f>
        <v>90.85</v>
      </c>
      <c r="C67" s="2">
        <f t="shared" ca="1" si="4"/>
        <v>-924898.65585662413</v>
      </c>
      <c r="D67" s="43">
        <f t="shared" ca="1" si="5"/>
        <v>-174458.33333333334</v>
      </c>
      <c r="E67" s="40">
        <f ca="1">IF(COUNTIF($W$2:W1052,A67)=1,VLOOKUP(A67,Q:R,2), IF(COUNTIF($W$2:W1052,A67)=0,$C$9,""))</f>
        <v>99.677000000000007</v>
      </c>
      <c r="F67" s="2">
        <f t="shared" ca="1" si="6"/>
        <v>-237379.99999999913</v>
      </c>
      <c r="G67" s="43">
        <f t="shared" ca="1" si="7"/>
        <v>-807.90666666667676</v>
      </c>
      <c r="H67" s="40">
        <f ca="1">IF(COUNTIF($W$2:W1052,A67)=1,VLOOKUP(A67,S:T,2), IF(COUNTIF($W$2:W1052,A67)=0,$D$9,""))</f>
        <v>286.733</v>
      </c>
      <c r="I67" s="41">
        <f ca="1">IF(COUNTIF($X$2:X1052,INT(A67))=1,VLOOKUP(INT(A67),X:Y,2), IF(ISERROR(H67-2),"",I66*(1-$D$8*(H67-H66)*0.0001)))</f>
        <v>264.24419999999998</v>
      </c>
      <c r="J67" s="41">
        <f t="shared" ca="1" si="8"/>
        <v>264.24419999999998</v>
      </c>
      <c r="K67" s="43">
        <f t="shared" ca="1" si="9"/>
        <v>4544.4015444009219</v>
      </c>
      <c r="L67" s="43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4">
        <f ca="1">IF(ISERROR(B67-2),"",C67+D67-F67-G67-K67+SUM($L$14:L67))</f>
        <v>-119937.93467575754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W67" s="3">
        <v>46147.625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>
        <f t="shared" ca="1" si="3"/>
        <v>46129.625</v>
      </c>
      <c r="B68" s="40">
        <f ca="1">IF(COUNTIF($W$2:W1053,A68)=1,VLOOKUP(A68,O:P,2), IF(COUNTIF($W$2:W1053,A68)=0,$B$9,""))</f>
        <v>91.4</v>
      </c>
      <c r="C68" s="2">
        <f t="shared" ca="1" si="4"/>
        <v>-748879.88052058429</v>
      </c>
      <c r="D68" s="43">
        <f t="shared" ca="1" si="5"/>
        <v>-176666.66666666666</v>
      </c>
      <c r="E68" s="40">
        <f ca="1">IF(COUNTIF($W$2:W1053,A68)=1,VLOOKUP(A68,Q:R,2), IF(COUNTIF($W$2:W1053,A68)=0,$C$9,""))</f>
        <v>99.953999999999994</v>
      </c>
      <c r="F68" s="2">
        <f t="shared" ca="1" si="6"/>
        <v>-165360.00000000259</v>
      </c>
      <c r="G68" s="43">
        <f t="shared" ca="1" si="7"/>
        <v>-818.13333333333139</v>
      </c>
      <c r="H68" s="40">
        <f ca="1">IF(COUNTIF($W$2:W1053,A68)=1,VLOOKUP(A68,S:T,2), IF(COUNTIF($W$2:W1053,A68)=0,$D$9,""))</f>
        <v>275.16800000000001</v>
      </c>
      <c r="I68" s="41">
        <f ca="1">IF(COUNTIF($X$2:X1053,INT(A68))=1,VLOOKUP(INT(A68),X:Y,2), IF(ISERROR(H68-2),"",I67*(1-$D$8*(H68-H67)*0.0001)))</f>
        <v>265.60180000000003</v>
      </c>
      <c r="J68" s="41">
        <f t="shared" ca="1" si="8"/>
        <v>265.60180000000003</v>
      </c>
      <c r="K68" s="43">
        <f t="shared" ca="1" si="9"/>
        <v>100642.21364221333</v>
      </c>
      <c r="L68" s="43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4">
        <f ca="1">IF(ISERROR(B68-2),"",C68+D68-F68-G68-K68+SUM($L$14:L68))</f>
        <v>-114235.07810419332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W68" s="3">
        <v>46148.625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2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>
        <f t="shared" ca="1" si="3"/>
        <v>46132.625</v>
      </c>
      <c r="B69" s="40">
        <f ca="1">IF(COUNTIF($W$2:W1054,A69)=1,VLOOKUP(A69,O:P,2), IF(COUNTIF($W$2:W1054,A69)=0,$B$9,""))</f>
        <v>91.09</v>
      </c>
      <c r="C69" s="2">
        <f t="shared" ca="1" si="4"/>
        <v>-848090.46298271464</v>
      </c>
      <c r="D69" s="43">
        <f t="shared" ca="1" si="5"/>
        <v>-183291.66666666666</v>
      </c>
      <c r="E69" s="40">
        <f ca="1">IF(COUNTIF($W$2:W1054,A69)=1,VLOOKUP(A69,Q:R,2), IF(COUNTIF($W$2:W1054,A69)=0,$C$9,""))</f>
        <v>99.831000000000003</v>
      </c>
      <c r="F69" s="2">
        <f t="shared" ca="1" si="6"/>
        <v>-197340.00000000009</v>
      </c>
      <c r="G69" s="43">
        <f t="shared" ca="1" si="7"/>
        <v>-848.81333333332441</v>
      </c>
      <c r="H69" s="40">
        <f ca="1">IF(COUNTIF($W$2:W1054,A69)=1,VLOOKUP(A69,S:T,2), IF(COUNTIF($W$2:W1054,A69)=0,$D$9,""))</f>
        <v>280.36399999999998</v>
      </c>
      <c r="I69" s="41">
        <f ca="1">IF(COUNTIF($X$2:X1054,INT(A69))=1,VLOOKUP(INT(A69),X:Y,2), IF(ISERROR(H69-2),"",I68*(1-$D$8*(H69-H68)*0.0001)))</f>
        <v>265.2414</v>
      </c>
      <c r="J69" s="41">
        <f t="shared" ca="1" si="8"/>
        <v>265.2414</v>
      </c>
      <c r="K69" s="43">
        <f t="shared" ca="1" si="9"/>
        <v>75131.274131274666</v>
      </c>
      <c r="L69" s="43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4">
        <f ca="1">IF(ISERROR(B69-2),"",C69+D69-F69-G69-K69+SUM($L$14:L69))</f>
        <v>-162549.04105538735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W69" s="3">
        <v>46149.625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2"/>
        <v>45874</v>
      </c>
      <c r="AE69" s="22"/>
      <c r="AF69" s="22"/>
      <c r="AG69" s="22"/>
      <c r="AH69" s="22"/>
      <c r="AI69" s="7"/>
    </row>
    <row r="70" spans="1:35" x14ac:dyDescent="0.25">
      <c r="A70" s="39">
        <f t="shared" ca="1" si="3"/>
        <v>46133.625</v>
      </c>
      <c r="B70" s="40">
        <f ca="1">IF(COUNTIF($W$2:W1055,A70)=1,VLOOKUP(A70,O:P,2), IF(COUNTIF($W$2:W1055,A70)=0,$B$9,""))</f>
        <v>91.01</v>
      </c>
      <c r="C70" s="2">
        <f t="shared" ca="1" si="4"/>
        <v>-873693.19394068222</v>
      </c>
      <c r="D70" s="43">
        <f t="shared" ca="1" si="5"/>
        <v>-185500</v>
      </c>
      <c r="E70" s="40">
        <f ca="1">IF(COUNTIF($W$2:W1055,A70)=1,VLOOKUP(A70,Q:R,2), IF(COUNTIF($W$2:W1055,A70)=0,$C$9,""))</f>
        <v>99.707999999999998</v>
      </c>
      <c r="F70" s="2">
        <f t="shared" ca="1" si="6"/>
        <v>-229320.00000000131</v>
      </c>
      <c r="G70" s="43">
        <f t="shared" ca="1" si="7"/>
        <v>-859.04000000000815</v>
      </c>
      <c r="H70" s="40">
        <f ca="1">IF(COUNTIF($W$2:W1055,A70)=1,VLOOKUP(A70,S:T,2), IF(COUNTIF($W$2:W1055,A70)=0,$D$9,""))</f>
        <v>285.44799999999998</v>
      </c>
      <c r="I70" s="41">
        <f ca="1">IF(COUNTIF($X$2:X1055,INT(A70))=1,VLOOKUP(INT(A70),X:Y,2), IF(ISERROR(H70-2),"",I69*(1-$D$8*(H70-H69)*0.0001)))</f>
        <v>264.60359999999997</v>
      </c>
      <c r="J70" s="41">
        <f t="shared" ca="1" si="8"/>
        <v>264.60359999999997</v>
      </c>
      <c r="K70" s="43">
        <f t="shared" ca="1" si="9"/>
        <v>29984.555984555296</v>
      </c>
      <c r="L70" s="43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4">
        <f ca="1">IF(ISERROR(B70-2),"",C70+D70-F70-G70-K70+SUM($L$14:L70))</f>
        <v>-113223.16053330118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W70" s="3">
        <v>46150.625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9">
        <f t="shared" ca="1" si="3"/>
        <v>46134.625</v>
      </c>
      <c r="B71" s="40">
        <f ca="1">IF(COUNTIF($W$2:W1056,A71)=1,VLOOKUP(A71,O:P,2), IF(COUNTIF($W$2:W1056,A71)=0,$B$9,""))</f>
        <v>90.94</v>
      </c>
      <c r="C71" s="2">
        <f t="shared" ca="1" si="4"/>
        <v>-896095.58352890972</v>
      </c>
      <c r="D71" s="43">
        <f t="shared" ca="1" si="5"/>
        <v>-187708.33333333334</v>
      </c>
      <c r="E71" s="40">
        <f ca="1">IF(COUNTIF($W$2:W1056,A71)=1,VLOOKUP(A71,Q:R,2), IF(COUNTIF($W$2:W1056,A71)=0,$C$9,""))</f>
        <v>99.655000000000001</v>
      </c>
      <c r="F71" s="2">
        <f t="shared" ca="1" si="6"/>
        <v>-243100.00000000061</v>
      </c>
      <c r="G71" s="43">
        <f t="shared" ca="1" si="7"/>
        <v>-869.26666666666279</v>
      </c>
      <c r="H71" s="40">
        <f ca="1">IF(COUNTIF($W$2:W1056,A71)=1,VLOOKUP(A71,S:T,2), IF(COUNTIF($W$2:W1056,A71)=0,$D$9,""))</f>
        <v>285.53500000000003</v>
      </c>
      <c r="I71" s="41">
        <f ca="1">IF(COUNTIF($X$2:X1056,INT(A71))=1,VLOOKUP(INT(A71),X:Y,2), IF(ISERROR(H71-2),"",I70*(1-$D$8*(H71-H70)*0.0001)))</f>
        <v>264.55340000000001</v>
      </c>
      <c r="J71" s="41">
        <f t="shared" ca="1" si="8"/>
        <v>264.55340000000001</v>
      </c>
      <c r="K71" s="43">
        <f t="shared" ca="1" si="9"/>
        <v>26431.145431146819</v>
      </c>
      <c r="L71" s="43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4">
        <f ca="1">IF(ISERROR(B71-2),"",C71+D71-F71-G71-K71+SUM($L$14:L71))</f>
        <v>-120490.24623478751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W71" s="3">
        <v>46153.625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9">
        <f t="shared" ca="1" si="3"/>
        <v>46135.625</v>
      </c>
      <c r="B72" s="40">
        <f ca="1">IF(COUNTIF($W$2:W1057,A72)=1,VLOOKUP(A72,O:P,2), IF(COUNTIF($W$2:W1057,A72)=0,$B$9,""))</f>
        <v>90.99</v>
      </c>
      <c r="C72" s="2">
        <f t="shared" ca="1" si="4"/>
        <v>-880093.87668017915</v>
      </c>
      <c r="D72" s="43">
        <f t="shared" ca="1" si="5"/>
        <v>-189916.66666666666</v>
      </c>
      <c r="E72" s="40">
        <f ca="1">IF(COUNTIF($W$2:W1057,A72)=1,VLOOKUP(A72,Q:R,2), IF(COUNTIF($W$2:W1057,A72)=0,$C$9,""))</f>
        <v>99.626999999999995</v>
      </c>
      <c r="F72" s="2">
        <f t="shared" ca="1" si="6"/>
        <v>-250380.00000000212</v>
      </c>
      <c r="G72" s="43">
        <f t="shared" ca="1" si="7"/>
        <v>-879.49333333334653</v>
      </c>
      <c r="H72" s="40">
        <f ca="1">IF(COUNTIF($W$2:W1057,A72)=1,VLOOKUP(A72,S:T,2), IF(COUNTIF($W$2:W1057,A72)=0,$D$9,""))</f>
        <v>284.40800000000002</v>
      </c>
      <c r="I72" s="41">
        <f ca="1">IF(COUNTIF($X$2:X1057,INT(A72))=1,VLOOKUP(INT(A72),X:Y,2), IF(ISERROR(H72-2),"",I71*(1-$D$8*(H72-H71)*0.0001)))</f>
        <v>264.38159999999999</v>
      </c>
      <c r="J72" s="41">
        <f t="shared" ca="1" si="8"/>
        <v>264.38159999999999</v>
      </c>
      <c r="K72" s="43">
        <f t="shared" ca="1" si="9"/>
        <v>14270.270270269635</v>
      </c>
      <c r="L72" s="43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4">
        <f ca="1">IF(ISERROR(B72-2),"",C72+D72-F72-G72-K72+SUM($L$14:L72))</f>
        <v>-87245.770891844761</v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W72" s="3">
        <v>46154.625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9">
        <f t="shared" ca="1" si="3"/>
        <v>46136.625</v>
      </c>
      <c r="B73" s="40">
        <f ca="1">IF(COUNTIF($W$2:W1058,A73)=1,VLOOKUP(A73,O:P,2), IF(COUNTIF($W$2:W1058,A73)=0,$B$9,""))</f>
        <v>90.93</v>
      </c>
      <c r="C73" s="2">
        <f t="shared" ca="1" si="4"/>
        <v>-899295.92489865317</v>
      </c>
      <c r="D73" s="43">
        <f t="shared" ca="1" si="5"/>
        <v>-192125</v>
      </c>
      <c r="E73" s="40">
        <f ca="1">IF(COUNTIF($W$2:W1058,A73)=1,VLOOKUP(A73,Q:R,2), IF(COUNTIF($W$2:W1058,A73)=0,$C$9,""))</f>
        <v>99.637</v>
      </c>
      <c r="F73" s="2">
        <f t="shared" ca="1" si="6"/>
        <v>-247780.00000000079</v>
      </c>
      <c r="G73" s="43">
        <f t="shared" ca="1" si="7"/>
        <v>-889.72000000000116</v>
      </c>
      <c r="H73" s="40">
        <f ca="1">IF(COUNTIF($W$2:W1058,A73)=1,VLOOKUP(A73,S:T,2), IF(COUNTIF($W$2:W1058,A73)=0,$D$9,""))</f>
        <v>288.863</v>
      </c>
      <c r="I73" s="41">
        <f ca="1">IF(COUNTIF($X$2:X1058,INT(A73))=1,VLOOKUP(INT(A73),X:Y,2), IF(ISERROR(H73-2),"",I72*(1-$D$8*(H73-H72)*0.0001)))</f>
        <v>264.2679</v>
      </c>
      <c r="J73" s="41">
        <f t="shared" ca="1" si="8"/>
        <v>264.2679</v>
      </c>
      <c r="K73" s="43">
        <f t="shared" ca="1" si="9"/>
        <v>6222.0077220071616</v>
      </c>
      <c r="L73" s="43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4">
        <f ca="1">IF(ISERROR(B73-2),"",C73+D73-F73-G73-K73+SUM($L$14:L73))</f>
        <v>-103197.6632287245</v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W73" s="3">
        <v>46155.625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9">
        <f t="shared" ca="1" si="3"/>
        <v>46139.625</v>
      </c>
      <c r="B74" s="40">
        <f ca="1">IF(COUNTIF($W$2:W1059,A74)=1,VLOOKUP(A74,O:P,2), IF(COUNTIF($W$2:W1059,A74)=0,$B$9,""))</f>
        <v>90.97</v>
      </c>
      <c r="C74" s="2">
        <f t="shared" ca="1" si="4"/>
        <v>-886494.55941966933</v>
      </c>
      <c r="D74" s="43">
        <f t="shared" ca="1" si="5"/>
        <v>-198750</v>
      </c>
      <c r="E74" s="40">
        <f ca="1">IF(COUNTIF($W$2:W1059,A74)=1,VLOOKUP(A74,Q:R,2), IF(COUNTIF($W$2:W1059,A74)=0,$C$9,""))</f>
        <v>99.608000000000004</v>
      </c>
      <c r="F74" s="2">
        <f t="shared" ca="1" si="6"/>
        <v>-255319.99999999983</v>
      </c>
      <c r="G74" s="43">
        <f t="shared" ca="1" si="7"/>
        <v>-920.39999999999418</v>
      </c>
      <c r="H74" s="40">
        <f ca="1">IF(COUNTIF($W$2:W1059,A74)=1,VLOOKUP(A74,S:T,2), IF(COUNTIF($W$2:W1059,A74)=0,$D$9,""))</f>
        <v>289.209</v>
      </c>
      <c r="I74" s="41">
        <f ca="1">IF(COUNTIF($X$2:X1059,INT(A74))=1,VLOOKUP(INT(A74),X:Y,2), IF(ISERROR(H74-2),"",I73*(1-$D$8*(H74-H73)*0.0001)))</f>
        <v>264.16750000000002</v>
      </c>
      <c r="J74" s="41">
        <f t="shared" ca="1" si="8"/>
        <v>264.16750000000002</v>
      </c>
      <c r="K74" s="43">
        <f t="shared" ca="1" si="9"/>
        <v>-884.81338481186663</v>
      </c>
      <c r="L74" s="43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4">
        <f ca="1">IF(ISERROR(B74-2),"",C74+D74-F74-G74-K74+SUM($L$14:L74))</f>
        <v>-82343.796642922447</v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W74" s="3">
        <v>46156.625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9">
        <f t="shared" ca="1" si="3"/>
        <v>46140.625</v>
      </c>
      <c r="B75" s="40">
        <f ca="1">IF(COUNTIF($W$2:W1060,A75)=1,VLOOKUP(A75,O:P,2), IF(COUNTIF($W$2:W1060,A75)=0,$B$9,""))</f>
        <v>90.69</v>
      </c>
      <c r="C75" s="2">
        <f t="shared" ca="1" si="4"/>
        <v>-976104.11777256266</v>
      </c>
      <c r="D75" s="43">
        <f t="shared" ca="1" si="5"/>
        <v>-200958.33333333331</v>
      </c>
      <c r="E75" s="40">
        <f ca="1">IF(COUNTIF($W$2:W1060,A75)=1,VLOOKUP(A75,Q:R,2), IF(COUNTIF($W$2:W1060,A75)=0,$C$9,""))</f>
        <v>99.456000000000003</v>
      </c>
      <c r="F75" s="2">
        <f t="shared" ca="1" si="6"/>
        <v>-294840.00000000006</v>
      </c>
      <c r="G75" s="43">
        <f t="shared" ca="1" si="7"/>
        <v>-930.62666666667792</v>
      </c>
      <c r="H75" s="40">
        <f ca="1">IF(COUNTIF($W$2:W1060,A75)=1,VLOOKUP(A75,S:T,2), IF(COUNTIF($W$2:W1060,A75)=0,$D$9,""))</f>
        <v>291.65699999999998</v>
      </c>
      <c r="I75" s="41">
        <f ca="1">IF(COUNTIF($X$2:X1060,INT(A75))=1,VLOOKUP(INT(A75),X:Y,2), IF(ISERROR(H75-2),"",I74*(1-$D$8*(H75-H74)*0.0001)))</f>
        <v>263.87139999999999</v>
      </c>
      <c r="J75" s="41">
        <f t="shared" ca="1" si="8"/>
        <v>263.87139999999999</v>
      </c>
      <c r="K75" s="43">
        <f t="shared" ca="1" si="9"/>
        <v>-21844.272844273248</v>
      </c>
      <c r="L75" s="43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4">
        <f ca="1">IF(ISERROR(B75-2),"",C75+D75-F75-G75-K75+SUM($L$14:L75))</f>
        <v>-113672.00220302085</v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W75" s="3">
        <v>46157.625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9">
        <f t="shared" ca="1" si="3"/>
        <v>46141.625</v>
      </c>
      <c r="B76" s="40">
        <f ca="1">IF(COUNTIF($W$2:W1061,A76)=1,VLOOKUP(A76,O:P,2), IF(COUNTIF($W$2:W1061,A76)=0,$B$9,""))</f>
        <v>90.76</v>
      </c>
      <c r="C76" s="2">
        <f t="shared" ca="1" si="4"/>
        <v>-953701.72818433517</v>
      </c>
      <c r="D76" s="43">
        <f t="shared" ca="1" si="5"/>
        <v>-203166.66666666663</v>
      </c>
      <c r="E76" s="40">
        <f ca="1">IF(COUNTIF($W$2:W1061,A76)=1,VLOOKUP(A76,Q:R,2), IF(COUNTIF($W$2:W1061,A76)=0,$C$9,""))</f>
        <v>99.296000000000006</v>
      </c>
      <c r="F76" s="2">
        <f t="shared" ca="1" si="6"/>
        <v>-336439.99999999919</v>
      </c>
      <c r="G76" s="43">
        <f t="shared" ca="1" si="7"/>
        <v>-940.85333333333256</v>
      </c>
      <c r="H76" s="40">
        <f ca="1">IF(COUNTIF($W$2:W1061,A76)=1,VLOOKUP(A76,S:T,2), IF(COUNTIF($W$2:W1061,A76)=0,$D$9,""))</f>
        <v>294.57900000000001</v>
      </c>
      <c r="I76" s="41">
        <f ca="1">IF(COUNTIF($X$2:X1061,INT(A76))=1,VLOOKUP(INT(A76),X:Y,2), IF(ISERROR(H76-2),"",I75*(1-$D$8*(H76-H75)*0.0001)))</f>
        <v>263.29599999999999</v>
      </c>
      <c r="J76" s="41">
        <f t="shared" ca="1" si="8"/>
        <v>263.29599999999999</v>
      </c>
      <c r="K76" s="43">
        <f t="shared" ca="1" si="9"/>
        <v>-62574.002574003418</v>
      </c>
      <c r="L76" s="43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4">
        <f ca="1">IF(ISERROR(B76-2),"",C76+D76-F76-G76-K76+SUM($L$14:L76))</f>
        <v>-11137.989551730803</v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W76" s="3">
        <v>46160.625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9">
        <f t="shared" ca="1" si="3"/>
        <v>46142.625</v>
      </c>
      <c r="B77" s="40">
        <f ca="1">IF(COUNTIF($W$2:W1062,A77)=1,VLOOKUP(A77,O:P,2), IF(COUNTIF($W$2:W1062,A77)=0,$B$9,""))</f>
        <v>90.81</v>
      </c>
      <c r="C77" s="2">
        <f t="shared" ca="1" si="4"/>
        <v>-937700.02133560798</v>
      </c>
      <c r="D77" s="43">
        <f t="shared" ca="1" si="5"/>
        <v>-205375.00000000003</v>
      </c>
      <c r="E77" s="40">
        <f ca="1">IF(COUNTIF($W$2:W1062,A77)=1,VLOOKUP(A77,Q:R,2), IF(COUNTIF($W$2:W1062,A77)=0,$C$9,""))</f>
        <v>99.435000000000002</v>
      </c>
      <c r="F77" s="2">
        <f t="shared" ca="1" si="6"/>
        <v>-300300.00000000029</v>
      </c>
      <c r="G77" s="43">
        <f t="shared" ca="1" si="7"/>
        <v>-951.0800000000163</v>
      </c>
      <c r="H77" s="40">
        <f ca="1">IF(COUNTIF($W$2:W1062,A77)=1,VLOOKUP(A77,S:T,2), IF(COUNTIF($W$2:W1062,A77)=0,$D$9,""))</f>
        <v>292.42099999999999</v>
      </c>
      <c r="I77" s="41">
        <f ca="1">IF(COUNTIF($X$2:X1062,INT(A77))=1,VLOOKUP(INT(A77),X:Y,2), IF(ISERROR(H77-2),"",I76*(1-$D$8*(H77-H76)*0.0001)))</f>
        <v>263.72019999999998</v>
      </c>
      <c r="J77" s="41">
        <f t="shared" ca="1" si="8"/>
        <v>263.72019999999998</v>
      </c>
      <c r="K77" s="43">
        <f t="shared" ca="1" si="9"/>
        <v>-32546.975546977552</v>
      </c>
      <c r="L77" s="43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4">
        <f ca="1">IF(ISERROR(B77-2),"",C77+D77-F77-G77-K77+SUM($L$14:L77))</f>
        <v>-63501.416396695073</v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W77" s="3">
        <v>46161.625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9">
        <f t="shared" ca="1" si="3"/>
        <v>46147.625</v>
      </c>
      <c r="B78" s="40">
        <f ca="1">IF(COUNTIF($W$2:W1063,A78)=1,VLOOKUP(A78,O:P,2), IF(COUNTIF($W$2:W1063,A78)=0,$B$9,""))</f>
        <v>90.89</v>
      </c>
      <c r="C78" s="2">
        <f t="shared" ca="1" si="4"/>
        <v>-912097.29037763702</v>
      </c>
      <c r="D78" s="43">
        <f t="shared" ca="1" si="5"/>
        <v>-216416.66666666663</v>
      </c>
      <c r="E78" s="40">
        <f ca="1">IF(COUNTIF($W$2:W1063,A78)=1,VLOOKUP(A78,Q:R,2), IF(COUNTIF($W$2:W1063,A78)=0,$C$9,""))</f>
        <v>99.343000000000004</v>
      </c>
      <c r="F78" s="2">
        <f t="shared" ca="1" si="6"/>
        <v>-324219.99999999994</v>
      </c>
      <c r="G78" s="43">
        <f t="shared" ca="1" si="7"/>
        <v>-1002.2133333333477</v>
      </c>
      <c r="H78" s="40">
        <f ca="1">IF(COUNTIF($W$2:W1063,A78)=1,VLOOKUP(A78,S:T,2), IF(COUNTIF($W$2:W1063,A78)=0,$D$9,""))</f>
        <v>287.88900000000001</v>
      </c>
      <c r="I78" s="41">
        <f ca="1">IF(COUNTIF($X$2:X1063,INT(A78))=1,VLOOKUP(INT(A78),X:Y,2), IF(ISERROR(H78-2),"",I77*(1-$D$8*(H78-H77)*0.0001)))</f>
        <v>264.5573</v>
      </c>
      <c r="J78" s="41">
        <f t="shared" ca="1" si="8"/>
        <v>264.5573</v>
      </c>
      <c r="K78" s="43">
        <f t="shared" ca="1" si="9"/>
        <v>26707.207207207604</v>
      </c>
      <c r="L78" s="43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4">
        <f ca="1">IF(ISERROR(B78-2),"",C78+D78-F78-G78-K78+SUM($L$14:L78))</f>
        <v>-84223.401526242727</v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W78" s="3">
        <v>46162.625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2"/>
        <v>45887</v>
      </c>
    </row>
    <row r="79" spans="1:35" x14ac:dyDescent="0.25">
      <c r="A79" s="39">
        <f t="shared" ref="A79:A142" ca="1" si="13">IF(AND(ISBLANK(W68), A78 = $W$1),NOW(),IF(ISBLANK(W68),"",W68))</f>
        <v>46148.625</v>
      </c>
      <c r="B79" s="40">
        <f ca="1">IF(COUNTIF($W$2:W1064,A79)=1,VLOOKUP(A79,O:P,2), IF(COUNTIF($W$2:W1064,A79)=0,$B$9,""))</f>
        <v>91.41</v>
      </c>
      <c r="C79" s="2">
        <f t="shared" ca="1" si="4"/>
        <v>-745679.53915084084</v>
      </c>
      <c r="D79" s="43">
        <f t="shared" ca="1" si="5"/>
        <v>-218625.00000000003</v>
      </c>
      <c r="E79" s="40">
        <f ca="1">IF(COUNTIF($W$2:W1064,A79)=1,VLOOKUP(A79,Q:R,2), IF(COUNTIF($W$2:W1064,A79)=0,$C$9,""))</f>
        <v>99.63</v>
      </c>
      <c r="F79" s="2">
        <f t="shared" ca="1" si="6"/>
        <v>-249600.00000000207</v>
      </c>
      <c r="G79" s="43">
        <f t="shared" ca="1" si="7"/>
        <v>-1012.4400000000023</v>
      </c>
      <c r="H79" s="40">
        <f ca="1">IF(COUNTIF($W$2:W1064,A79)=1,VLOOKUP(A79,S:T,2), IF(COUNTIF($W$2:W1064,A79)=0,$D$9,""))</f>
        <v>275.09699999999998</v>
      </c>
      <c r="I79" s="41">
        <f ca="1">IF(COUNTIF($X$2:X1064,INT(A79))=1,VLOOKUP(INT(A79),X:Y,2), IF(ISERROR(H79-2),"",I78*(1-$D$8*(H79-H78)*0.0001)))</f>
        <v>266.11750000000001</v>
      </c>
      <c r="J79" s="41">
        <f t="shared" ca="1" si="8"/>
        <v>266.11750000000001</v>
      </c>
      <c r="K79" s="43">
        <f t="shared" ca="1" si="9"/>
        <v>137146.07464607395</v>
      </c>
      <c r="L79" s="43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4">
        <f ca="1">IF(ISERROR(B79-2),"",C79+D79-F79-G79-K79+SUM($L$14:L79))</f>
        <v>-105062.62440497766</v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W79" s="3">
        <v>46163.625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2"/>
        <v>45888</v>
      </c>
    </row>
    <row r="80" spans="1:35" x14ac:dyDescent="0.25">
      <c r="A80" s="39">
        <f t="shared" ca="1" si="13"/>
        <v>46149.625</v>
      </c>
      <c r="B80" s="40">
        <f ca="1">IF(COUNTIF($W$2:W1065,A80)=1,VLOOKUP(A80,O:P,2), IF(COUNTIF($W$2:W1065,A80)=0,$B$9,""))</f>
        <v>91.39</v>
      </c>
      <c r="C80" s="2">
        <f t="shared" ref="C80:C143" ca="1" si="14">IF(ISERROR(B80-2),"",(B80/$B$14-1)*$B$5)</f>
        <v>-752080.22189033439</v>
      </c>
      <c r="D80" s="43">
        <f t="shared" ref="D80:D143" ca="1" si="15">IF(ISERROR(B80-2),"",-1*(INT(A80)-INT($A$14))/360*$B$7*$B$5)</f>
        <v>-220833.33333333331</v>
      </c>
      <c r="E80" s="40">
        <f ca="1">IF(COUNTIF($W$2:W1065,A80)=1,VLOOKUP(A80,Q:R,2), IF(COUNTIF($W$2:W1065,A80)=0,$C$9,""))</f>
        <v>99.650999999999996</v>
      </c>
      <c r="F80" s="2">
        <f t="shared" ref="F80:F143" ca="1" si="16">IF(ISERROR(B80-2),"",(E80-$E$14)/100*$C$5)</f>
        <v>-244140.00000000186</v>
      </c>
      <c r="G80" s="43">
        <f t="shared" ref="G80:G143" ca="1" si="17">IF(ISERROR(B80-2),"",(INT(A80)-INT($A$14))/360*$C$6*$C$5-(INT(A80)-INT($A$14))/360*$C$7*$C$5*$E$14/100)</f>
        <v>-1022.666666666657</v>
      </c>
      <c r="H80" s="40">
        <f ca="1">IF(COUNTIF($W$2:W1065,A80)=1,VLOOKUP(A80,S:T,2), IF(COUNTIF($W$2:W1065,A80)=0,$D$9,""))</f>
        <v>275.04599999999999</v>
      </c>
      <c r="I80" s="41">
        <f ca="1">IF(COUNTIF($X$2:X1065,INT(A80))=1,VLOOKUP(INT(A80),X:Y,2), IF(ISERROR(H80-2),"",I79*(1-$D$8*(H80-H79)*0.0001)))</f>
        <v>265.79050000000001</v>
      </c>
      <c r="J80" s="41">
        <f t="shared" ref="J80:J143" ca="1" si="18">IF(ISERROR(H80-2),"",I80)</f>
        <v>265.79050000000001</v>
      </c>
      <c r="K80" s="43">
        <f t="shared" ref="K80:K143" ca="1" si="19">IF(ISERROR(H80-2),"",(J80/$J$14-1)*$D$5)</f>
        <v>113999.35649935532</v>
      </c>
      <c r="L80" s="43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4">
        <f ca="1">IF(ISERROR(B80-2),"",C80+D80-F80-G80-K80+SUM($L$14:L80))</f>
        <v>-95974.695664419443</v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W80" s="3">
        <v>46164.625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2"/>
        <v>45889</v>
      </c>
    </row>
    <row r="81" spans="1:30" x14ac:dyDescent="0.25">
      <c r="A81" s="39">
        <f t="shared" ca="1" si="13"/>
        <v>46150.625</v>
      </c>
      <c r="B81" s="40">
        <f ca="1">IF(COUNTIF($W$2:W1066,A81)=1,VLOOKUP(A81,O:P,2), IF(COUNTIF($W$2:W1066,A81)=0,$B$9,""))</f>
        <v>91.4</v>
      </c>
      <c r="C81" s="2">
        <f t="shared" ca="1" si="14"/>
        <v>-748879.88052058429</v>
      </c>
      <c r="D81" s="43">
        <f t="shared" ca="1" si="15"/>
        <v>-223041.66666666666</v>
      </c>
      <c r="E81" s="40">
        <f ca="1">IF(COUNTIF($W$2:W1066,A81)=1,VLOOKUP(A81,Q:R,2), IF(COUNTIF($W$2:W1066,A81)=0,$C$9,""))</f>
        <v>99.58</v>
      </c>
      <c r="F81" s="2">
        <f t="shared" ca="1" si="16"/>
        <v>-262600.00000000134</v>
      </c>
      <c r="G81" s="43">
        <f t="shared" ca="1" si="17"/>
        <v>-1032.8933333333407</v>
      </c>
      <c r="H81" s="40">
        <f ca="1">IF(COUNTIF($W$2:W1066,A81)=1,VLOOKUP(A81,S:T,2), IF(COUNTIF($W$2:W1066,A81)=0,$D$9,""))</f>
        <v>277.74599999999998</v>
      </c>
      <c r="I81" s="41">
        <f ca="1">IF(COUNTIF($X$2:X1066,INT(A81))=1,VLOOKUP(INT(A81),X:Y,2), IF(ISERROR(H81-2),"",I80*(1-$D$8*(H81-H80)*0.0001)))</f>
        <v>265.83870000000002</v>
      </c>
      <c r="J81" s="41">
        <f t="shared" ca="1" si="18"/>
        <v>265.83870000000002</v>
      </c>
      <c r="K81" s="43">
        <f t="shared" ca="1" si="19"/>
        <v>117411.19691119937</v>
      </c>
      <c r="L81" s="43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4">
        <f ca="1">IF(ISERROR(B81-2),"",C81+D81-F81-G81-K81+SUM($L$14:L81))</f>
        <v>-79924.301373180584</v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W81" s="3">
        <v>46168.625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2"/>
        <v>45890</v>
      </c>
    </row>
    <row r="82" spans="1:30" x14ac:dyDescent="0.25">
      <c r="A82" s="39">
        <f t="shared" ca="1" si="13"/>
        <v>46153.625</v>
      </c>
      <c r="B82" s="40">
        <f ca="1">IF(COUNTIF($W$2:W1067,A82)=1,VLOOKUP(A82,O:P,2), IF(COUNTIF($W$2:W1067,A82)=0,$B$9,""))</f>
        <v>91.44</v>
      </c>
      <c r="C82" s="2">
        <f t="shared" ca="1" si="14"/>
        <v>-736078.51504160382</v>
      </c>
      <c r="D82" s="43">
        <f t="shared" ca="1" si="15"/>
        <v>-229666.66666666663</v>
      </c>
      <c r="E82" s="40">
        <f ca="1">IF(COUNTIF($W$2:W1067,A82)=1,VLOOKUP(A82,Q:R,2), IF(COUNTIF($W$2:W1067,A82)=0,$C$9,""))</f>
        <v>99.436999999999998</v>
      </c>
      <c r="F82" s="2">
        <f t="shared" ca="1" si="16"/>
        <v>-299780.00000000151</v>
      </c>
      <c r="G82" s="43">
        <f t="shared" ca="1" si="17"/>
        <v>-1063.5733333333337</v>
      </c>
      <c r="H82" s="40">
        <f ca="1">IF(COUNTIF($W$2:W1067,A82)=1,VLOOKUP(A82,S:T,2), IF(COUNTIF($W$2:W1067,A82)=0,$D$9,""))</f>
        <v>277.33600000000001</v>
      </c>
      <c r="I82" s="41">
        <f ca="1">IF(COUNTIF($X$2:X1067,INT(A82))=1,VLOOKUP(INT(A82),X:Y,2), IF(ISERROR(H82-2),"",I81*(1-$D$8*(H82-H81)*0.0001)))</f>
        <v>266.14510000000001</v>
      </c>
      <c r="J82" s="41">
        <f t="shared" ca="1" si="18"/>
        <v>266.14510000000001</v>
      </c>
      <c r="K82" s="43">
        <f t="shared" ca="1" si="19"/>
        <v>139099.74259974511</v>
      </c>
      <c r="L82" s="43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4">
        <f ca="1">IF(ISERROR(B82-2),"",C82+D82-F82-G82-K82+SUM($L$14:L82))</f>
        <v>-58225.801582745509</v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W82" s="3">
        <v>46169.625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2"/>
        <v>45891</v>
      </c>
    </row>
    <row r="83" spans="1:30" x14ac:dyDescent="0.25">
      <c r="A83" s="39">
        <f t="shared" ca="1" si="13"/>
        <v>46154.625</v>
      </c>
      <c r="B83" s="40">
        <f ca="1">IF(COUNTIF($W$2:W1068,A83)=1,VLOOKUP(A83,O:P,2), IF(COUNTIF($W$2:W1068,A83)=0,$B$9,""))</f>
        <v>91.28</v>
      </c>
      <c r="C83" s="2">
        <f t="shared" ca="1" si="14"/>
        <v>-787283.9769575391</v>
      </c>
      <c r="D83" s="43">
        <f t="shared" ca="1" si="15"/>
        <v>-231875.00000000003</v>
      </c>
      <c r="E83" s="40">
        <f ca="1">IF(COUNTIF($W$2:W1068,A83)=1,VLOOKUP(A83,Q:R,2), IF(COUNTIF($W$2:W1068,A83)=0,$C$9,""))</f>
        <v>99.322999999999993</v>
      </c>
      <c r="F83" s="2">
        <f t="shared" ca="1" si="16"/>
        <v>-329420.00000000262</v>
      </c>
      <c r="G83" s="43">
        <f t="shared" ca="1" si="17"/>
        <v>-1073.8000000000175</v>
      </c>
      <c r="H83" s="40">
        <f ca="1">IF(COUNTIF($W$2:W1068,A83)=1,VLOOKUP(A83,S:T,2), IF(COUNTIF($W$2:W1068,A83)=0,$D$9,""))</f>
        <v>283.721</v>
      </c>
      <c r="I83" s="41">
        <f ca="1">IF(COUNTIF($X$2:X1068,INT(A83))=1,VLOOKUP(INT(A83),X:Y,2), IF(ISERROR(H83-2),"",I82*(1-$D$8*(H83-H82)*0.0001)))</f>
        <v>265.19240000000002</v>
      </c>
      <c r="J83" s="41">
        <f t="shared" ca="1" si="18"/>
        <v>265.19240000000002</v>
      </c>
      <c r="K83" s="43">
        <f t="shared" ca="1" si="19"/>
        <v>71662.805662807339</v>
      </c>
      <c r="L83" s="43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4">
        <f ca="1">IF(ISERROR(B83-2),"",C83+D83-F83-G83-K83+SUM($L$14:L83))</f>
        <v>-14552.433228408685</v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W83" s="3">
        <v>46170.625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2"/>
        <v>45895</v>
      </c>
    </row>
    <row r="84" spans="1:30" x14ac:dyDescent="0.25">
      <c r="A84" s="39">
        <f t="shared" ca="1" si="13"/>
        <v>46155.625</v>
      </c>
      <c r="B84" s="40">
        <f ca="1">IF(COUNTIF($W$2:W1069,A84)=1,VLOOKUP(A84,O:P,2), IF(COUNTIF($W$2:W1069,A84)=0,$B$9,""))</f>
        <v>91.31</v>
      </c>
      <c r="C84" s="2">
        <f t="shared" ca="1" si="14"/>
        <v>-777682.95284830197</v>
      </c>
      <c r="D84" s="43">
        <f t="shared" ca="1" si="15"/>
        <v>-234083.33333333331</v>
      </c>
      <c r="E84" s="40">
        <f ca="1">IF(COUNTIF($W$2:W1069,A84)=1,VLOOKUP(A84,Q:R,2), IF(COUNTIF($W$2:W1069,A84)=0,$C$9,""))</f>
        <v>99.292000000000002</v>
      </c>
      <c r="F84" s="2">
        <f t="shared" ca="1" si="16"/>
        <v>-337480.00000000047</v>
      </c>
      <c r="G84" s="43">
        <f t="shared" ca="1" si="17"/>
        <v>-1084.026666666643</v>
      </c>
      <c r="H84" s="40">
        <f ca="1">IF(COUNTIF($W$2:W1069,A84)=1,VLOOKUP(A84,S:T,2), IF(COUNTIF($W$2:W1069,A84)=0,$D$9,""))</f>
        <v>280.03899999999999</v>
      </c>
      <c r="I84" s="41">
        <f ca="1">IF(COUNTIF($X$2:X1069,INT(A84))=1,VLOOKUP(INT(A84),X:Y,2), IF(ISERROR(H84-2),"",I83*(1-$D$8*(H84-H83)*0.0001)))</f>
        <v>265.76659999999998</v>
      </c>
      <c r="J84" s="41">
        <f t="shared" ca="1" si="18"/>
        <v>265.76659999999998</v>
      </c>
      <c r="K84" s="43">
        <f t="shared" ca="1" si="19"/>
        <v>112307.59330759221</v>
      </c>
      <c r="L84" s="43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4">
        <f ca="1">IF(ISERROR(B84-2),"",C84+D84-F84-G84-K84+SUM($L$14:L84))</f>
        <v>-39734.303430625238</v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W84" s="3">
        <v>46171.625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2"/>
        <v>45896</v>
      </c>
    </row>
    <row r="85" spans="1:30" x14ac:dyDescent="0.25">
      <c r="A85" s="39">
        <f t="shared" ca="1" si="13"/>
        <v>46156.625</v>
      </c>
      <c r="B85" s="40">
        <f ca="1">IF(COUNTIF($W$2:W1070,A85)=1,VLOOKUP(A85,O:P,2), IF(COUNTIF($W$2:W1070,A85)=0,$B$9,""))</f>
        <v>91.4</v>
      </c>
      <c r="C85" s="2">
        <f t="shared" ca="1" si="14"/>
        <v>-748879.88052058429</v>
      </c>
      <c r="D85" s="43">
        <f t="shared" ca="1" si="15"/>
        <v>-236291.66666666669</v>
      </c>
      <c r="E85" s="40">
        <f ca="1">IF(COUNTIF($W$2:W1070,A85)=1,VLOOKUP(A85,Q:R,2), IF(COUNTIF($W$2:W1070,A85)=0,$C$9,""))</f>
        <v>99.430999999999997</v>
      </c>
      <c r="F85" s="2">
        <f t="shared" ca="1" si="16"/>
        <v>-301340.00000000157</v>
      </c>
      <c r="G85" s="43">
        <f t="shared" ca="1" si="17"/>
        <v>-1094.2533333333558</v>
      </c>
      <c r="H85" s="40">
        <f ca="1">IF(COUNTIF($W$2:W1070,A85)=1,VLOOKUP(A85,S:T,2), IF(COUNTIF($W$2:W1070,A85)=0,$D$9,""))</f>
        <v>274.584</v>
      </c>
      <c r="I85" s="41">
        <f ca="1">IF(COUNTIF($X$2:X1070,INT(A85))=1,VLOOKUP(INT(A85),X:Y,2), IF(ISERROR(H85-2),"",I84*(1-$D$8*(H85-H84)*0.0001)))</f>
        <v>266.41410000000002</v>
      </c>
      <c r="J85" s="41">
        <f t="shared" ca="1" si="18"/>
        <v>266.41410000000002</v>
      </c>
      <c r="K85" s="43">
        <f t="shared" ca="1" si="19"/>
        <v>158140.92664092954</v>
      </c>
      <c r="L85" s="43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4">
        <f ca="1">IF(ISERROR(B85-2),"",C85+D85-F85-G85-K85+SUM($L$14:L85))</f>
        <v>-95102.671102910419</v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W85" s="3">
        <v>46174.625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2"/>
        <v>45897</v>
      </c>
    </row>
    <row r="86" spans="1:30" x14ac:dyDescent="0.25">
      <c r="A86" s="39">
        <f t="shared" ca="1" si="13"/>
        <v>46157.625</v>
      </c>
      <c r="B86" s="40">
        <f ca="1">IF(COUNTIF($W$2:W1071,A86)=1,VLOOKUP(A86,O:P,2), IF(COUNTIF($W$2:W1071,A86)=0,$B$9,""))</f>
        <v>91.28</v>
      </c>
      <c r="C86" s="2">
        <f t="shared" ca="1" si="14"/>
        <v>-787283.9769575391</v>
      </c>
      <c r="D86" s="43">
        <f t="shared" ca="1" si="15"/>
        <v>-238499.99999999997</v>
      </c>
      <c r="E86" s="40">
        <f ca="1">IF(COUNTIF($W$2:W1071,A86)=1,VLOOKUP(A86,Q:R,2), IF(COUNTIF($W$2:W1071,A86)=0,$C$9,""))</f>
        <v>99.259</v>
      </c>
      <c r="F86" s="2">
        <f t="shared" ca="1" si="16"/>
        <v>-346060.00000000076</v>
      </c>
      <c r="G86" s="43">
        <f t="shared" ca="1" si="17"/>
        <v>-1104.4800000000105</v>
      </c>
      <c r="H86" s="40">
        <f ca="1">IF(COUNTIF($W$2:W1071,A86)=1,VLOOKUP(A86,S:T,2), IF(COUNTIF($W$2:W1071,A86)=0,$D$9,""))</f>
        <v>280.37200000000001</v>
      </c>
      <c r="I86" s="41">
        <f ca="1">IF(COUNTIF($X$2:X1071,INT(A86))=1,VLOOKUP(INT(A86),X:Y,2), IF(ISERROR(H86-2),"",I85*(1-$D$8*(H86-H85)*0.0001)))</f>
        <v>265.51639999999998</v>
      </c>
      <c r="J86" s="41">
        <f t="shared" ca="1" si="18"/>
        <v>265.51639999999998</v>
      </c>
      <c r="K86" s="43">
        <f t="shared" ca="1" si="19"/>
        <v>94597.168597164811</v>
      </c>
      <c r="L86" s="43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4">
        <f ca="1">IF(ISERROR(B86-2),"",C86+D86-F86-G86-K86+SUM($L$14:L86))</f>
        <v>-27441.116162768099</v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W86" s="3">
        <v>46175.625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2"/>
        <v>45898</v>
      </c>
    </row>
    <row r="87" spans="1:30" x14ac:dyDescent="0.25">
      <c r="A87" s="39">
        <f t="shared" ca="1" si="13"/>
        <v>46160.625</v>
      </c>
      <c r="B87" s="40">
        <f ca="1">IF(COUNTIF($W$2:W1072,A87)=1,VLOOKUP(A87,O:P,2), IF(COUNTIF($W$2:W1072,A87)=0,$B$9,""))</f>
        <v>91.22</v>
      </c>
      <c r="C87" s="2">
        <f t="shared" ca="1" si="14"/>
        <v>-806486.02517601638</v>
      </c>
      <c r="D87" s="43">
        <f t="shared" ca="1" si="15"/>
        <v>-245125</v>
      </c>
      <c r="E87" s="40">
        <f ca="1">IF(COUNTIF($W$2:W1072,A87)=1,VLOOKUP(A87,Q:R,2), IF(COUNTIF($W$2:W1072,A87)=0,$C$9,""))</f>
        <v>99.296000000000006</v>
      </c>
      <c r="F87" s="2">
        <f t="shared" ca="1" si="16"/>
        <v>-336439.99999999919</v>
      </c>
      <c r="G87" s="43">
        <f t="shared" ca="1" si="17"/>
        <v>-1135.1600000000035</v>
      </c>
      <c r="H87" s="40">
        <f ca="1">IF(COUNTIF($W$2:W1072,A87)=1,VLOOKUP(A87,S:T,2), IF(COUNTIF($W$2:W1072,A87)=0,$D$9,""))</f>
        <v>279.00200000000001</v>
      </c>
      <c r="I87" s="41">
        <f ca="1">IF(COUNTIF($X$2:X1072,INT(A87))=1,VLOOKUP(INT(A87),X:Y,2), IF(ISERROR(H87-2),"",I86*(1-$D$8*(H87-H86)*0.0001)))</f>
        <v>265.6705</v>
      </c>
      <c r="J87" s="41">
        <f t="shared" ca="1" si="18"/>
        <v>265.6705</v>
      </c>
      <c r="K87" s="43">
        <f t="shared" ca="1" si="19"/>
        <v>105505.14800514976</v>
      </c>
      <c r="L87" s="43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4">
        <f ca="1">IF(ISERROR(B87-2),"",C87+D87-F87-G87-K87+SUM($L$14:L87))</f>
        <v>-73765.463789231842</v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W87" s="3">
        <v>46176.625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2"/>
        <v>45901</v>
      </c>
    </row>
    <row r="88" spans="1:30" x14ac:dyDescent="0.25">
      <c r="A88" s="39">
        <f t="shared" ca="1" si="13"/>
        <v>46161.625</v>
      </c>
      <c r="B88" s="40">
        <f ca="1">IF(COUNTIF($W$2:W1073,A88)=1,VLOOKUP(A88,O:P,2), IF(COUNTIF($W$2:W1073,A88)=0,$B$9,""))</f>
        <v>90.83</v>
      </c>
      <c r="C88" s="2">
        <f t="shared" ca="1" si="14"/>
        <v>-931299.33859611431</v>
      </c>
      <c r="D88" s="43">
        <f t="shared" ca="1" si="15"/>
        <v>-247333.33333333334</v>
      </c>
      <c r="E88" s="40">
        <f ca="1">IF(COUNTIF($W$2:W1073,A88)=1,VLOOKUP(A88,Q:R,2), IF(COUNTIF($W$2:W1073,A88)=0,$C$9,""))</f>
        <v>99.180999999999997</v>
      </c>
      <c r="F88" s="2">
        <f t="shared" ca="1" si="16"/>
        <v>-366340.00000000157</v>
      </c>
      <c r="G88" s="43">
        <f t="shared" ca="1" si="17"/>
        <v>-1145.3866666666581</v>
      </c>
      <c r="H88" s="40">
        <f ca="1">IF(COUNTIF($W$2:W1073,A88)=1,VLOOKUP(A88,S:T,2), IF(COUNTIF($W$2:W1073,A88)=0,$D$9,""))</f>
        <v>285.488</v>
      </c>
      <c r="I88" s="41">
        <f ca="1">IF(COUNTIF($X$2:X1073,INT(A88))=1,VLOOKUP(INT(A88),X:Y,2), IF(ISERROR(H88-2),"",I87*(1-$D$8*(H88-H87)*0.0001)))</f>
        <v>265.08920000000001</v>
      </c>
      <c r="J88" s="41">
        <f t="shared" ca="1" si="18"/>
        <v>265.08920000000001</v>
      </c>
      <c r="K88" s="43">
        <f t="shared" ca="1" si="19"/>
        <v>64357.786357786084</v>
      </c>
      <c r="L88" s="43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4">
        <f ca="1">IF(ISERROR(B88-2),"",C88+D88-F88-G88-K88+SUM($L$14:L88))</f>
        <v>-129729.52222863026</v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W88" s="3">
        <v>46177.625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2"/>
        <v>45902</v>
      </c>
    </row>
    <row r="89" spans="1:30" x14ac:dyDescent="0.25">
      <c r="A89" s="39">
        <f t="shared" ca="1" si="13"/>
        <v>46162.625</v>
      </c>
      <c r="B89" s="40">
        <f ca="1">IF(COUNTIF($W$2:W1074,A89)=1,VLOOKUP(A89,O:P,2), IF(COUNTIF($W$2:W1074,A89)=0,$B$9,""))</f>
        <v>91.06</v>
      </c>
      <c r="C89" s="2">
        <f t="shared" ca="1" si="14"/>
        <v>-857691.48709195503</v>
      </c>
      <c r="D89" s="43">
        <f t="shared" ca="1" si="15"/>
        <v>-249541.66666666669</v>
      </c>
      <c r="E89" s="40">
        <f ca="1">IF(COUNTIF($W$2:W1074,A89)=1,VLOOKUP(A89,Q:R,2), IF(COUNTIF($W$2:W1074,A89)=0,$C$9,""))</f>
        <v>99.39</v>
      </c>
      <c r="F89" s="2">
        <f t="shared" ca="1" si="16"/>
        <v>-312000.00000000076</v>
      </c>
      <c r="G89" s="43">
        <f t="shared" ca="1" si="17"/>
        <v>-1155.6133333333419</v>
      </c>
      <c r="H89" s="40">
        <f ca="1">IF(COUNTIF($W$2:W1074,A89)=1,VLOOKUP(A89,S:T,2), IF(COUNTIF($W$2:W1074,A89)=0,$D$9,""))</f>
        <v>278.315</v>
      </c>
      <c r="I89" s="41">
        <f ca="1">IF(COUNTIF($X$2:X1074,INT(A89))=1,VLOOKUP(INT(A89),X:Y,2), IF(ISERROR(H89-2),"",I88*(1-$D$8*(H89-H88)*0.0001)))</f>
        <v>266.18329999999997</v>
      </c>
      <c r="J89" s="41">
        <f t="shared" ca="1" si="18"/>
        <v>266.18329999999997</v>
      </c>
      <c r="K89" s="43">
        <f t="shared" ca="1" si="19"/>
        <v>141803.73230372972</v>
      </c>
      <c r="L89" s="43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4">
        <f ca="1">IF(ISERROR(B89-2),"",C89+D89-F89-G89-K89+SUM($L$14:L89))</f>
        <v>-190105.72333708243</v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W89" s="3">
        <v>46178.625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2"/>
        <v>45903</v>
      </c>
    </row>
    <row r="90" spans="1:30" x14ac:dyDescent="0.25">
      <c r="A90" s="39">
        <f t="shared" ca="1" si="13"/>
        <v>46163.625</v>
      </c>
      <c r="B90" s="40">
        <f ca="1">IF(COUNTIF($W$2:W1075,A90)=1,VLOOKUP(A90,O:P,2), IF(COUNTIF($W$2:W1075,A90)=0,$B$9,""))</f>
        <v>91.15</v>
      </c>
      <c r="C90" s="2">
        <f t="shared" ca="1" si="14"/>
        <v>-828888.41476423724</v>
      </c>
      <c r="D90" s="43">
        <f t="shared" ca="1" si="15"/>
        <v>-251749.99999999997</v>
      </c>
      <c r="E90" s="40">
        <f ca="1">IF(COUNTIF($W$2:W1075,A90)=1,VLOOKUP(A90,Q:R,2), IF(COUNTIF($W$2:W1075,A90)=0,$C$9,""))</f>
        <v>99.37</v>
      </c>
      <c r="F90" s="2">
        <f t="shared" ca="1" si="16"/>
        <v>-317199.99999999971</v>
      </c>
      <c r="G90" s="43">
        <f t="shared" ca="1" si="17"/>
        <v>-1165.8399999999965</v>
      </c>
      <c r="H90" s="40">
        <f ca="1">IF(COUNTIF($W$2:W1075,A90)=1,VLOOKUP(A90,S:T,2), IF(COUNTIF($W$2:W1075,A90)=0,$D$9,""))</f>
        <v>279.541</v>
      </c>
      <c r="I90" s="41">
        <f ca="1">IF(COUNTIF($X$2:X1075,INT(A90))=1,VLOOKUP(INT(A90),X:Y,2), IF(ISERROR(H90-2),"",I89*(1-$D$8*(H90-H89)*0.0001)))</f>
        <v>265.81610000000001</v>
      </c>
      <c r="J90" s="41">
        <f t="shared" ca="1" si="18"/>
        <v>265.81610000000001</v>
      </c>
      <c r="K90" s="43">
        <f t="shared" ca="1" si="19"/>
        <v>115811.45431145377</v>
      </c>
      <c r="L90" s="43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4">
        <f ca="1">IF(ISERROR(B90-2),"",C90+D90-F90-G90-K90+SUM($L$14:L90))</f>
        <v>-132308.47968375601</v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W90" s="3">
        <v>46181.625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2"/>
        <v>45904</v>
      </c>
    </row>
    <row r="91" spans="1:30" x14ac:dyDescent="0.25">
      <c r="A91" s="39">
        <f t="shared" ca="1" si="13"/>
        <v>46164.625</v>
      </c>
      <c r="B91" s="40">
        <f ca="1">IF(COUNTIF($W$2:W1076,A91)=1,VLOOKUP(A91,O:P,2), IF(COUNTIF($W$2:W1076,A91)=0,$B$9,""))</f>
        <v>91.28</v>
      </c>
      <c r="C91" s="2">
        <f t="shared" ca="1" si="14"/>
        <v>-787283.9769575391</v>
      </c>
      <c r="D91" s="43">
        <f t="shared" ca="1" si="15"/>
        <v>-253958.33333333328</v>
      </c>
      <c r="E91" s="40">
        <f ca="1">IF(COUNTIF($W$2:W1076,A91)=1,VLOOKUP(A91,Q:R,2), IF(COUNTIF($W$2:W1076,A91)=0,$C$9,""))</f>
        <v>99.453999999999994</v>
      </c>
      <c r="F91" s="2">
        <f t="shared" ca="1" si="16"/>
        <v>-295360.00000000256</v>
      </c>
      <c r="G91" s="43">
        <f t="shared" ca="1" si="17"/>
        <v>-1176.0666666666802</v>
      </c>
      <c r="H91" s="40">
        <f ca="1">IF(COUNTIF($W$2:W1076,A91)=1,VLOOKUP(A91,S:T,2), IF(COUNTIF($W$2:W1076,A91)=0,$D$9,""))</f>
        <v>273.86200000000002</v>
      </c>
      <c r="I91" s="41">
        <f ca="1">IF(COUNTIF($X$2:X1076,INT(A91))=1,VLOOKUP(INT(A91),X:Y,2), IF(ISERROR(H91-2),"",I90*(1-$D$8*(H91-H90)*0.0001)))</f>
        <v>266.66180000000003</v>
      </c>
      <c r="J91" s="41">
        <f t="shared" ca="1" si="18"/>
        <v>266.66180000000003</v>
      </c>
      <c r="K91" s="43">
        <f t="shared" ca="1" si="19"/>
        <v>175674.38867439001</v>
      </c>
      <c r="L91" s="43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4">
        <f ca="1">IF(ISERROR(B91-2),"",C91+D91-F91-G91-K91+SUM($L$14:L91))</f>
        <v>-174605.08290665806</v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W91" s="3">
        <v>46182.625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2"/>
        <v>45905</v>
      </c>
    </row>
    <row r="92" spans="1:30" x14ac:dyDescent="0.25">
      <c r="A92" s="39">
        <f t="shared" ca="1" si="13"/>
        <v>46168.625</v>
      </c>
      <c r="B92" s="40">
        <f ca="1">IF(COUNTIF($W$2:W1077,A92)=1,VLOOKUP(A92,O:P,2), IF(COUNTIF($W$2:W1077,A92)=0,$B$9,""))</f>
        <v>91.51</v>
      </c>
      <c r="C92" s="2">
        <f t="shared" ca="1" si="14"/>
        <v>-713676.1254533797</v>
      </c>
      <c r="D92" s="43">
        <f t="shared" ca="1" si="15"/>
        <v>-262791.66666666669</v>
      </c>
      <c r="E92" s="40">
        <f ca="1">IF(COUNTIF($W$2:W1077,A92)=1,VLOOKUP(A92,Q:R,2), IF(COUNTIF($W$2:W1077,A92)=0,$C$9,""))</f>
        <v>99.56</v>
      </c>
      <c r="F92" s="2">
        <f t="shared" ca="1" si="16"/>
        <v>-267800.00000000029</v>
      </c>
      <c r="G92" s="43">
        <f t="shared" ca="1" si="17"/>
        <v>-1216.973333333357</v>
      </c>
      <c r="H92" s="40">
        <f ca="1">IF(COUNTIF($W$2:W1077,A92)=1,VLOOKUP(A92,S:T,2), IF(COUNTIF($W$2:W1077,A92)=0,$D$9,""))</f>
        <v>268.83499999999998</v>
      </c>
      <c r="I92" s="41">
        <f ca="1">IF(COUNTIF($X$2:X1077,INT(A92))=1,VLOOKUP(INT(A92),X:Y,2), IF(ISERROR(H92-2),"",I91*(1-$D$8*(H92-H91)*0.0001)))</f>
        <v>267.40750000000003</v>
      </c>
      <c r="J92" s="41">
        <f t="shared" ca="1" si="18"/>
        <v>267.40750000000003</v>
      </c>
      <c r="K92" s="43">
        <f t="shared" ca="1" si="19"/>
        <v>228458.81595881886</v>
      </c>
      <c r="L92" s="43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4">
        <f ca="1">IF(ISERROR(B92-2),"",C92+D92-F92-G92-K92+SUM($L$14:L92))</f>
        <v>-190134.0853535966</v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W92" s="3">
        <v>46183.625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2"/>
        <v>45908</v>
      </c>
    </row>
    <row r="93" spans="1:30" x14ac:dyDescent="0.25">
      <c r="A93" s="39">
        <f t="shared" ca="1" si="13"/>
        <v>46169.625</v>
      </c>
      <c r="B93" s="40">
        <f ca="1">IF(COUNTIF($W$2:W1078,A93)=1,VLOOKUP(A93,O:P,2), IF(COUNTIF($W$2:W1078,A93)=0,$B$9,""))</f>
        <v>91.58</v>
      </c>
      <c r="C93" s="2">
        <f t="shared" ca="1" si="14"/>
        <v>-691273.73586515884</v>
      </c>
      <c r="D93" s="43">
        <f t="shared" ca="1" si="15"/>
        <v>-264999.99999999994</v>
      </c>
      <c r="E93" s="40">
        <f ca="1">IF(COUNTIF($W$2:W1078,A93)=1,VLOOKUP(A93,Q:R,2), IF(COUNTIF($W$2:W1078,A93)=0,$C$9,""))</f>
        <v>99.588999999999999</v>
      </c>
      <c r="F93" s="2">
        <f t="shared" ca="1" si="16"/>
        <v>-260260.00000000125</v>
      </c>
      <c r="G93" s="43">
        <f t="shared" ca="1" si="17"/>
        <v>-1227.2000000000116</v>
      </c>
      <c r="H93" s="40">
        <f ca="1">IF(COUNTIF($W$2:W1078,A93)=1,VLOOKUP(A93,S:T,2), IF(COUNTIF($W$2:W1078,A93)=0,$D$9,""))</f>
        <v>266.55900000000003</v>
      </c>
      <c r="I93" s="41">
        <f ca="1">IF(COUNTIF($X$2:X1078,INT(A93))=1,VLOOKUP(INT(A93),X:Y,2), IF(ISERROR(H93-2),"",I92*(1-$D$8*(H93-H92)*0.0001)))</f>
        <v>267.66390000000001</v>
      </c>
      <c r="J93" s="41">
        <f t="shared" ca="1" si="18"/>
        <v>267.66390000000001</v>
      </c>
      <c r="K93" s="43">
        <f t="shared" ca="1" si="19"/>
        <v>246608.10810810883</v>
      </c>
      <c r="L93" s="43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4">
        <f ca="1">IF(ISERROR(B93-2),"",C93+D93-F93-G93-K93+SUM($L$14:L93))</f>
        <v>-195619.09458133113</v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W93" s="3">
        <v>46184.625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2"/>
        <v>45909</v>
      </c>
    </row>
    <row r="94" spans="1:30" x14ac:dyDescent="0.25">
      <c r="A94" s="39">
        <f t="shared" ca="1" si="13"/>
        <v>46170.625</v>
      </c>
      <c r="B94" s="40">
        <f ca="1">IF(COUNTIF($W$2:W1079,A94)=1,VLOOKUP(A94,O:P,2), IF(COUNTIF($W$2:W1079,A94)=0,$B$9,""))</f>
        <v>91.7</v>
      </c>
      <c r="C94" s="2">
        <f t="shared" ca="1" si="14"/>
        <v>-652869.63942820404</v>
      </c>
      <c r="D94" s="43">
        <f t="shared" ca="1" si="15"/>
        <v>-267208.33333333331</v>
      </c>
      <c r="E94" s="40">
        <f ca="1">IF(COUNTIF($W$2:W1079,A94)=1,VLOOKUP(A94,Q:R,2), IF(COUNTIF($W$2:W1079,A94)=0,$C$9,""))</f>
        <v>99.653999999999996</v>
      </c>
      <c r="F94" s="2">
        <f t="shared" ca="1" si="16"/>
        <v>-243360.0000000018</v>
      </c>
      <c r="G94" s="43">
        <f t="shared" ca="1" si="17"/>
        <v>-1237.4266666666663</v>
      </c>
      <c r="H94" s="40">
        <f ca="1">IF(COUNTIF($W$2:W1079,A94)=1,VLOOKUP(A94,S:T,2), IF(COUNTIF($W$2:W1079,A94)=0,$D$9,""))</f>
        <v>264.23200000000003</v>
      </c>
      <c r="I94" s="41">
        <f ca="1">IF(COUNTIF($X$2:X1079,INT(A94))=1,VLOOKUP(INT(A94),X:Y,2), IF(ISERROR(H94-2),"",I93*(1-$D$8*(H94-H93)*0.0001)))</f>
        <v>268.21620000000001</v>
      </c>
      <c r="J94" s="41">
        <f t="shared" ca="1" si="18"/>
        <v>268.21620000000001</v>
      </c>
      <c r="K94" s="43">
        <f t="shared" ca="1" si="19"/>
        <v>285702.7027027033</v>
      </c>
      <c r="L94" s="43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4">
        <f ca="1">IF(ISERROR(B94-2),"",C94+D94-F94-G94-K94+SUM($L$14:L94))</f>
        <v>-215407.6994056371</v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W94" s="3">
        <v>46185.625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2"/>
        <v>45910</v>
      </c>
    </row>
    <row r="95" spans="1:30" x14ac:dyDescent="0.25">
      <c r="A95" s="39">
        <f t="shared" ca="1" si="13"/>
        <v>46171.625</v>
      </c>
      <c r="B95" s="40">
        <f ca="1">IF(COUNTIF($W$2:W1080,A95)=1,VLOOKUP(A95,O:P,2), IF(COUNTIF($W$2:W1080,A95)=0,$B$9,""))</f>
        <v>91.85</v>
      </c>
      <c r="C95" s="2">
        <f t="shared" ca="1" si="14"/>
        <v>-604864.5188820156</v>
      </c>
      <c r="D95" s="43">
        <f t="shared" ca="1" si="15"/>
        <v>-269416.66666666669</v>
      </c>
      <c r="E95" s="40">
        <f ca="1">IF(COUNTIF($W$2:W1080,A95)=1,VLOOKUP(A95,Q:R,2), IF(COUNTIF($W$2:W1080,A95)=0,$C$9,""))</f>
        <v>99.679000000000002</v>
      </c>
      <c r="F95" s="2">
        <f t="shared" ca="1" si="16"/>
        <v>-236860.00000000035</v>
      </c>
      <c r="G95" s="43">
        <f t="shared" ca="1" si="17"/>
        <v>-1247.65333333335</v>
      </c>
      <c r="H95" s="40">
        <f ca="1">IF(COUNTIF($W$2:W1080,A95)=1,VLOOKUP(A95,S:T,2), IF(COUNTIF($W$2:W1080,A95)=0,$D$9,""))</f>
        <v>258.70600000000002</v>
      </c>
      <c r="I95" s="41">
        <f ca="1">IF(COUNTIF($X$2:X1080,INT(A95))=1,VLOOKUP(INT(A95),X:Y,2), IF(ISERROR(H95-2),"",I94*(1-$D$8*(H95-H94)*0.0001)))</f>
        <v>268.76229999999998</v>
      </c>
      <c r="J95" s="41">
        <f t="shared" ca="1" si="18"/>
        <v>268.76229999999998</v>
      </c>
      <c r="K95" s="43">
        <f t="shared" ca="1" si="19"/>
        <v>324358.42985842697</v>
      </c>
      <c r="L95" s="43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4">
        <f ca="1">IF(ISERROR(B95-2),"",C95+D95-F95-G95-K95+SUM($L$14:L95))</f>
        <v>-214756.41268184036</v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W95" s="3">
        <v>46188.625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2"/>
        <v>45911</v>
      </c>
    </row>
    <row r="96" spans="1:30" x14ac:dyDescent="0.25">
      <c r="A96" s="39">
        <f t="shared" ca="1" si="13"/>
        <v>46174.625</v>
      </c>
      <c r="B96" s="40">
        <f ca="1">IF(COUNTIF($W$2:W1081,A96)=1,VLOOKUP(A96,O:P,2), IF(COUNTIF($W$2:W1081,A96)=0,$B$9,""))</f>
        <v>91.65</v>
      </c>
      <c r="C96" s="2">
        <f t="shared" ca="1" si="14"/>
        <v>-668871.34627693135</v>
      </c>
      <c r="D96" s="43">
        <f t="shared" ca="1" si="15"/>
        <v>-276041.66666666669</v>
      </c>
      <c r="E96" s="40">
        <f ca="1">IF(COUNTIF($W$2:W1081,A96)=1,VLOOKUP(A96,Q:R,2), IF(COUNTIF($W$2:W1081,A96)=0,$C$9,""))</f>
        <v>99.450999999999993</v>
      </c>
      <c r="F96" s="2">
        <f t="shared" ca="1" si="16"/>
        <v>-296140.00000000262</v>
      </c>
      <c r="G96" s="43">
        <f t="shared" ca="1" si="17"/>
        <v>-1278.333333333343</v>
      </c>
      <c r="H96" s="40">
        <f ca="1">IF(COUNTIF($W$2:W1081,A96)=1,VLOOKUP(A96,S:T,2), IF(COUNTIF($W$2:W1081,A96)=0,$D$9,""))</f>
        <v>265.43599999999998</v>
      </c>
      <c r="I96" s="41">
        <f ca="1">IF(COUNTIF($X$2:X1081,INT(A96))=1,VLOOKUP(INT(A96),X:Y,2), IF(ISERROR(H96-2),"",I95*(1-$D$8*(H96-H95)*0.0001)))</f>
        <v>268.39839999999998</v>
      </c>
      <c r="J96" s="41">
        <f t="shared" ca="1" si="18"/>
        <v>268.39839999999998</v>
      </c>
      <c r="K96" s="43">
        <f t="shared" ca="1" si="19"/>
        <v>298599.74259974121</v>
      </c>
      <c r="L96" s="43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4">
        <f ca="1">IF(ISERROR(B96-2),"",C96+D96-F96-G96-K96+SUM($L$14:L96))</f>
        <v>-200318.87281806814</v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W96" s="3">
        <v>46189.625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2"/>
        <v>45912</v>
      </c>
    </row>
    <row r="97" spans="1:30" x14ac:dyDescent="0.25">
      <c r="A97" s="39">
        <f t="shared" ca="1" si="13"/>
        <v>46175.625</v>
      </c>
      <c r="B97" s="40">
        <f ca="1">IF(COUNTIF($W$2:W1082,A97)=1,VLOOKUP(A97,O:P,2), IF(COUNTIF($W$2:W1082,A97)=0,$B$9,""))</f>
        <v>91.88</v>
      </c>
      <c r="C97" s="2">
        <f t="shared" ca="1" si="14"/>
        <v>-595263.49477277533</v>
      </c>
      <c r="D97" s="43">
        <f t="shared" ca="1" si="15"/>
        <v>-278249.99999999994</v>
      </c>
      <c r="E97" s="40">
        <f ca="1">IF(COUNTIF($W$2:W1082,A97)=1,VLOOKUP(A97,Q:R,2), IF(COUNTIF($W$2:W1082,A97)=0,$C$9,""))</f>
        <v>99.534999999999997</v>
      </c>
      <c r="F97" s="2">
        <f t="shared" ca="1" si="16"/>
        <v>-274300.00000000175</v>
      </c>
      <c r="G97" s="43">
        <f t="shared" ca="1" si="17"/>
        <v>-1288.5599999999977</v>
      </c>
      <c r="H97" s="40">
        <f ca="1">IF(COUNTIF($W$2:W1082,A97)=1,VLOOKUP(A97,S:T,2), IF(COUNTIF($W$2:W1082,A97)=0,$D$9,""))</f>
        <v>258.46100000000001</v>
      </c>
      <c r="I97" s="41">
        <f ca="1">IF(COUNTIF($X$2:X1082,INT(A97))=1,VLOOKUP(INT(A97),X:Y,2), IF(ISERROR(H97-2),"",I96*(1-$D$8*(H97-H96)*0.0001)))</f>
        <v>268.89879999999999</v>
      </c>
      <c r="J97" s="41">
        <f t="shared" ca="1" si="18"/>
        <v>268.89879999999999</v>
      </c>
      <c r="K97" s="43">
        <f t="shared" ca="1" si="19"/>
        <v>334020.5920205919</v>
      </c>
      <c r="L97" s="43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4">
        <f ca="1">IF(ISERROR(B97-2),"",C97+D97-F97-G97-K97+SUM($L$14:L97))</f>
        <v>-186169.97740143049</v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W97" s="3">
        <v>46190.625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2"/>
        <v>45915</v>
      </c>
    </row>
    <row r="98" spans="1:30" x14ac:dyDescent="0.25">
      <c r="A98" s="39">
        <f t="shared" ca="1" si="13"/>
        <v>46176.625</v>
      </c>
      <c r="B98" s="40">
        <f ca="1">IF(COUNTIF($W$2:W1083,A98)=1,VLOOKUP(A98,O:P,2), IF(COUNTIF($W$2:W1083,A98)=0,$B$9,""))</f>
        <v>91.75</v>
      </c>
      <c r="C98" s="2">
        <f t="shared" ca="1" si="14"/>
        <v>-636867.93257947348</v>
      </c>
      <c r="D98" s="43">
        <f t="shared" ca="1" si="15"/>
        <v>-280458.33333333331</v>
      </c>
      <c r="E98" s="40">
        <f ca="1">IF(COUNTIF($W$2:W1083,A98)=1,VLOOKUP(A98,Q:R,2), IF(COUNTIF($W$2:W1083,A98)=0,$C$9,""))</f>
        <v>99.421999999999997</v>
      </c>
      <c r="F98" s="2">
        <f t="shared" ca="1" si="16"/>
        <v>-303680.00000000163</v>
      </c>
      <c r="G98" s="43">
        <f t="shared" ca="1" si="17"/>
        <v>-1298.7866666666523</v>
      </c>
      <c r="H98" s="40">
        <f ca="1">IF(COUNTIF($W$2:W1083,A98)=1,VLOOKUP(A98,S:T,2), IF(COUNTIF($W$2:W1083,A98)=0,$D$9,""))</f>
        <v>261.79599999999999</v>
      </c>
      <c r="I98" s="41">
        <f ca="1">IF(COUNTIF($X$2:X1083,INT(A98))=1,VLOOKUP(INT(A98),X:Y,2), IF(ISERROR(H98-2),"",I97*(1-$D$8*(H98-H97)*0.0001)))</f>
        <v>268.40789999999998</v>
      </c>
      <c r="J98" s="41">
        <f t="shared" ca="1" si="18"/>
        <v>268.40789999999998</v>
      </c>
      <c r="K98" s="43">
        <f t="shared" ca="1" si="19"/>
        <v>299272.20077219815</v>
      </c>
      <c r="L98" s="43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4">
        <f ca="1">IF(ISERROR(B98-2),"",C98+D98-F98-G98-K98+SUM($L$14:L98))</f>
        <v>-165844.13062640163</v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W98" s="3">
        <v>46191.625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2"/>
        <v>45916</v>
      </c>
    </row>
    <row r="99" spans="1:30" x14ac:dyDescent="0.25">
      <c r="A99" s="39">
        <f t="shared" ca="1" si="13"/>
        <v>46177.625</v>
      </c>
      <c r="B99" s="40">
        <f ca="1">IF(COUNTIF($W$2:W1084,A99)=1,VLOOKUP(A99,O:P,2), IF(COUNTIF($W$2:W1084,A99)=0,$B$9,""))</f>
        <v>91.74</v>
      </c>
      <c r="C99" s="2">
        <f t="shared" ca="1" si="14"/>
        <v>-640068.27394922031</v>
      </c>
      <c r="D99" s="43">
        <f t="shared" ca="1" si="15"/>
        <v>-282666.66666666669</v>
      </c>
      <c r="E99" s="40">
        <f ca="1">IF(COUNTIF($W$2:W1084,A99)=1,VLOOKUP(A99,Q:R,2), IF(COUNTIF($W$2:W1084,A99)=0,$C$9,""))</f>
        <v>99.430999999999997</v>
      </c>
      <c r="F99" s="2">
        <f t="shared" ca="1" si="16"/>
        <v>-301340.00000000157</v>
      </c>
      <c r="G99" s="43">
        <f t="shared" ca="1" si="17"/>
        <v>-1309.0133333333652</v>
      </c>
      <c r="H99" s="40">
        <f ca="1">IF(COUNTIF($W$2:W1084,A99)=1,VLOOKUP(A99,S:T,2), IF(COUNTIF($W$2:W1084,A99)=0,$D$9,""))</f>
        <v>261.392</v>
      </c>
      <c r="I99" s="41">
        <f ca="1">IF(COUNTIF($X$2:X1084,INT(A99))=1,VLOOKUP(INT(A99),X:Y,2), IF(ISERROR(H99-2),"",I98*(1-$D$8*(H99-H98)*0.0001)))</f>
        <v>268.64510000000001</v>
      </c>
      <c r="J99" s="41">
        <f t="shared" ca="1" si="18"/>
        <v>268.64510000000001</v>
      </c>
      <c r="K99" s="43">
        <f t="shared" ca="1" si="19"/>
        <v>316062.41956242156</v>
      </c>
      <c r="L99" s="43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4">
        <f ca="1">IF(ISERROR(B99-2),"",C99+D99-F99-G99-K99+SUM($L$14:L99))</f>
        <v>-190372.79745303839</v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W99" s="3">
        <v>46192.625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9">
        <f t="shared" ca="1" si="13"/>
        <v>46178.625</v>
      </c>
      <c r="B100" s="40">
        <f ca="1">IF(COUNTIF($W$2:W1085,A100)=1,VLOOKUP(A100,O:P,2), IF(COUNTIF($W$2:W1085,A100)=0,$B$9,""))</f>
        <v>91.71</v>
      </c>
      <c r="C100" s="2">
        <f t="shared" ca="1" si="14"/>
        <v>-649669.29805846058</v>
      </c>
      <c r="D100" s="43">
        <f t="shared" ca="1" si="15"/>
        <v>-284875</v>
      </c>
      <c r="E100" s="40">
        <f ca="1">IF(COUNTIF($W$2:W1085,A100)=1,VLOOKUP(A100,Q:R,2), IF(COUNTIF($W$2:W1085,A100)=0,$C$9,""))</f>
        <v>99.38</v>
      </c>
      <c r="F100" s="2">
        <f t="shared" ca="1" si="16"/>
        <v>-314600.00000000204</v>
      </c>
      <c r="G100" s="43">
        <f t="shared" ca="1" si="17"/>
        <v>-1319.2399999999907</v>
      </c>
      <c r="H100" s="40">
        <f ca="1">IF(COUNTIF($W$2:W1085,A100)=1,VLOOKUP(A100,S:T,2), IF(COUNTIF($W$2:W1085,A100)=0,$D$9,""))</f>
        <v>261.88600000000002</v>
      </c>
      <c r="I100" s="41">
        <f ca="1">IF(COUNTIF($X$2:X1085,INT(A100))=1,VLOOKUP(INT(A100),X:Y,2), IF(ISERROR(H100-2),"",I99*(1-$D$8*(H100-H99)*0.0001)))</f>
        <v>268.35000000000002</v>
      </c>
      <c r="J100" s="41">
        <f t="shared" ca="1" si="18"/>
        <v>268.35000000000002</v>
      </c>
      <c r="K100" s="43">
        <f t="shared" ca="1" si="19"/>
        <v>295173.74517374445</v>
      </c>
      <c r="L100" s="43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4">
        <f ca="1">IF(ISERROR(B100-2),"",C100+D100-F100-G100-K100+SUM($L$14:L100))</f>
        <v>-168023.25384026789</v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W100" s="3">
        <v>46195.625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9">
        <f t="shared" ca="1" si="13"/>
        <v>46181.625</v>
      </c>
      <c r="B101" s="40">
        <f ca="1">IF(COUNTIF($W$2:W1086,A101)=1,VLOOKUP(A101,O:P,2), IF(COUNTIF($W$2:W1086,A101)=0,$B$9,""))</f>
        <v>91.65</v>
      </c>
      <c r="C101" s="2">
        <f t="shared" ca="1" si="14"/>
        <v>-668871.34627693135</v>
      </c>
      <c r="D101" s="43">
        <f t="shared" ca="1" si="15"/>
        <v>-291499.99999999994</v>
      </c>
      <c r="E101" s="40">
        <f ca="1">IF(COUNTIF($W$2:W1086,A101)=1,VLOOKUP(A101,Q:R,2), IF(COUNTIF($W$2:W1086,A101)=0,$C$9,""))</f>
        <v>99.350999999999999</v>
      </c>
      <c r="F101" s="2">
        <f t="shared" ca="1" si="16"/>
        <v>-322140.00000000111</v>
      </c>
      <c r="G101" s="43">
        <f t="shared" ca="1" si="17"/>
        <v>-1349.9199999999837</v>
      </c>
      <c r="H101" s="40">
        <f ca="1">IF(COUNTIF($W$2:W1086,A101)=1,VLOOKUP(A101,S:T,2), IF(COUNTIF($W$2:W1086,A101)=0,$D$9,""))</f>
        <v>263.755</v>
      </c>
      <c r="I101" s="41">
        <f ca="1">IF(COUNTIF($X$2:X1086,INT(A101))=1,VLOOKUP(INT(A101),X:Y,2), IF(ISERROR(H101-2),"",I100*(1-$D$8*(H101-H100)*0.0001)))</f>
        <v>268.29649999999998</v>
      </c>
      <c r="J101" s="41">
        <f t="shared" ca="1" si="18"/>
        <v>268.29649999999998</v>
      </c>
      <c r="K101" s="43">
        <f t="shared" ca="1" si="19"/>
        <v>291386.74388674163</v>
      </c>
      <c r="L101" s="43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4">
        <f ca="1">IF(ISERROR(B101-2),"",C101+D101-F101-G101-K101+SUM($L$14:L101))</f>
        <v>-182492.62077173661</v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W101" s="3">
        <v>46196.625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2"/>
        <v>45919</v>
      </c>
    </row>
    <row r="102" spans="1:30" x14ac:dyDescent="0.25">
      <c r="A102" s="39">
        <f t="shared" ca="1" si="13"/>
        <v>46182.625</v>
      </c>
      <c r="B102" s="40">
        <f ca="1">IF(COUNTIF($W$2:W1087,A102)=1,VLOOKUP(A102,O:P,2), IF(COUNTIF($W$2:W1087,A102)=0,$B$9,""))</f>
        <v>91.63</v>
      </c>
      <c r="C102" s="2">
        <f t="shared" ca="1" si="14"/>
        <v>-675272.02901642828</v>
      </c>
      <c r="D102" s="43">
        <f t="shared" ca="1" si="15"/>
        <v>-293708.33333333331</v>
      </c>
      <c r="E102" s="40">
        <f ca="1">IF(COUNTIF($W$2:W1087,A102)=1,VLOOKUP(A102,Q:R,2), IF(COUNTIF($W$2:W1087,A102)=0,$C$9,""))</f>
        <v>99.396000000000001</v>
      </c>
      <c r="F102" s="2">
        <f t="shared" ca="1" si="16"/>
        <v>-310440.0000000007</v>
      </c>
      <c r="G102" s="43">
        <f t="shared" ca="1" si="17"/>
        <v>-1360.1466666666674</v>
      </c>
      <c r="H102" s="40">
        <f ca="1">IF(COUNTIF($W$2:W1087,A102)=1,VLOOKUP(A102,S:T,2), IF(COUNTIF($W$2:W1087,A102)=0,$D$9,""))</f>
        <v>261.05</v>
      </c>
      <c r="I102" s="41">
        <f ca="1">IF(COUNTIF($X$2:X1087,INT(A102))=1,VLOOKUP(INT(A102),X:Y,2), IF(ISERROR(H102-2),"",I101*(1-$D$8*(H102-H101)*0.0001)))</f>
        <v>268.3329</v>
      </c>
      <c r="J102" s="41">
        <f t="shared" ca="1" si="18"/>
        <v>268.3329</v>
      </c>
      <c r="K102" s="43">
        <f t="shared" ca="1" si="19"/>
        <v>293963.32046331867</v>
      </c>
      <c r="L102" s="43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4">
        <f ca="1">IF(ISERROR(B102-2),"",C102+D102-F102-G102-K102+SUM($L$14:L102))</f>
        <v>-205367.98675447772</v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W102" s="3">
        <v>46197.625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9">
        <f t="shared" ca="1" si="13"/>
        <v>46183.625</v>
      </c>
      <c r="B103" s="40">
        <f ca="1">IF(COUNTIF($W$2:W1088,A103)=1,VLOOKUP(A103,O:P,2), IF(COUNTIF($W$2:W1088,A103)=0,$B$9,""))</f>
        <v>91.62</v>
      </c>
      <c r="C103" s="2">
        <f t="shared" ca="1" si="14"/>
        <v>-678472.37038617174</v>
      </c>
      <c r="D103" s="43">
        <f t="shared" ca="1" si="15"/>
        <v>-295916.66666666669</v>
      </c>
      <c r="E103" s="40">
        <f ca="1">IF(COUNTIF($W$2:W1088,A103)=1,VLOOKUP(A103,Q:R,2), IF(COUNTIF($W$2:W1088,A103)=0,$C$9,""))</f>
        <v>99.337999999999994</v>
      </c>
      <c r="F103" s="2">
        <f t="shared" ca="1" si="16"/>
        <v>-325520.0000000025</v>
      </c>
      <c r="G103" s="43">
        <f t="shared" ca="1" si="17"/>
        <v>-1370.3733333333512</v>
      </c>
      <c r="H103" s="40">
        <f ca="1">IF(COUNTIF($W$2:W1088,A103)=1,VLOOKUP(A103,S:T,2), IF(COUNTIF($W$2:W1088,A103)=0,$D$9,""))</f>
        <v>264.82</v>
      </c>
      <c r="I103" s="41">
        <f ca="1">IF(COUNTIF($X$2:X1088,INT(A103))=1,VLOOKUP(INT(A103),X:Y,2), IF(ISERROR(H103-2),"",I102*(1-$D$8*(H103-H102)*0.0001)))</f>
        <v>268.03980000000001</v>
      </c>
      <c r="J103" s="41">
        <f t="shared" ca="1" si="18"/>
        <v>268.03980000000001</v>
      </c>
      <c r="K103" s="43">
        <f t="shared" ca="1" si="19"/>
        <v>273216.21621621842</v>
      </c>
      <c r="L103" s="43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4">
        <f ca="1">IF(ISERROR(B103-2),"",C103+D103-F103-G103-K103+SUM($L$14:L103))</f>
        <v>-174939.33054378582</v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W103" s="3">
        <v>46198.625</v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2"/>
        <v>45923</v>
      </c>
    </row>
    <row r="104" spans="1:30" x14ac:dyDescent="0.25">
      <c r="A104" s="39">
        <f t="shared" ca="1" si="13"/>
        <v>46184.625</v>
      </c>
      <c r="B104" s="40">
        <f ca="1">IF(COUNTIF($W$2:W1089,A104)=1,VLOOKUP(A104,O:P,2), IF(COUNTIF($W$2:W1089,A104)=0,$B$9,""))</f>
        <v>91.65</v>
      </c>
      <c r="C104" s="2">
        <f t="shared" ca="1" si="14"/>
        <v>-668871.34627693135</v>
      </c>
      <c r="D104" s="43">
        <f t="shared" ca="1" si="15"/>
        <v>-298125</v>
      </c>
      <c r="E104" s="40">
        <f ca="1">IF(COUNTIF($W$2:W1089,A104)=1,VLOOKUP(A104,Q:R,2), IF(COUNTIF($W$2:W1089,A104)=0,$C$9,""))</f>
        <v>99.400999999999996</v>
      </c>
      <c r="F104" s="2">
        <f t="shared" ca="1" si="16"/>
        <v>-309140.00000000186</v>
      </c>
      <c r="G104" s="43">
        <f t="shared" ca="1" si="17"/>
        <v>-1380.6000000000058</v>
      </c>
      <c r="H104" s="40">
        <f ca="1">IF(COUNTIF($W$2:W1089,A104)=1,VLOOKUP(A104,S:T,2), IF(COUNTIF($W$2:W1089,A104)=0,$D$9,""))</f>
        <v>263.56900000000002</v>
      </c>
      <c r="I104" s="41">
        <f ca="1">IF(COUNTIF($X$2:X1089,INT(A104))=1,VLOOKUP(INT(A104),X:Y,2), IF(ISERROR(H104-2),"",I103*(1-$D$8*(H104-H103)*0.0001)))</f>
        <v>268.44299999999998</v>
      </c>
      <c r="J104" s="41">
        <f t="shared" ca="1" si="18"/>
        <v>268.44299999999998</v>
      </c>
      <c r="K104" s="43">
        <f t="shared" ca="1" si="19"/>
        <v>301756.75675675354</v>
      </c>
      <c r="L104" s="43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4">
        <f ca="1">IF(ISERROR(B104-2),"",C104+D104-F104-G104-K104+SUM($L$14:L104))</f>
        <v>-212456.95364174794</v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2"/>
        <v>45924</v>
      </c>
    </row>
    <row r="105" spans="1:30" x14ac:dyDescent="0.25">
      <c r="A105" s="39">
        <f t="shared" ca="1" si="13"/>
        <v>46185.625</v>
      </c>
      <c r="B105" s="40">
        <f ca="1">IF(COUNTIF($W$2:W1090,A105)=1,VLOOKUP(A105,O:P,2), IF(COUNTIF($W$2:W1090,A105)=0,$B$9,""))</f>
        <v>91.87</v>
      </c>
      <c r="C105" s="2">
        <f t="shared" ca="1" si="14"/>
        <v>-598463.83614251879</v>
      </c>
      <c r="D105" s="43">
        <f t="shared" ca="1" si="15"/>
        <v>-300333.33333333331</v>
      </c>
      <c r="E105" s="40">
        <f ca="1">IF(COUNTIF($W$2:W1090,A105)=1,VLOOKUP(A105,Q:R,2), IF(COUNTIF($W$2:W1090,A105)=0,$C$9,""))</f>
        <v>99.512</v>
      </c>
      <c r="F105" s="2">
        <f t="shared" ca="1" si="16"/>
        <v>-280280.00000000076</v>
      </c>
      <c r="G105" s="43">
        <f t="shared" ca="1" si="17"/>
        <v>-1390.8266666666605</v>
      </c>
      <c r="H105" s="40">
        <f ca="1">IF(COUNTIF($W$2:W1090,A105)=1,VLOOKUP(A105,S:T,2), IF(COUNTIF($W$2:W1090,A105)=0,$D$9,""))</f>
        <v>253.16399999999999</v>
      </c>
      <c r="I105" s="41">
        <f ca="1">IF(COUNTIF($X$2:X1090,INT(A105))=1,VLOOKUP(INT(A105),X:Y,2), IF(ISERROR(H105-2),"",I104*(1-$D$8*(H105-H104)*0.0001)))</f>
        <v>269.7552</v>
      </c>
      <c r="J105" s="41">
        <f t="shared" ca="1" si="18"/>
        <v>269.7552</v>
      </c>
      <c r="K105" s="43">
        <f t="shared" ca="1" si="19"/>
        <v>394640.92664092622</v>
      </c>
      <c r="L105" s="43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4">
        <f ca="1">IF(ISERROR(B105-2),"",C105+D105-F105-G105-K105+SUM($L$14:L105))</f>
        <v>-265991.72005817574</v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9">
        <f t="shared" ca="1" si="13"/>
        <v>46188.625</v>
      </c>
      <c r="B106" s="40">
        <f ca="1">IF(COUNTIF($W$2:W1091,A106)=1,VLOOKUP(A106,O:P,2), IF(COUNTIF($W$2:W1091,A106)=0,$B$9,""))</f>
        <v>92.18</v>
      </c>
      <c r="C106" s="2">
        <f t="shared" ca="1" si="14"/>
        <v>-499253.25368038844</v>
      </c>
      <c r="D106" s="43">
        <f t="shared" ca="1" si="15"/>
        <v>-306958.33333333331</v>
      </c>
      <c r="E106" s="40">
        <f ca="1">IF(COUNTIF($W$2:W1091,A106)=1,VLOOKUP(A106,Q:R,2), IF(COUNTIF($W$2:W1091,A106)=0,$C$9,""))</f>
        <v>99.631</v>
      </c>
      <c r="F106" s="2">
        <f t="shared" ca="1" si="16"/>
        <v>-249340.00000000084</v>
      </c>
      <c r="G106" s="43">
        <f t="shared" ca="1" si="17"/>
        <v>-1421.5066666666535</v>
      </c>
      <c r="H106" s="40">
        <f ca="1">IF(COUNTIF($W$2:W1091,A106)=1,VLOOKUP(A106,S:T,2), IF(COUNTIF($W$2:W1091,A106)=0,$D$9,""))</f>
        <v>248.518</v>
      </c>
      <c r="I106" s="41">
        <f ca="1">IF(COUNTIF($X$2:X1091,INT(A106))=1,VLOOKUP(INT(A106),X:Y,2), IF(ISERROR(H106-2),"",I105*(1-$D$8*(H106-H105)*0.0001)))</f>
        <v>270.47059999999999</v>
      </c>
      <c r="J106" s="41">
        <f t="shared" ca="1" si="18"/>
        <v>270.47059999999999</v>
      </c>
      <c r="K106" s="43">
        <f t="shared" ca="1" si="19"/>
        <v>445280.56628056424</v>
      </c>
      <c r="L106" s="43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4">
        <f ca="1">IF(ISERROR(B106-2),"",C106+D106-F106-G106-K106+SUM($L$14:L106))</f>
        <v>-254955.09723568335</v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9">
        <f t="shared" ca="1" si="13"/>
        <v>46189.625</v>
      </c>
      <c r="B107" s="40">
        <f ca="1">IF(COUNTIF($W$2:W1092,A107)=1,VLOOKUP(A107,O:P,2), IF(COUNTIF($W$2:W1092,A107)=0,$B$9,""))</f>
        <v>92.15</v>
      </c>
      <c r="C107" s="2">
        <f t="shared" ca="1" si="14"/>
        <v>-508854.27778962877</v>
      </c>
      <c r="D107" s="43">
        <f t="shared" ca="1" si="15"/>
        <v>-309166.66666666669</v>
      </c>
      <c r="E107" s="40">
        <f ca="1">IF(COUNTIF($W$2:W1092,A107)=1,VLOOKUP(A107,Q:R,2), IF(COUNTIF($W$2:W1092,A107)=0,$C$9,""))</f>
        <v>99.625</v>
      </c>
      <c r="F107" s="2">
        <f t="shared" ca="1" si="16"/>
        <v>-250900.00000000087</v>
      </c>
      <c r="G107" s="43">
        <f t="shared" ca="1" si="17"/>
        <v>-1431.7333333333372</v>
      </c>
      <c r="H107" s="40">
        <f ca="1">IF(COUNTIF($W$2:W1092,A107)=1,VLOOKUP(A107,S:T,2), IF(COUNTIF($W$2:W1092,A107)=0,$D$9,""))</f>
        <v>249.79400000000001</v>
      </c>
      <c r="I107" s="41">
        <f ca="1">IF(COUNTIF($X$2:X1092,INT(A107))=1,VLOOKUP(INT(A107),X:Y,2), IF(ISERROR(H107-2),"",I106*(1-$D$8*(H107-H106)*0.0001)))</f>
        <v>270.3356</v>
      </c>
      <c r="J107" s="41">
        <f t="shared" ca="1" si="18"/>
        <v>270.3356</v>
      </c>
      <c r="K107" s="43">
        <f t="shared" ca="1" si="19"/>
        <v>435724.58172458195</v>
      </c>
      <c r="L107" s="43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4">
        <f ca="1">IF(ISERROR(B107-2),"",C107+D107-F107-G107-K107+SUM($L$14:L107))</f>
        <v>-255638.24345560814</v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9">
        <f t="shared" ca="1" si="13"/>
        <v>46190.625</v>
      </c>
      <c r="B108" s="40">
        <f ca="1">IF(COUNTIF($W$2:W1093,A108)=1,VLOOKUP(A108,O:P,2), IF(COUNTIF($W$2:W1093,A108)=0,$B$9,""))</f>
        <v>92.16</v>
      </c>
      <c r="C108" s="2">
        <f t="shared" ca="1" si="14"/>
        <v>-505653.93641988531</v>
      </c>
      <c r="D108" s="43">
        <f t="shared" ca="1" si="15"/>
        <v>-311375</v>
      </c>
      <c r="E108" s="40">
        <f ca="1">IF(COUNTIF($W$2:W1093,A108)=1,VLOOKUP(A108,Q:R,2), IF(COUNTIF($W$2:W1093,A108)=0,$C$9,""))</f>
        <v>99.600999999999999</v>
      </c>
      <c r="F108" s="2">
        <f t="shared" ca="1" si="16"/>
        <v>-257140.00000000111</v>
      </c>
      <c r="G108" s="43">
        <f t="shared" ca="1" si="17"/>
        <v>-1441.9599999999919</v>
      </c>
      <c r="H108" s="40">
        <f ca="1">IF(COUNTIF($W$2:W1093,A108)=1,VLOOKUP(A108,S:T,2), IF(COUNTIF($W$2:W1093,A108)=0,$D$9,""))</f>
        <v>252.459</v>
      </c>
      <c r="I108" s="41">
        <f ca="1">IF(COUNTIF($X$2:X1093,INT(A108))=1,VLOOKUP(INT(A108),X:Y,2), IF(ISERROR(H108-2),"",I107*(1-$D$8*(H108-H107)*0.0001)))</f>
        <v>270.1644</v>
      </c>
      <c r="J108" s="41">
        <f t="shared" ca="1" si="18"/>
        <v>270.1644</v>
      </c>
      <c r="K108" s="43">
        <f t="shared" ca="1" si="19"/>
        <v>423606.17760617536</v>
      </c>
      <c r="L108" s="43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4">
        <f ca="1">IF(ISERROR(B108-2),"",C108+D108-F108-G108-K108+SUM($L$14:L108))</f>
        <v>-236277.60463412455</v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9">
        <f t="shared" ca="1" si="13"/>
        <v>46191.625</v>
      </c>
      <c r="B109" s="40">
        <f ca="1">IF(COUNTIF($W$2:W1094,A109)=1,VLOOKUP(A109,O:P,2), IF(COUNTIF($W$2:W1094,A109)=0,$B$9,""))</f>
        <v>91.01</v>
      </c>
      <c r="C109" s="2">
        <f t="shared" ca="1" si="14"/>
        <v>-873693.19394068222</v>
      </c>
      <c r="D109" s="43">
        <f t="shared" ca="1" si="15"/>
        <v>-313583.33333333331</v>
      </c>
      <c r="E109" s="40">
        <f ca="1">IF(COUNTIF($W$2:W1094,A109)=1,VLOOKUP(A109,Q:R,2), IF(COUNTIF($W$2:W1094,A109)=0,$C$9,""))</f>
        <v>99.582999999999998</v>
      </c>
      <c r="F109" s="2">
        <f t="shared" ca="1" si="16"/>
        <v>-261820.00000000128</v>
      </c>
      <c r="G109" s="43">
        <f t="shared" ca="1" si="17"/>
        <v>-1452.1866666666465</v>
      </c>
      <c r="H109" s="40">
        <f ca="1">IF(COUNTIF($W$2:W1094,A109)=1,VLOOKUP(A109,S:T,2), IF(COUNTIF($W$2:W1094,A109)=0,$D$9,""))</f>
        <v>249.42099999999999</v>
      </c>
      <c r="I109" s="41">
        <f ca="1">IF(COUNTIF($X$2:X1094,INT(A109))=1,VLOOKUP(INT(A109),X:Y,2), IF(ISERROR(H109-2),"",I108*(1-$D$8*(H109-H108)*0.0001)))</f>
        <v>270.5043</v>
      </c>
      <c r="J109" s="41">
        <f t="shared" ca="1" si="18"/>
        <v>270.5043</v>
      </c>
      <c r="K109" s="43">
        <f t="shared" ca="1" si="19"/>
        <v>447666.02316602162</v>
      </c>
      <c r="L109" s="43">
        <f ca="1">IF($A109="","",IF(COUNTIFS(Dividends!$G:$G,"&gt;"&amp;INT($A108),Dividends!$G:$G,"&lt;="&amp;INT($A109))=0,"",$H$2*SUMIFS(Dividends!$H:$H,Dividends!$G:$G,"&gt;"&amp;INT($A108),Dividends!$G:$G,"&lt;="&amp;INT($A109))))</f>
        <v>372711.75592063158</v>
      </c>
      <c r="M109" s="44">
        <f ca="1">IF(ISERROR(B109-2),"",C109+D109-F109-G109-K109+SUM($L$14:L109))</f>
        <v>-253183.05846080254</v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2"/>
        <v>45931</v>
      </c>
    </row>
    <row r="110" spans="1:30" x14ac:dyDescent="0.25">
      <c r="A110" s="39">
        <f t="shared" ca="1" si="13"/>
        <v>46192.625</v>
      </c>
      <c r="B110" s="40">
        <f ca="1">IF(COUNTIF($W$2:W1095,A110)=1,VLOOKUP(A110,O:P,2), IF(COUNTIF($W$2:W1095,A110)=0,$B$9,""))</f>
        <v>91.05</v>
      </c>
      <c r="C110" s="2">
        <f t="shared" ca="1" si="14"/>
        <v>-860891.82846170175</v>
      </c>
      <c r="D110" s="43">
        <f t="shared" ca="1" si="15"/>
        <v>-315791.66666666663</v>
      </c>
      <c r="E110" s="40">
        <f ca="1">IF(COUNTIF($W$2:W1095,A110)=1,VLOOKUP(A110,Q:R,2), IF(COUNTIF($W$2:W1095,A110)=0,$C$9,""))</f>
        <v>99.489000000000004</v>
      </c>
      <c r="F110" s="2">
        <f t="shared" ca="1" si="16"/>
        <v>-286259.99999999977</v>
      </c>
      <c r="G110" s="43">
        <f t="shared" ca="1" si="17"/>
        <v>-1462.4133333333302</v>
      </c>
      <c r="H110" s="40">
        <f ca="1">IF(COUNTIF($W$2:W1095,A110)=1,VLOOKUP(A110,S:T,2), IF(COUNTIF($W$2:W1095,A110)=0,$D$9,""))</f>
        <v>249.20599999999999</v>
      </c>
      <c r="I110" s="41">
        <f ca="1">IF(COUNTIF($X$2:X1095,INT(A110))=1,VLOOKUP(INT(A110),X:Y,2), IF(ISERROR(H110-2),"",I109*(1-$D$8*(H110-H109)*0.0001)))</f>
        <v>270.44040000000001</v>
      </c>
      <c r="J110" s="41">
        <f t="shared" ca="1" si="18"/>
        <v>270.44040000000001</v>
      </c>
      <c r="K110" s="43">
        <f t="shared" ca="1" si="19"/>
        <v>443142.85714285803</v>
      </c>
      <c r="L110" s="43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4">
        <f ca="1">IF(ISERROR(B110-2),"",C110+D110-F110-G110-K110+SUM($L$14:L110))</f>
        <v>-213616.63362532668</v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9">
        <f t="shared" ca="1" si="13"/>
        <v>46195.625</v>
      </c>
      <c r="B111" s="40">
        <f ca="1">IF(COUNTIF($W$2:W1096,A111)=1,VLOOKUP(A111,O:P,2), IF(COUNTIF($W$2:W1096,A111)=0,$B$9,""))</f>
        <v>91.17</v>
      </c>
      <c r="C111" s="2">
        <f t="shared" ca="1" si="14"/>
        <v>-822487.73202474706</v>
      </c>
      <c r="D111" s="43">
        <f t="shared" ca="1" si="15"/>
        <v>-322416.66666666669</v>
      </c>
      <c r="E111" s="40">
        <f ca="1">IF(COUNTIF($W$2:W1096,A111)=1,VLOOKUP(A111,Q:R,2), IF(COUNTIF($W$2:W1096,A111)=0,$C$9,""))</f>
        <v>99.591999999999999</v>
      </c>
      <c r="F111" s="2">
        <f t="shared" ca="1" si="16"/>
        <v>-259480.00000000119</v>
      </c>
      <c r="G111" s="43">
        <f t="shared" ca="1" si="17"/>
        <v>-1493.0933333333523</v>
      </c>
      <c r="H111" s="40">
        <f ca="1">IF(COUNTIF($W$2:W1096,A111)=1,VLOOKUP(A111,S:T,2), IF(COUNTIF($W$2:W1096,A111)=0,$D$9,""))</f>
        <v>246.90199999999999</v>
      </c>
      <c r="I111" s="41">
        <f ca="1">IF(COUNTIF($X$2:X1096,INT(A111))=1,VLOOKUP(INT(A111),X:Y,2), IF(ISERROR(H111-2),"",I110*(1-$D$8*(H111-H110)*0.0001)))</f>
        <v>270.85840000000002</v>
      </c>
      <c r="J111" s="41">
        <f t="shared" ca="1" si="18"/>
        <v>270.85840000000002</v>
      </c>
      <c r="K111" s="43">
        <f t="shared" ca="1" si="19"/>
        <v>472731.01673101721</v>
      </c>
      <c r="L111" s="43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4">
        <f ca="1">IF(ISERROR(B111-2),"",C111+D111-F111-G111-K111+SUM($L$14:L111))</f>
        <v>-238175.01677652961</v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2"/>
        <v>45933</v>
      </c>
    </row>
    <row r="112" spans="1:30" x14ac:dyDescent="0.25">
      <c r="A112" s="39">
        <f t="shared" ca="1" si="13"/>
        <v>46196.625</v>
      </c>
      <c r="B112" s="40">
        <f ca="1">IF(COUNTIF($W$2:W1097,A112)=1,VLOOKUP(A112,O:P,2), IF(COUNTIF($W$2:W1097,A112)=0,$B$9,""))</f>
        <v>91.08</v>
      </c>
      <c r="C112" s="2">
        <f t="shared" ca="1" si="14"/>
        <v>-851290.80435246474</v>
      </c>
      <c r="D112" s="43">
        <f t="shared" ca="1" si="15"/>
        <v>-324625</v>
      </c>
      <c r="E112" s="40">
        <f ca="1">IF(COUNTIF($W$2:W1097,A112)=1,VLOOKUP(A112,Q:R,2), IF(COUNTIF($W$2:W1097,A112)=0,$C$9,""))</f>
        <v>99.66</v>
      </c>
      <c r="F112" s="2">
        <f t="shared" ca="1" si="16"/>
        <v>-241800.00000000178</v>
      </c>
      <c r="G112" s="43">
        <f t="shared" ca="1" si="17"/>
        <v>-1503.320000000007</v>
      </c>
      <c r="H112" s="40">
        <f ca="1">IF(COUNTIF($W$2:W1097,A112)=1,VLOOKUP(A112,S:T,2), IF(COUNTIF($W$2:W1097,A112)=0,$D$9,""))</f>
        <v>248.29</v>
      </c>
      <c r="I112" s="41">
        <f ca="1">IF(COUNTIF($X$2:X1097,INT(A112))=1,VLOOKUP(INT(A112),X:Y,2), IF(ISERROR(H112-2),"",I111*(1-$D$8*(H112-H111)*0.0001)))</f>
        <v>270.70330000000001</v>
      </c>
      <c r="J112" s="41">
        <f t="shared" ca="1" si="18"/>
        <v>270.70330000000001</v>
      </c>
      <c r="K112" s="43">
        <f t="shared" ca="1" si="19"/>
        <v>461752.25225225213</v>
      </c>
      <c r="L112" s="43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4">
        <f ca="1">IF(ISERROR(B112-2),"",C112+D112-F112-G112-K112+SUM($L$14:L112))</f>
        <v>-275877.43129214831</v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2"/>
        <v>45936</v>
      </c>
    </row>
    <row r="113" spans="1:30" x14ac:dyDescent="0.25">
      <c r="A113" s="39">
        <f t="shared" ca="1" si="13"/>
        <v>46197.625</v>
      </c>
      <c r="B113" s="40">
        <f ca="1">IF(COUNTIF($W$2:W1098,A113)=1,VLOOKUP(A113,O:P,2), IF(COUNTIF($W$2:W1098,A113)=0,$B$9,""))</f>
        <v>91.03</v>
      </c>
      <c r="C113" s="2">
        <f t="shared" ca="1" si="14"/>
        <v>-867292.51120119204</v>
      </c>
      <c r="D113" s="43">
        <f t="shared" ca="1" si="15"/>
        <v>-326833.33333333331</v>
      </c>
      <c r="E113" s="40">
        <f ca="1">IF(COUNTIF($W$2:W1098,A113)=1,VLOOKUP(A113,Q:R,2), IF(COUNTIF($W$2:W1098,A113)=0,$C$9,""))</f>
        <v>99.724999999999994</v>
      </c>
      <c r="F113" s="2">
        <f t="shared" ca="1" si="16"/>
        <v>-224900.00000000239</v>
      </c>
      <c r="G113" s="43">
        <f t="shared" ca="1" si="17"/>
        <v>-1513.5466666666907</v>
      </c>
      <c r="H113" s="40">
        <f ca="1">IF(COUNTIF($W$2:W1098,A113)=1,VLOOKUP(A113,S:T,2), IF(COUNTIF($W$2:W1098,A113)=0,$D$9,""))</f>
        <v>247.875</v>
      </c>
      <c r="I113" s="41">
        <f ca="1">IF(COUNTIF($X$2:X1098,INT(A113))=1,VLOOKUP(INT(A113),X:Y,2), IF(ISERROR(H113-2),"",I112*(1-$D$8*(H113-H112)*0.0001)))</f>
        <v>270.80290000000002</v>
      </c>
      <c r="J113" s="41">
        <f t="shared" ca="1" si="18"/>
        <v>270.80290000000002</v>
      </c>
      <c r="K113" s="43">
        <f t="shared" ca="1" si="19"/>
        <v>468802.44530244579</v>
      </c>
      <c r="L113" s="43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4">
        <f ca="1">IF(ISERROR(B113-2),"",C113+D113-F113-G113-K113+SUM($L$14:L113))</f>
        <v>-318027.43785773567</v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9">
        <f t="shared" ca="1" si="13"/>
        <v>46198.625</v>
      </c>
      <c r="B114" s="40">
        <f ca="1">IF(COUNTIF($W$2:W1099,A114)=1,VLOOKUP(A114,O:P,2), IF(COUNTIF($W$2:W1099,A114)=0,$B$9,""))</f>
        <v>91.17</v>
      </c>
      <c r="C114" s="2">
        <f t="shared" ca="1" si="14"/>
        <v>-822487.73202474706</v>
      </c>
      <c r="D114" s="43">
        <f t="shared" ca="1" si="15"/>
        <v>-329041.66666666663</v>
      </c>
      <c r="E114" s="40">
        <f ca="1">IF(COUNTIF($W$2:W1099,A114)=1,VLOOKUP(A114,Q:R,2), IF(COUNTIF($W$2:W1099,A114)=0,$C$9,""))</f>
        <v>99.748999999999995</v>
      </c>
      <c r="F114" s="2">
        <f t="shared" ca="1" si="16"/>
        <v>-218660.00000000215</v>
      </c>
      <c r="G114" s="43">
        <f t="shared" ca="1" si="17"/>
        <v>-1523.7733333333454</v>
      </c>
      <c r="H114" s="40">
        <f ca="1">IF(COUNTIF($W$2:W1099,A114)=1,VLOOKUP(A114,S:T,2), IF(COUNTIF($W$2:W1099,A114)=0,$D$9,""))</f>
        <v>246.71700000000001</v>
      </c>
      <c r="I114" s="41">
        <f ca="1">IF(COUNTIF($X$2:X1099,INT(A114))=1,VLOOKUP(INT(A114),X:Y,2), IF(ISERROR(H114-2),"",I113*(1-$D$8*(H114-H113)*0.0001)))</f>
        <v>270.97930000000002</v>
      </c>
      <c r="J114" s="41">
        <f t="shared" ca="1" si="18"/>
        <v>270.97930000000002</v>
      </c>
      <c r="K114" s="43">
        <f t="shared" ca="1" si="19"/>
        <v>481288.93178893486</v>
      </c>
      <c r="L114" s="43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4">
        <f ca="1">IF(ISERROR(B114-2),"",C114+D114-F114-G114-K114+SUM($L$14:L114))</f>
        <v>-294147.25183444633</v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9">
        <f t="shared" ca="1" si="13"/>
        <v>46198.782066435182</v>
      </c>
      <c r="B115" s="40">
        <f ca="1">IF(COUNTIF($W$2:W1100,A115)=1,VLOOKUP(A115,O:P,2), IF(COUNTIF($W$2:W1100,A115)=0,$B$9,""))</f>
        <v>91.16</v>
      </c>
      <c r="C115" s="2">
        <f t="shared" ca="1" si="14"/>
        <v>-825688.07339449378</v>
      </c>
      <c r="D115" s="43">
        <f t="shared" ca="1" si="15"/>
        <v>-329041.66666666663</v>
      </c>
      <c r="E115" s="40">
        <f ca="1">IF(COUNTIF($W$2:W1100,A115)=1,VLOOKUP(A115,Q:R,2), IF(COUNTIF($W$2:W1100,A115)=0,$C$9,""))</f>
        <v>99.747</v>
      </c>
      <c r="F115" s="2">
        <f t="shared" ca="1" si="16"/>
        <v>-219180.0000000009</v>
      </c>
      <c r="G115" s="43">
        <f t="shared" ca="1" si="17"/>
        <v>-1523.7733333333454</v>
      </c>
      <c r="H115" s="40">
        <f ca="1">IF(COUNTIF($W$2:W1100,A115)=1,VLOOKUP(A115,S:T,2), IF(COUNTIF($W$2:W1100,A115)=0,$D$9,""))</f>
        <v>247.30670000000001</v>
      </c>
      <c r="I115" s="41">
        <f ca="1">IF(COUNTIF($X$2:X1100,INT(A115))=1,VLOOKUP(INT(A115),X:Y,2), IF(ISERROR(H115-2),"",I114*(1-$D$8*(H115-H114)*0.0001)))</f>
        <v>270.97930000000002</v>
      </c>
      <c r="J115" s="41">
        <f t="shared" ca="1" si="18"/>
        <v>270.97930000000002</v>
      </c>
      <c r="K115" s="43">
        <f t="shared" ca="1" si="19"/>
        <v>481288.93178893486</v>
      </c>
      <c r="L115" s="43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4">
        <f ca="1">IF(ISERROR(B115-2),"",C115+D115-F115-G115-K115+SUM($L$14:L115))</f>
        <v>-296827.59320419445</v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9" t="str">
        <f t="shared" ca="1" si="13"/>
        <v/>
      </c>
      <c r="B116" s="40" t="str">
        <f ca="1">IF(COUNTIF($W$2:W1101,A116)=1,VLOOKUP(A116,O:P,2), IF(COUNTIF($W$2:W1101,A116)=0,$B$9,""))</f>
        <v/>
      </c>
      <c r="C116" s="2" t="str">
        <f t="shared" ca="1" si="14"/>
        <v/>
      </c>
      <c r="D116" s="43" t="str">
        <f t="shared" ca="1" si="15"/>
        <v/>
      </c>
      <c r="E116" s="40" t="str">
        <f ca="1">IF(COUNTIF($W$2:W1101,A116)=1,VLOOKUP(A116,Q:R,2), IF(COUNTIF($W$2:W1101,A116)=0,$C$9,""))</f>
        <v/>
      </c>
      <c r="F116" s="2" t="str">
        <f t="shared" ca="1" si="16"/>
        <v/>
      </c>
      <c r="G116" s="43" t="str">
        <f t="shared" ca="1" si="17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8"/>
        <v/>
      </c>
      <c r="K116" s="43" t="str">
        <f t="shared" ca="1" si="19"/>
        <v/>
      </c>
      <c r="L116" s="43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4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9" t="str">
        <f t="shared" ca="1" si="13"/>
        <v/>
      </c>
      <c r="B117" s="40" t="str">
        <f ca="1">IF(COUNTIF($W$2:W1102,A117)=1,VLOOKUP(A117,O:P,2), IF(COUNTIF($W$2:W1102,A117)=0,$B$9,""))</f>
        <v/>
      </c>
      <c r="C117" s="2" t="str">
        <f t="shared" ca="1" si="14"/>
        <v/>
      </c>
      <c r="D117" s="43" t="str">
        <f t="shared" ca="1" si="15"/>
        <v/>
      </c>
      <c r="E117" s="40" t="str">
        <f ca="1">IF(COUNTIF($W$2:W1102,A117)=1,VLOOKUP(A117,Q:R,2), IF(COUNTIF($W$2:W1102,A117)=0,$C$9,""))</f>
        <v/>
      </c>
      <c r="F117" s="2" t="str">
        <f t="shared" ca="1" si="16"/>
        <v/>
      </c>
      <c r="G117" s="43" t="str">
        <f t="shared" ca="1" si="17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8"/>
        <v/>
      </c>
      <c r="K117" s="43" t="str">
        <f t="shared" ca="1" si="19"/>
        <v/>
      </c>
      <c r="L117" s="43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4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9" t="str">
        <f t="shared" ca="1" si="13"/>
        <v/>
      </c>
      <c r="B118" s="40" t="str">
        <f ca="1">IF(COUNTIF($W$2:W1103,A118)=1,VLOOKUP(A118,O:P,2), IF(COUNTIF($W$2:W1103,A118)=0,$B$9,""))</f>
        <v/>
      </c>
      <c r="C118" s="2" t="str">
        <f t="shared" ca="1" si="14"/>
        <v/>
      </c>
      <c r="D118" s="43" t="str">
        <f t="shared" ca="1" si="15"/>
        <v/>
      </c>
      <c r="E118" s="40" t="str">
        <f ca="1">IF(COUNTIF($W$2:W1103,A118)=1,VLOOKUP(A118,Q:R,2), IF(COUNTIF($W$2:W1103,A118)=0,$C$9,""))</f>
        <v/>
      </c>
      <c r="F118" s="2" t="str">
        <f t="shared" ca="1" si="16"/>
        <v/>
      </c>
      <c r="G118" s="43" t="str">
        <f t="shared" ca="1" si="17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8"/>
        <v/>
      </c>
      <c r="K118" s="43" t="str">
        <f t="shared" ca="1" si="19"/>
        <v/>
      </c>
      <c r="L118" s="43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4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9" t="str">
        <f t="shared" ca="1" si="13"/>
        <v/>
      </c>
      <c r="B119" s="40" t="str">
        <f ca="1">IF(COUNTIF($W$2:W1104,A119)=1,VLOOKUP(A119,O:P,2), IF(COUNTIF($W$2:W1104,A119)=0,$B$9,""))</f>
        <v/>
      </c>
      <c r="C119" s="2" t="str">
        <f t="shared" ca="1" si="14"/>
        <v/>
      </c>
      <c r="D119" s="43" t="str">
        <f t="shared" ca="1" si="15"/>
        <v/>
      </c>
      <c r="E119" s="40" t="str">
        <f ca="1">IF(COUNTIF($W$2:W1104,A119)=1,VLOOKUP(A119,Q:R,2), IF(COUNTIF($W$2:W1104,A119)=0,$C$9,""))</f>
        <v/>
      </c>
      <c r="F119" s="2" t="str">
        <f t="shared" ca="1" si="16"/>
        <v/>
      </c>
      <c r="G119" s="43" t="str">
        <f t="shared" ca="1" si="17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8"/>
        <v/>
      </c>
      <c r="K119" s="43" t="str">
        <f t="shared" ca="1" si="19"/>
        <v/>
      </c>
      <c r="L119" s="43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4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9" t="str">
        <f t="shared" ca="1" si="13"/>
        <v/>
      </c>
      <c r="B120" s="40" t="str">
        <f ca="1">IF(COUNTIF($W$2:W1105,A120)=1,VLOOKUP(A120,O:P,2), IF(COUNTIF($W$2:W1105,A120)=0,$B$9,""))</f>
        <v/>
      </c>
      <c r="C120" s="2" t="str">
        <f t="shared" ca="1" si="14"/>
        <v/>
      </c>
      <c r="D120" s="43" t="str">
        <f t="shared" ca="1" si="15"/>
        <v/>
      </c>
      <c r="E120" s="40" t="str">
        <f ca="1">IF(COUNTIF($W$2:W1105,A120)=1,VLOOKUP(A120,Q:R,2), IF(COUNTIF($W$2:W1105,A120)=0,$C$9,""))</f>
        <v/>
      </c>
      <c r="F120" s="2" t="str">
        <f t="shared" ca="1" si="16"/>
        <v/>
      </c>
      <c r="G120" s="43" t="str">
        <f t="shared" ca="1" si="17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8"/>
        <v/>
      </c>
      <c r="K120" s="43" t="str">
        <f t="shared" ca="1" si="19"/>
        <v/>
      </c>
      <c r="L120" s="43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4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9" t="str">
        <f t="shared" ca="1" si="13"/>
        <v/>
      </c>
      <c r="B121" s="40" t="str">
        <f ca="1">IF(COUNTIF($W$2:W1106,A121)=1,VLOOKUP(A121,O:P,2), IF(COUNTIF($W$2:W1106,A121)=0,$B$9,""))</f>
        <v/>
      </c>
      <c r="C121" s="2" t="str">
        <f t="shared" ca="1" si="14"/>
        <v/>
      </c>
      <c r="D121" s="43" t="str">
        <f t="shared" ca="1" si="15"/>
        <v/>
      </c>
      <c r="E121" s="40" t="str">
        <f ca="1">IF(COUNTIF($W$2:W1106,A121)=1,VLOOKUP(A121,Q:R,2), IF(COUNTIF($W$2:W1106,A121)=0,$C$9,""))</f>
        <v/>
      </c>
      <c r="F121" s="2" t="str">
        <f t="shared" ca="1" si="16"/>
        <v/>
      </c>
      <c r="G121" s="43" t="str">
        <f t="shared" ca="1" si="17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8"/>
        <v/>
      </c>
      <c r="K121" s="43" t="str">
        <f t="shared" ca="1" si="19"/>
        <v/>
      </c>
      <c r="L121" s="43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4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9" t="str">
        <f t="shared" ca="1" si="13"/>
        <v/>
      </c>
      <c r="B122" s="40" t="str">
        <f ca="1">IF(COUNTIF($W$2:W1107,A122)=1,VLOOKUP(A122,O:P,2), IF(COUNTIF($W$2:W1107,A122)=0,$B$9,""))</f>
        <v/>
      </c>
      <c r="C122" s="2" t="str">
        <f t="shared" ca="1" si="14"/>
        <v/>
      </c>
      <c r="D122" s="43" t="str">
        <f t="shared" ca="1" si="15"/>
        <v/>
      </c>
      <c r="E122" s="40" t="str">
        <f ca="1">IF(COUNTIF($W$2:W1107,A122)=1,VLOOKUP(A122,Q:R,2), IF(COUNTIF($W$2:W1107,A122)=0,$C$9,""))</f>
        <v/>
      </c>
      <c r="F122" s="2" t="str">
        <f t="shared" ca="1" si="16"/>
        <v/>
      </c>
      <c r="G122" s="43" t="str">
        <f t="shared" ca="1" si="17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8"/>
        <v/>
      </c>
      <c r="K122" s="43" t="str">
        <f t="shared" ca="1" si="19"/>
        <v/>
      </c>
      <c r="L122" s="43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4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9" t="str">
        <f t="shared" ca="1" si="13"/>
        <v/>
      </c>
      <c r="B123" s="40" t="str">
        <f ca="1">IF(COUNTIF($W$2:W1108,A123)=1,VLOOKUP(A123,O:P,2), IF(COUNTIF($W$2:W1108,A123)=0,$B$9,""))</f>
        <v/>
      </c>
      <c r="C123" s="2" t="str">
        <f t="shared" ca="1" si="14"/>
        <v/>
      </c>
      <c r="D123" s="43" t="str">
        <f t="shared" ca="1" si="15"/>
        <v/>
      </c>
      <c r="E123" s="40" t="str">
        <f ca="1">IF(COUNTIF($W$2:W1108,A123)=1,VLOOKUP(A123,Q:R,2), IF(COUNTIF($W$2:W1108,A123)=0,$C$9,""))</f>
        <v/>
      </c>
      <c r="F123" s="2" t="str">
        <f t="shared" ca="1" si="16"/>
        <v/>
      </c>
      <c r="G123" s="43" t="str">
        <f t="shared" ca="1" si="17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8"/>
        <v/>
      </c>
      <c r="K123" s="43" t="str">
        <f t="shared" ca="1" si="19"/>
        <v/>
      </c>
      <c r="L123" s="43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4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9" t="str">
        <f t="shared" ca="1" si="13"/>
        <v/>
      </c>
      <c r="B124" s="40" t="str">
        <f ca="1">IF(COUNTIF($W$2:W1109,A124)=1,VLOOKUP(A124,O:P,2), IF(COUNTIF($W$2:W1109,A124)=0,$B$9,""))</f>
        <v/>
      </c>
      <c r="C124" s="2" t="str">
        <f t="shared" ca="1" si="14"/>
        <v/>
      </c>
      <c r="D124" s="43" t="str">
        <f t="shared" ca="1" si="15"/>
        <v/>
      </c>
      <c r="E124" s="40" t="str">
        <f ca="1">IF(COUNTIF($W$2:W1109,A124)=1,VLOOKUP(A124,Q:R,2), IF(COUNTIF($W$2:W1109,A124)=0,$C$9,""))</f>
        <v/>
      </c>
      <c r="F124" s="2" t="str">
        <f t="shared" ca="1" si="16"/>
        <v/>
      </c>
      <c r="G124" s="43" t="str">
        <f t="shared" ca="1" si="17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8"/>
        <v/>
      </c>
      <c r="K124" s="43" t="str">
        <f t="shared" ca="1" si="19"/>
        <v/>
      </c>
      <c r="L124" s="43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4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9" t="str">
        <f t="shared" ca="1" si="13"/>
        <v/>
      </c>
      <c r="B125" s="40" t="str">
        <f ca="1">IF(COUNTIF($W$2:W1110,A125)=1,VLOOKUP(A125,O:P,2), IF(COUNTIF($W$2:W1110,A125)=0,$B$9,""))</f>
        <v/>
      </c>
      <c r="C125" s="2" t="str">
        <f t="shared" ca="1" si="14"/>
        <v/>
      </c>
      <c r="D125" s="43" t="str">
        <f t="shared" ca="1" si="15"/>
        <v/>
      </c>
      <c r="E125" s="40" t="str">
        <f ca="1">IF(COUNTIF($W$2:W1110,A125)=1,VLOOKUP(A125,Q:R,2), IF(COUNTIF($W$2:W1110,A125)=0,$C$9,""))</f>
        <v/>
      </c>
      <c r="F125" s="2" t="str">
        <f t="shared" ca="1" si="16"/>
        <v/>
      </c>
      <c r="G125" s="43" t="str">
        <f t="shared" ca="1" si="17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8"/>
        <v/>
      </c>
      <c r="K125" s="43" t="str">
        <f t="shared" ca="1" si="19"/>
        <v/>
      </c>
      <c r="L125" s="43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4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9" t="str">
        <f t="shared" ca="1" si="13"/>
        <v/>
      </c>
      <c r="B126" s="40" t="str">
        <f ca="1">IF(COUNTIF($W$2:W1111,A126)=1,VLOOKUP(A126,O:P,2), IF(COUNTIF($W$2:W1111,A126)=0,$B$9,""))</f>
        <v/>
      </c>
      <c r="C126" s="2" t="str">
        <f t="shared" ca="1" si="14"/>
        <v/>
      </c>
      <c r="D126" s="43" t="str">
        <f t="shared" ca="1" si="15"/>
        <v/>
      </c>
      <c r="E126" s="40" t="str">
        <f ca="1">IF(COUNTIF($W$2:W1111,A126)=1,VLOOKUP(A126,Q:R,2), IF(COUNTIF($W$2:W1111,A126)=0,$C$9,""))</f>
        <v/>
      </c>
      <c r="F126" s="2" t="str">
        <f t="shared" ca="1" si="16"/>
        <v/>
      </c>
      <c r="G126" s="43" t="str">
        <f t="shared" ca="1" si="17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8"/>
        <v/>
      </c>
      <c r="K126" s="43" t="str">
        <f t="shared" ca="1" si="19"/>
        <v/>
      </c>
      <c r="L126" s="43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4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2"/>
        <v>45954</v>
      </c>
    </row>
    <row r="127" spans="1:30" x14ac:dyDescent="0.25">
      <c r="A127" s="39" t="str">
        <f t="shared" ca="1" si="13"/>
        <v/>
      </c>
      <c r="B127" s="40" t="str">
        <f ca="1">IF(COUNTIF($W$2:W1112,A127)=1,VLOOKUP(A127,O:P,2), IF(COUNTIF($W$2:W1112,A127)=0,$B$9,""))</f>
        <v/>
      </c>
      <c r="C127" s="2" t="str">
        <f t="shared" ca="1" si="14"/>
        <v/>
      </c>
      <c r="D127" s="43" t="str">
        <f t="shared" ca="1" si="15"/>
        <v/>
      </c>
      <c r="E127" s="40" t="str">
        <f ca="1">IF(COUNTIF($W$2:W1112,A127)=1,VLOOKUP(A127,Q:R,2), IF(COUNTIF($W$2:W1112,A127)=0,$C$9,""))</f>
        <v/>
      </c>
      <c r="F127" s="2" t="str">
        <f t="shared" ca="1" si="16"/>
        <v/>
      </c>
      <c r="G127" s="43" t="str">
        <f t="shared" ca="1" si="17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8"/>
        <v/>
      </c>
      <c r="K127" s="43" t="str">
        <f t="shared" ca="1" si="19"/>
        <v/>
      </c>
      <c r="L127" s="43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4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9" t="str">
        <f t="shared" ca="1" si="13"/>
        <v/>
      </c>
      <c r="B128" s="40" t="str">
        <f ca="1">IF(COUNTIF($W$2:W1113,A128)=1,VLOOKUP(A128,O:P,2), IF(COUNTIF($W$2:W1113,A128)=0,$B$9,""))</f>
        <v/>
      </c>
      <c r="C128" s="2" t="str">
        <f t="shared" ca="1" si="14"/>
        <v/>
      </c>
      <c r="D128" s="43" t="str">
        <f t="shared" ca="1" si="15"/>
        <v/>
      </c>
      <c r="E128" s="40" t="str">
        <f ca="1">IF(COUNTIF($W$2:W1113,A128)=1,VLOOKUP(A128,Q:R,2), IF(COUNTIF($W$2:W1113,A128)=0,$C$9,""))</f>
        <v/>
      </c>
      <c r="F128" s="2" t="str">
        <f t="shared" ca="1" si="16"/>
        <v/>
      </c>
      <c r="G128" s="43" t="str">
        <f t="shared" ca="1" si="17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8"/>
        <v/>
      </c>
      <c r="K128" s="43" t="str">
        <f t="shared" ca="1" si="19"/>
        <v/>
      </c>
      <c r="L128" s="43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4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9" t="str">
        <f t="shared" ca="1" si="13"/>
        <v/>
      </c>
      <c r="B129" s="40" t="str">
        <f ca="1">IF(COUNTIF($W$2:W1114,A129)=1,VLOOKUP(A129,O:P,2), IF(COUNTIF($W$2:W1114,A129)=0,$B$9,""))</f>
        <v/>
      </c>
      <c r="C129" s="2" t="str">
        <f t="shared" ca="1" si="14"/>
        <v/>
      </c>
      <c r="D129" s="43" t="str">
        <f t="shared" ca="1" si="15"/>
        <v/>
      </c>
      <c r="E129" s="40" t="str">
        <f ca="1">IF(COUNTIF($W$2:W1114,A129)=1,VLOOKUP(A129,Q:R,2), IF(COUNTIF($W$2:W1114,A129)=0,$C$9,""))</f>
        <v/>
      </c>
      <c r="F129" s="2" t="str">
        <f t="shared" ca="1" si="16"/>
        <v/>
      </c>
      <c r="G129" s="43" t="str">
        <f t="shared" ca="1" si="17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8"/>
        <v/>
      </c>
      <c r="K129" s="43" t="str">
        <f t="shared" ca="1" si="19"/>
        <v/>
      </c>
      <c r="L129" s="43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4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9" t="str">
        <f t="shared" ca="1" si="13"/>
        <v/>
      </c>
      <c r="B130" s="40" t="str">
        <f ca="1">IF(COUNTIF($W$2:W1115,A130)=1,VLOOKUP(A130,O:P,2), IF(COUNTIF($W$2:W1115,A130)=0,$B$9,""))</f>
        <v/>
      </c>
      <c r="C130" s="2" t="str">
        <f t="shared" ca="1" si="14"/>
        <v/>
      </c>
      <c r="D130" s="43" t="str">
        <f t="shared" ca="1" si="15"/>
        <v/>
      </c>
      <c r="E130" s="40" t="str">
        <f ca="1">IF(COUNTIF($W$2:W1115,A130)=1,VLOOKUP(A130,Q:R,2), IF(COUNTIF($W$2:W1115,A130)=0,$C$9,""))</f>
        <v/>
      </c>
      <c r="F130" s="2" t="str">
        <f t="shared" ca="1" si="16"/>
        <v/>
      </c>
      <c r="G130" s="43" t="str">
        <f t="shared" ca="1" si="17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8"/>
        <v/>
      </c>
      <c r="K130" s="43" t="str">
        <f t="shared" ca="1" si="19"/>
        <v/>
      </c>
      <c r="L130" s="43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4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9" t="str">
        <f t="shared" ca="1" si="13"/>
        <v/>
      </c>
      <c r="B131" s="40" t="str">
        <f ca="1">IF(COUNTIF($W$2:W1116,A131)=1,VLOOKUP(A131,O:P,2), IF(COUNTIF($W$2:W1116,A131)=0,$B$9,""))</f>
        <v/>
      </c>
      <c r="C131" s="2" t="str">
        <f t="shared" ca="1" si="14"/>
        <v/>
      </c>
      <c r="D131" s="43" t="str">
        <f t="shared" ca="1" si="15"/>
        <v/>
      </c>
      <c r="E131" s="40" t="str">
        <f ca="1">IF(COUNTIF($W$2:W1116,A131)=1,VLOOKUP(A131,Q:R,2), IF(COUNTIF($W$2:W1116,A131)=0,$C$9,""))</f>
        <v/>
      </c>
      <c r="F131" s="2" t="str">
        <f t="shared" ca="1" si="16"/>
        <v/>
      </c>
      <c r="G131" s="43" t="str">
        <f t="shared" ca="1" si="17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8"/>
        <v/>
      </c>
      <c r="K131" s="43" t="str">
        <f t="shared" ca="1" si="19"/>
        <v/>
      </c>
      <c r="L131" s="43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4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2"/>
        <v>45961</v>
      </c>
    </row>
    <row r="132" spans="1:30" x14ac:dyDescent="0.25">
      <c r="A132" s="39" t="str">
        <f t="shared" ca="1" si="13"/>
        <v/>
      </c>
      <c r="B132" s="40" t="str">
        <f ca="1">IF(COUNTIF($W$2:W1117,A132)=1,VLOOKUP(A132,O:P,2), IF(COUNTIF($W$2:W1117,A132)=0,$B$9,""))</f>
        <v/>
      </c>
      <c r="C132" s="2" t="str">
        <f t="shared" ca="1" si="14"/>
        <v/>
      </c>
      <c r="D132" s="43" t="str">
        <f t="shared" ca="1" si="15"/>
        <v/>
      </c>
      <c r="E132" s="40" t="str">
        <f ca="1">IF(COUNTIF($W$2:W1117,A132)=1,VLOOKUP(A132,Q:R,2), IF(COUNTIF($W$2:W1117,A132)=0,$C$9,""))</f>
        <v/>
      </c>
      <c r="F132" s="2" t="str">
        <f t="shared" ca="1" si="16"/>
        <v/>
      </c>
      <c r="G132" s="43" t="str">
        <f t="shared" ca="1" si="17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8"/>
        <v/>
      </c>
      <c r="K132" s="43" t="str">
        <f t="shared" ca="1" si="19"/>
        <v/>
      </c>
      <c r="L132" s="43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4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9" t="str">
        <f t="shared" ca="1" si="13"/>
        <v/>
      </c>
      <c r="B133" s="40" t="str">
        <f ca="1">IF(COUNTIF($W$2:W1118,A133)=1,VLOOKUP(A133,O:P,2), IF(COUNTIF($W$2:W1118,A133)=0,$B$9,""))</f>
        <v/>
      </c>
      <c r="C133" s="2" t="str">
        <f t="shared" ca="1" si="14"/>
        <v/>
      </c>
      <c r="D133" s="43" t="str">
        <f t="shared" ca="1" si="15"/>
        <v/>
      </c>
      <c r="E133" s="40" t="str">
        <f ca="1">IF(COUNTIF($W$2:W1118,A133)=1,VLOOKUP(A133,Q:R,2), IF(COUNTIF($W$2:W1118,A133)=0,$C$9,""))</f>
        <v/>
      </c>
      <c r="F133" s="2" t="str">
        <f t="shared" ca="1" si="16"/>
        <v/>
      </c>
      <c r="G133" s="43" t="str">
        <f t="shared" ca="1" si="17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8"/>
        <v/>
      </c>
      <c r="K133" s="43" t="str">
        <f t="shared" ca="1" si="19"/>
        <v/>
      </c>
      <c r="L133" s="43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4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9" t="str">
        <f t="shared" ca="1" si="13"/>
        <v/>
      </c>
      <c r="B134" s="40" t="str">
        <f ca="1">IF(COUNTIF($W$2:W1119,A134)=1,VLOOKUP(A134,O:P,2), IF(COUNTIF($W$2:W1119,A134)=0,$B$9,""))</f>
        <v/>
      </c>
      <c r="C134" s="2" t="str">
        <f t="shared" ca="1" si="14"/>
        <v/>
      </c>
      <c r="D134" s="43" t="str">
        <f t="shared" ca="1" si="15"/>
        <v/>
      </c>
      <c r="E134" s="40" t="str">
        <f ca="1">IF(COUNTIF($W$2:W1119,A134)=1,VLOOKUP(A134,Q:R,2), IF(COUNTIF($W$2:W1119,A134)=0,$C$9,""))</f>
        <v/>
      </c>
      <c r="F134" s="2" t="str">
        <f t="shared" ca="1" si="16"/>
        <v/>
      </c>
      <c r="G134" s="43" t="str">
        <f t="shared" ca="1" si="17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8"/>
        <v/>
      </c>
      <c r="K134" s="43" t="str">
        <f t="shared" ca="1" si="19"/>
        <v/>
      </c>
      <c r="L134" s="43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4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9" t="str">
        <f t="shared" ca="1" si="13"/>
        <v/>
      </c>
      <c r="B135" s="40" t="str">
        <f ca="1">IF(COUNTIF($W$2:W1120,A135)=1,VLOOKUP(A135,O:P,2), IF(COUNTIF($W$2:W1120,A135)=0,$B$9,""))</f>
        <v/>
      </c>
      <c r="C135" s="2" t="str">
        <f t="shared" ca="1" si="14"/>
        <v/>
      </c>
      <c r="D135" s="43" t="str">
        <f t="shared" ca="1" si="15"/>
        <v/>
      </c>
      <c r="E135" s="40" t="str">
        <f ca="1">IF(COUNTIF($W$2:W1120,A135)=1,VLOOKUP(A135,Q:R,2), IF(COUNTIF($W$2:W1120,A135)=0,$C$9,""))</f>
        <v/>
      </c>
      <c r="F135" s="2" t="str">
        <f t="shared" ca="1" si="16"/>
        <v/>
      </c>
      <c r="G135" s="43" t="str">
        <f t="shared" ca="1" si="17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8"/>
        <v/>
      </c>
      <c r="K135" s="43" t="str">
        <f t="shared" ca="1" si="19"/>
        <v/>
      </c>
      <c r="L135" s="43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4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9" t="str">
        <f t="shared" ca="1" si="13"/>
        <v/>
      </c>
      <c r="B136" s="40" t="str">
        <f ca="1">IF(COUNTIF($W$2:W1121,A136)=1,VLOOKUP(A136,O:P,2), IF(COUNTIF($W$2:W1121,A136)=0,$B$9,""))</f>
        <v/>
      </c>
      <c r="C136" s="2" t="str">
        <f t="shared" ca="1" si="14"/>
        <v/>
      </c>
      <c r="D136" s="43" t="str">
        <f t="shared" ca="1" si="15"/>
        <v/>
      </c>
      <c r="E136" s="40" t="str">
        <f ca="1">IF(COUNTIF($W$2:W1121,A136)=1,VLOOKUP(A136,Q:R,2), IF(COUNTIF($W$2:W1121,A136)=0,$C$9,""))</f>
        <v/>
      </c>
      <c r="F136" s="2" t="str">
        <f t="shared" ca="1" si="16"/>
        <v/>
      </c>
      <c r="G136" s="43" t="str">
        <f t="shared" ca="1" si="17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8"/>
        <v/>
      </c>
      <c r="K136" s="43" t="str">
        <f t="shared" ca="1" si="19"/>
        <v/>
      </c>
      <c r="L136" s="43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4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9" t="str">
        <f t="shared" ca="1" si="13"/>
        <v/>
      </c>
      <c r="B137" s="40" t="str">
        <f ca="1">IF(COUNTIF($W$2:W1122,A137)=1,VLOOKUP(A137,O:P,2), IF(COUNTIF($W$2:W1122,A137)=0,$B$9,""))</f>
        <v/>
      </c>
      <c r="C137" s="2" t="str">
        <f t="shared" ca="1" si="14"/>
        <v/>
      </c>
      <c r="D137" s="43" t="str">
        <f t="shared" ca="1" si="15"/>
        <v/>
      </c>
      <c r="E137" s="40" t="str">
        <f ca="1">IF(COUNTIF($W$2:W1122,A137)=1,VLOOKUP(A137,Q:R,2), IF(COUNTIF($W$2:W1122,A137)=0,$C$9,""))</f>
        <v/>
      </c>
      <c r="F137" s="2" t="str">
        <f t="shared" ca="1" si="16"/>
        <v/>
      </c>
      <c r="G137" s="43" t="str">
        <f t="shared" ca="1" si="17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8"/>
        <v/>
      </c>
      <c r="K137" s="43" t="str">
        <f t="shared" ca="1" si="19"/>
        <v/>
      </c>
      <c r="L137" s="43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4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9" t="str">
        <f t="shared" ca="1" si="13"/>
        <v/>
      </c>
      <c r="B138" s="40" t="str">
        <f ca="1">IF(COUNTIF($W$2:W1123,A138)=1,VLOOKUP(A138,O:P,2), IF(COUNTIF($W$2:W1123,A138)=0,$B$9,""))</f>
        <v/>
      </c>
      <c r="C138" s="2" t="str">
        <f t="shared" ca="1" si="14"/>
        <v/>
      </c>
      <c r="D138" s="43" t="str">
        <f t="shared" ca="1" si="15"/>
        <v/>
      </c>
      <c r="E138" s="40" t="str">
        <f ca="1">IF(COUNTIF($W$2:W1123,A138)=1,VLOOKUP(A138,Q:R,2), IF(COUNTIF($W$2:W1123,A138)=0,$C$9,""))</f>
        <v/>
      </c>
      <c r="F138" s="2" t="str">
        <f t="shared" ca="1" si="16"/>
        <v/>
      </c>
      <c r="G138" s="43" t="str">
        <f t="shared" ca="1" si="17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8"/>
        <v/>
      </c>
      <c r="K138" s="43" t="str">
        <f t="shared" ca="1" si="19"/>
        <v/>
      </c>
      <c r="L138" s="43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4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9" t="str">
        <f t="shared" ca="1" si="13"/>
        <v/>
      </c>
      <c r="B139" s="40" t="str">
        <f ca="1">IF(COUNTIF($W$2:W1124,A139)=1,VLOOKUP(A139,O:P,2), IF(COUNTIF($W$2:W1124,A139)=0,$B$9,""))</f>
        <v/>
      </c>
      <c r="C139" s="2" t="str">
        <f t="shared" ca="1" si="14"/>
        <v/>
      </c>
      <c r="D139" s="43" t="str">
        <f t="shared" ca="1" si="15"/>
        <v/>
      </c>
      <c r="E139" s="40" t="str">
        <f ca="1">IF(COUNTIF($W$2:W1124,A139)=1,VLOOKUP(A139,Q:R,2), IF(COUNTIF($W$2:W1124,A139)=0,$C$9,""))</f>
        <v/>
      </c>
      <c r="F139" s="2" t="str">
        <f t="shared" ca="1" si="16"/>
        <v/>
      </c>
      <c r="G139" s="43" t="str">
        <f t="shared" ca="1" si="17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8"/>
        <v/>
      </c>
      <c r="K139" s="43" t="str">
        <f t="shared" ca="1" si="19"/>
        <v/>
      </c>
      <c r="L139" s="43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4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9" t="str">
        <f t="shared" ca="1" si="13"/>
        <v/>
      </c>
      <c r="B140" s="40" t="str">
        <f ca="1">IF(COUNTIF($W$2:W1125,A140)=1,VLOOKUP(A140,O:P,2), IF(COUNTIF($W$2:W1125,A140)=0,$B$9,""))</f>
        <v/>
      </c>
      <c r="C140" s="2" t="str">
        <f t="shared" ca="1" si="14"/>
        <v/>
      </c>
      <c r="D140" s="43" t="str">
        <f t="shared" ca="1" si="15"/>
        <v/>
      </c>
      <c r="E140" s="40" t="str">
        <f ca="1">IF(COUNTIF($W$2:W1125,A140)=1,VLOOKUP(A140,Q:R,2), IF(COUNTIF($W$2:W1125,A140)=0,$C$9,""))</f>
        <v/>
      </c>
      <c r="F140" s="2" t="str">
        <f t="shared" ca="1" si="16"/>
        <v/>
      </c>
      <c r="G140" s="43" t="str">
        <f t="shared" ca="1" si="17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8"/>
        <v/>
      </c>
      <c r="K140" s="43" t="str">
        <f t="shared" ca="1" si="19"/>
        <v/>
      </c>
      <c r="L140" s="43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4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9" t="str">
        <f t="shared" ca="1" si="13"/>
        <v/>
      </c>
      <c r="B141" s="40" t="str">
        <f ca="1">IF(COUNTIF($W$2:W1126,A141)=1,VLOOKUP(A141,O:P,2), IF(COUNTIF($W$2:W1126,A141)=0,$B$9,""))</f>
        <v/>
      </c>
      <c r="C141" s="2" t="str">
        <f t="shared" ca="1" si="14"/>
        <v/>
      </c>
      <c r="D141" s="43" t="str">
        <f t="shared" ca="1" si="15"/>
        <v/>
      </c>
      <c r="E141" s="40" t="str">
        <f ca="1">IF(COUNTIF($W$2:W1126,A141)=1,VLOOKUP(A141,Q:R,2), IF(COUNTIF($W$2:W1126,A141)=0,$C$9,""))</f>
        <v/>
      </c>
      <c r="F141" s="2" t="str">
        <f t="shared" ca="1" si="16"/>
        <v/>
      </c>
      <c r="G141" s="43" t="str">
        <f t="shared" ca="1" si="17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8"/>
        <v/>
      </c>
      <c r="K141" s="43" t="str">
        <f t="shared" ca="1" si="19"/>
        <v/>
      </c>
      <c r="L141" s="43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4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9" t="str">
        <f t="shared" ca="1" si="13"/>
        <v/>
      </c>
      <c r="B142" s="40" t="str">
        <f ca="1">IF(COUNTIF($W$2:W1127,A142)=1,VLOOKUP(A142,O:P,2), IF(COUNTIF($W$2:W1127,A142)=0,$B$9,""))</f>
        <v/>
      </c>
      <c r="C142" s="2" t="str">
        <f t="shared" ca="1" si="14"/>
        <v/>
      </c>
      <c r="D142" s="43" t="str">
        <f t="shared" ca="1" si="15"/>
        <v/>
      </c>
      <c r="E142" s="40" t="str">
        <f ca="1">IF(COUNTIF($W$2:W1127,A142)=1,VLOOKUP(A142,Q:R,2), IF(COUNTIF($W$2:W1127,A142)=0,$C$9,""))</f>
        <v/>
      </c>
      <c r="F142" s="2" t="str">
        <f t="shared" ca="1" si="16"/>
        <v/>
      </c>
      <c r="G142" s="43" t="str">
        <f t="shared" ca="1" si="17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8"/>
        <v/>
      </c>
      <c r="K142" s="43" t="str">
        <f t="shared" ca="1" si="19"/>
        <v/>
      </c>
      <c r="L142" s="43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4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9" t="str">
        <f t="shared" ref="A143:A204" ca="1" si="23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4"/>
        <v/>
      </c>
      <c r="D143" s="43" t="str">
        <f t="shared" ca="1" si="15"/>
        <v/>
      </c>
      <c r="E143" s="40" t="str">
        <f ca="1">IF(COUNTIF($W$2:W1128,A143)=1,VLOOKUP(A143,Q:R,2), IF(COUNTIF($W$2:W1128,A143)=0,$C$9,""))</f>
        <v/>
      </c>
      <c r="F143" s="2" t="str">
        <f t="shared" ca="1" si="16"/>
        <v/>
      </c>
      <c r="G143" s="43" t="str">
        <f t="shared" ca="1" si="17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8"/>
        <v/>
      </c>
      <c r="K143" s="43" t="str">
        <f t="shared" ca="1" si="19"/>
        <v/>
      </c>
      <c r="L143" s="43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4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9" t="str">
        <f t="shared" ca="1" si="23"/>
        <v/>
      </c>
      <c r="B144" s="40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3" t="str">
        <f t="shared" ref="D144:D204" ca="1" si="25">IF(ISERROR(B144-2),"",-1*(INT(A144)-INT($A$14))/360*$B$7*$B$5)</f>
        <v/>
      </c>
      <c r="E144" s="40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3" t="str">
        <f t="shared" ref="G144:G204" ca="1" si="27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204" ca="1" si="28">IF(ISERROR(H144-2),"",I144)</f>
        <v/>
      </c>
      <c r="K144" s="43" t="str">
        <f t="shared" ref="K144:K204" ca="1" si="29">IF(ISERROR(H144-2),"",(J144/$J$14-1)*$D$5)</f>
        <v/>
      </c>
      <c r="L144" s="43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4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9" t="str">
        <f t="shared" ca="1" si="23"/>
        <v/>
      </c>
      <c r="B145" s="40" t="str">
        <f ca="1">IF(COUNTIF($W$2:W1130,A145)=1,VLOOKUP(A145,O:P,2), IF(COUNTIF($W$2:W1130,A145)=0,$B$9,""))</f>
        <v/>
      </c>
      <c r="C145" s="2" t="str">
        <f t="shared" ca="1" si="24"/>
        <v/>
      </c>
      <c r="D145" s="43" t="str">
        <f t="shared" ca="1" si="25"/>
        <v/>
      </c>
      <c r="E145" s="40" t="str">
        <f ca="1">IF(COUNTIF($W$2:W1130,A145)=1,VLOOKUP(A145,Q:R,2), IF(COUNTIF($W$2:W1130,A145)=0,$C$9,""))</f>
        <v/>
      </c>
      <c r="F145" s="2" t="str">
        <f t="shared" ca="1" si="26"/>
        <v/>
      </c>
      <c r="G145" s="43" t="str">
        <f t="shared" ca="1" si="27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8"/>
        <v/>
      </c>
      <c r="K145" s="43" t="str">
        <f t="shared" ca="1" si="29"/>
        <v/>
      </c>
      <c r="L145" s="43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4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9" t="str">
        <f t="shared" ca="1" si="23"/>
        <v/>
      </c>
      <c r="B146" s="40" t="str">
        <f ca="1">IF(COUNTIF($W$2:W1131,A146)=1,VLOOKUP(A146,O:P,2), IF(COUNTIF($W$2:W1131,A146)=0,$B$9,""))</f>
        <v/>
      </c>
      <c r="C146" s="2" t="str">
        <f t="shared" ca="1" si="24"/>
        <v/>
      </c>
      <c r="D146" s="43" t="str">
        <f t="shared" ca="1" si="25"/>
        <v/>
      </c>
      <c r="E146" s="40" t="str">
        <f ca="1">IF(COUNTIF($W$2:W1131,A146)=1,VLOOKUP(A146,Q:R,2), IF(COUNTIF($W$2:W1131,A146)=0,$C$9,""))</f>
        <v/>
      </c>
      <c r="F146" s="2" t="str">
        <f t="shared" ca="1" si="26"/>
        <v/>
      </c>
      <c r="G146" s="43" t="str">
        <f t="shared" ca="1" si="27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8"/>
        <v/>
      </c>
      <c r="K146" s="43" t="str">
        <f t="shared" ca="1" si="29"/>
        <v/>
      </c>
      <c r="L146" s="43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4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9" t="str">
        <f t="shared" ca="1" si="23"/>
        <v/>
      </c>
      <c r="B147" s="40" t="str">
        <f ca="1">IF(COUNTIF($W$2:W1132,A147)=1,VLOOKUP(A147,O:P,2), IF(COUNTIF($W$2:W1132,A147)=0,$B$9,""))</f>
        <v/>
      </c>
      <c r="C147" s="2" t="str">
        <f t="shared" ca="1" si="24"/>
        <v/>
      </c>
      <c r="D147" s="43" t="str">
        <f t="shared" ca="1" si="25"/>
        <v/>
      </c>
      <c r="E147" s="40" t="str">
        <f ca="1">IF(COUNTIF($W$2:W1132,A147)=1,VLOOKUP(A147,Q:R,2), IF(COUNTIF($W$2:W1132,A147)=0,$C$9,""))</f>
        <v/>
      </c>
      <c r="F147" s="2" t="str">
        <f t="shared" ca="1" si="26"/>
        <v/>
      </c>
      <c r="G147" s="43" t="str">
        <f t="shared" ca="1" si="27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8"/>
        <v/>
      </c>
      <c r="K147" s="43" t="str">
        <f t="shared" ca="1" si="29"/>
        <v/>
      </c>
      <c r="L147" s="43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4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9" t="str">
        <f t="shared" ca="1" si="23"/>
        <v/>
      </c>
      <c r="B148" s="40" t="str">
        <f ca="1">IF(COUNTIF($W$2:W1133,A148)=1,VLOOKUP(A148,O:P,2), IF(COUNTIF($W$2:W1133,A148)=0,$B$9,""))</f>
        <v/>
      </c>
      <c r="C148" s="2" t="str">
        <f t="shared" ca="1" si="24"/>
        <v/>
      </c>
      <c r="D148" s="43" t="str">
        <f t="shared" ca="1" si="25"/>
        <v/>
      </c>
      <c r="E148" s="40" t="str">
        <f ca="1">IF(COUNTIF($W$2:W1133,A148)=1,VLOOKUP(A148,Q:R,2), IF(COUNTIF($W$2:W1133,A148)=0,$C$9,""))</f>
        <v/>
      </c>
      <c r="F148" s="2" t="str">
        <f t="shared" ca="1" si="26"/>
        <v/>
      </c>
      <c r="G148" s="43" t="str">
        <f t="shared" ca="1" si="27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8"/>
        <v/>
      </c>
      <c r="K148" s="43" t="str">
        <f t="shared" ca="1" si="29"/>
        <v/>
      </c>
      <c r="L148" s="43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4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9" t="str">
        <f t="shared" ca="1" si="23"/>
        <v/>
      </c>
      <c r="B149" s="40" t="str">
        <f ca="1">IF(COUNTIF($W$2:W1134,A149)=1,VLOOKUP(A149,O:P,2), IF(COUNTIF($W$2:W1134,A149)=0,$B$9,""))</f>
        <v/>
      </c>
      <c r="C149" s="2" t="str">
        <f t="shared" ca="1" si="24"/>
        <v/>
      </c>
      <c r="D149" s="43" t="str">
        <f t="shared" ca="1" si="25"/>
        <v/>
      </c>
      <c r="E149" s="40" t="str">
        <f ca="1">IF(COUNTIF($W$2:W1134,A149)=1,VLOOKUP(A149,Q:R,2), IF(COUNTIF($W$2:W1134,A149)=0,$C$9,""))</f>
        <v/>
      </c>
      <c r="F149" s="2" t="str">
        <f t="shared" ca="1" si="26"/>
        <v/>
      </c>
      <c r="G149" s="43" t="str">
        <f t="shared" ca="1" si="27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8"/>
        <v/>
      </c>
      <c r="K149" s="43" t="str">
        <f t="shared" ca="1" si="29"/>
        <v/>
      </c>
      <c r="L149" s="43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4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9" t="str">
        <f t="shared" ca="1" si="23"/>
        <v/>
      </c>
      <c r="B150" s="40" t="str">
        <f ca="1">IF(COUNTIF($W$2:W1135,A150)=1,VLOOKUP(A150,O:P,2), IF(COUNTIF($W$2:W1135,A150)=0,$B$9,""))</f>
        <v/>
      </c>
      <c r="C150" s="2" t="str">
        <f t="shared" ca="1" si="24"/>
        <v/>
      </c>
      <c r="D150" s="43" t="str">
        <f t="shared" ca="1" si="25"/>
        <v/>
      </c>
      <c r="E150" s="40" t="str">
        <f ca="1">IF(COUNTIF($W$2:W1135,A150)=1,VLOOKUP(A150,Q:R,2), IF(COUNTIF($W$2:W1135,A150)=0,$C$9,""))</f>
        <v/>
      </c>
      <c r="F150" s="2" t="str">
        <f t="shared" ca="1" si="26"/>
        <v/>
      </c>
      <c r="G150" s="43" t="str">
        <f t="shared" ca="1" si="27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8"/>
        <v/>
      </c>
      <c r="K150" s="43" t="str">
        <f t="shared" ca="1" si="29"/>
        <v/>
      </c>
      <c r="L150" s="43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4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9" t="str">
        <f t="shared" ca="1" si="23"/>
        <v/>
      </c>
      <c r="B151" s="40" t="str">
        <f ca="1">IF(COUNTIF($W$2:W1136,A151)=1,VLOOKUP(A151,O:P,2), IF(COUNTIF($W$2:W1136,A151)=0,$B$9,""))</f>
        <v/>
      </c>
      <c r="C151" s="2" t="str">
        <f t="shared" ca="1" si="24"/>
        <v/>
      </c>
      <c r="D151" s="43" t="str">
        <f t="shared" ca="1" si="25"/>
        <v/>
      </c>
      <c r="E151" s="40" t="str">
        <f ca="1">IF(COUNTIF($W$2:W1136,A151)=1,VLOOKUP(A151,Q:R,2), IF(COUNTIF($W$2:W1136,A151)=0,$C$9,""))</f>
        <v/>
      </c>
      <c r="F151" s="2" t="str">
        <f t="shared" ca="1" si="26"/>
        <v/>
      </c>
      <c r="G151" s="43" t="str">
        <f t="shared" ca="1" si="27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8"/>
        <v/>
      </c>
      <c r="K151" s="43" t="str">
        <f t="shared" ca="1" si="29"/>
        <v/>
      </c>
      <c r="L151" s="43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4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9" t="str">
        <f t="shared" ca="1" si="23"/>
        <v/>
      </c>
      <c r="B152" s="40" t="str">
        <f ca="1">IF(COUNTIF($W$2:W1137,A152)=1,VLOOKUP(A152,O:P,2), IF(COUNTIF($W$2:W1137,A152)=0,$B$9,""))</f>
        <v/>
      </c>
      <c r="C152" s="2" t="str">
        <f t="shared" ca="1" si="24"/>
        <v/>
      </c>
      <c r="D152" s="43" t="str">
        <f t="shared" ca="1" si="25"/>
        <v/>
      </c>
      <c r="E152" s="40" t="str">
        <f ca="1">IF(COUNTIF($W$2:W1137,A152)=1,VLOOKUP(A152,Q:R,2), IF(COUNTIF($W$2:W1137,A152)=0,$C$9,""))</f>
        <v/>
      </c>
      <c r="F152" s="2" t="str">
        <f t="shared" ca="1" si="26"/>
        <v/>
      </c>
      <c r="G152" s="43" t="str">
        <f t="shared" ca="1" si="27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8"/>
        <v/>
      </c>
      <c r="K152" s="43" t="str">
        <f t="shared" ca="1" si="29"/>
        <v/>
      </c>
      <c r="L152" s="43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4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9" t="str">
        <f t="shared" ca="1" si="23"/>
        <v/>
      </c>
      <c r="B153" s="40" t="str">
        <f ca="1">IF(COUNTIF($W$2:W1138,A153)=1,VLOOKUP(A153,O:P,2), IF(COUNTIF($W$2:W1138,A153)=0,$B$9,""))</f>
        <v/>
      </c>
      <c r="C153" s="2" t="str">
        <f t="shared" ca="1" si="24"/>
        <v/>
      </c>
      <c r="D153" s="43" t="str">
        <f t="shared" ca="1" si="25"/>
        <v/>
      </c>
      <c r="E153" s="40" t="str">
        <f ca="1">IF(COUNTIF($W$2:W1138,A153)=1,VLOOKUP(A153,Q:R,2), IF(COUNTIF($W$2:W1138,A153)=0,$C$9,""))</f>
        <v/>
      </c>
      <c r="F153" s="2" t="str">
        <f t="shared" ca="1" si="26"/>
        <v/>
      </c>
      <c r="G153" s="43" t="str">
        <f t="shared" ca="1" si="27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8"/>
        <v/>
      </c>
      <c r="K153" s="43" t="str">
        <f t="shared" ca="1" si="29"/>
        <v/>
      </c>
      <c r="L153" s="43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4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9" t="str">
        <f t="shared" ca="1" si="23"/>
        <v/>
      </c>
      <c r="B154" s="40" t="str">
        <f ca="1">IF(COUNTIF($W$2:W1139,A154)=1,VLOOKUP(A154,O:P,2), IF(COUNTIF($W$2:W1139,A154)=0,$B$9,""))</f>
        <v/>
      </c>
      <c r="C154" s="2" t="str">
        <f t="shared" ca="1" si="24"/>
        <v/>
      </c>
      <c r="D154" s="43" t="str">
        <f t="shared" ca="1" si="25"/>
        <v/>
      </c>
      <c r="E154" s="40" t="str">
        <f ca="1">IF(COUNTIF($W$2:W1139,A154)=1,VLOOKUP(A154,Q:R,2), IF(COUNTIF($W$2:W1139,A154)=0,$C$9,""))</f>
        <v/>
      </c>
      <c r="F154" s="2" t="str">
        <f t="shared" ca="1" si="26"/>
        <v/>
      </c>
      <c r="G154" s="43" t="str">
        <f t="shared" ca="1" si="27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8"/>
        <v/>
      </c>
      <c r="K154" s="43" t="str">
        <f t="shared" ca="1" si="29"/>
        <v/>
      </c>
      <c r="L154" s="43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4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9" t="str">
        <f t="shared" ca="1" si="23"/>
        <v/>
      </c>
      <c r="B155" s="40" t="str">
        <f ca="1">IF(COUNTIF($W$2:W1140,A155)=1,VLOOKUP(A155,O:P,2), IF(COUNTIF($W$2:W1140,A155)=0,$B$9,""))</f>
        <v/>
      </c>
      <c r="C155" s="2" t="str">
        <f t="shared" ca="1" si="24"/>
        <v/>
      </c>
      <c r="D155" s="43" t="str">
        <f t="shared" ca="1" si="25"/>
        <v/>
      </c>
      <c r="E155" s="40" t="str">
        <f ca="1">IF(COUNTIF($W$2:W1140,A155)=1,VLOOKUP(A155,Q:R,2), IF(COUNTIF($W$2:W1140,A155)=0,$C$9,""))</f>
        <v/>
      </c>
      <c r="F155" s="2" t="str">
        <f t="shared" ca="1" si="26"/>
        <v/>
      </c>
      <c r="G155" s="43" t="str">
        <f t="shared" ca="1" si="27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8"/>
        <v/>
      </c>
      <c r="K155" s="43" t="str">
        <f t="shared" ca="1" si="29"/>
        <v/>
      </c>
      <c r="L155" s="43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4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2"/>
        <v>45995</v>
      </c>
    </row>
    <row r="156" spans="1:30" x14ac:dyDescent="0.25">
      <c r="A156" s="39" t="str">
        <f t="shared" ca="1" si="23"/>
        <v/>
      </c>
      <c r="B156" s="40" t="str">
        <f ca="1">IF(COUNTIF($W$2:W1141,A156)=1,VLOOKUP(A156,O:P,2), IF(COUNTIF($W$2:W1141,A156)=0,$B$9,""))</f>
        <v/>
      </c>
      <c r="C156" s="2" t="str">
        <f t="shared" ca="1" si="24"/>
        <v/>
      </c>
      <c r="D156" s="43" t="str">
        <f t="shared" ca="1" si="25"/>
        <v/>
      </c>
      <c r="E156" s="40" t="str">
        <f ca="1">IF(COUNTIF($W$2:W1141,A156)=1,VLOOKUP(A156,Q:R,2), IF(COUNTIF($W$2:W1141,A156)=0,$C$9,""))</f>
        <v/>
      </c>
      <c r="F156" s="2" t="str">
        <f t="shared" ca="1" si="26"/>
        <v/>
      </c>
      <c r="G156" s="43" t="str">
        <f t="shared" ca="1" si="27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8"/>
        <v/>
      </c>
      <c r="K156" s="43" t="str">
        <f t="shared" ca="1" si="29"/>
        <v/>
      </c>
      <c r="L156" s="43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4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9" t="str">
        <f t="shared" ca="1" si="23"/>
        <v/>
      </c>
      <c r="B157" s="40" t="str">
        <f ca="1">IF(COUNTIF($W$2:W1142,A157)=1,VLOOKUP(A157,O:P,2), IF(COUNTIF($W$2:W1142,A157)=0,$B$9,""))</f>
        <v/>
      </c>
      <c r="C157" s="2" t="str">
        <f t="shared" ca="1" si="24"/>
        <v/>
      </c>
      <c r="D157" s="43" t="str">
        <f t="shared" ca="1" si="25"/>
        <v/>
      </c>
      <c r="E157" s="40" t="str">
        <f ca="1">IF(COUNTIF($W$2:W1142,A157)=1,VLOOKUP(A157,Q:R,2), IF(COUNTIF($W$2:W1142,A157)=0,$C$9,""))</f>
        <v/>
      </c>
      <c r="F157" s="2" t="str">
        <f t="shared" ca="1" si="26"/>
        <v/>
      </c>
      <c r="G157" s="43" t="str">
        <f t="shared" ca="1" si="27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8"/>
        <v/>
      </c>
      <c r="K157" s="43" t="str">
        <f t="shared" ca="1" si="29"/>
        <v/>
      </c>
      <c r="L157" s="43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4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2"/>
        <v>45999</v>
      </c>
    </row>
    <row r="158" spans="1:30" x14ac:dyDescent="0.25">
      <c r="A158" s="39" t="str">
        <f t="shared" ca="1" si="23"/>
        <v/>
      </c>
      <c r="B158" s="40" t="str">
        <f ca="1">IF(COUNTIF($W$2:W1143,A158)=1,VLOOKUP(A158,O:P,2), IF(COUNTIF($W$2:W1143,A158)=0,$B$9,""))</f>
        <v/>
      </c>
      <c r="C158" s="2" t="str">
        <f t="shared" ca="1" si="24"/>
        <v/>
      </c>
      <c r="D158" s="43" t="str">
        <f t="shared" ca="1" si="25"/>
        <v/>
      </c>
      <c r="E158" s="40" t="str">
        <f ca="1">IF(COUNTIF($W$2:W1143,A158)=1,VLOOKUP(A158,Q:R,2), IF(COUNTIF($W$2:W1143,A158)=0,$C$9,""))</f>
        <v/>
      </c>
      <c r="F158" s="2" t="str">
        <f t="shared" ca="1" si="26"/>
        <v/>
      </c>
      <c r="G158" s="43" t="str">
        <f t="shared" ca="1" si="27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8"/>
        <v/>
      </c>
      <c r="K158" s="43" t="str">
        <f t="shared" ca="1" si="29"/>
        <v/>
      </c>
      <c r="L158" s="43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4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2"/>
        <v>46000</v>
      </c>
    </row>
    <row r="159" spans="1:30" x14ac:dyDescent="0.25">
      <c r="A159" s="39" t="str">
        <f t="shared" ca="1" si="23"/>
        <v/>
      </c>
      <c r="B159" s="40" t="str">
        <f ca="1">IF(COUNTIF($W$2:W1144,A159)=1,VLOOKUP(A159,O:P,2), IF(COUNTIF($W$2:W1144,A159)=0,$B$9,""))</f>
        <v/>
      </c>
      <c r="C159" s="2" t="str">
        <f t="shared" ca="1" si="24"/>
        <v/>
      </c>
      <c r="D159" s="43" t="str">
        <f t="shared" ca="1" si="25"/>
        <v/>
      </c>
      <c r="E159" s="40" t="str">
        <f ca="1">IF(COUNTIF($W$2:W1144,A159)=1,VLOOKUP(A159,Q:R,2), IF(COUNTIF($W$2:W1144,A159)=0,$C$9,""))</f>
        <v/>
      </c>
      <c r="F159" s="2" t="str">
        <f t="shared" ca="1" si="26"/>
        <v/>
      </c>
      <c r="G159" s="43" t="str">
        <f t="shared" ca="1" si="27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8"/>
        <v/>
      </c>
      <c r="K159" s="43" t="str">
        <f t="shared" ca="1" si="29"/>
        <v/>
      </c>
      <c r="L159" s="43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4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2"/>
        <v>46001</v>
      </c>
    </row>
    <row r="160" spans="1:30" x14ac:dyDescent="0.25">
      <c r="A160" s="39" t="str">
        <f t="shared" ca="1" si="23"/>
        <v/>
      </c>
      <c r="B160" s="40" t="str">
        <f ca="1">IF(COUNTIF($W$2:W1145,A160)=1,VLOOKUP(A160,O:P,2), IF(COUNTIF($W$2:W1145,A160)=0,$B$9,""))</f>
        <v/>
      </c>
      <c r="C160" s="2" t="str">
        <f t="shared" ca="1" si="24"/>
        <v/>
      </c>
      <c r="D160" s="43" t="str">
        <f t="shared" ca="1" si="25"/>
        <v/>
      </c>
      <c r="E160" s="40" t="str">
        <f ca="1">IF(COUNTIF($W$2:W1145,A160)=1,VLOOKUP(A160,Q:R,2), IF(COUNTIF($W$2:W1145,A160)=0,$C$9,""))</f>
        <v/>
      </c>
      <c r="F160" s="2" t="str">
        <f t="shared" ca="1" si="26"/>
        <v/>
      </c>
      <c r="G160" s="43" t="str">
        <f t="shared" ca="1" si="27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8"/>
        <v/>
      </c>
      <c r="K160" s="43" t="str">
        <f t="shared" ca="1" si="29"/>
        <v/>
      </c>
      <c r="L160" s="43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4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9" t="str">
        <f t="shared" ca="1" si="23"/>
        <v/>
      </c>
      <c r="B161" s="40" t="str">
        <f ca="1">IF(COUNTIF($W$2:W1146,A161)=1,VLOOKUP(A161,O:P,2), IF(COUNTIF($W$2:W1146,A161)=0,$B$9,""))</f>
        <v/>
      </c>
      <c r="C161" s="2" t="str">
        <f t="shared" ca="1" si="24"/>
        <v/>
      </c>
      <c r="D161" s="43" t="str">
        <f t="shared" ca="1" si="25"/>
        <v/>
      </c>
      <c r="E161" s="40" t="str">
        <f ca="1">IF(COUNTIF($W$2:W1146,A161)=1,VLOOKUP(A161,Q:R,2), IF(COUNTIF($W$2:W1146,A161)=0,$C$9,""))</f>
        <v/>
      </c>
      <c r="F161" s="2" t="str">
        <f t="shared" ca="1" si="26"/>
        <v/>
      </c>
      <c r="G161" s="43" t="str">
        <f t="shared" ca="1" si="27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8"/>
        <v/>
      </c>
      <c r="K161" s="43" t="str">
        <f t="shared" ca="1" si="29"/>
        <v/>
      </c>
      <c r="L161" s="43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4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2"/>
        <v>46003</v>
      </c>
    </row>
    <row r="162" spans="1:30" x14ac:dyDescent="0.25">
      <c r="A162" s="39" t="str">
        <f t="shared" ca="1" si="23"/>
        <v/>
      </c>
      <c r="B162" s="40" t="str">
        <f ca="1">IF(COUNTIF($W$2:W1147,A162)=1,VLOOKUP(A162,O:P,2), IF(COUNTIF($W$2:W1147,A162)=0,$B$9,""))</f>
        <v/>
      </c>
      <c r="C162" s="2" t="str">
        <f t="shared" ca="1" si="24"/>
        <v/>
      </c>
      <c r="D162" s="43" t="str">
        <f t="shared" ca="1" si="25"/>
        <v/>
      </c>
      <c r="E162" s="40" t="str">
        <f ca="1">IF(COUNTIF($W$2:W1147,A162)=1,VLOOKUP(A162,Q:R,2), IF(COUNTIF($W$2:W1147,A162)=0,$C$9,""))</f>
        <v/>
      </c>
      <c r="F162" s="2" t="str">
        <f t="shared" ca="1" si="26"/>
        <v/>
      </c>
      <c r="G162" s="43" t="str">
        <f t="shared" ca="1" si="27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8"/>
        <v/>
      </c>
      <c r="K162" s="43" t="str">
        <f t="shared" ca="1" si="29"/>
        <v/>
      </c>
      <c r="L162" s="43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4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9" t="str">
        <f t="shared" ca="1" si="23"/>
        <v/>
      </c>
      <c r="B163" s="40" t="str">
        <f ca="1">IF(COUNTIF($W$2:W1148,A163)=1,VLOOKUP(A163,O:P,2), IF(COUNTIF($W$2:W1148,A163)=0,$B$9,""))</f>
        <v/>
      </c>
      <c r="C163" s="2" t="str">
        <f t="shared" ca="1" si="24"/>
        <v/>
      </c>
      <c r="D163" s="43" t="str">
        <f t="shared" ca="1" si="25"/>
        <v/>
      </c>
      <c r="E163" s="40" t="str">
        <f ca="1">IF(COUNTIF($W$2:W1148,A163)=1,VLOOKUP(A163,Q:R,2), IF(COUNTIF($W$2:W1148,A163)=0,$C$9,""))</f>
        <v/>
      </c>
      <c r="F163" s="2" t="str">
        <f t="shared" ca="1" si="26"/>
        <v/>
      </c>
      <c r="G163" s="43" t="str">
        <f t="shared" ca="1" si="27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8"/>
        <v/>
      </c>
      <c r="K163" s="43" t="str">
        <f t="shared" ca="1" si="29"/>
        <v/>
      </c>
      <c r="L163" s="43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4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9" t="str">
        <f t="shared" ca="1" si="23"/>
        <v/>
      </c>
      <c r="B164" s="40" t="str">
        <f ca="1">IF(COUNTIF($W$2:W1149,A164)=1,VLOOKUP(A164,O:P,2), IF(COUNTIF($W$2:W1149,A164)=0,$B$9,""))</f>
        <v/>
      </c>
      <c r="C164" s="2" t="str">
        <f t="shared" ca="1" si="24"/>
        <v/>
      </c>
      <c r="D164" s="43" t="str">
        <f t="shared" ca="1" si="25"/>
        <v/>
      </c>
      <c r="E164" s="40" t="str">
        <f ca="1">IF(COUNTIF($W$2:W1149,A164)=1,VLOOKUP(A164,Q:R,2), IF(COUNTIF($W$2:W1149,A164)=0,$C$9,""))</f>
        <v/>
      </c>
      <c r="F164" s="2" t="str">
        <f t="shared" ca="1" si="26"/>
        <v/>
      </c>
      <c r="G164" s="43" t="str">
        <f t="shared" ca="1" si="27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8"/>
        <v/>
      </c>
      <c r="K164" s="43" t="str">
        <f t="shared" ca="1" si="29"/>
        <v/>
      </c>
      <c r="L164" s="43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4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9" t="str">
        <f t="shared" ca="1" si="23"/>
        <v/>
      </c>
      <c r="B165" s="40" t="str">
        <f ca="1">IF(COUNTIF($W$2:W1150,A165)=1,VLOOKUP(A165,O:P,2), IF(COUNTIF($W$2:W1150,A165)=0,$B$9,""))</f>
        <v/>
      </c>
      <c r="C165" s="2" t="str">
        <f t="shared" ca="1" si="24"/>
        <v/>
      </c>
      <c r="D165" s="43" t="str">
        <f t="shared" ca="1" si="25"/>
        <v/>
      </c>
      <c r="E165" s="40" t="str">
        <f ca="1">IF(COUNTIF($W$2:W1150,A165)=1,VLOOKUP(A165,Q:R,2), IF(COUNTIF($W$2:W1150,A165)=0,$C$9,""))</f>
        <v/>
      </c>
      <c r="F165" s="2" t="str">
        <f t="shared" ca="1" si="26"/>
        <v/>
      </c>
      <c r="G165" s="43" t="str">
        <f t="shared" ca="1" si="27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8"/>
        <v/>
      </c>
      <c r="K165" s="43" t="str">
        <f t="shared" ca="1" si="29"/>
        <v/>
      </c>
      <c r="L165" s="43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4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9" t="str">
        <f t="shared" ca="1" si="23"/>
        <v/>
      </c>
      <c r="B166" s="40" t="str">
        <f ca="1">IF(COUNTIF($W$2:W1151,A166)=1,VLOOKUP(A166,O:P,2), IF(COUNTIF($W$2:W1151,A166)=0,$B$9,""))</f>
        <v/>
      </c>
      <c r="C166" s="2" t="str">
        <f t="shared" ca="1" si="24"/>
        <v/>
      </c>
      <c r="D166" s="43" t="str">
        <f t="shared" ca="1" si="25"/>
        <v/>
      </c>
      <c r="E166" s="40" t="str">
        <f ca="1">IF(COUNTIF($W$2:W1151,A166)=1,VLOOKUP(A166,Q:R,2), IF(COUNTIF($W$2:W1151,A166)=0,$C$9,""))</f>
        <v/>
      </c>
      <c r="F166" s="2" t="str">
        <f t="shared" ca="1" si="26"/>
        <v/>
      </c>
      <c r="G166" s="43" t="str">
        <f t="shared" ca="1" si="27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8"/>
        <v/>
      </c>
      <c r="K166" s="43" t="str">
        <f t="shared" ca="1" si="29"/>
        <v/>
      </c>
      <c r="L166" s="43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4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2"/>
        <v>46010</v>
      </c>
    </row>
    <row r="167" spans="1:30" x14ac:dyDescent="0.25">
      <c r="A167" s="39" t="str">
        <f t="shared" ca="1" si="23"/>
        <v/>
      </c>
      <c r="B167" s="40" t="str">
        <f ca="1">IF(COUNTIF($W$2:W1152,A167)=1,VLOOKUP(A167,O:P,2), IF(COUNTIF($W$2:W1152,A167)=0,$B$9,""))</f>
        <v/>
      </c>
      <c r="C167" s="2" t="str">
        <f t="shared" ca="1" si="24"/>
        <v/>
      </c>
      <c r="D167" s="43" t="str">
        <f t="shared" ca="1" si="25"/>
        <v/>
      </c>
      <c r="E167" s="40" t="str">
        <f ca="1">IF(COUNTIF($W$2:W1152,A167)=1,VLOOKUP(A167,Q:R,2), IF(COUNTIF($W$2:W1152,A167)=0,$C$9,""))</f>
        <v/>
      </c>
      <c r="F167" s="2" t="str">
        <f t="shared" ca="1" si="26"/>
        <v/>
      </c>
      <c r="G167" s="43" t="str">
        <f t="shared" ca="1" si="27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8"/>
        <v/>
      </c>
      <c r="K167" s="43" t="str">
        <f t="shared" ca="1" si="29"/>
        <v/>
      </c>
      <c r="L167" s="43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4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9" t="str">
        <f t="shared" ca="1" si="23"/>
        <v/>
      </c>
      <c r="B168" s="40" t="str">
        <f ca="1">IF(COUNTIF($W$2:W1153,A168)=1,VLOOKUP(A168,O:P,2), IF(COUNTIF($W$2:W1153,A168)=0,$B$9,""))</f>
        <v/>
      </c>
      <c r="C168" s="2" t="str">
        <f t="shared" ca="1" si="24"/>
        <v/>
      </c>
      <c r="D168" s="43" t="str">
        <f t="shared" ca="1" si="25"/>
        <v/>
      </c>
      <c r="E168" s="40" t="str">
        <f ca="1">IF(COUNTIF($W$2:W1153,A168)=1,VLOOKUP(A168,Q:R,2), IF(COUNTIF($W$2:W1153,A168)=0,$C$9,""))</f>
        <v/>
      </c>
      <c r="F168" s="2" t="str">
        <f t="shared" ca="1" si="26"/>
        <v/>
      </c>
      <c r="G168" s="43" t="str">
        <f t="shared" ca="1" si="27"/>
        <v/>
      </c>
      <c r="H168" s="40" t="str">
        <f ca="1">IF(COUNTIF($W$2:W1153,A168)=1,VLOOKUP(A168,S:T,2), IF(COUNTIF($W$2:W1153,A168)=0,$D$9,""))</f>
        <v/>
      </c>
      <c r="I168" s="41" t="str">
        <f ca="1">IF(COUNTIF($X$2:X1153,INT(A168))=1,VLOOKUP(INT(A168),X:Y,2), IF(ISERROR(H168-2),"",I167*(1-$D$8*(H168-H167)*0.0001)))</f>
        <v/>
      </c>
      <c r="J168" s="41" t="str">
        <f t="shared" ca="1" si="28"/>
        <v/>
      </c>
      <c r="K168" s="43" t="str">
        <f t="shared" ca="1" si="29"/>
        <v/>
      </c>
      <c r="L168" s="43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4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2"/>
        <v>46014</v>
      </c>
    </row>
    <row r="169" spans="1:30" x14ac:dyDescent="0.25">
      <c r="A169" s="39" t="str">
        <f t="shared" ca="1" si="23"/>
        <v/>
      </c>
      <c r="B169" s="40" t="str">
        <f ca="1">IF(COUNTIF($W$2:W1154,A169)=1,VLOOKUP(A169,O:P,2), IF(COUNTIF($W$2:W1154,A169)=0,$B$9,""))</f>
        <v/>
      </c>
      <c r="C169" s="2" t="str">
        <f t="shared" ca="1" si="24"/>
        <v/>
      </c>
      <c r="D169" s="43" t="str">
        <f t="shared" ca="1" si="25"/>
        <v/>
      </c>
      <c r="E169" s="40" t="str">
        <f ca="1">IF(COUNTIF($W$2:W1154,A169)=1,VLOOKUP(A169,Q:R,2), IF(COUNTIF($W$2:W1154,A169)=0,$C$9,""))</f>
        <v/>
      </c>
      <c r="F169" s="2" t="str">
        <f t="shared" ca="1" si="26"/>
        <v/>
      </c>
      <c r="G169" s="43" t="str">
        <f t="shared" ca="1" si="27"/>
        <v/>
      </c>
      <c r="H169" s="40" t="str">
        <f ca="1">IF(COUNTIF($W$2:W1154,A169)=1,VLOOKUP(A169,S:T,2), IF(COUNTIF($W$2:W1154,A169)=0,$D$9,""))</f>
        <v/>
      </c>
      <c r="I169" s="41" t="str">
        <f ca="1">IF(COUNTIF($X$2:X1154,INT(A169))=1,VLOOKUP(INT(A169),X:Y,2), IF(ISERROR(H169-2),"",I168*(1-$D$8*(H169-H168)*0.0001)))</f>
        <v/>
      </c>
      <c r="J169" s="41" t="str">
        <f t="shared" ca="1" si="28"/>
        <v/>
      </c>
      <c r="K169" s="43" t="str">
        <f t="shared" ca="1" si="29"/>
        <v/>
      </c>
      <c r="L169" s="43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4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9" t="str">
        <f t="shared" ca="1" si="23"/>
        <v/>
      </c>
      <c r="B170" s="40" t="str">
        <f ca="1">IF(COUNTIF($W$2:W1155,A170)=1,VLOOKUP(A170,O:P,2), IF(COUNTIF($W$2:W1155,A170)=0,$B$9,""))</f>
        <v/>
      </c>
      <c r="C170" s="2" t="str">
        <f t="shared" ca="1" si="24"/>
        <v/>
      </c>
      <c r="D170" s="43" t="str">
        <f t="shared" ca="1" si="25"/>
        <v/>
      </c>
      <c r="E170" s="40" t="str">
        <f ca="1">IF(COUNTIF($W$2:W1155,A170)=1,VLOOKUP(A170,Q:R,2), IF(COUNTIF($W$2:W1155,A170)=0,$C$9,""))</f>
        <v/>
      </c>
      <c r="F170" s="2" t="str">
        <f t="shared" ca="1" si="26"/>
        <v/>
      </c>
      <c r="G170" s="43" t="str">
        <f t="shared" ca="1" si="27"/>
        <v/>
      </c>
      <c r="H170" s="40" t="str">
        <f ca="1">IF(COUNTIF($W$2:W1155,A170)=1,VLOOKUP(A170,S:T,2), IF(COUNTIF($W$2:W1155,A170)=0,$D$9,""))</f>
        <v/>
      </c>
      <c r="I170" s="41" t="str">
        <f ca="1">IF(COUNTIF($X$2:X1155,INT(A170))=1,VLOOKUP(INT(A170),X:Y,2), IF(ISERROR(H170-2),"",I169*(1-$D$8*(H170-H169)*0.0001)))</f>
        <v/>
      </c>
      <c r="J170" s="41" t="str">
        <f t="shared" ca="1" si="28"/>
        <v/>
      </c>
      <c r="K170" s="43" t="str">
        <f t="shared" ca="1" si="29"/>
        <v/>
      </c>
      <c r="L170" s="43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4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2"/>
        <v>46020</v>
      </c>
    </row>
    <row r="171" spans="1:30" x14ac:dyDescent="0.25">
      <c r="A171" s="39" t="str">
        <f t="shared" ca="1" si="23"/>
        <v/>
      </c>
      <c r="B171" s="40" t="str">
        <f ca="1">IF(COUNTIF($W$2:W1156,A171)=1,VLOOKUP(A171,O:P,2), IF(COUNTIF($W$2:W1156,A171)=0,$B$9,""))</f>
        <v/>
      </c>
      <c r="C171" s="2" t="str">
        <f t="shared" ca="1" si="24"/>
        <v/>
      </c>
      <c r="D171" s="43" t="str">
        <f t="shared" ca="1" si="25"/>
        <v/>
      </c>
      <c r="E171" s="40" t="str">
        <f ca="1">IF(COUNTIF($W$2:W1156,A171)=1,VLOOKUP(A171,Q:R,2), IF(COUNTIF($W$2:W1156,A171)=0,$C$9,""))</f>
        <v/>
      </c>
      <c r="F171" s="2" t="str">
        <f t="shared" ca="1" si="26"/>
        <v/>
      </c>
      <c r="G171" s="43" t="str">
        <f t="shared" ca="1" si="27"/>
        <v/>
      </c>
      <c r="H171" s="40" t="str">
        <f ca="1">IF(COUNTIF($W$2:W1156,A171)=1,VLOOKUP(A171,S:T,2), IF(COUNTIF($W$2:W1156,A171)=0,$D$9,""))</f>
        <v/>
      </c>
      <c r="I171" s="41" t="str">
        <f ca="1">IF(COUNTIF($X$2:X1156,INT(A171))=1,VLOOKUP(INT(A171),X:Y,2), IF(ISERROR(H171-2),"",I170*(1-$D$8*(H171-H170)*0.0001)))</f>
        <v/>
      </c>
      <c r="J171" s="41" t="str">
        <f t="shared" ca="1" si="28"/>
        <v/>
      </c>
      <c r="K171" s="43" t="str">
        <f t="shared" ca="1" si="29"/>
        <v/>
      </c>
      <c r="L171" s="43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4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9" t="str">
        <f t="shared" ca="1" si="23"/>
        <v/>
      </c>
      <c r="B172" s="40" t="str">
        <f ca="1">IF(COUNTIF($W$2:W1157,A172)=1,VLOOKUP(A172,O:P,2), IF(COUNTIF($W$2:W1157,A172)=0,$B$9,""))</f>
        <v/>
      </c>
      <c r="C172" s="2" t="str">
        <f t="shared" ca="1" si="24"/>
        <v/>
      </c>
      <c r="D172" s="43" t="str">
        <f t="shared" ca="1" si="25"/>
        <v/>
      </c>
      <c r="E172" s="40" t="str">
        <f ca="1">IF(COUNTIF($W$2:W1157,A172)=1,VLOOKUP(A172,Q:R,2), IF(COUNTIF($W$2:W1157,A172)=0,$C$9,""))</f>
        <v/>
      </c>
      <c r="F172" s="2" t="str">
        <f t="shared" ca="1" si="26"/>
        <v/>
      </c>
      <c r="G172" s="43" t="str">
        <f t="shared" ca="1" si="27"/>
        <v/>
      </c>
      <c r="H172" s="40" t="str">
        <f ca="1">IF(COUNTIF($W$2:W1157,A172)=1,VLOOKUP(A172,S:T,2), IF(COUNTIF($W$2:W1157,A172)=0,$D$9,""))</f>
        <v/>
      </c>
      <c r="I172" s="41" t="str">
        <f ca="1">IF(COUNTIF($X$2:X1157,INT(A172))=1,VLOOKUP(INT(A172),X:Y,2), IF(ISERROR(H172-2),"",I171*(1-$D$8*(H172-H171)*0.0001)))</f>
        <v/>
      </c>
      <c r="J172" s="41" t="str">
        <f t="shared" ca="1" si="28"/>
        <v/>
      </c>
      <c r="K172" s="43" t="str">
        <f t="shared" ca="1" si="29"/>
        <v/>
      </c>
      <c r="L172" s="43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4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2"/>
        <v>46022</v>
      </c>
    </row>
    <row r="173" spans="1:30" x14ac:dyDescent="0.25">
      <c r="A173" s="39" t="str">
        <f t="shared" ca="1" si="23"/>
        <v/>
      </c>
      <c r="B173" s="40" t="str">
        <f ca="1">IF(COUNTIF($W$2:W1158,A173)=1,VLOOKUP(A173,O:P,2), IF(COUNTIF($W$2:W1158,A173)=0,$B$9,""))</f>
        <v/>
      </c>
      <c r="C173" s="2" t="str">
        <f t="shared" ca="1" si="24"/>
        <v/>
      </c>
      <c r="D173" s="43" t="str">
        <f t="shared" ca="1" si="25"/>
        <v/>
      </c>
      <c r="E173" s="40" t="str">
        <f ca="1">IF(COUNTIF($W$2:W1158,A173)=1,VLOOKUP(A173,Q:R,2), IF(COUNTIF($W$2:W1158,A173)=0,$C$9,""))</f>
        <v/>
      </c>
      <c r="F173" s="2" t="str">
        <f t="shared" ca="1" si="26"/>
        <v/>
      </c>
      <c r="G173" s="43" t="str">
        <f t="shared" ca="1" si="27"/>
        <v/>
      </c>
      <c r="H173" s="40" t="str">
        <f ca="1">IF(COUNTIF($W$2:W1158,A173)=1,VLOOKUP(A173,S:T,2), IF(COUNTIF($W$2:W1158,A173)=0,$D$9,""))</f>
        <v/>
      </c>
      <c r="I173" s="41" t="str">
        <f ca="1">IF(COUNTIF($X$2:X1158,INT(A173))=1,VLOOKUP(INT(A173),X:Y,2), IF(ISERROR(H173-2),"",I172*(1-$D$8*(H173-H172)*0.0001)))</f>
        <v/>
      </c>
      <c r="J173" s="41" t="str">
        <f t="shared" ca="1" si="28"/>
        <v/>
      </c>
      <c r="K173" s="43" t="str">
        <f t="shared" ca="1" si="29"/>
        <v/>
      </c>
      <c r="L173" s="43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4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2"/>
        <v>46024</v>
      </c>
    </row>
    <row r="174" spans="1:30" x14ac:dyDescent="0.25">
      <c r="A174" s="39" t="str">
        <f t="shared" ca="1" si="23"/>
        <v/>
      </c>
      <c r="B174" s="40" t="str">
        <f ca="1">IF(COUNTIF($W$2:W1159,A174)=1,VLOOKUP(A174,O:P,2), IF(COUNTIF($W$2:W1159,A174)=0,$B$9,""))</f>
        <v/>
      </c>
      <c r="C174" s="2" t="str">
        <f t="shared" ca="1" si="24"/>
        <v/>
      </c>
      <c r="D174" s="43" t="str">
        <f t="shared" ca="1" si="25"/>
        <v/>
      </c>
      <c r="E174" s="40" t="str">
        <f ca="1">IF(COUNTIF($W$2:W1159,A174)=1,VLOOKUP(A174,Q:R,2), IF(COUNTIF($W$2:W1159,A174)=0,$C$9,""))</f>
        <v/>
      </c>
      <c r="F174" s="2" t="str">
        <f t="shared" ca="1" si="26"/>
        <v/>
      </c>
      <c r="G174" s="43" t="str">
        <f t="shared" ca="1" si="27"/>
        <v/>
      </c>
      <c r="H174" s="40" t="str">
        <f ca="1">IF(COUNTIF($W$2:W1159,A174)=1,VLOOKUP(A174,S:T,2), IF(COUNTIF($W$2:W1159,A174)=0,$D$9,""))</f>
        <v/>
      </c>
      <c r="I174" s="41" t="str">
        <f ca="1">IF(COUNTIF($X$2:X1159,INT(A174))=1,VLOOKUP(INT(A174),X:Y,2), IF(ISERROR(H174-2),"",I173*(1-$D$8*(H174-H173)*0.0001)))</f>
        <v/>
      </c>
      <c r="J174" s="41" t="str">
        <f t="shared" ca="1" si="28"/>
        <v/>
      </c>
      <c r="K174" s="43" t="str">
        <f t="shared" ca="1" si="29"/>
        <v/>
      </c>
      <c r="L174" s="43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4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9" t="str">
        <f t="shared" ca="1" si="23"/>
        <v/>
      </c>
      <c r="B175" s="40" t="str">
        <f ca="1">IF(COUNTIF($W$2:W1160,A175)=1,VLOOKUP(A175,O:P,2), IF(COUNTIF($W$2:W1160,A175)=0,$B$9,""))</f>
        <v/>
      </c>
      <c r="C175" s="2" t="str">
        <f t="shared" ca="1" si="24"/>
        <v/>
      </c>
      <c r="D175" s="43" t="str">
        <f t="shared" ca="1" si="25"/>
        <v/>
      </c>
      <c r="E175" s="40" t="str">
        <f ca="1">IF(COUNTIF($W$2:W1160,A175)=1,VLOOKUP(A175,Q:R,2), IF(COUNTIF($W$2:W1160,A175)=0,$C$9,""))</f>
        <v/>
      </c>
      <c r="F175" s="2" t="str">
        <f t="shared" ca="1" si="26"/>
        <v/>
      </c>
      <c r="G175" s="43" t="str">
        <f t="shared" ca="1" si="27"/>
        <v/>
      </c>
      <c r="H175" s="40" t="str">
        <f ca="1">IF(COUNTIF($W$2:W1160,A175)=1,VLOOKUP(A175,S:T,2), IF(COUNTIF($W$2:W1160,A175)=0,$D$9,""))</f>
        <v/>
      </c>
      <c r="I175" s="41" t="str">
        <f ca="1">IF(COUNTIF($X$2:X1160,INT(A175))=1,VLOOKUP(INT(A175),X:Y,2), IF(ISERROR(H175-2),"",I174*(1-$D$8*(H175-H174)*0.0001)))</f>
        <v/>
      </c>
      <c r="J175" s="41" t="str">
        <f t="shared" ca="1" si="28"/>
        <v/>
      </c>
      <c r="K175" s="43" t="str">
        <f t="shared" ca="1" si="29"/>
        <v/>
      </c>
      <c r="L175" s="43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4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9" t="str">
        <f t="shared" ca="1" si="23"/>
        <v/>
      </c>
      <c r="B176" s="40" t="str">
        <f ca="1">IF(COUNTIF($W$2:W1161,A176)=1,VLOOKUP(A176,O:P,2), IF(COUNTIF($W$2:W1161,A176)=0,$B$9,""))</f>
        <v/>
      </c>
      <c r="C176" s="2" t="str">
        <f t="shared" ca="1" si="24"/>
        <v/>
      </c>
      <c r="D176" s="43" t="str">
        <f t="shared" ca="1" si="25"/>
        <v/>
      </c>
      <c r="E176" s="40" t="str">
        <f ca="1">IF(COUNTIF($W$2:W1161,A176)=1,VLOOKUP(A176,Q:R,2), IF(COUNTIF($W$2:W1161,A176)=0,$C$9,""))</f>
        <v/>
      </c>
      <c r="F176" s="2" t="str">
        <f t="shared" ca="1" si="26"/>
        <v/>
      </c>
      <c r="G176" s="43" t="str">
        <f t="shared" ca="1" si="27"/>
        <v/>
      </c>
      <c r="H176" s="40" t="str">
        <f ca="1">IF(COUNTIF($W$2:W1161,A176)=1,VLOOKUP(A176,S:T,2), IF(COUNTIF($W$2:W1161,A176)=0,$D$9,""))</f>
        <v/>
      </c>
      <c r="I176" s="41" t="str">
        <f ca="1">IF(COUNTIF($X$2:X1161,INT(A176))=1,VLOOKUP(INT(A176),X:Y,2), IF(ISERROR(H176-2),"",I175*(1-$D$8*(H176-H175)*0.0001)))</f>
        <v/>
      </c>
      <c r="J176" s="41" t="str">
        <f t="shared" ca="1" si="28"/>
        <v/>
      </c>
      <c r="K176" s="43" t="str">
        <f t="shared" ca="1" si="29"/>
        <v/>
      </c>
      <c r="L176" s="43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4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2"/>
        <v>46029</v>
      </c>
    </row>
    <row r="177" spans="1:30" x14ac:dyDescent="0.25">
      <c r="A177" s="39" t="str">
        <f t="shared" ca="1" si="23"/>
        <v/>
      </c>
      <c r="B177" s="40" t="str">
        <f ca="1">IF(COUNTIF($W$2:W1162,A177)=1,VLOOKUP(A177,O:P,2), IF(COUNTIF($W$2:W1162,A177)=0,$B$9,""))</f>
        <v/>
      </c>
      <c r="C177" s="2" t="str">
        <f t="shared" ca="1" si="24"/>
        <v/>
      </c>
      <c r="D177" s="43" t="str">
        <f t="shared" ca="1" si="25"/>
        <v/>
      </c>
      <c r="E177" s="40" t="str">
        <f ca="1">IF(COUNTIF($W$2:W1162,A177)=1,VLOOKUP(A177,Q:R,2), IF(COUNTIF($W$2:W1162,A177)=0,$C$9,""))</f>
        <v/>
      </c>
      <c r="F177" s="2" t="str">
        <f t="shared" ca="1" si="26"/>
        <v/>
      </c>
      <c r="G177" s="43" t="str">
        <f t="shared" ca="1" si="27"/>
        <v/>
      </c>
      <c r="H177" s="40" t="str">
        <f ca="1">IF(COUNTIF($W$2:W1162,A177)=1,VLOOKUP(A177,S:T,2), IF(COUNTIF($W$2:W1162,A177)=0,$D$9,""))</f>
        <v/>
      </c>
      <c r="I177" s="41" t="str">
        <f ca="1">IF(COUNTIF($X$2:X1162,INT(A177))=1,VLOOKUP(INT(A177),X:Y,2), IF(ISERROR(H177-2),"",I176*(1-$D$8*(H177-H176)*0.0001)))</f>
        <v/>
      </c>
      <c r="J177" s="41" t="str">
        <f t="shared" ca="1" si="28"/>
        <v/>
      </c>
      <c r="K177" s="43" t="str">
        <f t="shared" ca="1" si="29"/>
        <v/>
      </c>
      <c r="L177" s="43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4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2"/>
        <v>46030</v>
      </c>
    </row>
    <row r="178" spans="1:30" x14ac:dyDescent="0.25">
      <c r="A178" s="39" t="str">
        <f t="shared" ca="1" si="23"/>
        <v/>
      </c>
      <c r="B178" s="40" t="str">
        <f ca="1">IF(COUNTIF($W$2:W1163,A178)=1,VLOOKUP(A178,O:P,2), IF(COUNTIF($W$2:W1163,A178)=0,$B$9,""))</f>
        <v/>
      </c>
      <c r="C178" s="2" t="str">
        <f t="shared" ca="1" si="24"/>
        <v/>
      </c>
      <c r="D178" s="43" t="str">
        <f t="shared" ca="1" si="25"/>
        <v/>
      </c>
      <c r="E178" s="40" t="str">
        <f ca="1">IF(COUNTIF($W$2:W1163,A178)=1,VLOOKUP(A178,Q:R,2), IF(COUNTIF($W$2:W1163,A178)=0,$C$9,""))</f>
        <v/>
      </c>
      <c r="F178" s="2" t="str">
        <f t="shared" ca="1" si="26"/>
        <v/>
      </c>
      <c r="G178" s="43" t="str">
        <f t="shared" ca="1" si="27"/>
        <v/>
      </c>
      <c r="H178" s="40" t="str">
        <f ca="1">IF(COUNTIF($W$2:W1163,A178)=1,VLOOKUP(A178,S:T,2), IF(COUNTIF($W$2:W1163,A178)=0,$D$9,""))</f>
        <v/>
      </c>
      <c r="I178" s="41" t="str">
        <f ca="1">IF(COUNTIF($X$2:X1163,INT(A178))=1,VLOOKUP(INT(A178),X:Y,2), IF(ISERROR(H178-2),"",I177*(1-$D$8*(H178-H177)*0.0001)))</f>
        <v/>
      </c>
      <c r="J178" s="41" t="str">
        <f t="shared" ca="1" si="28"/>
        <v/>
      </c>
      <c r="K178" s="43" t="str">
        <f t="shared" ca="1" si="29"/>
        <v/>
      </c>
      <c r="L178" s="43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4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9" t="str">
        <f t="shared" ca="1" si="23"/>
        <v/>
      </c>
      <c r="B179" s="40" t="str">
        <f ca="1">IF(COUNTIF($W$2:W1164,A179)=1,VLOOKUP(A179,O:P,2), IF(COUNTIF($W$2:W1164,A179)=0,$B$9,""))</f>
        <v/>
      </c>
      <c r="C179" s="2" t="str">
        <f t="shared" ca="1" si="24"/>
        <v/>
      </c>
      <c r="D179" s="43" t="str">
        <f t="shared" ca="1" si="25"/>
        <v/>
      </c>
      <c r="E179" s="40" t="str">
        <f ca="1">IF(COUNTIF($W$2:W1164,A179)=1,VLOOKUP(A179,Q:R,2), IF(COUNTIF($W$2:W1164,A179)=0,$C$9,""))</f>
        <v/>
      </c>
      <c r="F179" s="2" t="str">
        <f t="shared" ca="1" si="26"/>
        <v/>
      </c>
      <c r="G179" s="43" t="str">
        <f t="shared" ca="1" si="27"/>
        <v/>
      </c>
      <c r="H179" s="40" t="str">
        <f ca="1">IF(COUNTIF($W$2:W1164,A179)=1,VLOOKUP(A179,S:T,2), IF(COUNTIF($W$2:W1164,A179)=0,$D$9,""))</f>
        <v/>
      </c>
      <c r="I179" s="41" t="str">
        <f ca="1">IF(COUNTIF($X$2:X1164,INT(A179))=1,VLOOKUP(INT(A179),X:Y,2), IF(ISERROR(H179-2),"",I178*(1-$D$8*(H179-H178)*0.0001)))</f>
        <v/>
      </c>
      <c r="J179" s="41" t="str">
        <f t="shared" ca="1" si="28"/>
        <v/>
      </c>
      <c r="K179" s="43" t="str">
        <f t="shared" ca="1" si="29"/>
        <v/>
      </c>
      <c r="L179" s="43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4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9" t="str">
        <f t="shared" ca="1" si="23"/>
        <v/>
      </c>
      <c r="B180" s="40" t="str">
        <f ca="1">IF(COUNTIF($W$2:W1165,A180)=1,VLOOKUP(A180,O:P,2), IF(COUNTIF($W$2:W1165,A180)=0,$B$9,""))</f>
        <v/>
      </c>
      <c r="C180" s="2" t="str">
        <f t="shared" ca="1" si="24"/>
        <v/>
      </c>
      <c r="D180" s="43" t="str">
        <f t="shared" ca="1" si="25"/>
        <v/>
      </c>
      <c r="E180" s="40" t="str">
        <f ca="1">IF(COUNTIF($W$2:W1165,A180)=1,VLOOKUP(A180,Q:R,2), IF(COUNTIF($W$2:W1165,A180)=0,$C$9,""))</f>
        <v/>
      </c>
      <c r="F180" s="2" t="str">
        <f t="shared" ca="1" si="26"/>
        <v/>
      </c>
      <c r="G180" s="43" t="str">
        <f t="shared" ca="1" si="27"/>
        <v/>
      </c>
      <c r="H180" s="40" t="str">
        <f ca="1">IF(COUNTIF($W$2:W1165,A180)=1,VLOOKUP(A180,S:T,2), IF(COUNTIF($W$2:W1165,A180)=0,$D$9,""))</f>
        <v/>
      </c>
      <c r="I180" s="41" t="str">
        <f ca="1">IF(COUNTIF($X$2:X1165,INT(A180))=1,VLOOKUP(INT(A180),X:Y,2), IF(ISERROR(H180-2),"",I179*(1-$D$8*(H180-H179)*0.0001)))</f>
        <v/>
      </c>
      <c r="J180" s="41" t="str">
        <f t="shared" ca="1" si="28"/>
        <v/>
      </c>
      <c r="K180" s="43" t="str">
        <f t="shared" ca="1" si="29"/>
        <v/>
      </c>
      <c r="L180" s="43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4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9" t="str">
        <f t="shared" ca="1" si="23"/>
        <v/>
      </c>
      <c r="B181" s="40" t="str">
        <f ca="1">IF(COUNTIF($W$2:W1166,A181)=1,VLOOKUP(A181,O:P,2), IF(COUNTIF($W$2:W1166,A181)=0,$B$9,""))</f>
        <v/>
      </c>
      <c r="C181" s="2" t="str">
        <f t="shared" ca="1" si="24"/>
        <v/>
      </c>
      <c r="D181" s="43" t="str">
        <f t="shared" ca="1" si="25"/>
        <v/>
      </c>
      <c r="E181" s="40" t="str">
        <f ca="1">IF(COUNTIF($W$2:W1166,A181)=1,VLOOKUP(A181,Q:R,2), IF(COUNTIF($W$2:W1166,A181)=0,$C$9,""))</f>
        <v/>
      </c>
      <c r="F181" s="2" t="str">
        <f t="shared" ca="1" si="26"/>
        <v/>
      </c>
      <c r="G181" s="43" t="str">
        <f t="shared" ca="1" si="27"/>
        <v/>
      </c>
      <c r="H181" s="40" t="str">
        <f ca="1">IF(COUNTIF($W$2:W1166,A181)=1,VLOOKUP(A181,S:T,2), IF(COUNTIF($W$2:W1166,A181)=0,$D$9,""))</f>
        <v/>
      </c>
      <c r="I181" s="41" t="str">
        <f ca="1">IF(COUNTIF($X$2:X1166,INT(A181))=1,VLOOKUP(INT(A181),X:Y,2), IF(ISERROR(H181-2),"",I180*(1-$D$8*(H181-H180)*0.0001)))</f>
        <v/>
      </c>
      <c r="J181" s="41" t="str">
        <f t="shared" ca="1" si="28"/>
        <v/>
      </c>
      <c r="K181" s="43" t="str">
        <f t="shared" ca="1" si="29"/>
        <v/>
      </c>
      <c r="L181" s="43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4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9" t="str">
        <f t="shared" ca="1" si="23"/>
        <v/>
      </c>
      <c r="B182" s="40" t="str">
        <f ca="1">IF(COUNTIF($W$2:W1167,A182)=1,VLOOKUP(A182,O:P,2), IF(COUNTIF($W$2:W1167,A182)=0,$B$9,""))</f>
        <v/>
      </c>
      <c r="C182" s="2" t="str">
        <f t="shared" ca="1" si="24"/>
        <v/>
      </c>
      <c r="D182" s="43" t="str">
        <f t="shared" ca="1" si="25"/>
        <v/>
      </c>
      <c r="E182" s="40" t="str">
        <f ca="1">IF(COUNTIF($W$2:W1167,A182)=1,VLOOKUP(A182,Q:R,2), IF(COUNTIF($W$2:W1167,A182)=0,$C$9,""))</f>
        <v/>
      </c>
      <c r="F182" s="2" t="str">
        <f t="shared" ca="1" si="26"/>
        <v/>
      </c>
      <c r="G182" s="43" t="str">
        <f t="shared" ca="1" si="27"/>
        <v/>
      </c>
      <c r="H182" s="40" t="str">
        <f ca="1">IF(COUNTIF($W$2:W1167,A182)=1,VLOOKUP(A182,S:T,2), IF(COUNTIF($W$2:W1167,A182)=0,$D$9,""))</f>
        <v/>
      </c>
      <c r="I182" s="41" t="str">
        <f ca="1">IF(COUNTIF($X$2:X1167,INT(A182))=1,VLOOKUP(INT(A182),X:Y,2), IF(ISERROR(H182-2),"",I181*(1-$D$8*(H182-H181)*0.0001)))</f>
        <v/>
      </c>
      <c r="J182" s="41" t="str">
        <f t="shared" ca="1" si="28"/>
        <v/>
      </c>
      <c r="K182" s="43" t="str">
        <f t="shared" ca="1" si="29"/>
        <v/>
      </c>
      <c r="L182" s="43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4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2"/>
        <v>46037</v>
      </c>
    </row>
    <row r="183" spans="1:30" x14ac:dyDescent="0.25">
      <c r="A183" s="39" t="str">
        <f t="shared" ca="1" si="23"/>
        <v/>
      </c>
      <c r="B183" s="40" t="str">
        <f ca="1">IF(COUNTIF($W$2:W1168,A183)=1,VLOOKUP(A183,O:P,2), IF(COUNTIF($W$2:W1168,A183)=0,$B$9,""))</f>
        <v/>
      </c>
      <c r="C183" s="2" t="str">
        <f t="shared" ca="1" si="24"/>
        <v/>
      </c>
      <c r="D183" s="43" t="str">
        <f t="shared" ca="1" si="25"/>
        <v/>
      </c>
      <c r="E183" s="40" t="str">
        <f ca="1">IF(COUNTIF($W$2:W1168,A183)=1,VLOOKUP(A183,Q:R,2), IF(COUNTIF($W$2:W1168,A183)=0,$C$9,""))</f>
        <v/>
      </c>
      <c r="F183" s="2" t="str">
        <f t="shared" ca="1" si="26"/>
        <v/>
      </c>
      <c r="G183" s="43" t="str">
        <f t="shared" ca="1" si="27"/>
        <v/>
      </c>
      <c r="H183" s="40" t="str">
        <f ca="1">IF(COUNTIF($W$2:W1168,A183)=1,VLOOKUP(A183,S:T,2), IF(COUNTIF($W$2:W1168,A183)=0,$D$9,""))</f>
        <v/>
      </c>
      <c r="I183" s="41" t="str">
        <f ca="1">IF(COUNTIF($X$2:X1168,INT(A183))=1,VLOOKUP(INT(A183),X:Y,2), IF(ISERROR(H183-2),"",I182*(1-$D$8*(H183-H182)*0.0001)))</f>
        <v/>
      </c>
      <c r="J183" s="41" t="str">
        <f t="shared" ca="1" si="28"/>
        <v/>
      </c>
      <c r="K183" s="43" t="str">
        <f t="shared" ca="1" si="29"/>
        <v/>
      </c>
      <c r="L183" s="43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4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9" t="str">
        <f t="shared" ca="1" si="23"/>
        <v/>
      </c>
      <c r="B184" s="40" t="str">
        <f ca="1">IF(COUNTIF($W$2:W1169,A184)=1,VLOOKUP(A184,O:P,2), IF(COUNTIF($W$2:W1169,A184)=0,$B$9,""))</f>
        <v/>
      </c>
      <c r="C184" s="2" t="str">
        <f t="shared" ca="1" si="24"/>
        <v/>
      </c>
      <c r="D184" s="43" t="str">
        <f t="shared" ca="1" si="25"/>
        <v/>
      </c>
      <c r="E184" s="40" t="str">
        <f ca="1">IF(COUNTIF($W$2:W1169,A184)=1,VLOOKUP(A184,Q:R,2), IF(COUNTIF($W$2:W1169,A184)=0,$C$9,""))</f>
        <v/>
      </c>
      <c r="F184" s="2" t="str">
        <f t="shared" ca="1" si="26"/>
        <v/>
      </c>
      <c r="G184" s="43" t="str">
        <f t="shared" ca="1" si="27"/>
        <v/>
      </c>
      <c r="H184" s="40" t="str">
        <f ca="1">IF(COUNTIF($W$2:W1169,A184)=1,VLOOKUP(A184,S:T,2), IF(COUNTIF($W$2:W1169,A184)=0,$D$9,""))</f>
        <v/>
      </c>
      <c r="I184" s="41" t="str">
        <f ca="1">IF(COUNTIF($X$2:X1169,INT(A184))=1,VLOOKUP(INT(A184),X:Y,2), IF(ISERROR(H184-2),"",I183*(1-$D$8*(H184-H183)*0.0001)))</f>
        <v/>
      </c>
      <c r="J184" s="41" t="str">
        <f t="shared" ca="1" si="28"/>
        <v/>
      </c>
      <c r="K184" s="43" t="str">
        <f t="shared" ca="1" si="29"/>
        <v/>
      </c>
      <c r="L184" s="43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4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9" t="str">
        <f t="shared" ca="1" si="23"/>
        <v/>
      </c>
      <c r="B185" s="40" t="str">
        <f ca="1">IF(COUNTIF($W$2:W1170,A185)=1,VLOOKUP(A185,O:P,2), IF(COUNTIF($W$2:W1170,A185)=0,$B$9,""))</f>
        <v/>
      </c>
      <c r="C185" s="2" t="str">
        <f t="shared" ca="1" si="24"/>
        <v/>
      </c>
      <c r="D185" s="43" t="str">
        <f t="shared" ca="1" si="25"/>
        <v/>
      </c>
      <c r="E185" s="40" t="str">
        <f ca="1">IF(COUNTIF($W$2:W1170,A185)=1,VLOOKUP(A185,Q:R,2), IF(COUNTIF($W$2:W1170,A185)=0,$C$9,""))</f>
        <v/>
      </c>
      <c r="F185" s="2" t="str">
        <f t="shared" ca="1" si="26"/>
        <v/>
      </c>
      <c r="G185" s="43" t="str">
        <f t="shared" ca="1" si="27"/>
        <v/>
      </c>
      <c r="H185" s="40" t="str">
        <f ca="1">IF(COUNTIF($W$2:W1170,A185)=1,VLOOKUP(A185,S:T,2), IF(COUNTIF($W$2:W1170,A185)=0,$D$9,""))</f>
        <v/>
      </c>
      <c r="I185" s="41" t="str">
        <f ca="1">IF(COUNTIF($X$2:X1170,INT(A185))=1,VLOOKUP(INT(A185),X:Y,2), IF(ISERROR(H185-2),"",I184*(1-$D$8*(H185-H184)*0.0001)))</f>
        <v/>
      </c>
      <c r="J185" s="41" t="str">
        <f t="shared" ca="1" si="28"/>
        <v/>
      </c>
      <c r="K185" s="43" t="str">
        <f t="shared" ca="1" si="29"/>
        <v/>
      </c>
      <c r="L185" s="43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4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2"/>
        <v>46042</v>
      </c>
    </row>
    <row r="186" spans="1:30" x14ac:dyDescent="0.25">
      <c r="A186" s="39" t="str">
        <f t="shared" ca="1" si="23"/>
        <v/>
      </c>
      <c r="B186" s="40" t="str">
        <f ca="1">IF(COUNTIF($W$2:W1171,A186)=1,VLOOKUP(A186,O:P,2), IF(COUNTIF($W$2:W1171,A186)=0,$B$9,""))</f>
        <v/>
      </c>
      <c r="C186" s="2" t="str">
        <f t="shared" ca="1" si="24"/>
        <v/>
      </c>
      <c r="D186" s="43" t="str">
        <f t="shared" ca="1" si="25"/>
        <v/>
      </c>
      <c r="E186" s="40" t="str">
        <f ca="1">IF(COUNTIF($W$2:W1171,A186)=1,VLOOKUP(A186,Q:R,2), IF(COUNTIF($W$2:W1171,A186)=0,$C$9,""))</f>
        <v/>
      </c>
      <c r="F186" s="2" t="str">
        <f t="shared" ca="1" si="26"/>
        <v/>
      </c>
      <c r="G186" s="43" t="str">
        <f t="shared" ca="1" si="27"/>
        <v/>
      </c>
      <c r="H186" s="40" t="str">
        <f ca="1">IF(COUNTIF($W$2:W1171,A186)=1,VLOOKUP(A186,S:T,2), IF(COUNTIF($W$2:W1171,A186)=0,$D$9,""))</f>
        <v/>
      </c>
      <c r="I186" s="41" t="str">
        <f ca="1">IF(COUNTIF($X$2:X1171,INT(A186))=1,VLOOKUP(INT(A186),X:Y,2), IF(ISERROR(H186-2),"",I185*(1-$D$8*(H186-H185)*0.0001)))</f>
        <v/>
      </c>
      <c r="J186" s="41" t="str">
        <f t="shared" ca="1" si="28"/>
        <v/>
      </c>
      <c r="K186" s="43" t="str">
        <f t="shared" ca="1" si="29"/>
        <v/>
      </c>
      <c r="L186" s="43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4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9" t="str">
        <f t="shared" ca="1" si="23"/>
        <v/>
      </c>
      <c r="B187" s="40" t="str">
        <f ca="1">IF(COUNTIF($W$2:W1172,A187)=1,VLOOKUP(A187,O:P,2), IF(COUNTIF($W$2:W1172,A187)=0,$B$9,""))</f>
        <v/>
      </c>
      <c r="C187" s="2" t="str">
        <f t="shared" ca="1" si="24"/>
        <v/>
      </c>
      <c r="D187" s="43" t="str">
        <f t="shared" ca="1" si="25"/>
        <v/>
      </c>
      <c r="E187" s="40" t="str">
        <f ca="1">IF(COUNTIF($W$2:W1172,A187)=1,VLOOKUP(A187,Q:R,2), IF(COUNTIF($W$2:W1172,A187)=0,$C$9,""))</f>
        <v/>
      </c>
      <c r="F187" s="2" t="str">
        <f t="shared" ca="1" si="26"/>
        <v/>
      </c>
      <c r="G187" s="43" t="str">
        <f t="shared" ca="1" si="27"/>
        <v/>
      </c>
      <c r="H187" s="40" t="str">
        <f ca="1">IF(COUNTIF($W$2:W1172,A187)=1,VLOOKUP(A187,S:T,2), IF(COUNTIF($W$2:W1172,A187)=0,$D$9,""))</f>
        <v/>
      </c>
      <c r="I187" s="41" t="str">
        <f ca="1">IF(COUNTIF($X$2:X1172,INT(A187))=1,VLOOKUP(INT(A187),X:Y,2), IF(ISERROR(H187-2),"",I186*(1-$D$8*(H187-H186)*0.0001)))</f>
        <v/>
      </c>
      <c r="J187" s="41" t="str">
        <f t="shared" ca="1" si="28"/>
        <v/>
      </c>
      <c r="K187" s="43" t="str">
        <f t="shared" ca="1" si="29"/>
        <v/>
      </c>
      <c r="L187" s="43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4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2"/>
        <v>46044</v>
      </c>
    </row>
    <row r="188" spans="1:30" x14ac:dyDescent="0.25">
      <c r="A188" s="39" t="str">
        <f t="shared" ca="1" si="23"/>
        <v/>
      </c>
      <c r="B188" s="40" t="str">
        <f ca="1">IF(COUNTIF($W$2:W1173,A188)=1,VLOOKUP(A188,O:P,2), IF(COUNTIF($W$2:W1173,A188)=0,$B$9,""))</f>
        <v/>
      </c>
      <c r="C188" s="2" t="str">
        <f t="shared" ca="1" si="24"/>
        <v/>
      </c>
      <c r="D188" s="43" t="str">
        <f t="shared" ca="1" si="25"/>
        <v/>
      </c>
      <c r="E188" s="40" t="str">
        <f ca="1">IF(COUNTIF($W$2:W1173,A188)=1,VLOOKUP(A188,Q:R,2), IF(COUNTIF($W$2:W1173,A188)=0,$C$9,""))</f>
        <v/>
      </c>
      <c r="F188" s="2" t="str">
        <f t="shared" ca="1" si="26"/>
        <v/>
      </c>
      <c r="G188" s="43" t="str">
        <f t="shared" ca="1" si="27"/>
        <v/>
      </c>
      <c r="H188" s="40" t="str">
        <f ca="1">IF(COUNTIF($W$2:W1173,A188)=1,VLOOKUP(A188,S:T,2), IF(COUNTIF($W$2:W1173,A188)=0,$D$9,""))</f>
        <v/>
      </c>
      <c r="I188" s="41" t="str">
        <f ca="1">IF(COUNTIF($X$2:X1173,INT(A188))=1,VLOOKUP(INT(A188),X:Y,2), IF(ISERROR(H188-2),"",I187*(1-$D$8*(H188-H187)*0.0001)))</f>
        <v/>
      </c>
      <c r="J188" s="41" t="str">
        <f t="shared" ca="1" si="28"/>
        <v/>
      </c>
      <c r="K188" s="43" t="str">
        <f t="shared" ca="1" si="29"/>
        <v/>
      </c>
      <c r="L188" s="43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4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9" t="str">
        <f t="shared" ca="1" si="23"/>
        <v/>
      </c>
      <c r="B189" s="40" t="str">
        <f ca="1">IF(COUNTIF($W$2:W1174,A189)=1,VLOOKUP(A189,O:P,2), IF(COUNTIF($W$2:W1174,A189)=0,$B$9,""))</f>
        <v/>
      </c>
      <c r="C189" s="2" t="str">
        <f t="shared" ca="1" si="24"/>
        <v/>
      </c>
      <c r="D189" s="43" t="str">
        <f t="shared" ca="1" si="25"/>
        <v/>
      </c>
      <c r="E189" s="40" t="str">
        <f ca="1">IF(COUNTIF($W$2:W1174,A189)=1,VLOOKUP(A189,Q:R,2), IF(COUNTIF($W$2:W1174,A189)=0,$C$9,""))</f>
        <v/>
      </c>
      <c r="F189" s="2" t="str">
        <f t="shared" ca="1" si="26"/>
        <v/>
      </c>
      <c r="G189" s="43" t="str">
        <f t="shared" ca="1" si="27"/>
        <v/>
      </c>
      <c r="H189" s="40" t="str">
        <f ca="1">IF(COUNTIF($W$2:W1174,A189)=1,VLOOKUP(A189,S:T,2), IF(COUNTIF($W$2:W1174,A189)=0,$D$9,""))</f>
        <v/>
      </c>
      <c r="I189" s="41" t="str">
        <f ca="1">IF(COUNTIF($X$2:X1174,INT(A189))=1,VLOOKUP(INT(A189),X:Y,2), IF(ISERROR(H189-2),"",I188*(1-$D$8*(H189-H188)*0.0001)))</f>
        <v/>
      </c>
      <c r="J189" s="41" t="str">
        <f t="shared" ca="1" si="28"/>
        <v/>
      </c>
      <c r="K189" s="43" t="str">
        <f t="shared" ca="1" si="29"/>
        <v/>
      </c>
      <c r="L189" s="43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4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9" t="str">
        <f t="shared" ca="1" si="23"/>
        <v/>
      </c>
      <c r="B190" s="40" t="str">
        <f ca="1">IF(COUNTIF($W$2:W1175,A190)=1,VLOOKUP(A190,O:P,2), IF(COUNTIF($W$2:W1175,A190)=0,$B$9,""))</f>
        <v/>
      </c>
      <c r="C190" s="2" t="str">
        <f t="shared" ca="1" si="24"/>
        <v/>
      </c>
      <c r="D190" s="43" t="str">
        <f t="shared" ca="1" si="25"/>
        <v/>
      </c>
      <c r="E190" s="40" t="str">
        <f ca="1">IF(COUNTIF($W$2:W1175,A190)=1,VLOOKUP(A190,Q:R,2), IF(COUNTIF($W$2:W1175,A190)=0,$C$9,""))</f>
        <v/>
      </c>
      <c r="F190" s="2" t="str">
        <f t="shared" ca="1" si="26"/>
        <v/>
      </c>
      <c r="G190" s="43" t="str">
        <f t="shared" ca="1" si="27"/>
        <v/>
      </c>
      <c r="H190" s="40" t="str">
        <f ca="1">IF(COUNTIF($W$2:W1175,A190)=1,VLOOKUP(A190,S:T,2), IF(COUNTIF($W$2:W1175,A190)=0,$D$9,""))</f>
        <v/>
      </c>
      <c r="I190" s="41" t="str">
        <f ca="1">IF(COUNTIF($X$2:X1175,INT(A190))=1,VLOOKUP(INT(A190),X:Y,2), IF(ISERROR(H190-2),"",I189*(1-$D$8*(H190-H189)*0.0001)))</f>
        <v/>
      </c>
      <c r="J190" s="41" t="str">
        <f t="shared" ca="1" si="28"/>
        <v/>
      </c>
      <c r="K190" s="43" t="str">
        <f t="shared" ca="1" si="29"/>
        <v/>
      </c>
      <c r="L190" s="43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4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2"/>
        <v>46049</v>
      </c>
    </row>
    <row r="191" spans="1:30" x14ac:dyDescent="0.25">
      <c r="A191" s="39" t="str">
        <f t="shared" ca="1" si="23"/>
        <v/>
      </c>
      <c r="B191" s="40" t="str">
        <f ca="1">IF(COUNTIF($W$2:W1176,A191)=1,VLOOKUP(A191,O:P,2), IF(COUNTIF($W$2:W1176,A191)=0,$B$9,""))</f>
        <v/>
      </c>
      <c r="C191" s="2" t="str">
        <f t="shared" ca="1" si="24"/>
        <v/>
      </c>
      <c r="D191" s="43" t="str">
        <f t="shared" ca="1" si="25"/>
        <v/>
      </c>
      <c r="E191" s="40" t="str">
        <f ca="1">IF(COUNTIF($W$2:W1176,A191)=1,VLOOKUP(A191,Q:R,2), IF(COUNTIF($W$2:W1176,A191)=0,$C$9,""))</f>
        <v/>
      </c>
      <c r="F191" s="2" t="str">
        <f t="shared" ca="1" si="26"/>
        <v/>
      </c>
      <c r="G191" s="43" t="str">
        <f t="shared" ca="1" si="27"/>
        <v/>
      </c>
      <c r="H191" s="40" t="str">
        <f ca="1">IF(COUNTIF($W$2:W1176,A191)=1,VLOOKUP(A191,S:T,2), IF(COUNTIF($W$2:W1176,A191)=0,$D$9,""))</f>
        <v/>
      </c>
      <c r="I191" s="41" t="str">
        <f ca="1">IF(COUNTIF($X$2:X1176,INT(A191))=1,VLOOKUP(INT(A191),X:Y,2), IF(ISERROR(H191-2),"",I190*(1-$D$8*(H191-H190)*0.0001)))</f>
        <v/>
      </c>
      <c r="J191" s="41" t="str">
        <f t="shared" ca="1" si="28"/>
        <v/>
      </c>
      <c r="K191" s="43" t="str">
        <f t="shared" ca="1" si="29"/>
        <v/>
      </c>
      <c r="L191" s="43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4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2"/>
        <v>46050</v>
      </c>
    </row>
    <row r="192" spans="1:30" x14ac:dyDescent="0.25">
      <c r="A192" s="39" t="str">
        <f t="shared" ca="1" si="23"/>
        <v/>
      </c>
      <c r="B192" s="40" t="str">
        <f ca="1">IF(COUNTIF($W$2:W1177,A192)=1,VLOOKUP(A192,O:P,2), IF(COUNTIF($W$2:W1177,A192)=0,$B$9,""))</f>
        <v/>
      </c>
      <c r="C192" s="2" t="str">
        <f t="shared" ca="1" si="24"/>
        <v/>
      </c>
      <c r="D192" s="43" t="str">
        <f t="shared" ca="1" si="25"/>
        <v/>
      </c>
      <c r="E192" s="40" t="str">
        <f ca="1">IF(COUNTIF($W$2:W1177,A192)=1,VLOOKUP(A192,Q:R,2), IF(COUNTIF($W$2:W1177,A192)=0,$C$9,""))</f>
        <v/>
      </c>
      <c r="F192" s="2" t="str">
        <f t="shared" ca="1" si="26"/>
        <v/>
      </c>
      <c r="G192" s="43" t="str">
        <f t="shared" ca="1" si="27"/>
        <v/>
      </c>
      <c r="H192" s="40" t="str">
        <f ca="1">IF(COUNTIF($W$2:W1177,A192)=1,VLOOKUP(A192,S:T,2), IF(COUNTIF($W$2:W1177,A192)=0,$D$9,""))</f>
        <v/>
      </c>
      <c r="I192" s="41" t="str">
        <f ca="1">IF(COUNTIF($X$2:X1177,INT(A192))=1,VLOOKUP(INT(A192),X:Y,2), IF(ISERROR(H192-2),"",I191*(1-$D$8*(H192-H191)*0.0001)))</f>
        <v/>
      </c>
      <c r="J192" s="41" t="str">
        <f t="shared" ca="1" si="28"/>
        <v/>
      </c>
      <c r="K192" s="43" t="str">
        <f t="shared" ca="1" si="29"/>
        <v/>
      </c>
      <c r="L192" s="43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4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9" t="str">
        <f t="shared" ca="1" si="23"/>
        <v/>
      </c>
      <c r="B193" s="40" t="str">
        <f ca="1">IF(COUNTIF($W$2:W1178,A193)=1,VLOOKUP(A193,O:P,2), IF(COUNTIF($W$2:W1178,A193)=0,$B$9,""))</f>
        <v/>
      </c>
      <c r="C193" s="2" t="str">
        <f t="shared" ca="1" si="24"/>
        <v/>
      </c>
      <c r="D193" s="43" t="str">
        <f t="shared" ca="1" si="25"/>
        <v/>
      </c>
      <c r="E193" s="40" t="str">
        <f ca="1">IF(COUNTIF($W$2:W1178,A193)=1,VLOOKUP(A193,Q:R,2), IF(COUNTIF($W$2:W1178,A193)=0,$C$9,""))</f>
        <v/>
      </c>
      <c r="F193" s="2" t="str">
        <f t="shared" ca="1" si="26"/>
        <v/>
      </c>
      <c r="G193" s="43" t="str">
        <f t="shared" ca="1" si="27"/>
        <v/>
      </c>
      <c r="H193" s="40" t="str">
        <f ca="1">IF(COUNTIF($W$2:W1178,A193)=1,VLOOKUP(A193,S:T,2), IF(COUNTIF($W$2:W1178,A193)=0,$D$9,""))</f>
        <v/>
      </c>
      <c r="I193" s="41" t="str">
        <f ca="1">IF(COUNTIF($X$2:X1178,INT(A193))=1,VLOOKUP(INT(A193),X:Y,2), IF(ISERROR(H193-2),"",I192*(1-$D$8*(H193-H192)*0.0001)))</f>
        <v/>
      </c>
      <c r="J193" s="41" t="str">
        <f t="shared" ca="1" si="28"/>
        <v/>
      </c>
      <c r="K193" s="43" t="str">
        <f t="shared" ca="1" si="29"/>
        <v/>
      </c>
      <c r="L193" s="43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4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9" t="str">
        <f t="shared" ca="1" si="23"/>
        <v/>
      </c>
      <c r="B194" s="40" t="str">
        <f ca="1">IF(COUNTIF($W$2:W1179,A194)=1,VLOOKUP(A194,O:P,2), IF(COUNTIF($W$2:W1179,A194)=0,$B$9,""))</f>
        <v/>
      </c>
      <c r="C194" s="2" t="str">
        <f t="shared" ca="1" si="24"/>
        <v/>
      </c>
      <c r="D194" s="43" t="str">
        <f t="shared" ca="1" si="25"/>
        <v/>
      </c>
      <c r="E194" s="40" t="str">
        <f ca="1">IF(COUNTIF($W$2:W1179,A194)=1,VLOOKUP(A194,Q:R,2), IF(COUNTIF($W$2:W1179,A194)=0,$C$9,""))</f>
        <v/>
      </c>
      <c r="F194" s="2" t="str">
        <f t="shared" ca="1" si="26"/>
        <v/>
      </c>
      <c r="G194" s="43" t="str">
        <f t="shared" ca="1" si="27"/>
        <v/>
      </c>
      <c r="H194" s="40" t="str">
        <f ca="1">IF(COUNTIF($W$2:W1179,A194)=1,VLOOKUP(A194,S:T,2), IF(COUNTIF($W$2:W1179,A194)=0,$D$9,""))</f>
        <v/>
      </c>
      <c r="I194" s="41" t="str">
        <f ca="1">IF(COUNTIF($X$2:X1179,INT(A194))=1,VLOOKUP(INT(A194),X:Y,2), IF(ISERROR(H194-2),"",I193*(1-$D$8*(H194-H193)*0.0001)))</f>
        <v/>
      </c>
      <c r="J194" s="41" t="str">
        <f t="shared" ca="1" si="28"/>
        <v/>
      </c>
      <c r="K194" s="43" t="str">
        <f t="shared" ca="1" si="29"/>
        <v/>
      </c>
      <c r="L194" s="43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4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9" t="str">
        <f t="shared" ca="1" si="23"/>
        <v/>
      </c>
      <c r="B195" s="40" t="str">
        <f ca="1">IF(COUNTIF($W$2:W1180,A195)=1,VLOOKUP(A195,O:P,2), IF(COUNTIF($W$2:W1180,A195)=0,$B$9,""))</f>
        <v/>
      </c>
      <c r="C195" s="2" t="str">
        <f t="shared" ca="1" si="24"/>
        <v/>
      </c>
      <c r="D195" s="43" t="str">
        <f t="shared" ca="1" si="25"/>
        <v/>
      </c>
      <c r="E195" s="40" t="str">
        <f ca="1">IF(COUNTIF($W$2:W1180,A195)=1,VLOOKUP(A195,Q:R,2), IF(COUNTIF($W$2:W1180,A195)=0,$C$9,""))</f>
        <v/>
      </c>
      <c r="F195" s="2" t="str">
        <f t="shared" ca="1" si="26"/>
        <v/>
      </c>
      <c r="G195" s="43" t="str">
        <f t="shared" ca="1" si="27"/>
        <v/>
      </c>
      <c r="H195" s="40" t="str">
        <f ca="1">IF(COUNTIF($W$2:W1180,A195)=1,VLOOKUP(A195,S:T,2), IF(COUNTIF($W$2:W1180,A195)=0,$D$9,""))</f>
        <v/>
      </c>
      <c r="I195" s="41" t="str">
        <f ca="1">IF(COUNTIF($X$2:X1180,INT(A195))=1,VLOOKUP(INT(A195),X:Y,2), IF(ISERROR(H195-2),"",I194*(1-$D$8*(H195-H194)*0.0001)))</f>
        <v/>
      </c>
      <c r="J195" s="41" t="str">
        <f t="shared" ca="1" si="28"/>
        <v/>
      </c>
      <c r="K195" s="43" t="str">
        <f t="shared" ca="1" si="29"/>
        <v/>
      </c>
      <c r="L195" s="43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4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9" t="str">
        <f t="shared" ca="1" si="23"/>
        <v/>
      </c>
      <c r="B196" s="40" t="str">
        <f ca="1">IF(COUNTIF($W$2:W1181,A196)=1,VLOOKUP(A196,O:P,2), IF(COUNTIF($W$2:W1181,A196)=0,$B$9,""))</f>
        <v/>
      </c>
      <c r="C196" s="2" t="str">
        <f t="shared" ca="1" si="24"/>
        <v/>
      </c>
      <c r="D196" s="43" t="str">
        <f t="shared" ca="1" si="25"/>
        <v/>
      </c>
      <c r="E196" s="40" t="str">
        <f ca="1">IF(COUNTIF($W$2:W1181,A196)=1,VLOOKUP(A196,Q:R,2), IF(COUNTIF($W$2:W1181,A196)=0,$C$9,""))</f>
        <v/>
      </c>
      <c r="F196" s="2" t="str">
        <f t="shared" ca="1" si="26"/>
        <v/>
      </c>
      <c r="G196" s="43" t="str">
        <f t="shared" ca="1" si="27"/>
        <v/>
      </c>
      <c r="H196" s="40" t="str">
        <f ca="1">IF(COUNTIF($W$2:W1181,A196)=1,VLOOKUP(A196,S:T,2), IF(COUNTIF($W$2:W1181,A196)=0,$D$9,""))</f>
        <v/>
      </c>
      <c r="I196" s="41" t="str">
        <f ca="1">IF(COUNTIF($X$2:X1181,INT(A196))=1,VLOOKUP(INT(A196),X:Y,2), IF(ISERROR(H196-2),"",I195*(1-$D$8*(H196-H195)*0.0001)))</f>
        <v/>
      </c>
      <c r="J196" s="41" t="str">
        <f t="shared" ca="1" si="28"/>
        <v/>
      </c>
      <c r="K196" s="43" t="str">
        <f t="shared" ca="1" si="29"/>
        <v/>
      </c>
      <c r="L196" s="43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4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9" t="str">
        <f t="shared" ca="1" si="23"/>
        <v/>
      </c>
      <c r="B197" s="40" t="str">
        <f ca="1">IF(COUNTIF($W$2:W1182,A197)=1,VLOOKUP(A197,O:P,2), IF(COUNTIF($W$2:W1182,A197)=0,$B$9,""))</f>
        <v/>
      </c>
      <c r="C197" s="2" t="str">
        <f t="shared" ca="1" si="24"/>
        <v/>
      </c>
      <c r="D197" s="43" t="str">
        <f t="shared" ca="1" si="25"/>
        <v/>
      </c>
      <c r="E197" s="40" t="str">
        <f ca="1">IF(COUNTIF($W$2:W1182,A197)=1,VLOOKUP(A197,Q:R,2), IF(COUNTIF($W$2:W1182,A197)=0,$C$9,""))</f>
        <v/>
      </c>
      <c r="F197" s="2" t="str">
        <f t="shared" ca="1" si="26"/>
        <v/>
      </c>
      <c r="G197" s="43" t="str">
        <f t="shared" ca="1" si="27"/>
        <v/>
      </c>
      <c r="H197" s="40" t="str">
        <f ca="1">IF(COUNTIF($W$2:W1182,A197)=1,VLOOKUP(A197,S:T,2), IF(COUNTIF($W$2:W1182,A197)=0,$D$9,""))</f>
        <v/>
      </c>
      <c r="I197" s="41" t="str">
        <f ca="1">IF(COUNTIF($X$2:X1182,INT(A197))=1,VLOOKUP(INT(A197),X:Y,2), IF(ISERROR(H197-2),"",I196*(1-$D$8*(H197-H196)*0.0001)))</f>
        <v/>
      </c>
      <c r="J197" s="41" t="str">
        <f t="shared" ca="1" si="28"/>
        <v/>
      </c>
      <c r="K197" s="43" t="str">
        <f t="shared" ca="1" si="29"/>
        <v/>
      </c>
      <c r="L197" s="43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4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9" t="str">
        <f t="shared" ca="1" si="23"/>
        <v/>
      </c>
      <c r="B198" s="40" t="str">
        <f ca="1">IF(COUNTIF($W$2:W1183,A198)=1,VLOOKUP(A198,O:P,2), IF(COUNTIF($W$2:W1183,A198)=0,$B$9,""))</f>
        <v/>
      </c>
      <c r="C198" s="2" t="str">
        <f t="shared" ca="1" si="24"/>
        <v/>
      </c>
      <c r="D198" s="43" t="str">
        <f t="shared" ca="1" si="25"/>
        <v/>
      </c>
      <c r="E198" s="40" t="str">
        <f ca="1">IF(COUNTIF($W$2:W1183,A198)=1,VLOOKUP(A198,Q:R,2), IF(COUNTIF($W$2:W1183,A198)=0,$C$9,""))</f>
        <v/>
      </c>
      <c r="F198" s="2" t="str">
        <f t="shared" ca="1" si="26"/>
        <v/>
      </c>
      <c r="G198" s="43" t="str">
        <f t="shared" ca="1" si="27"/>
        <v/>
      </c>
      <c r="H198" s="40" t="str">
        <f ca="1">IF(COUNTIF($W$2:W1183,A198)=1,VLOOKUP(A198,S:T,2), IF(COUNTIF($W$2:W1183,A198)=0,$D$9,""))</f>
        <v/>
      </c>
      <c r="I198" s="41" t="str">
        <f ca="1">IF(COUNTIF($X$2:X1183,INT(A198))=1,VLOOKUP(INT(A198),X:Y,2), IF(ISERROR(H198-2),"",I197*(1-$D$8*(H198-H197)*0.0001)))</f>
        <v/>
      </c>
      <c r="J198" s="41" t="str">
        <f t="shared" ca="1" si="28"/>
        <v/>
      </c>
      <c r="K198" s="43" t="str">
        <f t="shared" ca="1" si="29"/>
        <v/>
      </c>
      <c r="L198" s="43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4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9" t="str">
        <f t="shared" ca="1" si="23"/>
        <v/>
      </c>
      <c r="B199" s="40" t="str">
        <f ca="1">IF(COUNTIF($W$2:W1184,A199)=1,VLOOKUP(A199,O:P,2), IF(COUNTIF($W$2:W1184,A199)=0,$B$9,""))</f>
        <v/>
      </c>
      <c r="C199" s="2" t="str">
        <f t="shared" ca="1" si="24"/>
        <v/>
      </c>
      <c r="D199" s="43" t="str">
        <f t="shared" ca="1" si="25"/>
        <v/>
      </c>
      <c r="E199" s="40" t="str">
        <f ca="1">IF(COUNTIF($W$2:W1184,A199)=1,VLOOKUP(A199,Q:R,2), IF(COUNTIF($W$2:W1184,A199)=0,$C$9,""))</f>
        <v/>
      </c>
      <c r="F199" s="2" t="str">
        <f t="shared" ca="1" si="26"/>
        <v/>
      </c>
      <c r="G199" s="43" t="str">
        <f t="shared" ca="1" si="27"/>
        <v/>
      </c>
      <c r="H199" s="40" t="str">
        <f ca="1">IF(COUNTIF($W$2:W1184,A199)=1,VLOOKUP(A199,S:T,2), IF(COUNTIF($W$2:W1184,A199)=0,$D$9,""))</f>
        <v/>
      </c>
      <c r="I199" s="41" t="str">
        <f ca="1">IF(COUNTIF($X$2:X1184,INT(A199))=1,VLOOKUP(INT(A199),X:Y,2), IF(ISERROR(H199-2),"",I198*(1-$D$8*(H199-H198)*0.0001)))</f>
        <v/>
      </c>
      <c r="J199" s="41" t="str">
        <f t="shared" ca="1" si="28"/>
        <v/>
      </c>
      <c r="K199" s="43" t="str">
        <f t="shared" ca="1" si="29"/>
        <v/>
      </c>
      <c r="L199" s="43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4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32"/>
        <v>46062</v>
      </c>
    </row>
    <row r="200" spans="1:30" x14ac:dyDescent="0.25">
      <c r="A200" s="39" t="str">
        <f t="shared" ca="1" si="23"/>
        <v/>
      </c>
      <c r="B200" s="40" t="str">
        <f ca="1">IF(COUNTIF($W$2:W1185,A200)=1,VLOOKUP(A200,O:P,2), IF(COUNTIF($W$2:W1185,A200)=0,$B$9,""))</f>
        <v/>
      </c>
      <c r="C200" s="2" t="str">
        <f t="shared" ca="1" si="24"/>
        <v/>
      </c>
      <c r="D200" s="43" t="str">
        <f t="shared" ca="1" si="25"/>
        <v/>
      </c>
      <c r="E200" s="40" t="str">
        <f ca="1">IF(COUNTIF($W$2:W1185,A200)=1,VLOOKUP(A200,Q:R,2), IF(COUNTIF($W$2:W1185,A200)=0,$C$9,""))</f>
        <v/>
      </c>
      <c r="F200" s="2" t="str">
        <f t="shared" ca="1" si="26"/>
        <v/>
      </c>
      <c r="G200" s="43" t="str">
        <f t="shared" ca="1" si="27"/>
        <v/>
      </c>
      <c r="H200" s="40" t="str">
        <f ca="1">IF(COUNTIF($W$2:W1185,A200)=1,VLOOKUP(A200,S:T,2), IF(COUNTIF($W$2:W1185,A200)=0,$D$9,""))</f>
        <v/>
      </c>
      <c r="I200" s="41" t="str">
        <f ca="1">IF(COUNTIF($X$2:X1185,INT(A200))=1,VLOOKUP(INT(A200),X:Y,2), IF(ISERROR(H200-2),"",I199*(1-$D$8*(H200-H199)*0.0001)))</f>
        <v/>
      </c>
      <c r="J200" s="41" t="str">
        <f t="shared" ca="1" si="28"/>
        <v/>
      </c>
      <c r="K200" s="43" t="str">
        <f t="shared" ca="1" si="29"/>
        <v/>
      </c>
      <c r="L200" s="43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4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32"/>
        <v>46063</v>
      </c>
    </row>
    <row r="201" spans="1:30" x14ac:dyDescent="0.25">
      <c r="A201" s="39" t="str">
        <f t="shared" ca="1" si="23"/>
        <v/>
      </c>
      <c r="B201" s="40" t="str">
        <f ca="1">IF(COUNTIF($W$2:W1186,A201)=1,VLOOKUP(A201,O:P,2), IF(COUNTIF($W$2:W1186,A201)=0,$B$9,""))</f>
        <v/>
      </c>
      <c r="C201" s="2" t="str">
        <f t="shared" ca="1" si="24"/>
        <v/>
      </c>
      <c r="D201" s="43" t="str">
        <f t="shared" ca="1" si="25"/>
        <v/>
      </c>
      <c r="E201" s="40" t="str">
        <f ca="1">IF(COUNTIF($W$2:W1186,A201)=1,VLOOKUP(A201,Q:R,2), IF(COUNTIF($W$2:W1186,A201)=0,$C$9,""))</f>
        <v/>
      </c>
      <c r="F201" s="2" t="str">
        <f t="shared" ca="1" si="26"/>
        <v/>
      </c>
      <c r="G201" s="43" t="str">
        <f t="shared" ca="1" si="27"/>
        <v/>
      </c>
      <c r="H201" s="40" t="str">
        <f ca="1">IF(COUNTIF($W$2:W1186,A201)=1,VLOOKUP(A201,S:T,2), IF(COUNTIF($W$2:W1186,A201)=0,$D$9,""))</f>
        <v/>
      </c>
      <c r="I201" s="41" t="str">
        <f ca="1">IF(COUNTIF($X$2:X1186,INT(A201))=1,VLOOKUP(INT(A201),X:Y,2), IF(ISERROR(H201-2),"",I200*(1-$D$8*(H201-H200)*0.0001)))</f>
        <v/>
      </c>
      <c r="J201" s="41" t="str">
        <f t="shared" ca="1" si="28"/>
        <v/>
      </c>
      <c r="K201" s="43" t="str">
        <f t="shared" ca="1" si="29"/>
        <v/>
      </c>
      <c r="L201" s="43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4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32"/>
        <v>46064</v>
      </c>
    </row>
    <row r="202" spans="1:30" x14ac:dyDescent="0.25">
      <c r="A202" s="39" t="str">
        <f t="shared" ca="1" si="23"/>
        <v/>
      </c>
      <c r="B202" s="40" t="str">
        <f ca="1">IF(COUNTIF($W$2:W1187,A202)=1,VLOOKUP(A202,O:P,2), IF(COUNTIF($W$2:W1187,A202)=0,$B$9,""))</f>
        <v/>
      </c>
      <c r="C202" s="2" t="str">
        <f t="shared" ca="1" si="24"/>
        <v/>
      </c>
      <c r="D202" s="43" t="str">
        <f t="shared" ca="1" si="25"/>
        <v/>
      </c>
      <c r="E202" s="40" t="str">
        <f ca="1">IF(COUNTIF($W$2:W1187,A202)=1,VLOOKUP(A202,Q:R,2), IF(COUNTIF($W$2:W1187,A202)=0,$C$9,""))</f>
        <v/>
      </c>
      <c r="F202" s="2" t="str">
        <f t="shared" ca="1" si="26"/>
        <v/>
      </c>
      <c r="G202" s="43" t="str">
        <f t="shared" ca="1" si="27"/>
        <v/>
      </c>
      <c r="H202" s="40" t="str">
        <f ca="1">IF(COUNTIF($W$2:W1187,A202)=1,VLOOKUP(A202,S:T,2), IF(COUNTIF($W$2:W1187,A202)=0,$D$9,""))</f>
        <v/>
      </c>
      <c r="I202" s="41" t="str">
        <f ca="1">IF(COUNTIF($X$2:X1187,INT(A202))=1,VLOOKUP(INT(A202),X:Y,2), IF(ISERROR(H202-2),"",I201*(1-$D$8*(H202-H201)*0.0001)))</f>
        <v/>
      </c>
      <c r="J202" s="41" t="str">
        <f t="shared" ca="1" si="28"/>
        <v/>
      </c>
      <c r="K202" s="43" t="str">
        <f t="shared" ca="1" si="29"/>
        <v/>
      </c>
      <c r="L202" s="43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4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32"/>
        <v>46065</v>
      </c>
    </row>
    <row r="203" spans="1:30" x14ac:dyDescent="0.25">
      <c r="A203" s="39" t="str">
        <f t="shared" ca="1" si="23"/>
        <v/>
      </c>
      <c r="B203" s="40" t="str">
        <f ca="1">IF(COUNTIF($W$2:W1188,A203)=1,VLOOKUP(A203,O:P,2), IF(COUNTIF($W$2:W1188,A203)=0,$B$9,""))</f>
        <v/>
      </c>
      <c r="C203" s="2" t="str">
        <f t="shared" ca="1" si="24"/>
        <v/>
      </c>
      <c r="D203" s="43" t="str">
        <f t="shared" ca="1" si="25"/>
        <v/>
      </c>
      <c r="E203" s="40" t="str">
        <f ca="1">IF(COUNTIF($W$2:W1188,A203)=1,VLOOKUP(A203,Q:R,2), IF(COUNTIF($W$2:W1188,A203)=0,$C$9,""))</f>
        <v/>
      </c>
      <c r="F203" s="2" t="str">
        <f t="shared" ca="1" si="26"/>
        <v/>
      </c>
      <c r="G203" s="43" t="str">
        <f t="shared" ca="1" si="27"/>
        <v/>
      </c>
      <c r="H203" s="40" t="str">
        <f ca="1">IF(COUNTIF($W$2:W1188,A203)=1,VLOOKUP(A203,S:T,2), IF(COUNTIF($W$2:W1188,A203)=0,$D$9,""))</f>
        <v/>
      </c>
      <c r="I203" s="41" t="str">
        <f ca="1">IF(COUNTIF($X$2:X1188,INT(A203))=1,VLOOKUP(INT(A203),X:Y,2), IF(ISERROR(H203-2),"",I202*(1-$D$8*(H203-H202)*0.0001)))</f>
        <v/>
      </c>
      <c r="J203" s="41" t="str">
        <f t="shared" ca="1" si="28"/>
        <v/>
      </c>
      <c r="K203" s="43" t="str">
        <f t="shared" ca="1" si="29"/>
        <v/>
      </c>
      <c r="L203" s="43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4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32"/>
        <v>46066</v>
      </c>
    </row>
    <row r="204" spans="1:30" x14ac:dyDescent="0.25">
      <c r="A204" s="39" t="str">
        <f t="shared" ca="1" si="23"/>
        <v/>
      </c>
      <c r="B204" s="40" t="str">
        <f ca="1">IF(COUNTIF($W$2:W1189,A204)=1,VLOOKUP(A204,O:P,2), IF(COUNTIF($W$2:W1189,A204)=0,$B$9,""))</f>
        <v/>
      </c>
      <c r="C204" s="2" t="str">
        <f t="shared" ca="1" si="24"/>
        <v/>
      </c>
      <c r="D204" s="43" t="str">
        <f t="shared" ca="1" si="25"/>
        <v/>
      </c>
      <c r="E204" s="40" t="str">
        <f ca="1">IF(COUNTIF($W$2:W1189,A204)=1,VLOOKUP(A204,Q:R,2), IF(COUNTIF($W$2:W1189,A204)=0,$C$9,""))</f>
        <v/>
      </c>
      <c r="F204" s="2" t="str">
        <f t="shared" ca="1" si="26"/>
        <v/>
      </c>
      <c r="G204" s="43" t="str">
        <f t="shared" ca="1" si="27"/>
        <v/>
      </c>
      <c r="H204" s="40" t="str">
        <f ca="1">IF(COUNTIF($W$2:W1189,A204)=1,VLOOKUP(A204,S:T,2), IF(COUNTIF($W$2:W1189,A204)=0,$D$9,""))</f>
        <v/>
      </c>
      <c r="I204" s="41" t="str">
        <f ca="1">IF(COUNTIF($X$2:X1189,INT(A204))=1,VLOOKUP(INT(A204),X:Y,2), IF(ISERROR(H204-2),"",I203*(1-$D$8*(H204-H203)*0.0001)))</f>
        <v/>
      </c>
      <c r="J204" s="41" t="str">
        <f t="shared" ca="1" si="28"/>
        <v/>
      </c>
      <c r="K204" s="43" t="str">
        <f t="shared" ca="1" si="29"/>
        <v/>
      </c>
      <c r="L204" s="43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4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32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32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32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32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32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32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32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32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32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32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32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32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32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32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5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5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5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5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5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5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5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5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5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5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3"/>
        <v/>
      </c>
      <c r="V294" s="3" t="str">
        <f t="shared" si="34"/>
        <v/>
      </c>
      <c r="AD294" s="6" t="str">
        <f t="shared" si="35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9"/>
        <v/>
      </c>
      <c r="V422" s="3" t="str">
        <f t="shared" si="40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9"/>
        <v/>
      </c>
      <c r="V423" s="3" t="str">
        <f t="shared" si="40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9"/>
        <v/>
      </c>
      <c r="V424" s="3" t="str">
        <f t="shared" si="40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9"/>
        <v/>
      </c>
      <c r="V425" s="3" t="str">
        <f t="shared" si="40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9"/>
        <v/>
      </c>
      <c r="V426" s="3" t="str">
        <f t="shared" si="40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9"/>
        <v/>
      </c>
      <c r="V427" s="3" t="str">
        <f t="shared" si="40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9"/>
        <v/>
      </c>
      <c r="V428" s="3" t="str">
        <f t="shared" si="40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9"/>
        <v/>
      </c>
      <c r="V429" s="3" t="str">
        <f t="shared" si="40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9"/>
        <v/>
      </c>
      <c r="V430" s="3" t="str">
        <f t="shared" si="40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9"/>
        <v/>
      </c>
      <c r="V431" s="3" t="str">
        <f t="shared" si="40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9"/>
        <v/>
      </c>
      <c r="V432" s="3" t="str">
        <f t="shared" si="40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9"/>
        <v/>
      </c>
      <c r="V433" s="3" t="str">
        <f t="shared" si="40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9"/>
        <v/>
      </c>
      <c r="V434" s="3" t="str">
        <f t="shared" si="40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9"/>
        <v/>
      </c>
      <c r="V435" s="3" t="str">
        <f t="shared" si="40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9"/>
        <v/>
      </c>
      <c r="V436" s="3" t="str">
        <f t="shared" si="40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9"/>
        <v/>
      </c>
      <c r="V437" s="3" t="str">
        <f t="shared" si="40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9"/>
        <v/>
      </c>
      <c r="V438" s="3" t="str">
        <f t="shared" si="40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9"/>
        <v/>
      </c>
      <c r="V439" s="3" t="str">
        <f t="shared" si="40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9"/>
        <v/>
      </c>
      <c r="V440" s="3" t="str">
        <f t="shared" si="40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9"/>
        <v/>
      </c>
      <c r="V441" s="3" t="str">
        <f t="shared" si="40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9"/>
        <v/>
      </c>
      <c r="V442" s="3" t="str">
        <f t="shared" si="40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9"/>
        <v/>
      </c>
      <c r="V443" s="3" t="str">
        <f t="shared" si="40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9"/>
        <v/>
      </c>
      <c r="V444" s="3" t="str">
        <f t="shared" si="40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9"/>
        <v/>
      </c>
      <c r="V445" s="3" t="str">
        <f t="shared" si="40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9"/>
        <v/>
      </c>
      <c r="V446" s="3" t="str">
        <f t="shared" si="40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9"/>
        <v/>
      </c>
      <c r="V447" s="3" t="str">
        <f t="shared" si="40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9"/>
        <v/>
      </c>
      <c r="V448" s="3" t="str">
        <f t="shared" si="40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9"/>
        <v/>
      </c>
      <c r="V449" s="3" t="str">
        <f t="shared" si="40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9"/>
        <v/>
      </c>
      <c r="V450" s="3" t="str">
        <f t="shared" si="40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9"/>
        <v/>
      </c>
      <c r="V451" s="3" t="str">
        <f t="shared" si="40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42"/>
        <v/>
      </c>
      <c r="V453" s="3" t="str">
        <f t="shared" si="43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42"/>
        <v/>
      </c>
      <c r="V454" s="3" t="str">
        <f t="shared" si="43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42"/>
        <v/>
      </c>
      <c r="V455" s="3" t="str">
        <f t="shared" si="43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42"/>
        <v/>
      </c>
      <c r="V456" s="3" t="str">
        <f t="shared" si="43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42"/>
        <v/>
      </c>
      <c r="V457" s="3" t="str">
        <f t="shared" si="43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42"/>
        <v/>
      </c>
      <c r="V458" s="3" t="str">
        <f t="shared" si="43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42"/>
        <v/>
      </c>
      <c r="V459" s="3" t="str">
        <f t="shared" si="43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42"/>
        <v/>
      </c>
      <c r="V460" s="3" t="str">
        <f t="shared" si="43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42"/>
        <v/>
      </c>
      <c r="V461" s="3" t="str">
        <f t="shared" si="43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42"/>
        <v/>
      </c>
      <c r="V462" s="3" t="str">
        <f t="shared" si="43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42"/>
        <v/>
      </c>
      <c r="V463" s="3" t="str">
        <f t="shared" si="43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42"/>
        <v/>
      </c>
      <c r="V464" s="3" t="str">
        <f t="shared" si="43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42"/>
        <v/>
      </c>
      <c r="V465" s="3" t="str">
        <f t="shared" si="43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42"/>
        <v/>
      </c>
      <c r="V466" s="3" t="str">
        <f t="shared" si="43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42"/>
        <v/>
      </c>
      <c r="V467" s="3" t="str">
        <f t="shared" si="43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42"/>
        <v/>
      </c>
      <c r="V468" s="3" t="str">
        <f t="shared" si="43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42"/>
        <v/>
      </c>
      <c r="V469" s="3" t="str">
        <f t="shared" si="43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42"/>
        <v/>
      </c>
      <c r="V470" s="3" t="str">
        <f t="shared" si="43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42"/>
        <v/>
      </c>
      <c r="V471" s="3" t="str">
        <f t="shared" si="43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42"/>
        <v/>
      </c>
      <c r="V472" s="3" t="str">
        <f t="shared" si="43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42"/>
        <v/>
      </c>
      <c r="V473" s="3" t="str">
        <f t="shared" si="43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42"/>
        <v/>
      </c>
      <c r="V474" s="3" t="str">
        <f t="shared" si="43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42"/>
        <v/>
      </c>
      <c r="V475" s="3" t="str">
        <f t="shared" si="43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42"/>
        <v/>
      </c>
      <c r="V476" s="3" t="str">
        <f t="shared" si="43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42"/>
        <v/>
      </c>
      <c r="V477" s="3" t="str">
        <f t="shared" si="43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42"/>
        <v/>
      </c>
      <c r="V478" s="3" t="str">
        <f t="shared" si="43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42"/>
        <v/>
      </c>
      <c r="V479" s="3" t="str">
        <f t="shared" si="43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42"/>
        <v/>
      </c>
      <c r="V480" s="3" t="str">
        <f t="shared" si="43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42"/>
        <v/>
      </c>
      <c r="V481" s="3" t="str">
        <f t="shared" si="43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42"/>
        <v/>
      </c>
      <c r="V482" s="3" t="str">
        <f t="shared" si="43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42"/>
        <v/>
      </c>
      <c r="V483" s="3" t="str">
        <f t="shared" si="43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42"/>
        <v/>
      </c>
      <c r="V484" s="3" t="str">
        <f t="shared" si="43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42"/>
        <v/>
      </c>
      <c r="V485" s="3" t="str">
        <f t="shared" si="43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42"/>
        <v/>
      </c>
      <c r="V486" s="3" t="str">
        <f t="shared" si="43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42"/>
        <v/>
      </c>
      <c r="V487" s="3" t="str">
        <f t="shared" si="43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42"/>
        <v/>
      </c>
      <c r="V488" s="3" t="str">
        <f t="shared" si="43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42"/>
        <v/>
      </c>
      <c r="V489" s="3" t="str">
        <f t="shared" si="43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42"/>
        <v/>
      </c>
      <c r="V490" s="3" t="str">
        <f t="shared" si="43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42"/>
        <v/>
      </c>
      <c r="V491" s="3" t="str">
        <f t="shared" si="43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42"/>
        <v/>
      </c>
      <c r="V492" s="3" t="str">
        <f t="shared" si="43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42"/>
        <v/>
      </c>
      <c r="V493" s="3" t="str">
        <f t="shared" si="43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42"/>
        <v/>
      </c>
      <c r="V494" s="3" t="str">
        <f t="shared" si="43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42"/>
        <v/>
      </c>
      <c r="V495" s="3" t="str">
        <f t="shared" si="43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42"/>
        <v/>
      </c>
      <c r="V496" s="3" t="str">
        <f t="shared" si="43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42"/>
        <v/>
      </c>
      <c r="V497" s="3" t="str">
        <f t="shared" si="43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42"/>
        <v/>
      </c>
      <c r="V498" s="3" t="str">
        <f t="shared" si="43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42"/>
        <v/>
      </c>
      <c r="V499" s="3" t="str">
        <f t="shared" si="43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42"/>
        <v/>
      </c>
      <c r="V500" s="3" t="str">
        <f t="shared" si="43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42"/>
        <v/>
      </c>
      <c r="V501" s="3" t="str">
        <f t="shared" si="43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42"/>
        <v/>
      </c>
      <c r="V502" s="3" t="str">
        <f t="shared" si="43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42"/>
        <v/>
      </c>
      <c r="V503" s="3" t="str">
        <f t="shared" si="43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42"/>
        <v/>
      </c>
      <c r="V504" s="3" t="str">
        <f t="shared" si="43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42"/>
        <v/>
      </c>
      <c r="V505" s="3" t="str">
        <f t="shared" si="43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42"/>
        <v/>
      </c>
      <c r="V506" s="3" t="str">
        <f t="shared" si="43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42"/>
        <v/>
      </c>
      <c r="V507" s="3" t="str">
        <f t="shared" si="43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42"/>
        <v/>
      </c>
      <c r="V508" s="3" t="str">
        <f t="shared" si="43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42"/>
        <v/>
      </c>
      <c r="V509" s="3" t="str">
        <f t="shared" si="43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42"/>
        <v/>
      </c>
      <c r="V510" s="3" t="str">
        <f t="shared" si="43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42"/>
        <v/>
      </c>
      <c r="V511" s="3" t="str">
        <f t="shared" si="43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42"/>
        <v/>
      </c>
      <c r="V512" s="3" t="str">
        <f t="shared" si="43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42"/>
        <v/>
      </c>
      <c r="V513" s="3" t="str">
        <f t="shared" si="43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42"/>
        <v/>
      </c>
      <c r="V514" s="3" t="str">
        <f t="shared" si="43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42"/>
        <v/>
      </c>
      <c r="V515" s="3" t="str">
        <f t="shared" si="43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4"/>
        <v/>
      </c>
      <c r="V517" s="3" t="str">
        <f t="shared" si="45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4"/>
        <v/>
      </c>
      <c r="V518" s="3" t="str">
        <f t="shared" si="45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4"/>
        <v/>
      </c>
      <c r="V519" s="3" t="str">
        <f t="shared" si="45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4"/>
        <v/>
      </c>
      <c r="V520" s="3" t="str">
        <f t="shared" si="45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4"/>
        <v/>
      </c>
      <c r="V521" s="3" t="str">
        <f t="shared" si="45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4"/>
        <v/>
      </c>
      <c r="V522" s="3" t="str">
        <f t="shared" si="45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4"/>
        <v/>
      </c>
      <c r="V523" s="3" t="str">
        <f t="shared" si="45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4"/>
        <v/>
      </c>
      <c r="V524" s="3" t="str">
        <f t="shared" si="45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4"/>
        <v/>
      </c>
      <c r="V525" s="3" t="str">
        <f t="shared" si="45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4"/>
        <v/>
      </c>
      <c r="V526" s="3" t="str">
        <f t="shared" si="45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4"/>
        <v/>
      </c>
      <c r="V527" s="3" t="str">
        <f t="shared" si="45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4"/>
        <v/>
      </c>
      <c r="V528" s="3" t="str">
        <f t="shared" si="45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4"/>
        <v/>
      </c>
      <c r="V529" s="3" t="str">
        <f t="shared" si="45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4"/>
        <v/>
      </c>
      <c r="V530" s="3" t="str">
        <f t="shared" si="45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4"/>
        <v/>
      </c>
      <c r="V531" s="3" t="str">
        <f t="shared" si="45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4"/>
        <v/>
      </c>
      <c r="V532" s="3" t="str">
        <f t="shared" si="45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4"/>
        <v/>
      </c>
      <c r="V533" s="3" t="str">
        <f t="shared" si="45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4"/>
        <v/>
      </c>
      <c r="V534" s="3" t="str">
        <f t="shared" si="45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4"/>
        <v/>
      </c>
      <c r="V535" s="3" t="str">
        <f t="shared" si="45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4"/>
        <v/>
      </c>
      <c r="V536" s="3" t="str">
        <f t="shared" si="45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4"/>
        <v/>
      </c>
      <c r="V537" s="3" t="str">
        <f t="shared" si="45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4"/>
        <v/>
      </c>
      <c r="V538" s="3" t="str">
        <f t="shared" si="45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4"/>
        <v/>
      </c>
      <c r="V539" s="3" t="str">
        <f t="shared" si="45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4"/>
        <v/>
      </c>
      <c r="V540" s="3" t="str">
        <f t="shared" si="45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4"/>
        <v/>
      </c>
      <c r="V541" s="3" t="str">
        <f t="shared" si="45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4"/>
        <v/>
      </c>
      <c r="V542" s="3" t="str">
        <f t="shared" si="45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4"/>
        <v/>
      </c>
      <c r="V543" s="3" t="str">
        <f t="shared" si="45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4"/>
        <v/>
      </c>
      <c r="V544" s="3" t="str">
        <f t="shared" si="45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4"/>
        <v/>
      </c>
      <c r="V545" s="3" t="str">
        <f t="shared" si="45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4"/>
        <v/>
      </c>
      <c r="V546" s="3" t="str">
        <f t="shared" si="45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4"/>
        <v/>
      </c>
      <c r="V547" s="3" t="str">
        <f t="shared" si="45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4"/>
        <v/>
      </c>
      <c r="V548" s="3" t="str">
        <f t="shared" si="45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4"/>
        <v/>
      </c>
      <c r="V549" s="3" t="str">
        <f t="shared" si="45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4"/>
        <v/>
      </c>
      <c r="V550" s="3" t="str">
        <f t="shared" si="45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4"/>
        <v/>
      </c>
      <c r="V551" s="3" t="str">
        <f t="shared" si="45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4"/>
        <v/>
      </c>
      <c r="V552" s="3" t="str">
        <f t="shared" si="45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4"/>
        <v/>
      </c>
      <c r="V553" s="3" t="str">
        <f t="shared" si="45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4"/>
        <v/>
      </c>
      <c r="V554" s="3" t="str">
        <f t="shared" si="45"/>
        <v/>
      </c>
    </row>
    <row r="555" spans="1:22" x14ac:dyDescent="0.25">
      <c r="A555" s="39"/>
      <c r="B555" s="40"/>
      <c r="C555" s="2"/>
      <c r="D555" s="43"/>
      <c r="E555" s="40"/>
      <c r="F555" s="2"/>
      <c r="G555" s="43"/>
      <c r="H555" s="40"/>
      <c r="I555" s="41"/>
      <c r="J555" s="41"/>
      <c r="K555" s="43"/>
      <c r="L555" s="43"/>
      <c r="M555" s="44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2" priority="1" operator="lessThan">
      <formula>0</formula>
    </cfRule>
  </conditionalFormatting>
  <hyperlinks>
    <hyperlink ref="C4" r:id="rId1" xr:uid="{EB115D47-C756-4AFD-BBC9-C5D02D868BE3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A8E6-B6E4-4C98-AD32-C84709D2A7BF}">
  <dimension ref="A1:AJ569"/>
  <sheetViews>
    <sheetView tabSelected="1" topLeftCell="I1" zoomScale="90" zoomScaleNormal="90" workbookViewId="0">
      <selection activeCell="AG8" sqref="AG8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34" width="9.140625" style="4"/>
    <col min="35" max="35" width="17.140625" style="3" bestFit="1" customWidth="1"/>
    <col min="36" max="36" width="6.5703125" style="4" bestFit="1" customWidth="1"/>
    <col min="37" max="16384" width="9.140625" style="4"/>
  </cols>
  <sheetData>
    <row r="1" spans="1:36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6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38">_xlfn._xlws.SORT(_xlfn.UNIQUE(_xlfn._xlws.FILTER(V:V, ISNUMBER(V:V))))</f>
        <v>46114.625</v>
      </c>
      <c r="AE2" s="4" t="s">
        <v>5</v>
      </c>
      <c r="AF2" s="4">
        <f>VLOOKUP(AF1,AB:AC,2)</f>
        <v>247.30699999999999</v>
      </c>
      <c r="AI2" s="14" t="s">
        <v>2</v>
      </c>
    </row>
    <row r="3" spans="1:36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61240</v>
      </c>
      <c r="I3" s="2">
        <f>INT(B5/H3)</f>
        <v>489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 t="str">
        <f>IF(U3&gt;$A$14,U3,"")</f>
        <v/>
      </c>
      <c r="W3" s="3">
        <v>46119.625</v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  <c r="AI3" s="3" cm="1">
        <f t="array" ref="AI3:AJ9">_xll.BDH("AHWU6 Index", "LAST_PRICE", "01/26/2026 15:00:00", "01/26/2035 16:00:00", "BarSize=60", "BarType=T", "RecurDaily=True", "TZ=London")</f>
        <v>46185.625</v>
      </c>
      <c r="AJ3" s="4">
        <v>314.76</v>
      </c>
    </row>
    <row r="4" spans="1:36" ht="30" customHeight="1" x14ac:dyDescent="0.25">
      <c r="A4" s="17" t="s">
        <v>12</v>
      </c>
      <c r="B4" s="23" t="s">
        <v>39</v>
      </c>
      <c r="C4" s="24" t="s">
        <v>14</v>
      </c>
      <c r="D4" s="23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 t="str">
        <f t="shared" ref="V4:V67" si="1">IF(U4&gt;$A$14,U4,"")</f>
        <v/>
      </c>
      <c r="W4" s="3">
        <v>46120.625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  <c r="AI4" s="3">
        <v>46189.625</v>
      </c>
      <c r="AJ4" s="4">
        <v>315.8</v>
      </c>
    </row>
    <row r="5" spans="1:36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 t="str">
        <f t="shared" si="1"/>
        <v/>
      </c>
      <c r="W5" s="3">
        <v>46122.625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  <c r="AI5" s="3">
        <v>46190.625</v>
      </c>
      <c r="AJ5" s="4">
        <v>315.42</v>
      </c>
    </row>
    <row r="6" spans="1:36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 t="str">
        <f t="shared" si="1"/>
        <v/>
      </c>
      <c r="W6" s="3">
        <v>46126.625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  <c r="AI6" s="3">
        <v>46191.625</v>
      </c>
      <c r="AJ6" s="4">
        <v>315.68</v>
      </c>
    </row>
    <row r="7" spans="1:36" x14ac:dyDescent="0.25">
      <c r="A7" s="17" t="s">
        <v>19</v>
      </c>
      <c r="B7" s="28">
        <v>0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 t="str">
        <f t="shared" si="1"/>
        <v/>
      </c>
      <c r="W7" s="3">
        <v>46127.625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  <c r="AI7" s="3">
        <v>46192.625</v>
      </c>
      <c r="AJ7" s="4">
        <v>315.88</v>
      </c>
    </row>
    <row r="8" spans="1:36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 t="str">
        <f t="shared" si="1"/>
        <v/>
      </c>
      <c r="W8" s="3">
        <v>46128.625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  <c r="AI8" s="3">
        <v>46196.625</v>
      </c>
      <c r="AJ8" s="4">
        <v>315.56</v>
      </c>
    </row>
    <row r="9" spans="1:36" x14ac:dyDescent="0.25">
      <c r="A9" s="17" t="s">
        <v>22</v>
      </c>
      <c r="B9" s="30" cm="1">
        <f t="array" ref="B9">_xll.BDP(B4,"PX_LAST")</f>
        <v>313.66000000000003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 t="str">
        <f t="shared" si="1"/>
        <v/>
      </c>
      <c r="W9" s="3">
        <v>46129.625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  <c r="AI9" s="3">
        <v>46197.625</v>
      </c>
      <c r="AJ9" s="4">
        <v>315.52</v>
      </c>
    </row>
    <row r="10" spans="1:36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 t="str">
        <f t="shared" si="1"/>
        <v/>
      </c>
      <c r="W10" s="3">
        <v>46132.625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6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 t="str">
        <f t="shared" si="1"/>
        <v/>
      </c>
      <c r="W11" s="3">
        <v>46133.625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6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 t="str">
        <f t="shared" si="1"/>
        <v/>
      </c>
      <c r="W12" s="3">
        <v>46134.625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6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 t="str">
        <f t="shared" si="1"/>
        <v/>
      </c>
      <c r="W13" s="3">
        <v>46136.625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6" x14ac:dyDescent="0.25">
      <c r="A14" s="39">
        <v>46113.625</v>
      </c>
      <c r="B14" s="40">
        <v>306.2</v>
      </c>
      <c r="C14" s="2"/>
      <c r="D14" s="18"/>
      <c r="E14" s="40">
        <f>IF(COUNTIF($W$2:W999,A14)=1,VLOOKUP(A14,Q:R,2), IF(COUNTIF($W$2:W999,A14)=0,$C$9,""))</f>
        <v>99.747</v>
      </c>
      <c r="F14" s="1"/>
      <c r="G14" s="18"/>
      <c r="H14" s="40">
        <f>IF(COUNTIF($W$2:W999,A14)=1,VLOOKUP(A14,S:T,2), IF(COUNTIF($W$2:W999,A14)=0,$D$9,""))</f>
        <v>247.30670000000001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 t="str">
        <f t="shared" si="1"/>
        <v/>
      </c>
      <c r="W14" s="3">
        <v>46139.625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6" x14ac:dyDescent="0.25">
      <c r="A15" s="39">
        <f t="shared" ref="A15:A78" ca="1" si="3">IF(AND(ISBLANK(W4), A14 = $W$1),NOW(),IF(ISBLANK(W4),"",W4))</f>
        <v>46120.625</v>
      </c>
      <c r="B15" s="40">
        <f ca="1">IF(COUNTIF($W$2:W1000,A15)=1,VLOOKUP(A15,O:P,2), IF(COUNTIF($W$2:W1000,A15)=0,$B$9,""))</f>
        <v>309.58</v>
      </c>
      <c r="C15" s="2">
        <f ca="1">IF(ISERROR(B15-2),"",(B15-$B$14)*$G$3*$I$3)</f>
        <v>330563.99999999953</v>
      </c>
      <c r="D15" s="43"/>
      <c r="E15" s="40">
        <f ca="1">IF(COUNTIF($W$2:W1000,A15)=1,VLOOKUP(A15,Q:R,2), IF(COUNTIF($W$2:W1000,A15)=0,$C$9,""))</f>
        <v>99.777000000000001</v>
      </c>
      <c r="F15" s="2">
        <f ca="1">IF(ISERROR(B15-2),"",(E15-$E$14)/100*$C$5)</f>
        <v>7800.0000000002956</v>
      </c>
      <c r="G15" s="43">
        <f ca="1">IF(ISERROR(B15-2),"",(INT(A15)-INT($A$14))/360*$C$6*$C$5-(INT(A15)-INT($A$14))/360*$C$7*$C$5*$E$14/100)</f>
        <v>30.697333333333518</v>
      </c>
      <c r="H15" s="40">
        <f ca="1">IF(COUNTIF($W$2:W1000,A15)=1,VLOOKUP(A15,S:T,2), IF(COUNTIF($W$2:W1000,A15)=0,$D$9,""))</f>
        <v>301.61900000000003</v>
      </c>
      <c r="I15" s="41">
        <f ca="1">IF(COUNTIF($X$2:X1000,INT(A15))=1,VLOOKUP(INT(A15),X:Y,2), IF(ISERROR(H15-2),"",I14*(1-$D$8*(H15-H14)*0.0001)))</f>
        <v>262.38350000000003</v>
      </c>
      <c r="J15" s="41">
        <f ca="1">IF(ISERROR(H15-2),"",I15)</f>
        <v>262.38350000000003</v>
      </c>
      <c r="K15" s="43">
        <f ca="1">IF(ISERROR(H15-2),"",(J15/$J$14-1)*$D$5)</f>
        <v>-127165.37966537764</v>
      </c>
      <c r="L15" s="43"/>
      <c r="M15" s="44">
        <f ca="1">IF(ISERROR(B15-2),"",C15+D15-F15-G15-K15+SUM($L$14:L15))</f>
        <v>449898.68233204354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 t="str">
        <f t="shared" si="1"/>
        <v/>
      </c>
      <c r="W15" s="3">
        <v>46140.625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6" x14ac:dyDescent="0.25">
      <c r="A16" s="39">
        <f t="shared" ca="1" si="3"/>
        <v>46122.625</v>
      </c>
      <c r="B16" s="40">
        <f ca="1">IF(COUNTIF($W$2:W1001,A16)=1,VLOOKUP(A16,O:P,2), IF(COUNTIF($W$2:W1001,A16)=0,$B$9,""))</f>
        <v>309.45999999999998</v>
      </c>
      <c r="C16" s="2">
        <f t="shared" ref="C16:C79" ca="1" si="4">IF(ISERROR(B16-2),"",(B16-$B$14)*$G$3*$I$3)</f>
        <v>318827.99999999913</v>
      </c>
      <c r="D16" s="43"/>
      <c r="E16" s="40">
        <f ca="1">IF(COUNTIF($W$2:W1001,A16)=1,VLOOKUP(A16,Q:R,2), IF(COUNTIF($W$2:W1001,A16)=0,$C$9,""))</f>
        <v>99.55</v>
      </c>
      <c r="F16" s="2">
        <f t="shared" ref="F16:F79" ca="1" si="5">IF(ISERROR(B16-2),"",(E16-$E$14)/100*$C$5)</f>
        <v>-51220.000000000713</v>
      </c>
      <c r="G16" s="43">
        <f t="shared" ref="G16:G79" ca="1" si="6">IF(ISERROR(B16-2),"",(INT(A16)-INT($A$14))/360*$C$6*$C$5-(INT(A16)-INT($A$14))/360*$C$7*$C$5*$E$14/100)</f>
        <v>39.468000000000757</v>
      </c>
      <c r="H16" s="40">
        <f ca="1">IF(COUNTIF($W$2:W1001,A16)=1,VLOOKUP(A16,S:T,2), IF(COUNTIF($W$2:W1001,A16)=0,$D$9,""))</f>
        <v>291.34300000000002</v>
      </c>
      <c r="I16" s="41">
        <f ca="1">IF(COUNTIF($X$2:X1001,INT(A16))=1,VLOOKUP(INT(A16),X:Y,2), IF(ISERROR(H16-2),"",I15*(1-$D$8*(H16-H15)*0.0001)))</f>
        <v>263.29309999999998</v>
      </c>
      <c r="J16" s="41">
        <f t="shared" ref="J16:J79" ca="1" si="7">IF(ISERROR(H16-2),"",I16)</f>
        <v>263.29309999999998</v>
      </c>
      <c r="K16" s="43">
        <f t="shared" ref="K16:K79" ca="1" si="8">IF(ISERROR(H16-2),"",(J16/$J$14-1)*$D$5)</f>
        <v>-62779.279279281996</v>
      </c>
      <c r="L16" s="43"/>
      <c r="M16" s="44">
        <f ca="1">IF(ISERROR(B16-2),"",C16+D16-F16-G16-K16+SUM($L$14:L16))</f>
        <v>432787.81127928186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 t="str">
        <f t="shared" si="1"/>
        <v/>
      </c>
      <c r="W16" s="3">
        <v>46141.625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46126.625</v>
      </c>
      <c r="B17" s="40">
        <f ca="1">IF(COUNTIF($W$2:W1002,A17)=1,VLOOKUP(A17,O:P,2), IF(COUNTIF($W$2:W1002,A17)=0,$B$9,""))</f>
        <v>309.89999999999998</v>
      </c>
      <c r="C17" s="2">
        <f t="shared" ca="1" si="4"/>
        <v>361859.99999999889</v>
      </c>
      <c r="D17" s="43"/>
      <c r="E17" s="40">
        <f ca="1">IF(COUNTIF($W$2:W1002,A17)=1,VLOOKUP(A17,Q:R,2), IF(COUNTIF($W$2:W1002,A17)=0,$C$9,""))</f>
        <v>99.619</v>
      </c>
      <c r="F17" s="2">
        <f t="shared" ca="1" si="5"/>
        <v>-33280.000000000029</v>
      </c>
      <c r="G17" s="43">
        <f t="shared" ca="1" si="6"/>
        <v>57.009333333331597</v>
      </c>
      <c r="H17" s="40">
        <f ca="1">IF(COUNTIF($W$2:W1002,A17)=1,VLOOKUP(A17,S:T,2), IF(COUNTIF($W$2:W1002,A17)=0,$D$9,""))</f>
        <v>282.697</v>
      </c>
      <c r="I17" s="41">
        <f ca="1">IF(COUNTIF($X$2:X1002,INT(A17))=1,VLOOKUP(INT(A17),X:Y,2), IF(ISERROR(H17-2),"",I16*(1-$D$8*(H17-H16)*0.0001)))</f>
        <v>264.6927</v>
      </c>
      <c r="J17" s="41">
        <f t="shared" ca="1" si="7"/>
        <v>264.6927</v>
      </c>
      <c r="K17" s="43">
        <f t="shared" ca="1" si="8"/>
        <v>36291.505791503594</v>
      </c>
      <c r="L17" s="43"/>
      <c r="M17" s="44">
        <f ca="1">IF(ISERROR(B17-2),"",C17+D17-F17-G17-K17+SUM($L$14:L17))</f>
        <v>358791.48487516202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46142.625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46127.625</v>
      </c>
      <c r="B18" s="40">
        <f ca="1">IF(COUNTIF($W$2:W1003,A18)=1,VLOOKUP(A18,O:P,2), IF(COUNTIF($W$2:W1003,A18)=0,$B$9,""))</f>
        <v>310.42</v>
      </c>
      <c r="C18" s="2">
        <f t="shared" ca="1" si="4"/>
        <v>412716.00000000268</v>
      </c>
      <c r="D18" s="43"/>
      <c r="E18" s="40">
        <f ca="1">IF(COUNTIF($W$2:W1003,A18)=1,VLOOKUP(A18,Q:R,2), IF(COUNTIF($W$2:W1003,A18)=0,$C$9,""))</f>
        <v>99.653999999999996</v>
      </c>
      <c r="F18" s="2">
        <f t="shared" ca="1" si="5"/>
        <v>-24180.000000000917</v>
      </c>
      <c r="G18" s="43">
        <f t="shared" ca="1" si="6"/>
        <v>61.394666666667035</v>
      </c>
      <c r="H18" s="40">
        <f ca="1">IF(COUNTIF($W$2:W1003,A18)=1,VLOOKUP(A18,S:T,2), IF(COUNTIF($W$2:W1003,A18)=0,$D$9,""))</f>
        <v>282.51900000000001</v>
      </c>
      <c r="I18" s="41">
        <f ca="1">IF(COUNTIF($X$2:X1003,INT(A18))=1,VLOOKUP(INT(A18),X:Y,2), IF(ISERROR(H18-2),"",I17*(1-$D$8*(H18-H17)*0.0001)))</f>
        <v>264.62900000000002</v>
      </c>
      <c r="J18" s="41">
        <f t="shared" ca="1" si="7"/>
        <v>264.62900000000002</v>
      </c>
      <c r="K18" s="43">
        <f t="shared" ca="1" si="8"/>
        <v>31782.496782496895</v>
      </c>
      <c r="L18" s="43"/>
      <c r="M18" s="44">
        <f ca="1">IF(ISERROR(B18-2),"",C18+D18-F18-G18-K18+SUM($L$14:L18))</f>
        <v>405052.10855084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46147.625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46128.625</v>
      </c>
      <c r="B19" s="40">
        <f ca="1">IF(COUNTIF($W$2:W1004,A19)=1,VLOOKUP(A19,O:P,2), IF(COUNTIF($W$2:W1004,A19)=0,$B$9,""))</f>
        <v>310.64</v>
      </c>
      <c r="C19" s="2">
        <f t="shared" ca="1" si="4"/>
        <v>434231.99999999977</v>
      </c>
      <c r="D19" s="43"/>
      <c r="E19" s="40">
        <f ca="1">IF(COUNTIF($W$2:W1004,A19)=1,VLOOKUP(A19,Q:R,2), IF(COUNTIF($W$2:W1004,A19)=0,$C$9,""))</f>
        <v>99.677000000000007</v>
      </c>
      <c r="F19" s="2">
        <f t="shared" ca="1" si="5"/>
        <v>-18199.999999998228</v>
      </c>
      <c r="G19" s="43">
        <f t="shared" ca="1" si="6"/>
        <v>65.779999999998836</v>
      </c>
      <c r="H19" s="40">
        <f ca="1">IF(COUNTIF($W$2:W1004,A19)=1,VLOOKUP(A19,S:T,2), IF(COUNTIF($W$2:W1004,A19)=0,$D$9,""))</f>
        <v>286.733</v>
      </c>
      <c r="I19" s="41">
        <f ca="1">IF(COUNTIF($X$2:X1004,INT(A19))=1,VLOOKUP(INT(A19),X:Y,2), IF(ISERROR(H19-2),"",I18*(1-$D$8*(H19-H18)*0.0001)))</f>
        <v>264.24419999999998</v>
      </c>
      <c r="J19" s="41">
        <f t="shared" ca="1" si="7"/>
        <v>264.24419999999998</v>
      </c>
      <c r="K19" s="43">
        <f t="shared" ca="1" si="8"/>
        <v>4544.4015444009219</v>
      </c>
      <c r="L19" s="43"/>
      <c r="M19" s="44">
        <f ca="1">IF(ISERROR(B19-2),"",C19+D19-F19-G19-K19+SUM($L$14:L19))</f>
        <v>447821.81845559709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46148.625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46129.625</v>
      </c>
      <c r="B20" s="40">
        <f ca="1">IF(COUNTIF($W$2:W1005,A20)=1,VLOOKUP(A20,O:P,2), IF(COUNTIF($W$2:W1005,A20)=0,$B$9,""))</f>
        <v>312.38</v>
      </c>
      <c r="C20" s="2">
        <f t="shared" ca="1" si="4"/>
        <v>604404.0000000007</v>
      </c>
      <c r="D20" s="43"/>
      <c r="E20" s="40">
        <f ca="1">IF(COUNTIF($W$2:W1005,A20)=1,VLOOKUP(A20,Q:R,2), IF(COUNTIF($W$2:W1005,A20)=0,$C$9,""))</f>
        <v>99.953999999999994</v>
      </c>
      <c r="F20" s="2">
        <f t="shared" ca="1" si="5"/>
        <v>53819.999999998348</v>
      </c>
      <c r="G20" s="43">
        <f t="shared" ca="1" si="6"/>
        <v>70.165333333334274</v>
      </c>
      <c r="H20" s="40">
        <f ca="1">IF(COUNTIF($W$2:W1005,A20)=1,VLOOKUP(A20,S:T,2), IF(COUNTIF($W$2:W1005,A20)=0,$D$9,""))</f>
        <v>275.16800000000001</v>
      </c>
      <c r="I20" s="41">
        <f ca="1">IF(COUNTIF($X$2:X1005,INT(A20))=1,VLOOKUP(INT(A20),X:Y,2), IF(ISERROR(H20-2),"",I19*(1-$D$8*(H20-H19)*0.0001)))</f>
        <v>265.60180000000003</v>
      </c>
      <c r="J20" s="41">
        <f t="shared" ca="1" si="7"/>
        <v>265.60180000000003</v>
      </c>
      <c r="K20" s="43">
        <f t="shared" ca="1" si="8"/>
        <v>100642.21364221333</v>
      </c>
      <c r="L20" s="43"/>
      <c r="M20" s="44">
        <f ca="1">IF(ISERROR(B20-2),"",C20+D20-F20-G20-K20+SUM($L$14:L20))</f>
        <v>449871.6210244557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46149.625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46132.625</v>
      </c>
      <c r="B21" s="40">
        <f ca="1">IF(COUNTIF($W$2:W1006,A21)=1,VLOOKUP(A21,O:P,2), IF(COUNTIF($W$2:W1006,A21)=0,$B$9,""))</f>
        <v>311.66000000000003</v>
      </c>
      <c r="C21" s="2">
        <f t="shared" ca="1" si="4"/>
        <v>533988.00000000361</v>
      </c>
      <c r="D21" s="43"/>
      <c r="E21" s="40">
        <f ca="1">IF(COUNTIF($W$2:W1006,A21)=1,VLOOKUP(A21,Q:R,2), IF(COUNTIF($W$2:W1006,A21)=0,$C$9,""))</f>
        <v>99.831000000000003</v>
      </c>
      <c r="F21" s="2">
        <f t="shared" ca="1" si="5"/>
        <v>21840.000000000826</v>
      </c>
      <c r="G21" s="43">
        <f t="shared" ca="1" si="6"/>
        <v>83.321333333333314</v>
      </c>
      <c r="H21" s="40">
        <f ca="1">IF(COUNTIF($W$2:W1006,A21)=1,VLOOKUP(A21,S:T,2), IF(COUNTIF($W$2:W1006,A21)=0,$D$9,""))</f>
        <v>280.36399999999998</v>
      </c>
      <c r="I21" s="41">
        <f ca="1">IF(COUNTIF($X$2:X1006,INT(A21))=1,VLOOKUP(INT(A21),X:Y,2), IF(ISERROR(H21-2),"",I20*(1-$D$8*(H21-H20)*0.0001)))</f>
        <v>265.2414</v>
      </c>
      <c r="J21" s="41">
        <f t="shared" ca="1" si="7"/>
        <v>265.2414</v>
      </c>
      <c r="K21" s="43">
        <f t="shared" ca="1" si="8"/>
        <v>75131.274131274666</v>
      </c>
      <c r="L21" s="43"/>
      <c r="M21" s="44">
        <f ca="1">IF(ISERROR(B21-2),"",C21+D21-F21-G21-K21+SUM($L$14:L21))</f>
        <v>436933.4045353948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46150.625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46133.625</v>
      </c>
      <c r="B22" s="40">
        <f ca="1">IF(COUNTIF($W$2:W1007,A22)=1,VLOOKUP(A22,O:P,2), IF(COUNTIF($W$2:W1007,A22)=0,$B$9,""))</f>
        <v>311.39999999999998</v>
      </c>
      <c r="C22" s="2">
        <f t="shared" ca="1" si="4"/>
        <v>508559.99999999889</v>
      </c>
      <c r="D22" s="43"/>
      <c r="E22" s="40">
        <f ca="1">IF(COUNTIF($W$2:W1007,A22)=1,VLOOKUP(A22,Q:R,2), IF(COUNTIF($W$2:W1007,A22)=0,$C$9,""))</f>
        <v>99.707999999999998</v>
      </c>
      <c r="F22" s="2">
        <f t="shared" ca="1" si="5"/>
        <v>-10140.000000000384</v>
      </c>
      <c r="G22" s="43">
        <f t="shared" ca="1" si="6"/>
        <v>87.70666666667239</v>
      </c>
      <c r="H22" s="40">
        <f ca="1">IF(COUNTIF($W$2:W1007,A22)=1,VLOOKUP(A22,S:T,2), IF(COUNTIF($W$2:W1007,A22)=0,$D$9,""))</f>
        <v>285.44799999999998</v>
      </c>
      <c r="I22" s="41">
        <f ca="1">IF(COUNTIF($X$2:X1007,INT(A22))=1,VLOOKUP(INT(A22),X:Y,2), IF(ISERROR(H22-2),"",I21*(1-$D$8*(H22-H21)*0.0001)))</f>
        <v>264.60359999999997</v>
      </c>
      <c r="J22" s="41">
        <f t="shared" ca="1" si="7"/>
        <v>264.60359999999997</v>
      </c>
      <c r="K22" s="43">
        <f t="shared" ca="1" si="8"/>
        <v>29984.555984555296</v>
      </c>
      <c r="L22" s="43"/>
      <c r="M22" s="44">
        <f ca="1">IF(ISERROR(B22-2),"",C22+D22-F22-G22-K22+SUM($L$14:L22))</f>
        <v>488627.73734877736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46154.625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46134.625</v>
      </c>
      <c r="B23" s="40">
        <f ca="1">IF(COUNTIF($W$2:W1008,A23)=1,VLOOKUP(A23,O:P,2), IF(COUNTIF($W$2:W1008,A23)=0,$B$9,""))</f>
        <v>310.62</v>
      </c>
      <c r="C23" s="2">
        <f t="shared" ca="1" si="4"/>
        <v>432276.00000000157</v>
      </c>
      <c r="D23" s="43"/>
      <c r="E23" s="40">
        <f ca="1">IF(COUNTIF($W$2:W1008,A23)=1,VLOOKUP(A23,Q:R,2), IF(COUNTIF($W$2:W1008,A23)=0,$C$9,""))</f>
        <v>99.655000000000001</v>
      </c>
      <c r="F23" s="2">
        <f t="shared" ca="1" si="5"/>
        <v>-23919.999999999673</v>
      </c>
      <c r="G23" s="43">
        <f t="shared" ca="1" si="6"/>
        <v>92.092000000004191</v>
      </c>
      <c r="H23" s="40">
        <f ca="1">IF(COUNTIF($W$2:W1008,A23)=1,VLOOKUP(A23,S:T,2), IF(COUNTIF($W$2:W1008,A23)=0,$D$9,""))</f>
        <v>285.53500000000003</v>
      </c>
      <c r="I23" s="41">
        <f ca="1">IF(COUNTIF($X$2:X1008,INT(A23))=1,VLOOKUP(INT(A23),X:Y,2), IF(ISERROR(H23-2),"",I22*(1-$D$8*(H23-H22)*0.0001)))</f>
        <v>264.55340000000001</v>
      </c>
      <c r="J23" s="41">
        <f t="shared" ca="1" si="7"/>
        <v>264.55340000000001</v>
      </c>
      <c r="K23" s="43">
        <f t="shared" ca="1" si="8"/>
        <v>26431.145431146819</v>
      </c>
      <c r="L23" s="43"/>
      <c r="M23" s="44">
        <f ca="1">IF(ISERROR(B23-2),"",C23+D23-F23-G23-K23+SUM($L$14:L23))</f>
        <v>429672.76256885438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46155.625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46136.625</v>
      </c>
      <c r="B24" s="40">
        <f ca="1">IF(COUNTIF($W$2:W1009,A24)=1,VLOOKUP(A24,O:P,2), IF(COUNTIF($W$2:W1009,A24)=0,$B$9,""))</f>
        <v>310.48</v>
      </c>
      <c r="C24" s="2">
        <f t="shared" ca="1" si="4"/>
        <v>418584.00000000291</v>
      </c>
      <c r="D24" s="43"/>
      <c r="E24" s="40">
        <f ca="1">IF(COUNTIF($W$2:W1009,A24)=1,VLOOKUP(A24,Q:R,2), IF(COUNTIF($W$2:W1009,A24)=0,$C$9,""))</f>
        <v>99.637</v>
      </c>
      <c r="F24" s="2">
        <f t="shared" ca="1" si="5"/>
        <v>-28599.999999999851</v>
      </c>
      <c r="G24" s="43">
        <f t="shared" ca="1" si="6"/>
        <v>100.86266666666779</v>
      </c>
      <c r="H24" s="40">
        <f ca="1">IF(COUNTIF($W$2:W1009,A24)=1,VLOOKUP(A24,S:T,2), IF(COUNTIF($W$2:W1009,A24)=0,$D$9,""))</f>
        <v>288.863</v>
      </c>
      <c r="I24" s="41">
        <f ca="1">IF(COUNTIF($X$2:X1009,INT(A24))=1,VLOOKUP(INT(A24),X:Y,2), IF(ISERROR(H24-2),"",I23*(1-$D$8*(H24-H23)*0.0001)))</f>
        <v>264.2679</v>
      </c>
      <c r="J24" s="41">
        <f t="shared" ca="1" si="7"/>
        <v>264.2679</v>
      </c>
      <c r="K24" s="43">
        <f t="shared" ca="1" si="8"/>
        <v>6222.0077220071616</v>
      </c>
      <c r="L24" s="43"/>
      <c r="M24" s="44">
        <f ca="1">IF(ISERROR(B24-2),"",C24+D24-F24-G24-K24+SUM($L$14:L24))</f>
        <v>440861.12961132888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46157.625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46139.625</v>
      </c>
      <c r="B25" s="40">
        <f ca="1">IF(COUNTIF($W$2:W1010,A25)=1,VLOOKUP(A25,O:P,2), IF(COUNTIF($W$2:W1010,A25)=0,$B$9,""))</f>
        <v>310.7</v>
      </c>
      <c r="C25" s="2">
        <f t="shared" ca="1" si="4"/>
        <v>440100</v>
      </c>
      <c r="D25" s="43"/>
      <c r="E25" s="40">
        <f ca="1">IF(COUNTIF($W$2:W1010,A25)=1,VLOOKUP(A25,Q:R,2), IF(COUNTIF($W$2:W1010,A25)=0,$C$9,""))</f>
        <v>99.608000000000004</v>
      </c>
      <c r="F25" s="2">
        <f t="shared" ca="1" si="5"/>
        <v>-36139.999999998909</v>
      </c>
      <c r="G25" s="43">
        <f t="shared" ca="1" si="6"/>
        <v>114.01866666666319</v>
      </c>
      <c r="H25" s="40">
        <f ca="1">IF(COUNTIF($W$2:W1010,A25)=1,VLOOKUP(A25,S:T,2), IF(COUNTIF($W$2:W1010,A25)=0,$D$9,""))</f>
        <v>289.209</v>
      </c>
      <c r="I25" s="41">
        <f ca="1">IF(COUNTIF($X$2:X1010,INT(A25))=1,VLOOKUP(INT(A25),X:Y,2), IF(ISERROR(H25-2),"",I24*(1-$D$8*(H25-H24)*0.0001)))</f>
        <v>264.16750000000002</v>
      </c>
      <c r="J25" s="41">
        <f t="shared" ca="1" si="7"/>
        <v>264.16750000000002</v>
      </c>
      <c r="K25" s="43">
        <f t="shared" ca="1" si="8"/>
        <v>-884.81338481186663</v>
      </c>
      <c r="L25" s="43"/>
      <c r="M25" s="44">
        <f ca="1">IF(ISERROR(B25-2),"",C25+D25-F25-G25-K25+SUM($L$14:L25))</f>
        <v>477010.79471814411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46161.625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46140.625</v>
      </c>
      <c r="B26" s="40">
        <f ca="1">IF(COUNTIF($W$2:W1011,A26)=1,VLOOKUP(A26,O:P,2), IF(COUNTIF($W$2:W1011,A26)=0,$B$9,""))</f>
        <v>309.88</v>
      </c>
      <c r="C26" s="2">
        <f t="shared" ca="1" si="4"/>
        <v>359904.00000000064</v>
      </c>
      <c r="D26" s="43"/>
      <c r="E26" s="40">
        <f ca="1">IF(COUNTIF($W$2:W1011,A26)=1,VLOOKUP(A26,Q:R,2), IF(COUNTIF($W$2:W1011,A26)=0,$C$9,""))</f>
        <v>99.456000000000003</v>
      </c>
      <c r="F26" s="2">
        <f t="shared" ca="1" si="5"/>
        <v>-75659.999999999171</v>
      </c>
      <c r="G26" s="43">
        <f t="shared" ca="1" si="6"/>
        <v>118.40400000000227</v>
      </c>
      <c r="H26" s="40">
        <f ca="1">IF(COUNTIF($W$2:W1011,A26)=1,VLOOKUP(A26,S:T,2), IF(COUNTIF($W$2:W1011,A26)=0,$D$9,""))</f>
        <v>291.65699999999998</v>
      </c>
      <c r="I26" s="41">
        <f ca="1">IF(COUNTIF($X$2:X1011,INT(A26))=1,VLOOKUP(INT(A26),X:Y,2), IF(ISERROR(H26-2),"",I25*(1-$D$8*(H26-H25)*0.0001)))</f>
        <v>263.87139999999999</v>
      </c>
      <c r="J26" s="41">
        <f t="shared" ca="1" si="7"/>
        <v>263.87139999999999</v>
      </c>
      <c r="K26" s="43">
        <f t="shared" ca="1" si="8"/>
        <v>-21844.272844273248</v>
      </c>
      <c r="L26" s="43"/>
      <c r="M26" s="44">
        <f ca="1">IF(ISERROR(B26-2),"",C26+D26-F26-G26-K26+SUM($L$14:L26))</f>
        <v>457289.86884427309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46162.625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46141.625</v>
      </c>
      <c r="B27" s="40">
        <f ca="1">IF(COUNTIF($W$2:W1012,A27)=1,VLOOKUP(A27,O:P,2), IF(COUNTIF($W$2:W1012,A27)=0,$B$9,""))</f>
        <v>309.58</v>
      </c>
      <c r="C27" s="2">
        <f t="shared" ca="1" si="4"/>
        <v>330563.99999999953</v>
      </c>
      <c r="D27" s="43"/>
      <c r="E27" s="40">
        <f ca="1">IF(COUNTIF($W$2:W1012,A27)=1,VLOOKUP(A27,Q:R,2), IF(COUNTIF($W$2:W1012,A27)=0,$C$9,""))</f>
        <v>99.296000000000006</v>
      </c>
      <c r="F27" s="2">
        <f t="shared" ca="1" si="5"/>
        <v>-117259.99999999828</v>
      </c>
      <c r="G27" s="43">
        <f t="shared" ca="1" si="6"/>
        <v>122.78933333333407</v>
      </c>
      <c r="H27" s="40">
        <f ca="1">IF(COUNTIF($W$2:W1012,A27)=1,VLOOKUP(A27,S:T,2), IF(COUNTIF($W$2:W1012,A27)=0,$D$9,""))</f>
        <v>294.57900000000001</v>
      </c>
      <c r="I27" s="41">
        <f ca="1">IF(COUNTIF($X$2:X1012,INT(A27))=1,VLOOKUP(INT(A27),X:Y,2), IF(ISERROR(H27-2),"",I26*(1-$D$8*(H27-H26)*0.0001)))</f>
        <v>263.29599999999999</v>
      </c>
      <c r="J27" s="41">
        <f t="shared" ca="1" si="7"/>
        <v>263.29599999999999</v>
      </c>
      <c r="K27" s="43">
        <f t="shared" ca="1" si="8"/>
        <v>-62574.002574003418</v>
      </c>
      <c r="L27" s="43"/>
      <c r="M27" s="44">
        <f ca="1">IF(ISERROR(B27-2),"",C27+D27-F27-G27-K27+SUM($L$14:L27))</f>
        <v>510275.21324066789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46163.625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46142.625</v>
      </c>
      <c r="B28" s="40">
        <f ca="1">IF(COUNTIF($W$2:W1013,A28)=1,VLOOKUP(A28,O:P,2), IF(COUNTIF($W$2:W1013,A28)=0,$B$9,""))</f>
        <v>310</v>
      </c>
      <c r="C28" s="2">
        <f t="shared" ca="1" si="4"/>
        <v>371640.00000000111</v>
      </c>
      <c r="D28" s="43"/>
      <c r="E28" s="40">
        <f ca="1">IF(COUNTIF($W$2:W1013,A28)=1,VLOOKUP(A28,Q:R,2), IF(COUNTIF($W$2:W1013,A28)=0,$C$9,""))</f>
        <v>99.435000000000002</v>
      </c>
      <c r="F28" s="2">
        <f t="shared" ca="1" si="5"/>
        <v>-81119.999999999374</v>
      </c>
      <c r="G28" s="43">
        <f t="shared" ca="1" si="6"/>
        <v>127.17466666667315</v>
      </c>
      <c r="H28" s="40">
        <f ca="1">IF(COUNTIF($W$2:W1013,A28)=1,VLOOKUP(A28,S:T,2), IF(COUNTIF($W$2:W1013,A28)=0,$D$9,""))</f>
        <v>292.42099999999999</v>
      </c>
      <c r="I28" s="41">
        <f ca="1">IF(COUNTIF($X$2:X1013,INT(A28))=1,VLOOKUP(INT(A28),X:Y,2), IF(ISERROR(H28-2),"",I27*(1-$D$8*(H28-H27)*0.0001)))</f>
        <v>263.72019999999998</v>
      </c>
      <c r="J28" s="41">
        <f t="shared" ca="1" si="7"/>
        <v>263.72019999999998</v>
      </c>
      <c r="K28" s="43">
        <f t="shared" ca="1" si="8"/>
        <v>-32546.975546977552</v>
      </c>
      <c r="L28" s="43"/>
      <c r="M28" s="44">
        <f ca="1">IF(ISERROR(B28-2),"",C28+D28-F28-G28-K28+SUM($L$14:L28))</f>
        <v>485179.80088031135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46168.625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46147.625</v>
      </c>
      <c r="B29" s="40">
        <f ca="1">IF(COUNTIF($W$2:W1014,A29)=1,VLOOKUP(A29,O:P,2), IF(COUNTIF($W$2:W1014,A29)=0,$B$9,""))</f>
        <v>310.38</v>
      </c>
      <c r="C29" s="2">
        <f t="shared" ca="1" si="4"/>
        <v>408804.00000000064</v>
      </c>
      <c r="D29" s="43"/>
      <c r="E29" s="40">
        <f ca="1">IF(COUNTIF($W$2:W1014,A29)=1,VLOOKUP(A29,Q:R,2), IF(COUNTIF($W$2:W1014,A29)=0,$C$9,""))</f>
        <v>99.343000000000004</v>
      </c>
      <c r="F29" s="2">
        <f t="shared" ca="1" si="5"/>
        <v>-105039.99999999905</v>
      </c>
      <c r="G29" s="43">
        <f t="shared" ca="1" si="6"/>
        <v>149.10133333333215</v>
      </c>
      <c r="H29" s="40">
        <f ca="1">IF(COUNTIF($W$2:W1014,A29)=1,VLOOKUP(A29,S:T,2), IF(COUNTIF($W$2:W1014,A29)=0,$D$9,""))</f>
        <v>287.88900000000001</v>
      </c>
      <c r="I29" s="41">
        <f ca="1">IF(COUNTIF($X$2:X1014,INT(A29))=1,VLOOKUP(INT(A29),X:Y,2), IF(ISERROR(H29-2),"",I28*(1-$D$8*(H29-H28)*0.0001)))</f>
        <v>264.5573</v>
      </c>
      <c r="J29" s="41">
        <f t="shared" ca="1" si="7"/>
        <v>264.5573</v>
      </c>
      <c r="K29" s="43">
        <f t="shared" ca="1" si="8"/>
        <v>26707.207207207604</v>
      </c>
      <c r="L29" s="43"/>
      <c r="M29" s="44">
        <f ca="1">IF(ISERROR(B29-2),"",C29+D29-F29-G29-K29+SUM($L$14:L29))</f>
        <v>486987.69145945873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46169.625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46148.625</v>
      </c>
      <c r="B30" s="40">
        <f ca="1">IF(COUNTIF($W$2:W1015,A30)=1,VLOOKUP(A30,O:P,2), IF(COUNTIF($W$2:W1015,A30)=0,$B$9,""))</f>
        <v>311.94</v>
      </c>
      <c r="C30" s="2">
        <f t="shared" ca="1" si="4"/>
        <v>561372.00000000093</v>
      </c>
      <c r="D30" s="43"/>
      <c r="E30" s="40">
        <f ca="1">IF(COUNTIF($W$2:W1015,A30)=1,VLOOKUP(A30,Q:R,2), IF(COUNTIF($W$2:W1015,A30)=0,$C$9,""))</f>
        <v>99.63</v>
      </c>
      <c r="F30" s="2">
        <f t="shared" ca="1" si="5"/>
        <v>-30420.00000000115</v>
      </c>
      <c r="G30" s="43">
        <f t="shared" ca="1" si="6"/>
        <v>153.48666666666395</v>
      </c>
      <c r="H30" s="40">
        <f ca="1">IF(COUNTIF($W$2:W1015,A30)=1,VLOOKUP(A30,S:T,2), IF(COUNTIF($W$2:W1015,A30)=0,$D$9,""))</f>
        <v>275.09699999999998</v>
      </c>
      <c r="I30" s="41">
        <f ca="1">IF(COUNTIF($X$2:X1015,INT(A30))=1,VLOOKUP(INT(A30),X:Y,2), IF(ISERROR(H30-2),"",I29*(1-$D$8*(H30-H29)*0.0001)))</f>
        <v>266.11750000000001</v>
      </c>
      <c r="J30" s="41">
        <f t="shared" ca="1" si="7"/>
        <v>266.11750000000001</v>
      </c>
      <c r="K30" s="43">
        <f t="shared" ca="1" si="8"/>
        <v>137146.07464607395</v>
      </c>
      <c r="L30" s="43"/>
      <c r="M30" s="44">
        <f ca="1">IF(ISERROR(B30-2),"",C30+D30-F30-G30-K30+SUM($L$14:L30))</f>
        <v>454492.43868726143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46170.625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46149.625</v>
      </c>
      <c r="B31" s="40">
        <f ca="1">IF(COUNTIF($W$2:W1016,A31)=1,VLOOKUP(A31,O:P,2), IF(COUNTIF($W$2:W1016,A31)=0,$B$9,""))</f>
        <v>312.06</v>
      </c>
      <c r="C31" s="2">
        <f t="shared" ca="1" si="4"/>
        <v>573108.00000000128</v>
      </c>
      <c r="D31" s="43"/>
      <c r="E31" s="40">
        <f ca="1">IF(COUNTIF($W$2:W1016,A31)=1,VLOOKUP(A31,Q:R,2), IF(COUNTIF($W$2:W1016,A31)=0,$C$9,""))</f>
        <v>99.650999999999996</v>
      </c>
      <c r="F31" s="2">
        <f t="shared" ca="1" si="5"/>
        <v>-24960.000000000946</v>
      </c>
      <c r="G31" s="43">
        <f t="shared" ca="1" si="6"/>
        <v>157.87200000000303</v>
      </c>
      <c r="H31" s="40">
        <f ca="1">IF(COUNTIF($W$2:W1016,A31)=1,VLOOKUP(A31,S:T,2), IF(COUNTIF($W$2:W1016,A31)=0,$D$9,""))</f>
        <v>275.04599999999999</v>
      </c>
      <c r="I31" s="41">
        <f ca="1">IF(COUNTIF($X$2:X1016,INT(A31))=1,VLOOKUP(INT(A31),X:Y,2), IF(ISERROR(H31-2),"",I30*(1-$D$8*(H31-H30)*0.0001)))</f>
        <v>265.79050000000001</v>
      </c>
      <c r="J31" s="41">
        <f t="shared" ca="1" si="7"/>
        <v>265.79050000000001</v>
      </c>
      <c r="K31" s="43">
        <f t="shared" ca="1" si="8"/>
        <v>113999.35649935532</v>
      </c>
      <c r="L31" s="43"/>
      <c r="M31" s="44">
        <f ca="1">IF(ISERROR(B31-2),"",C31+D31-F31-G31-K31+SUM($L$14:L31))</f>
        <v>483910.77150064695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46171.625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46150.625</v>
      </c>
      <c r="B32" s="40">
        <f ca="1">IF(COUNTIF($W$2:W1017,A32)=1,VLOOKUP(A32,O:P,2), IF(COUNTIF($W$2:W1017,A32)=0,$B$9,""))</f>
        <v>312.38</v>
      </c>
      <c r="C32" s="2">
        <f t="shared" ca="1" si="4"/>
        <v>604404.0000000007</v>
      </c>
      <c r="D32" s="43"/>
      <c r="E32" s="40">
        <f ca="1">IF(COUNTIF($W$2:W1017,A32)=1,VLOOKUP(A32,Q:R,2), IF(COUNTIF($W$2:W1017,A32)=0,$C$9,""))</f>
        <v>99.58</v>
      </c>
      <c r="F32" s="2">
        <f t="shared" ca="1" si="5"/>
        <v>-43420.000000000415</v>
      </c>
      <c r="G32" s="43">
        <f t="shared" ca="1" si="6"/>
        <v>162.25733333333483</v>
      </c>
      <c r="H32" s="40">
        <f ca="1">IF(COUNTIF($W$2:W1017,A32)=1,VLOOKUP(A32,S:T,2), IF(COUNTIF($W$2:W1017,A32)=0,$D$9,""))</f>
        <v>277.74599999999998</v>
      </c>
      <c r="I32" s="41">
        <f ca="1">IF(COUNTIF($X$2:X1017,INT(A32))=1,VLOOKUP(INT(A32),X:Y,2), IF(ISERROR(H32-2),"",I31*(1-$D$8*(H32-H31)*0.0001)))</f>
        <v>265.83870000000002</v>
      </c>
      <c r="J32" s="41">
        <f t="shared" ca="1" si="7"/>
        <v>265.83870000000002</v>
      </c>
      <c r="K32" s="43">
        <f t="shared" ca="1" si="8"/>
        <v>117411.19691119937</v>
      </c>
      <c r="L32" s="43"/>
      <c r="M32" s="44">
        <f ca="1">IF(ISERROR(B32-2),"",C32+D32-F32-G32-K32+SUM($L$14:L32))</f>
        <v>530250.54575546843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46174.625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46154.625</v>
      </c>
      <c r="B33" s="40">
        <f ca="1">IF(COUNTIF($W$2:W1018,A33)=1,VLOOKUP(A33,O:P,2), IF(COUNTIF($W$2:W1018,A33)=0,$B$9,""))</f>
        <v>311.7</v>
      </c>
      <c r="C33" s="2">
        <f t="shared" ca="1" si="4"/>
        <v>537900</v>
      </c>
      <c r="D33" s="43"/>
      <c r="E33" s="40">
        <f ca="1">IF(COUNTIF($W$2:W1018,A33)=1,VLOOKUP(A33,Q:R,2), IF(COUNTIF($W$2:W1018,A33)=0,$C$9,""))</f>
        <v>99.322999999999993</v>
      </c>
      <c r="F33" s="2">
        <f t="shared" ca="1" si="5"/>
        <v>-110240.00000000172</v>
      </c>
      <c r="G33" s="43">
        <f t="shared" ca="1" si="6"/>
        <v>179.79866666666931</v>
      </c>
      <c r="H33" s="40">
        <f ca="1">IF(COUNTIF($W$2:W1018,A33)=1,VLOOKUP(A33,S:T,2), IF(COUNTIF($W$2:W1018,A33)=0,$D$9,""))</f>
        <v>283.721</v>
      </c>
      <c r="I33" s="41">
        <f ca="1">IF(COUNTIF($X$2:X1018,INT(A33))=1,VLOOKUP(INT(A33),X:Y,2), IF(ISERROR(H33-2),"",I32*(1-$D$8*(H33-H32)*0.0001)))</f>
        <v>265.19240000000002</v>
      </c>
      <c r="J33" s="41">
        <f t="shared" ca="1" si="7"/>
        <v>265.19240000000002</v>
      </c>
      <c r="K33" s="43">
        <f t="shared" ca="1" si="8"/>
        <v>71662.805662807339</v>
      </c>
      <c r="L33" s="43"/>
      <c r="M33" s="44">
        <f ca="1">IF(ISERROR(B33-2),"",C33+D33-F33-G33-K33+SUM($L$14:L33))</f>
        <v>576297.39567052783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46176.625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46155.625</v>
      </c>
      <c r="B34" s="40">
        <f ca="1">IF(COUNTIF($W$2:W1019,A34)=1,VLOOKUP(A34,O:P,2), IF(COUNTIF($W$2:W1019,A34)=0,$B$9,""))</f>
        <v>311.88</v>
      </c>
      <c r="C34" s="2">
        <f t="shared" ca="1" si="4"/>
        <v>555504.0000000007</v>
      </c>
      <c r="D34" s="43"/>
      <c r="E34" s="40">
        <f ca="1">IF(COUNTIF($W$2:W1019,A34)=1,VLOOKUP(A34,Q:R,2), IF(COUNTIF($W$2:W1019,A34)=0,$C$9,""))</f>
        <v>99.292000000000002</v>
      </c>
      <c r="F34" s="2">
        <f t="shared" ca="1" si="5"/>
        <v>-118299.99999999955</v>
      </c>
      <c r="G34" s="43">
        <f t="shared" ca="1" si="6"/>
        <v>184.18400000000838</v>
      </c>
      <c r="H34" s="40">
        <f ca="1">IF(COUNTIF($W$2:W1019,A34)=1,VLOOKUP(A34,S:T,2), IF(COUNTIF($W$2:W1019,A34)=0,$D$9,""))</f>
        <v>280.03899999999999</v>
      </c>
      <c r="I34" s="41">
        <f ca="1">IF(COUNTIF($X$2:X1019,INT(A34))=1,VLOOKUP(INT(A34),X:Y,2), IF(ISERROR(H34-2),"",I33*(1-$D$8*(H34-H33)*0.0001)))</f>
        <v>265.76659999999998</v>
      </c>
      <c r="J34" s="41">
        <f t="shared" ca="1" si="7"/>
        <v>265.76659999999998</v>
      </c>
      <c r="K34" s="43">
        <f t="shared" ca="1" si="8"/>
        <v>112307.59330759221</v>
      </c>
      <c r="L34" s="43"/>
      <c r="M34" s="44">
        <f ca="1">IF(ISERROR(B34-2),"",C34+D34-F34-G34-K34+SUM($L$14:L34))</f>
        <v>561312.22269240802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46177.625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46157.625</v>
      </c>
      <c r="B35" s="40">
        <f ca="1">IF(COUNTIF($W$2:W1020,A35)=1,VLOOKUP(A35,O:P,2), IF(COUNTIF($W$2:W1020,A35)=0,$B$9,""))</f>
        <v>311.48</v>
      </c>
      <c r="C35" s="2">
        <f t="shared" ca="1" si="4"/>
        <v>516384.00000000291</v>
      </c>
      <c r="D35" s="43"/>
      <c r="E35" s="40">
        <f ca="1">IF(COUNTIF($W$2:W1020,A35)=1,VLOOKUP(A35,Q:R,2), IF(COUNTIF($W$2:W1020,A35)=0,$C$9,""))</f>
        <v>99.259</v>
      </c>
      <c r="F35" s="2">
        <f t="shared" ca="1" si="5"/>
        <v>-126879.99999999988</v>
      </c>
      <c r="G35" s="43">
        <f t="shared" ca="1" si="6"/>
        <v>192.95466666667198</v>
      </c>
      <c r="H35" s="40">
        <f ca="1">IF(COUNTIF($W$2:W1020,A35)=1,VLOOKUP(A35,S:T,2), IF(COUNTIF($W$2:W1020,A35)=0,$D$9,""))</f>
        <v>280.37200000000001</v>
      </c>
      <c r="I35" s="41">
        <f ca="1">IF(COUNTIF($X$2:X1020,INT(A35))=1,VLOOKUP(INT(A35),X:Y,2), IF(ISERROR(H35-2),"",I34*(1-$D$8*(H35-H34)*0.0001)))</f>
        <v>265.51639999999998</v>
      </c>
      <c r="J35" s="41">
        <f t="shared" ca="1" si="7"/>
        <v>265.51639999999998</v>
      </c>
      <c r="K35" s="43">
        <f t="shared" ca="1" si="8"/>
        <v>94597.168597164811</v>
      </c>
      <c r="L35" s="43"/>
      <c r="M35" s="44">
        <f ca="1">IF(ISERROR(B35-2),"",C35+D35-F35-G35-K35+SUM($L$14:L35))</f>
        <v>548473.87673617131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46182.625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46161.625</v>
      </c>
      <c r="B36" s="40">
        <f ca="1">IF(COUNTIF($W$2:W1021,A36)=1,VLOOKUP(A36,O:P,2), IF(COUNTIF($W$2:W1021,A36)=0,$B$9,""))</f>
        <v>311.22000000000003</v>
      </c>
      <c r="C36" s="2">
        <f t="shared" ca="1" si="4"/>
        <v>490956.00000000378</v>
      </c>
      <c r="D36" s="43"/>
      <c r="E36" s="40">
        <f ca="1">IF(COUNTIF($W$2:W1021,A36)=1,VLOOKUP(A36,Q:R,2), IF(COUNTIF($W$2:W1021,A36)=0,$C$9,""))</f>
        <v>99.180999999999997</v>
      </c>
      <c r="F36" s="2">
        <f t="shared" ca="1" si="5"/>
        <v>-147160.00000000067</v>
      </c>
      <c r="G36" s="43">
        <f t="shared" ca="1" si="6"/>
        <v>210.49599999999919</v>
      </c>
      <c r="H36" s="40">
        <f ca="1">IF(COUNTIF($W$2:W1021,A36)=1,VLOOKUP(A36,S:T,2), IF(COUNTIF($W$2:W1021,A36)=0,$D$9,""))</f>
        <v>285.488</v>
      </c>
      <c r="I36" s="41">
        <f ca="1">IF(COUNTIF($X$2:X1021,INT(A36))=1,VLOOKUP(INT(A36),X:Y,2), IF(ISERROR(H36-2),"",I35*(1-$D$8*(H36-H35)*0.0001)))</f>
        <v>265.08920000000001</v>
      </c>
      <c r="J36" s="41">
        <f t="shared" ca="1" si="7"/>
        <v>265.08920000000001</v>
      </c>
      <c r="K36" s="43">
        <f t="shared" ca="1" si="8"/>
        <v>64357.786357786084</v>
      </c>
      <c r="L36" s="43"/>
      <c r="M36" s="44">
        <f ca="1">IF(ISERROR(B36-2),"",C36+D36-F36-G36-K36+SUM($L$14:L36))</f>
        <v>573547.71764221834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46188.625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46162.625</v>
      </c>
      <c r="B37" s="40">
        <f ca="1">IF(COUNTIF($W$2:W1022,A37)=1,VLOOKUP(A37,O:P,2), IF(COUNTIF($W$2:W1022,A37)=0,$B$9,""))</f>
        <v>311.52</v>
      </c>
      <c r="C37" s="2">
        <f t="shared" ca="1" si="4"/>
        <v>520295.99999999936</v>
      </c>
      <c r="D37" s="43"/>
      <c r="E37" s="40">
        <f ca="1">IF(COUNTIF($W$2:W1022,A37)=1,VLOOKUP(A37,Q:R,2), IF(COUNTIF($W$2:W1022,A37)=0,$C$9,""))</f>
        <v>99.39</v>
      </c>
      <c r="F37" s="2">
        <f t="shared" ca="1" si="5"/>
        <v>-92819.999999999825</v>
      </c>
      <c r="G37" s="43">
        <f t="shared" ca="1" si="6"/>
        <v>214.88133333333826</v>
      </c>
      <c r="H37" s="40">
        <f ca="1">IF(COUNTIF($W$2:W1022,A37)=1,VLOOKUP(A37,S:T,2), IF(COUNTIF($W$2:W1022,A37)=0,$D$9,""))</f>
        <v>278.315</v>
      </c>
      <c r="I37" s="41">
        <f ca="1">IF(COUNTIF($X$2:X1022,INT(A37))=1,VLOOKUP(INT(A37),X:Y,2), IF(ISERROR(H37-2),"",I36*(1-$D$8*(H37-H36)*0.0001)))</f>
        <v>266.18329999999997</v>
      </c>
      <c r="J37" s="41">
        <f t="shared" ca="1" si="7"/>
        <v>266.18329999999997</v>
      </c>
      <c r="K37" s="43">
        <f t="shared" ca="1" si="8"/>
        <v>141803.73230372972</v>
      </c>
      <c r="L37" s="43"/>
      <c r="M37" s="44">
        <f ca="1">IF(ISERROR(B37-2),"",C37+D37-F37-G37-K37+SUM($L$14:L37))</f>
        <v>471097.38636293611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46189.625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46163.625</v>
      </c>
      <c r="B38" s="40">
        <f ca="1">IF(COUNTIF($W$2:W1023,A38)=1,VLOOKUP(A38,O:P,2), IF(COUNTIF($W$2:W1023,A38)=0,$B$9,""))</f>
        <v>311.18</v>
      </c>
      <c r="C38" s="2">
        <f t="shared" ca="1" si="4"/>
        <v>487044.0000000018</v>
      </c>
      <c r="D38" s="43"/>
      <c r="E38" s="40">
        <f ca="1">IF(COUNTIF($W$2:W1023,A38)=1,VLOOKUP(A38,Q:R,2), IF(COUNTIF($W$2:W1023,A38)=0,$C$9,""))</f>
        <v>99.37</v>
      </c>
      <c r="F38" s="2">
        <f t="shared" ca="1" si="5"/>
        <v>-98019.999999998792</v>
      </c>
      <c r="G38" s="43">
        <f t="shared" ca="1" si="6"/>
        <v>219.26666666667734</v>
      </c>
      <c r="H38" s="40">
        <f ca="1">IF(COUNTIF($W$2:W1023,A38)=1,VLOOKUP(A38,S:T,2), IF(COUNTIF($W$2:W1023,A38)=0,$D$9,""))</f>
        <v>279.541</v>
      </c>
      <c r="I38" s="41">
        <f ca="1">IF(COUNTIF($X$2:X1023,INT(A38))=1,VLOOKUP(INT(A38),X:Y,2), IF(ISERROR(H38-2),"",I37*(1-$D$8*(H38-H37)*0.0001)))</f>
        <v>265.81610000000001</v>
      </c>
      <c r="J38" s="41">
        <f t="shared" ca="1" si="7"/>
        <v>265.81610000000001</v>
      </c>
      <c r="K38" s="43">
        <f t="shared" ca="1" si="8"/>
        <v>115811.45431145377</v>
      </c>
      <c r="L38" s="43"/>
      <c r="M38" s="44">
        <f ca="1">IF(ISERROR(B38-2),"",C38+D38-F38-G38-K38+SUM($L$14:L38))</f>
        <v>469033.27902188012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46190.625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46168.625</v>
      </c>
      <c r="B39" s="40">
        <f ca="1">IF(COUNTIF($W$2:W1024,A39)=1,VLOOKUP(A39,O:P,2), IF(COUNTIF($W$2:W1024,A39)=0,$B$9,""))</f>
        <v>312.5</v>
      </c>
      <c r="C39" s="2">
        <f t="shared" ca="1" si="4"/>
        <v>616140.00000000116</v>
      </c>
      <c r="D39" s="43"/>
      <c r="E39" s="40">
        <f ca="1">IF(COUNTIF($W$2:W1024,A39)=1,VLOOKUP(A39,Q:R,2), IF(COUNTIF($W$2:W1024,A39)=0,$C$9,""))</f>
        <v>99.56</v>
      </c>
      <c r="F39" s="2">
        <f t="shared" ca="1" si="5"/>
        <v>-48619.999999999374</v>
      </c>
      <c r="G39" s="43">
        <f t="shared" ca="1" si="6"/>
        <v>241.19333333332906</v>
      </c>
      <c r="H39" s="40">
        <f ca="1">IF(COUNTIF($W$2:W1024,A39)=1,VLOOKUP(A39,S:T,2), IF(COUNTIF($W$2:W1024,A39)=0,$D$9,""))</f>
        <v>268.83499999999998</v>
      </c>
      <c r="I39" s="41">
        <f ca="1">IF(COUNTIF($X$2:X1024,INT(A39))=1,VLOOKUP(INT(A39),X:Y,2), IF(ISERROR(H39-2),"",I38*(1-$D$8*(H39-H38)*0.0001)))</f>
        <v>267.40750000000003</v>
      </c>
      <c r="J39" s="41">
        <f t="shared" ca="1" si="7"/>
        <v>267.40750000000003</v>
      </c>
      <c r="K39" s="43">
        <f t="shared" ca="1" si="8"/>
        <v>228458.81595881886</v>
      </c>
      <c r="L39" s="43"/>
      <c r="M39" s="44">
        <f ca="1">IF(ISERROR(B39-2),"",C39+D39-F39-G39-K39+SUM($L$14:L39))</f>
        <v>436059.99070784834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46169.625</v>
      </c>
      <c r="B40" s="40">
        <f ca="1">IF(COUNTIF($W$2:W1025,A40)=1,VLOOKUP(A40,O:P,2), IF(COUNTIF($W$2:W1025,A40)=0,$B$9,""))</f>
        <v>312.83999999999997</v>
      </c>
      <c r="C40" s="2">
        <f t="shared" ca="1" si="4"/>
        <v>649391.99999999872</v>
      </c>
      <c r="D40" s="43"/>
      <c r="E40" s="40">
        <f ca="1">IF(COUNTIF($W$2:W1025,A40)=1,VLOOKUP(A40,Q:R,2), IF(COUNTIF($W$2:W1025,A40)=0,$C$9,""))</f>
        <v>99.588999999999999</v>
      </c>
      <c r="F40" s="2">
        <f t="shared" ca="1" si="5"/>
        <v>-41080.000000000327</v>
      </c>
      <c r="G40" s="43">
        <f t="shared" ca="1" si="6"/>
        <v>245.57866666666814</v>
      </c>
      <c r="H40" s="40">
        <f ca="1">IF(COUNTIF($W$2:W1025,A40)=1,VLOOKUP(A40,S:T,2), IF(COUNTIF($W$2:W1025,A40)=0,$D$9,""))</f>
        <v>266.55900000000003</v>
      </c>
      <c r="I40" s="41">
        <f ca="1">IF(COUNTIF($X$2:X1025,INT(A40))=1,VLOOKUP(INT(A40),X:Y,2), IF(ISERROR(H40-2),"",I39*(1-$D$8*(H40-H39)*0.0001)))</f>
        <v>267.66390000000001</v>
      </c>
      <c r="J40" s="41">
        <f t="shared" ca="1" si="7"/>
        <v>267.66390000000001</v>
      </c>
      <c r="K40" s="43">
        <f t="shared" ca="1" si="8"/>
        <v>246608.10810810883</v>
      </c>
      <c r="L40" s="43"/>
      <c r="M40" s="44">
        <f ca="1">IF(ISERROR(B40-2),"",C40+D40-F40-G40-K40+SUM($L$14:L40))</f>
        <v>443618.31322522357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46170.625</v>
      </c>
      <c r="B41" s="40">
        <f ca="1">IF(COUNTIF($W$2:W1026,A41)=1,VLOOKUP(A41,O:P,2), IF(COUNTIF($W$2:W1026,A41)=0,$B$9,""))</f>
        <v>312.7</v>
      </c>
      <c r="C41" s="2">
        <f t="shared" ca="1" si="4"/>
        <v>635700</v>
      </c>
      <c r="D41" s="43"/>
      <c r="E41" s="40">
        <f ca="1">IF(COUNTIF($W$2:W1026,A41)=1,VLOOKUP(A41,Q:R,2), IF(COUNTIF($W$2:W1026,A41)=0,$C$9,""))</f>
        <v>99.653999999999996</v>
      </c>
      <c r="F41" s="2">
        <f t="shared" ca="1" si="5"/>
        <v>-24180.000000000917</v>
      </c>
      <c r="G41" s="43">
        <f t="shared" ca="1" si="6"/>
        <v>249.96400000000722</v>
      </c>
      <c r="H41" s="40">
        <f ca="1">IF(COUNTIF($W$2:W1026,A41)=1,VLOOKUP(A41,S:T,2), IF(COUNTIF($W$2:W1026,A41)=0,$D$9,""))</f>
        <v>264.23200000000003</v>
      </c>
      <c r="I41" s="41">
        <f ca="1">IF(COUNTIF($X$2:X1026,INT(A41))=1,VLOOKUP(INT(A41),X:Y,2), IF(ISERROR(H41-2),"",I40*(1-$D$8*(H41-H40)*0.0001)))</f>
        <v>268.21620000000001</v>
      </c>
      <c r="J41" s="41">
        <f t="shared" ca="1" si="7"/>
        <v>268.21620000000001</v>
      </c>
      <c r="K41" s="43">
        <f t="shared" ca="1" si="8"/>
        <v>285702.7027027033</v>
      </c>
      <c r="L41" s="43"/>
      <c r="M41" s="44">
        <f ca="1">IF(ISERROR(B41-2),"",C41+D41-F41-G41-K41+SUM($L$14:L41))</f>
        <v>373927.33329729759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46171.625</v>
      </c>
      <c r="B42" s="40">
        <f ca="1">IF(COUNTIF($W$2:W1027,A42)=1,VLOOKUP(A42,O:P,2), IF(COUNTIF($W$2:W1027,A42)=0,$B$9,""))</f>
        <v>313.77999999999997</v>
      </c>
      <c r="C42" s="2">
        <f t="shared" ca="1" si="4"/>
        <v>741323.99999999849</v>
      </c>
      <c r="D42" s="43"/>
      <c r="E42" s="40">
        <f ca="1">IF(COUNTIF($W$2:W1027,A42)=1,VLOOKUP(A42,Q:R,2), IF(COUNTIF($W$2:W1027,A42)=0,$C$9,""))</f>
        <v>99.679000000000002</v>
      </c>
      <c r="F42" s="2">
        <f t="shared" ca="1" si="5"/>
        <v>-17679.999999999436</v>
      </c>
      <c r="G42" s="43">
        <f t="shared" ca="1" si="6"/>
        <v>254.34933333334629</v>
      </c>
      <c r="H42" s="40">
        <f ca="1">IF(COUNTIF($W$2:W1027,A42)=1,VLOOKUP(A42,S:T,2), IF(COUNTIF($W$2:W1027,A42)=0,$D$9,""))</f>
        <v>258.70600000000002</v>
      </c>
      <c r="I42" s="41">
        <f ca="1">IF(COUNTIF($X$2:X1027,INT(A42))=1,VLOOKUP(INT(A42),X:Y,2), IF(ISERROR(H42-2),"",I41*(1-$D$8*(H42-H41)*0.0001)))</f>
        <v>268.76229999999998</v>
      </c>
      <c r="J42" s="41">
        <f t="shared" ca="1" si="7"/>
        <v>268.76229999999998</v>
      </c>
      <c r="K42" s="43">
        <f t="shared" ca="1" si="8"/>
        <v>324358.42985842697</v>
      </c>
      <c r="L42" s="43"/>
      <c r="M42" s="44">
        <f ca="1">IF(ISERROR(B42-2),"",C42+D42-F42-G42-K42+SUM($L$14:L42))</f>
        <v>434391.22080823762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46174.625</v>
      </c>
      <c r="B43" s="40">
        <f ca="1">IF(COUNTIF($W$2:W1028,A43)=1,VLOOKUP(A43,O:P,2), IF(COUNTIF($W$2:W1028,A43)=0,$B$9,""))</f>
        <v>312.83999999999997</v>
      </c>
      <c r="C43" s="2">
        <f t="shared" ca="1" si="4"/>
        <v>649391.99999999872</v>
      </c>
      <c r="D43" s="43"/>
      <c r="E43" s="40">
        <f ca="1">IF(COUNTIF($W$2:W1028,A43)=1,VLOOKUP(A43,Q:R,2), IF(COUNTIF($W$2:W1028,A43)=0,$C$9,""))</f>
        <v>99.450999999999993</v>
      </c>
      <c r="F43" s="2">
        <f t="shared" ca="1" si="5"/>
        <v>-76960.000000001688</v>
      </c>
      <c r="G43" s="43">
        <f t="shared" ca="1" si="6"/>
        <v>267.50533333333442</v>
      </c>
      <c r="H43" s="40">
        <f ca="1">IF(COUNTIF($W$2:W1028,A43)=1,VLOOKUP(A43,S:T,2), IF(COUNTIF($W$2:W1028,A43)=0,$D$9,""))</f>
        <v>265.43599999999998</v>
      </c>
      <c r="I43" s="41">
        <f ca="1">IF(COUNTIF($X$2:X1028,INT(A43))=1,VLOOKUP(INT(A43),X:Y,2), IF(ISERROR(H43-2),"",I42*(1-$D$8*(H43-H42)*0.0001)))</f>
        <v>268.39839999999998</v>
      </c>
      <c r="J43" s="41">
        <f t="shared" ca="1" si="7"/>
        <v>268.39839999999998</v>
      </c>
      <c r="K43" s="43">
        <f t="shared" ca="1" si="8"/>
        <v>298599.74259974121</v>
      </c>
      <c r="L43" s="43"/>
      <c r="M43" s="44">
        <f ca="1">IF(ISERROR(B43-2),"",C43+D43-F43-G43-K43+SUM($L$14:L43))</f>
        <v>427484.75206692598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46176.625</v>
      </c>
      <c r="B44" s="40">
        <f ca="1">IF(COUNTIF($W$2:W1029,A44)=1,VLOOKUP(A44,O:P,2), IF(COUNTIF($W$2:W1029,A44)=0,$B$9,""))</f>
        <v>313.08</v>
      </c>
      <c r="C44" s="2">
        <f t="shared" ca="1" si="4"/>
        <v>672863.99999999953</v>
      </c>
      <c r="D44" s="43"/>
      <c r="E44" s="40">
        <f ca="1">IF(COUNTIF($W$2:W1029,A44)=1,VLOOKUP(A44,Q:R,2), IF(COUNTIF($W$2:W1029,A44)=0,$C$9,""))</f>
        <v>99.421999999999997</v>
      </c>
      <c r="F44" s="2">
        <f t="shared" ca="1" si="5"/>
        <v>-84500.000000000742</v>
      </c>
      <c r="G44" s="43">
        <f t="shared" ca="1" si="6"/>
        <v>276.27599999999802</v>
      </c>
      <c r="H44" s="40">
        <f ca="1">IF(COUNTIF($W$2:W1029,A44)=1,VLOOKUP(A44,S:T,2), IF(COUNTIF($W$2:W1029,A44)=0,$D$9,""))</f>
        <v>261.79599999999999</v>
      </c>
      <c r="I44" s="41">
        <f ca="1">IF(COUNTIF($X$2:X1029,INT(A44))=1,VLOOKUP(INT(A44),X:Y,2), IF(ISERROR(H44-2),"",I43*(1-$D$8*(H44-H43)*0.0001)))</f>
        <v>268.40789999999998</v>
      </c>
      <c r="J44" s="41">
        <f t="shared" ca="1" si="7"/>
        <v>268.40789999999998</v>
      </c>
      <c r="K44" s="43">
        <f t="shared" ca="1" si="8"/>
        <v>299272.20077219815</v>
      </c>
      <c r="L44" s="43"/>
      <c r="M44" s="44">
        <f ca="1">IF(ISERROR(B44-2),"",C44+D44-F44-G44-K44+SUM($L$14:L44))</f>
        <v>457815.52322780213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46177.625</v>
      </c>
      <c r="B45" s="40">
        <f ca="1">IF(COUNTIF($W$2:W1030,A45)=1,VLOOKUP(A45,O:P,2), IF(COUNTIF($W$2:W1030,A45)=0,$B$9,""))</f>
        <v>313.04000000000002</v>
      </c>
      <c r="C45" s="2">
        <f t="shared" ca="1" si="4"/>
        <v>668952.00000000314</v>
      </c>
      <c r="D45" s="43"/>
      <c r="E45" s="40">
        <f ca="1">IF(COUNTIF($W$2:W1030,A45)=1,VLOOKUP(A45,Q:R,2), IF(COUNTIF($W$2:W1030,A45)=0,$C$9,""))</f>
        <v>99.430999999999997</v>
      </c>
      <c r="F45" s="2">
        <f t="shared" ca="1" si="5"/>
        <v>-82160.000000000655</v>
      </c>
      <c r="G45" s="43">
        <f t="shared" ca="1" si="6"/>
        <v>280.6613333333371</v>
      </c>
      <c r="H45" s="40">
        <f ca="1">IF(COUNTIF($W$2:W1030,A45)=1,VLOOKUP(A45,S:T,2), IF(COUNTIF($W$2:W1030,A45)=0,$D$9,""))</f>
        <v>261.392</v>
      </c>
      <c r="I45" s="41">
        <f ca="1">IF(COUNTIF($X$2:X1030,INT(A45))=1,VLOOKUP(INT(A45),X:Y,2), IF(ISERROR(H45-2),"",I44*(1-$D$8*(H45-H44)*0.0001)))</f>
        <v>268.64510000000001</v>
      </c>
      <c r="J45" s="41">
        <f t="shared" ca="1" si="7"/>
        <v>268.64510000000001</v>
      </c>
      <c r="K45" s="43">
        <f t="shared" ca="1" si="8"/>
        <v>316062.41956242156</v>
      </c>
      <c r="L45" s="43"/>
      <c r="M45" s="44">
        <f ca="1">IF(ISERROR(B45-2),"",C45+D45-F45-G45-K45+SUM($L$14:L45))</f>
        <v>434768.91910424893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46182.625</v>
      </c>
      <c r="B46" s="40">
        <f ca="1">IF(COUNTIF($W$2:W1031,A46)=1,VLOOKUP(A46,O:P,2), IF(COUNTIF($W$2:W1031,A46)=0,$B$9,""))</f>
        <v>313.3</v>
      </c>
      <c r="C46" s="2">
        <f t="shared" ca="1" si="4"/>
        <v>694380.00000000221</v>
      </c>
      <c r="D46" s="43"/>
      <c r="E46" s="40">
        <f ca="1">IF(COUNTIF($W$2:W1031,A46)=1,VLOOKUP(A46,Q:R,2), IF(COUNTIF($W$2:W1031,A46)=0,$C$9,""))</f>
        <v>99.396000000000001</v>
      </c>
      <c r="F46" s="2">
        <f t="shared" ca="1" si="5"/>
        <v>-91259.999999999767</v>
      </c>
      <c r="G46" s="43">
        <f t="shared" ca="1" si="6"/>
        <v>302.58800000000338</v>
      </c>
      <c r="H46" s="40">
        <f ca="1">IF(COUNTIF($W$2:W1031,A46)=1,VLOOKUP(A46,S:T,2), IF(COUNTIF($W$2:W1031,A46)=0,$D$9,""))</f>
        <v>261.05</v>
      </c>
      <c r="I46" s="41">
        <f ca="1">IF(COUNTIF($X$2:X1031,INT(A46))=1,VLOOKUP(INT(A46),X:Y,2), IF(ISERROR(H46-2),"",I45*(1-$D$8*(H46-H45)*0.0001)))</f>
        <v>268.3329</v>
      </c>
      <c r="J46" s="41">
        <f t="shared" ca="1" si="7"/>
        <v>268.3329</v>
      </c>
      <c r="K46" s="43">
        <f t="shared" ca="1" si="8"/>
        <v>293963.32046331867</v>
      </c>
      <c r="L46" s="43"/>
      <c r="M46" s="44">
        <f ca="1">IF(ISERROR(B46-2),"",C46+D46-F46-G46-K46+SUM($L$14:L46))</f>
        <v>491374.09153668332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46188.625</v>
      </c>
      <c r="B47" s="40">
        <f ca="1">IF(COUNTIF($W$2:W1032,A47)=1,VLOOKUP(A47,O:P,2), IF(COUNTIF($W$2:W1032,A47)=0,$B$9,""))</f>
        <v>314.27999999999997</v>
      </c>
      <c r="C47" s="2">
        <f t="shared" ca="1" si="4"/>
        <v>790223.99999999849</v>
      </c>
      <c r="D47" s="43"/>
      <c r="E47" s="40">
        <f ca="1">IF(COUNTIF($W$2:W1032,A47)=1,VLOOKUP(A47,Q:R,2), IF(COUNTIF($W$2:W1032,A47)=0,$C$9,""))</f>
        <v>99.631</v>
      </c>
      <c r="F47" s="2">
        <f t="shared" ca="1" si="5"/>
        <v>-30159.999999999909</v>
      </c>
      <c r="G47" s="43">
        <f t="shared" ca="1" si="6"/>
        <v>328.89999999999418</v>
      </c>
      <c r="H47" s="40">
        <f ca="1">IF(COUNTIF($W$2:W1032,A47)=1,VLOOKUP(A47,S:T,2), IF(COUNTIF($W$2:W1032,A47)=0,$D$9,""))</f>
        <v>248.518</v>
      </c>
      <c r="I47" s="41">
        <f ca="1">IF(COUNTIF($X$2:X1032,INT(A47))=1,VLOOKUP(INT(A47),X:Y,2), IF(ISERROR(H47-2),"",I46*(1-$D$8*(H47-H46)*0.0001)))</f>
        <v>270.47059999999999</v>
      </c>
      <c r="J47" s="41">
        <f t="shared" ca="1" si="7"/>
        <v>270.47059999999999</v>
      </c>
      <c r="K47" s="43">
        <f t="shared" ca="1" si="8"/>
        <v>445280.56628056424</v>
      </c>
      <c r="L47" s="43"/>
      <c r="M47" s="44">
        <f ca="1">IF(ISERROR(B47-2),"",C47+D47-F47-G47-K47+SUM($L$14:L47))</f>
        <v>374774.53371943411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46189.625</v>
      </c>
      <c r="B48" s="40">
        <f ca="1">IF(COUNTIF($W$2:W1033,A48)=1,VLOOKUP(A48,O:P,2), IF(COUNTIF($W$2:W1033,A48)=0,$B$9,""))</f>
        <v>314.16000000000003</v>
      </c>
      <c r="C48" s="2">
        <f t="shared" ca="1" si="4"/>
        <v>778488.00000000361</v>
      </c>
      <c r="D48" s="43"/>
      <c r="E48" s="40">
        <f ca="1">IF(COUNTIF($W$2:W1033,A48)=1,VLOOKUP(A48,Q:R,2), IF(COUNTIF($W$2:W1033,A48)=0,$C$9,""))</f>
        <v>99.625</v>
      </c>
      <c r="F48" s="2">
        <f t="shared" ca="1" si="5"/>
        <v>-31719.999999999971</v>
      </c>
      <c r="G48" s="43">
        <f t="shared" ca="1" si="6"/>
        <v>333.28533333333326</v>
      </c>
      <c r="H48" s="40">
        <f ca="1">IF(COUNTIF($W$2:W1033,A48)=1,VLOOKUP(A48,S:T,2), IF(COUNTIF($W$2:W1033,A48)=0,$D$9,""))</f>
        <v>249.79400000000001</v>
      </c>
      <c r="I48" s="41">
        <f ca="1">IF(COUNTIF($X$2:X1033,INT(A48))=1,VLOOKUP(INT(A48),X:Y,2), IF(ISERROR(H48-2),"",I47*(1-$D$8*(H48-H47)*0.0001)))</f>
        <v>270.3356</v>
      </c>
      <c r="J48" s="41">
        <f t="shared" ca="1" si="7"/>
        <v>270.3356</v>
      </c>
      <c r="K48" s="43">
        <f t="shared" ca="1" si="8"/>
        <v>435724.58172458195</v>
      </c>
      <c r="L48" s="43"/>
      <c r="M48" s="44">
        <f ca="1">IF(ISERROR(B48-2),"",C48+D48-F48-G48-K48+SUM($L$14:L48))</f>
        <v>374150.13294208836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4" x14ac:dyDescent="0.25">
      <c r="A49" s="39">
        <f t="shared" ca="1" si="3"/>
        <v>46190.625</v>
      </c>
      <c r="B49" s="40">
        <f ca="1">IF(COUNTIF($W$2:W1034,A49)=1,VLOOKUP(A49,O:P,2), IF(COUNTIF($W$2:W1034,A49)=0,$B$9,""))</f>
        <v>313.66000000000003</v>
      </c>
      <c r="C49" s="2">
        <f t="shared" ca="1" si="4"/>
        <v>729588.00000000361</v>
      </c>
      <c r="D49" s="43"/>
      <c r="E49" s="40">
        <f ca="1">IF(COUNTIF($W$2:W1034,A49)=1,VLOOKUP(A49,Q:R,2), IF(COUNTIF($W$2:W1034,A49)=0,$C$9,""))</f>
        <v>99.600999999999999</v>
      </c>
      <c r="F49" s="2">
        <f t="shared" ca="1" si="5"/>
        <v>-37960.000000000204</v>
      </c>
      <c r="G49" s="43">
        <f t="shared" ca="1" si="6"/>
        <v>337.67066666667233</v>
      </c>
      <c r="H49" s="40">
        <f ca="1">IF(COUNTIF($W$2:W1034,A49)=1,VLOOKUP(A49,S:T,2), IF(COUNTIF($W$2:W1034,A49)=0,$D$9,""))</f>
        <v>252.459</v>
      </c>
      <c r="I49" s="41">
        <f ca="1">IF(COUNTIF($X$2:X1034,INT(A49))=1,VLOOKUP(INT(A49),X:Y,2), IF(ISERROR(H49-2),"",I48*(1-$D$8*(H49-H48)*0.0001)))</f>
        <v>270.1644</v>
      </c>
      <c r="J49" s="41">
        <f t="shared" ca="1" si="7"/>
        <v>270.1644</v>
      </c>
      <c r="K49" s="43">
        <f t="shared" ca="1" si="8"/>
        <v>423606.17760617536</v>
      </c>
      <c r="L49" s="43"/>
      <c r="M49" s="44">
        <f ca="1">IF(ISERROR(B49-2),"",C49+D49-F49-G49-K49+SUM($L$14:L49))</f>
        <v>343604.15172716178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4" x14ac:dyDescent="0.25">
      <c r="A50" s="39">
        <f t="shared" ca="1" si="3"/>
        <v>46198.782066666667</v>
      </c>
      <c r="B50" s="40">
        <f ca="1">IF(COUNTIF($W$2:W1035,A50)=1,VLOOKUP(A50,O:P,2), IF(COUNTIF($W$2:W1035,A50)=0,$B$9,""))</f>
        <v>313.66000000000003</v>
      </c>
      <c r="C50" s="2">
        <f t="shared" ca="1" si="4"/>
        <v>729588.00000000361</v>
      </c>
      <c r="D50" s="43"/>
      <c r="E50" s="40">
        <f ca="1">IF(COUNTIF($W$2:W1035,A50)=1,VLOOKUP(A50,Q:R,2), IF(COUNTIF($W$2:W1035,A50)=0,$C$9,""))</f>
        <v>99.747</v>
      </c>
      <c r="F50" s="2">
        <f t="shared" ca="1" si="5"/>
        <v>0</v>
      </c>
      <c r="G50" s="43">
        <f t="shared" ca="1" si="6"/>
        <v>372.75333333332674</v>
      </c>
      <c r="H50" s="40">
        <f ca="1">IF(COUNTIF($W$2:W1035,A50)=1,VLOOKUP(A50,S:T,2), IF(COUNTIF($W$2:W1035,A50)=0,$D$9,""))</f>
        <v>247.30670000000001</v>
      </c>
      <c r="I50" s="41">
        <f ca="1">IF(COUNTIF($X$2:X1035,INT(A50))=1,VLOOKUP(INT(A50),X:Y,2), IF(ISERROR(H50-2),"",I49*(1-$D$8*(H50-H49)*0.0001)))</f>
        <v>270.97930000000002</v>
      </c>
      <c r="J50" s="41">
        <f t="shared" ca="1" si="7"/>
        <v>270.97930000000002</v>
      </c>
      <c r="K50" s="43">
        <f t="shared" ca="1" si="8"/>
        <v>481288.93178893486</v>
      </c>
      <c r="L50" s="43"/>
      <c r="M50" s="44">
        <f ca="1">IF(ISERROR(B50-2),"",C50+D50-F50-G50-K50+SUM($L$14:L50))</f>
        <v>247926.31487773545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4" x14ac:dyDescent="0.25">
      <c r="A51" s="39" t="str">
        <f t="shared" ca="1" si="3"/>
        <v/>
      </c>
      <c r="B51" s="40" t="str">
        <f ca="1">IF(COUNTIF($W$2:W1036,A51)=1,VLOOKUP(A51,O:P,2), IF(COUNTIF($W$2:W1036,A51)=0,$B$9,""))</f>
        <v/>
      </c>
      <c r="C51" s="2" t="str">
        <f t="shared" ca="1" si="4"/>
        <v/>
      </c>
      <c r="D51" s="43"/>
      <c r="E51" s="40" t="str">
        <f ca="1">IF(COUNTIF($W$2:W1036,A51)=1,VLOOKUP(A51,Q:R,2), IF(COUNTIF($W$2:W1036,A51)=0,$C$9,""))</f>
        <v/>
      </c>
      <c r="F51" s="2" t="str">
        <f t="shared" ca="1" si="5"/>
        <v/>
      </c>
      <c r="G51" s="43" t="str">
        <f t="shared" ca="1" si="6"/>
        <v/>
      </c>
      <c r="H51" s="40" t="str">
        <f ca="1">IF(COUNTIF($W$2:W1036,A51)=1,VLOOKUP(A51,S:T,2), IF(COUNTIF($W$2:W1036,A51)=0,$D$9,""))</f>
        <v/>
      </c>
      <c r="I51" s="41" t="str">
        <f ca="1">IF(COUNTIF($X$2:X1036,INT(A51))=1,VLOOKUP(INT(A51),X:Y,2), IF(ISERROR(H51-2),"",I50*(1-$D$8*(H51-H50)*0.0001)))</f>
        <v/>
      </c>
      <c r="J51" s="41" t="str">
        <f t="shared" ca="1" si="7"/>
        <v/>
      </c>
      <c r="K51" s="43" t="str">
        <f t="shared" ca="1" si="8"/>
        <v/>
      </c>
      <c r="L51" s="43"/>
      <c r="M51" s="44" t="str">
        <f ca="1">IF(ISERROR(B51-2),"",C51+D51-F51-G51-K51+SUM($L$14:L51))</f>
        <v/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4" x14ac:dyDescent="0.25">
      <c r="A52" s="39" t="str">
        <f t="shared" ca="1" si="3"/>
        <v/>
      </c>
      <c r="B52" s="40" t="str">
        <f ca="1">IF(COUNTIF($W$2:W1037,A52)=1,VLOOKUP(A52,O:P,2), IF(COUNTIF($W$2:W1037,A52)=0,$B$9,""))</f>
        <v/>
      </c>
      <c r="C52" s="2" t="str">
        <f t="shared" ca="1" si="4"/>
        <v/>
      </c>
      <c r="D52" s="43"/>
      <c r="E52" s="40" t="str">
        <f ca="1">IF(COUNTIF($W$2:W1037,A52)=1,VLOOKUP(A52,Q:R,2), IF(COUNTIF($W$2:W1037,A52)=0,$C$9,""))</f>
        <v/>
      </c>
      <c r="F52" s="2" t="str">
        <f t="shared" ca="1" si="5"/>
        <v/>
      </c>
      <c r="G52" s="43" t="str">
        <f t="shared" ca="1" si="6"/>
        <v/>
      </c>
      <c r="H52" s="40" t="str">
        <f ca="1">IF(COUNTIF($W$2:W1037,A52)=1,VLOOKUP(A52,S:T,2), IF(COUNTIF($W$2:W1037,A52)=0,$D$9,""))</f>
        <v/>
      </c>
      <c r="I52" s="41" t="str">
        <f ca="1">IF(COUNTIF($X$2:X1037,INT(A52))=1,VLOOKUP(INT(A52),X:Y,2), IF(ISERROR(H52-2),"",I51*(1-$D$8*(H52-H51)*0.0001)))</f>
        <v/>
      </c>
      <c r="J52" s="41" t="str">
        <f t="shared" ca="1" si="7"/>
        <v/>
      </c>
      <c r="K52" s="43" t="str">
        <f t="shared" ca="1" si="8"/>
        <v/>
      </c>
      <c r="L52" s="43"/>
      <c r="M52" s="44" t="str">
        <f ca="1">IF(ISERROR(B52-2),"",C52+D52-F52-G52-K52+SUM($L$14:L52))</f>
        <v/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4" x14ac:dyDescent="0.25">
      <c r="A53" s="39" t="str">
        <f t="shared" ca="1" si="3"/>
        <v/>
      </c>
      <c r="B53" s="40" t="str">
        <f ca="1">IF(COUNTIF($W$2:W1038,A53)=1,VLOOKUP(A53,O:P,2), IF(COUNTIF($W$2:W1038,A53)=0,$B$9,""))</f>
        <v/>
      </c>
      <c r="C53" s="2" t="str">
        <f t="shared" ca="1" si="4"/>
        <v/>
      </c>
      <c r="D53" s="43"/>
      <c r="E53" s="40" t="str">
        <f ca="1">IF(COUNTIF($W$2:W1038,A53)=1,VLOOKUP(A53,Q:R,2), IF(COUNTIF($W$2:W1038,A53)=0,$C$9,""))</f>
        <v/>
      </c>
      <c r="F53" s="2" t="str">
        <f t="shared" ca="1" si="5"/>
        <v/>
      </c>
      <c r="G53" s="43" t="str">
        <f t="shared" ca="1" si="6"/>
        <v/>
      </c>
      <c r="H53" s="40" t="str">
        <f ca="1">IF(COUNTIF($W$2:W1038,A53)=1,VLOOKUP(A53,S:T,2), IF(COUNTIF($W$2:W1038,A53)=0,$D$9,""))</f>
        <v/>
      </c>
      <c r="I53" s="41" t="str">
        <f ca="1">IF(COUNTIF($X$2:X1038,INT(A53))=1,VLOOKUP(INT(A53),X:Y,2), IF(ISERROR(H53-2),"",I52*(1-$D$8*(H53-H52)*0.0001)))</f>
        <v/>
      </c>
      <c r="J53" s="41" t="str">
        <f t="shared" ca="1" si="7"/>
        <v/>
      </c>
      <c r="K53" s="43" t="str">
        <f t="shared" ca="1" si="8"/>
        <v/>
      </c>
      <c r="L53" s="43"/>
      <c r="M53" s="44" t="str">
        <f ca="1">IF(ISERROR(B53-2),"",C53+D53-F53-G53-K53+SUM($L$14:L53))</f>
        <v/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4" x14ac:dyDescent="0.25">
      <c r="A54" s="39" t="str">
        <f t="shared" ca="1" si="3"/>
        <v/>
      </c>
      <c r="B54" s="40" t="str">
        <f ca="1">IF(COUNTIF($W$2:W1039,A54)=1,VLOOKUP(A54,O:P,2), IF(COUNTIF($W$2:W1039,A54)=0,$B$9,""))</f>
        <v/>
      </c>
      <c r="C54" s="2" t="str">
        <f t="shared" ca="1" si="4"/>
        <v/>
      </c>
      <c r="D54" s="43"/>
      <c r="E54" s="40" t="str">
        <f ca="1">IF(COUNTIF($W$2:W1039,A54)=1,VLOOKUP(A54,Q:R,2), IF(COUNTIF($W$2:W1039,A54)=0,$C$9,""))</f>
        <v/>
      </c>
      <c r="F54" s="2" t="str">
        <f t="shared" ca="1" si="5"/>
        <v/>
      </c>
      <c r="G54" s="43" t="str">
        <f t="shared" ca="1" si="6"/>
        <v/>
      </c>
      <c r="H54" s="40" t="str">
        <f ca="1">IF(COUNTIF($W$2:W1039,A54)=1,VLOOKUP(A54,S:T,2), IF(COUNTIF($W$2:W1039,A54)=0,$D$9,""))</f>
        <v/>
      </c>
      <c r="I54" s="41" t="str">
        <f ca="1">IF(COUNTIF($X$2:X1039,INT(A54))=1,VLOOKUP(INT(A54),X:Y,2), IF(ISERROR(H54-2),"",I53*(1-$D$8*(H54-H53)*0.0001)))</f>
        <v/>
      </c>
      <c r="J54" s="41" t="str">
        <f t="shared" ca="1" si="7"/>
        <v/>
      </c>
      <c r="K54" s="43" t="str">
        <f t="shared" ca="1" si="8"/>
        <v/>
      </c>
      <c r="L54" s="43"/>
      <c r="M54" s="44" t="str">
        <f ca="1">IF(ISERROR(B54-2),"",C54+D54-F54-G54-K54+SUM($L$14:L54))</f>
        <v/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4" x14ac:dyDescent="0.25">
      <c r="A55" s="39" t="str">
        <f t="shared" ca="1" si="3"/>
        <v/>
      </c>
      <c r="B55" s="40" t="str">
        <f ca="1">IF(COUNTIF($W$2:W1040,A55)=1,VLOOKUP(A55,O:P,2), IF(COUNTIF($W$2:W1040,A55)=0,$B$9,""))</f>
        <v/>
      </c>
      <c r="C55" s="2" t="str">
        <f t="shared" ca="1" si="4"/>
        <v/>
      </c>
      <c r="D55" s="43"/>
      <c r="E55" s="40" t="str">
        <f ca="1">IF(COUNTIF($W$2:W1040,A55)=1,VLOOKUP(A55,Q:R,2), IF(COUNTIF($W$2:W1040,A55)=0,$C$9,""))</f>
        <v/>
      </c>
      <c r="F55" s="2" t="str">
        <f t="shared" ca="1" si="5"/>
        <v/>
      </c>
      <c r="G55" s="43" t="str">
        <f t="shared" ca="1" si="6"/>
        <v/>
      </c>
      <c r="H55" s="40" t="str">
        <f ca="1">IF(COUNTIF($W$2:W1040,A55)=1,VLOOKUP(A55,S:T,2), IF(COUNTIF($W$2:W1040,A55)=0,$D$9,""))</f>
        <v/>
      </c>
      <c r="I55" s="41" t="str">
        <f ca="1">IF(COUNTIF($X$2:X1040,INT(A55))=1,VLOOKUP(INT(A55),X:Y,2), IF(ISERROR(H55-2),"",I54*(1-$D$8*(H55-H54)*0.0001)))</f>
        <v/>
      </c>
      <c r="J55" s="41" t="str">
        <f t="shared" ca="1" si="7"/>
        <v/>
      </c>
      <c r="K55" s="43" t="str">
        <f t="shared" ca="1" si="8"/>
        <v/>
      </c>
      <c r="L55" s="43"/>
      <c r="M55" s="44" t="str">
        <f ca="1">IF(ISERROR(B55-2),"",C55+D55-F55-G55-K55+SUM($L$14:L55))</f>
        <v/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4" x14ac:dyDescent="0.25">
      <c r="A56" s="39" t="str">
        <f t="shared" ca="1" si="3"/>
        <v/>
      </c>
      <c r="B56" s="40" t="str">
        <f ca="1">IF(COUNTIF($W$2:W1041,A56)=1,VLOOKUP(A56,O:P,2), IF(COUNTIF($W$2:W1041,A56)=0,$B$9,""))</f>
        <v/>
      </c>
      <c r="C56" s="2" t="str">
        <f t="shared" ca="1" si="4"/>
        <v/>
      </c>
      <c r="D56" s="43"/>
      <c r="E56" s="40" t="str">
        <f ca="1">IF(COUNTIF($W$2:W1041,A56)=1,VLOOKUP(A56,Q:R,2), IF(COUNTIF($W$2:W1041,A56)=0,$C$9,""))</f>
        <v/>
      </c>
      <c r="F56" s="2" t="str">
        <f t="shared" ca="1" si="5"/>
        <v/>
      </c>
      <c r="G56" s="43" t="str">
        <f t="shared" ca="1" si="6"/>
        <v/>
      </c>
      <c r="H56" s="40" t="str">
        <f ca="1">IF(COUNTIF($W$2:W1041,A56)=1,VLOOKUP(A56,S:T,2), IF(COUNTIF($W$2:W1041,A56)=0,$D$9,""))</f>
        <v/>
      </c>
      <c r="I56" s="41" t="str">
        <f ca="1">IF(COUNTIF($X$2:X1041,INT(A56))=1,VLOOKUP(INT(A56),X:Y,2), IF(ISERROR(H56-2),"",I55*(1-$D$8*(H56-H55)*0.0001)))</f>
        <v/>
      </c>
      <c r="J56" s="41" t="str">
        <f t="shared" ca="1" si="7"/>
        <v/>
      </c>
      <c r="K56" s="43" t="str">
        <f t="shared" ca="1" si="8"/>
        <v/>
      </c>
      <c r="L56" s="43"/>
      <c r="M56" s="44" t="str">
        <f ca="1">IF(ISERROR(B56-2),"",C56+D56-F56-G56-K56+SUM($L$14:L56))</f>
        <v/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4" x14ac:dyDescent="0.25">
      <c r="A57" s="39" t="str">
        <f t="shared" ca="1" si="3"/>
        <v/>
      </c>
      <c r="B57" s="40" t="str">
        <f ca="1">IF(COUNTIF($W$2:W1042,A57)=1,VLOOKUP(A57,O:P,2), IF(COUNTIF($W$2:W1042,A57)=0,$B$9,""))</f>
        <v/>
      </c>
      <c r="C57" s="2" t="str">
        <f t="shared" ca="1" si="4"/>
        <v/>
      </c>
      <c r="D57" s="43"/>
      <c r="E57" s="40" t="str">
        <f ca="1">IF(COUNTIF($W$2:W1042,A57)=1,VLOOKUP(A57,Q:R,2), IF(COUNTIF($W$2:W1042,A57)=0,$C$9,""))</f>
        <v/>
      </c>
      <c r="F57" s="2" t="str">
        <f t="shared" ca="1" si="5"/>
        <v/>
      </c>
      <c r="G57" s="43" t="str">
        <f t="shared" ca="1" si="6"/>
        <v/>
      </c>
      <c r="H57" s="40" t="str">
        <f ca="1">IF(COUNTIF($W$2:W1042,A57)=1,VLOOKUP(A57,S:T,2), IF(COUNTIF($W$2:W1042,A57)=0,$D$9,""))</f>
        <v/>
      </c>
      <c r="I57" s="41" t="str">
        <f ca="1">IF(COUNTIF($X$2:X1042,INT(A57))=1,VLOOKUP(INT(A57),X:Y,2), IF(ISERROR(H57-2),"",I56*(1-$D$8*(H57-H56)*0.0001)))</f>
        <v/>
      </c>
      <c r="J57" s="41" t="str">
        <f t="shared" ca="1" si="7"/>
        <v/>
      </c>
      <c r="K57" s="43" t="str">
        <f t="shared" ca="1" si="8"/>
        <v/>
      </c>
      <c r="L57" s="43"/>
      <c r="M57" s="44" t="str">
        <f ca="1">IF(ISERROR(B57-2),"",C57+D57-F57-G57-K57+SUM($L$14:L57))</f>
        <v/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4" x14ac:dyDescent="0.25">
      <c r="A58" s="39" t="str">
        <f t="shared" ca="1" si="3"/>
        <v/>
      </c>
      <c r="B58" s="40" t="str">
        <f ca="1">IF(COUNTIF($W$2:W1043,A58)=1,VLOOKUP(A58,O:P,2), IF(COUNTIF($W$2:W1043,A58)=0,$B$9,""))</f>
        <v/>
      </c>
      <c r="C58" s="2" t="str">
        <f t="shared" ca="1" si="4"/>
        <v/>
      </c>
      <c r="D58" s="43"/>
      <c r="E58" s="40" t="str">
        <f ca="1">IF(COUNTIF($W$2:W1043,A58)=1,VLOOKUP(A58,Q:R,2), IF(COUNTIF($W$2:W1043,A58)=0,$C$9,""))</f>
        <v/>
      </c>
      <c r="F58" s="2" t="str">
        <f t="shared" ca="1" si="5"/>
        <v/>
      </c>
      <c r="G58" s="43" t="str">
        <f t="shared" ca="1" si="6"/>
        <v/>
      </c>
      <c r="H58" s="40" t="str">
        <f ca="1">IF(COUNTIF($W$2:W1043,A58)=1,VLOOKUP(A58,S:T,2), IF(COUNTIF($W$2:W1043,A58)=0,$D$9,""))</f>
        <v/>
      </c>
      <c r="I58" s="41" t="str">
        <f ca="1">IF(COUNTIF($X$2:X1043,INT(A58))=1,VLOOKUP(INT(A58),X:Y,2), IF(ISERROR(H58-2),"",I57*(1-$D$8*(H58-H57)*0.0001)))</f>
        <v/>
      </c>
      <c r="J58" s="41" t="str">
        <f t="shared" ca="1" si="7"/>
        <v/>
      </c>
      <c r="K58" s="43" t="str">
        <f t="shared" ca="1" si="8"/>
        <v/>
      </c>
      <c r="L58" s="43"/>
      <c r="M58" s="44" t="str">
        <f ca="1">IF(ISERROR(B58-2),"",C58+D58-F58-G58-K58+SUM($L$14:L58))</f>
        <v/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4" x14ac:dyDescent="0.25">
      <c r="A59" s="39" t="str">
        <f t="shared" ca="1" si="3"/>
        <v/>
      </c>
      <c r="B59" s="40" t="str">
        <f ca="1">IF(COUNTIF($W$2:W1044,A59)=1,VLOOKUP(A59,O:P,2), IF(COUNTIF($W$2:W1044,A59)=0,$B$9,""))</f>
        <v/>
      </c>
      <c r="C59" s="2" t="str">
        <f t="shared" ca="1" si="4"/>
        <v/>
      </c>
      <c r="D59" s="43"/>
      <c r="E59" s="40" t="str">
        <f ca="1">IF(COUNTIF($W$2:W1044,A59)=1,VLOOKUP(A59,Q:R,2), IF(COUNTIF($W$2:W1044,A59)=0,$C$9,""))</f>
        <v/>
      </c>
      <c r="F59" s="2" t="str">
        <f t="shared" ca="1" si="5"/>
        <v/>
      </c>
      <c r="G59" s="43" t="str">
        <f t="shared" ca="1" si="6"/>
        <v/>
      </c>
      <c r="H59" s="40" t="str">
        <f ca="1">IF(COUNTIF($W$2:W1044,A59)=1,VLOOKUP(A59,S:T,2), IF(COUNTIF($W$2:W1044,A59)=0,$D$9,""))</f>
        <v/>
      </c>
      <c r="I59" s="41" t="str">
        <f ca="1">IF(COUNTIF($X$2:X1044,INT(A59))=1,VLOOKUP(INT(A59),X:Y,2), IF(ISERROR(H59-2),"",I58*(1-$D$8*(H59-H58)*0.0001)))</f>
        <v/>
      </c>
      <c r="J59" s="41" t="str">
        <f t="shared" ca="1" si="7"/>
        <v/>
      </c>
      <c r="K59" s="43" t="str">
        <f t="shared" ca="1" si="8"/>
        <v/>
      </c>
      <c r="L59" s="43"/>
      <c r="M59" s="44" t="str">
        <f ca="1">IF(ISERROR(B59-2),"",C59+D59-F59-G59-K59+SUM($L$14:L59))</f>
        <v/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4" x14ac:dyDescent="0.25">
      <c r="A60" s="39" t="str">
        <f t="shared" ca="1" si="3"/>
        <v/>
      </c>
      <c r="B60" s="40" t="str">
        <f ca="1">IF(COUNTIF($W$2:W1045,A60)=1,VLOOKUP(A60,O:P,2), IF(COUNTIF($W$2:W1045,A60)=0,$B$9,""))</f>
        <v/>
      </c>
      <c r="C60" s="2" t="str">
        <f t="shared" ca="1" si="4"/>
        <v/>
      </c>
      <c r="D60" s="43"/>
      <c r="E60" s="40" t="str">
        <f ca="1">IF(COUNTIF($W$2:W1045,A60)=1,VLOOKUP(A60,Q:R,2), IF(COUNTIF($W$2:W1045,A60)=0,$C$9,""))</f>
        <v/>
      </c>
      <c r="F60" s="2" t="str">
        <f t="shared" ca="1" si="5"/>
        <v/>
      </c>
      <c r="G60" s="43" t="str">
        <f t="shared" ca="1" si="6"/>
        <v/>
      </c>
      <c r="H60" s="40" t="str">
        <f ca="1">IF(COUNTIF($W$2:W1045,A60)=1,VLOOKUP(A60,S:T,2), IF(COUNTIF($W$2:W1045,A60)=0,$D$9,""))</f>
        <v/>
      </c>
      <c r="I60" s="41" t="str">
        <f ca="1">IF(COUNTIF($X$2:X1045,INT(A60))=1,VLOOKUP(INT(A60),X:Y,2), IF(ISERROR(H60-2),"",I59*(1-$D$8*(H60-H59)*0.0001)))</f>
        <v/>
      </c>
      <c r="J60" s="41" t="str">
        <f t="shared" ca="1" si="7"/>
        <v/>
      </c>
      <c r="K60" s="43" t="str">
        <f t="shared" ca="1" si="8"/>
        <v/>
      </c>
      <c r="L60" s="43"/>
      <c r="M60" s="44" t="str">
        <f ca="1">IF(ISERROR(B60-2),"",C60+D60-F60-G60-K60+SUM($L$14:L60))</f>
        <v/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4" x14ac:dyDescent="0.25">
      <c r="A61" s="39" t="str">
        <f t="shared" ca="1" si="3"/>
        <v/>
      </c>
      <c r="B61" s="40" t="str">
        <f ca="1">IF(COUNTIF($W$2:W1046,A61)=1,VLOOKUP(A61,O:P,2), IF(COUNTIF($W$2:W1046,A61)=0,$B$9,""))</f>
        <v/>
      </c>
      <c r="C61" s="2" t="str">
        <f t="shared" ca="1" si="4"/>
        <v/>
      </c>
      <c r="D61" s="43"/>
      <c r="E61" s="40" t="str">
        <f ca="1">IF(COUNTIF($W$2:W1046,A61)=1,VLOOKUP(A61,Q:R,2), IF(COUNTIF($W$2:W1046,A61)=0,$C$9,""))</f>
        <v/>
      </c>
      <c r="F61" s="2" t="str">
        <f t="shared" ca="1" si="5"/>
        <v/>
      </c>
      <c r="G61" s="43" t="str">
        <f t="shared" ca="1" si="6"/>
        <v/>
      </c>
      <c r="H61" s="40" t="str">
        <f ca="1">IF(COUNTIF($W$2:W1046,A61)=1,VLOOKUP(A61,S:T,2), IF(COUNTIF($W$2:W1046,A61)=0,$D$9,""))</f>
        <v/>
      </c>
      <c r="I61" s="41" t="str">
        <f ca="1">IF(COUNTIF($X$2:X1046,INT(A61))=1,VLOOKUP(INT(A61),X:Y,2), IF(ISERROR(H61-2),"",I60*(1-$D$8*(H61-H60)*0.0001)))</f>
        <v/>
      </c>
      <c r="J61" s="41" t="str">
        <f t="shared" ca="1" si="7"/>
        <v/>
      </c>
      <c r="K61" s="43" t="str">
        <f t="shared" ca="1" si="8"/>
        <v/>
      </c>
      <c r="L61" s="43"/>
      <c r="M61" s="44" t="str">
        <f ca="1">IF(ISERROR(B61-2),"",C61+D61-F61-G61-K61+SUM($L$14:L61))</f>
        <v/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4" x14ac:dyDescent="0.25">
      <c r="A62" s="39" t="str">
        <f t="shared" ca="1" si="3"/>
        <v/>
      </c>
      <c r="B62" s="40" t="str">
        <f ca="1">IF(COUNTIF($W$2:W1047,A62)=1,VLOOKUP(A62,O:P,2), IF(COUNTIF($W$2:W1047,A62)=0,$B$9,""))</f>
        <v/>
      </c>
      <c r="C62" s="2" t="str">
        <f t="shared" ca="1" si="4"/>
        <v/>
      </c>
      <c r="D62" s="43"/>
      <c r="E62" s="40" t="str">
        <f ca="1">IF(COUNTIF($W$2:W1047,A62)=1,VLOOKUP(A62,Q:R,2), IF(COUNTIF($W$2:W1047,A62)=0,$C$9,""))</f>
        <v/>
      </c>
      <c r="F62" s="2" t="str">
        <f t="shared" ca="1" si="5"/>
        <v/>
      </c>
      <c r="G62" s="43" t="str">
        <f t="shared" ca="1" si="6"/>
        <v/>
      </c>
      <c r="H62" s="40" t="str">
        <f ca="1">IF(COUNTIF($W$2:W1047,A62)=1,VLOOKUP(A62,S:T,2), IF(COUNTIF($W$2:W1047,A62)=0,$D$9,""))</f>
        <v/>
      </c>
      <c r="I62" s="41" t="str">
        <f ca="1">IF(COUNTIF($X$2:X1047,INT(A62))=1,VLOOKUP(INT(A62),X:Y,2), IF(ISERROR(H62-2),"",I61*(1-$D$8*(H62-H61)*0.0001)))</f>
        <v/>
      </c>
      <c r="J62" s="41" t="str">
        <f t="shared" ca="1" si="7"/>
        <v/>
      </c>
      <c r="K62" s="43" t="str">
        <f t="shared" ca="1" si="8"/>
        <v/>
      </c>
      <c r="L62" s="43"/>
      <c r="M62" s="44" t="str">
        <f ca="1">IF(ISERROR(B62-2),"",C62+D62-F62-G62-K62+SUM($L$14:L62))</f>
        <v/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4" x14ac:dyDescent="0.25">
      <c r="A63" s="39" t="str">
        <f t="shared" ca="1" si="3"/>
        <v/>
      </c>
      <c r="B63" s="40" t="str">
        <f ca="1">IF(COUNTIF($W$2:W1048,A63)=1,VLOOKUP(A63,O:P,2), IF(COUNTIF($W$2:W1048,A63)=0,$B$9,""))</f>
        <v/>
      </c>
      <c r="C63" s="2" t="str">
        <f t="shared" ca="1" si="4"/>
        <v/>
      </c>
      <c r="D63" s="43"/>
      <c r="E63" s="40" t="str">
        <f ca="1">IF(COUNTIF($W$2:W1048,A63)=1,VLOOKUP(A63,Q:R,2), IF(COUNTIF($W$2:W1048,A63)=0,$C$9,""))</f>
        <v/>
      </c>
      <c r="F63" s="2" t="str">
        <f t="shared" ca="1" si="5"/>
        <v/>
      </c>
      <c r="G63" s="43" t="str">
        <f t="shared" ca="1" si="6"/>
        <v/>
      </c>
      <c r="H63" s="40" t="str">
        <f ca="1">IF(COUNTIF($W$2:W1048,A63)=1,VLOOKUP(A63,S:T,2), IF(COUNTIF($W$2:W1048,A63)=0,$D$9,""))</f>
        <v/>
      </c>
      <c r="I63" s="41" t="str">
        <f ca="1">IF(COUNTIF($X$2:X1048,INT(A63))=1,VLOOKUP(INT(A63),X:Y,2), IF(ISERROR(H63-2),"",I62*(1-$D$8*(H63-H62)*0.0001)))</f>
        <v/>
      </c>
      <c r="J63" s="41" t="str">
        <f t="shared" ca="1" si="7"/>
        <v/>
      </c>
      <c r="K63" s="43" t="str">
        <f t="shared" ca="1" si="8"/>
        <v/>
      </c>
      <c r="L63" s="43"/>
      <c r="M63" s="44" t="str">
        <f ca="1">IF(ISERROR(B63-2),"",C63+D63-F63-G63-K63+SUM($L$14:L63))</f>
        <v/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</row>
    <row r="64" spans="1:34" x14ac:dyDescent="0.25">
      <c r="A64" s="39" t="str">
        <f t="shared" ca="1" si="3"/>
        <v/>
      </c>
      <c r="B64" s="40" t="str">
        <f ca="1">IF(COUNTIF($W$2:W1049,A64)=1,VLOOKUP(A64,O:P,2), IF(COUNTIF($W$2:W1049,A64)=0,$B$9,""))</f>
        <v/>
      </c>
      <c r="C64" s="2" t="str">
        <f t="shared" ca="1" si="4"/>
        <v/>
      </c>
      <c r="D64" s="43"/>
      <c r="E64" s="40" t="str">
        <f ca="1">IF(COUNTIF($W$2:W1049,A64)=1,VLOOKUP(A64,Q:R,2), IF(COUNTIF($W$2:W1049,A64)=0,$C$9,""))</f>
        <v/>
      </c>
      <c r="F64" s="2" t="str">
        <f t="shared" ca="1" si="5"/>
        <v/>
      </c>
      <c r="G64" s="43" t="str">
        <f t="shared" ca="1" si="6"/>
        <v/>
      </c>
      <c r="H64" s="40" t="str">
        <f ca="1">IF(COUNTIF($W$2:W1049,A64)=1,VLOOKUP(A64,S:T,2), IF(COUNTIF($W$2:W1049,A64)=0,$D$9,""))</f>
        <v/>
      </c>
      <c r="I64" s="41" t="str">
        <f ca="1">IF(COUNTIF($X$2:X1049,INT(A64))=1,VLOOKUP(INT(A64),X:Y,2), IF(ISERROR(H64-2),"",I63*(1-$D$8*(H64-H63)*0.0001)))</f>
        <v/>
      </c>
      <c r="J64" s="41" t="str">
        <f t="shared" ca="1" si="7"/>
        <v/>
      </c>
      <c r="K64" s="43" t="str">
        <f t="shared" ca="1" si="8"/>
        <v/>
      </c>
      <c r="L64" s="43"/>
      <c r="M64" s="44" t="str">
        <f ca="1">IF(ISERROR(B64-2),"",C64+D64-F64-G64-K64+SUM($L$14:L64))</f>
        <v/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</row>
    <row r="65" spans="1:34" x14ac:dyDescent="0.25">
      <c r="A65" s="39" t="str">
        <f t="shared" ca="1" si="3"/>
        <v/>
      </c>
      <c r="B65" s="40" t="str">
        <f ca="1">IF(COUNTIF($W$2:W1050,A65)=1,VLOOKUP(A65,O:P,2), IF(COUNTIF($W$2:W1050,A65)=0,$B$9,""))</f>
        <v/>
      </c>
      <c r="C65" s="2" t="str">
        <f t="shared" ca="1" si="4"/>
        <v/>
      </c>
      <c r="D65" s="43"/>
      <c r="E65" s="40" t="str">
        <f ca="1">IF(COUNTIF($W$2:W1050,A65)=1,VLOOKUP(A65,Q:R,2), IF(COUNTIF($W$2:W1050,A65)=0,$C$9,""))</f>
        <v/>
      </c>
      <c r="F65" s="2" t="str">
        <f t="shared" ca="1" si="5"/>
        <v/>
      </c>
      <c r="G65" s="43" t="str">
        <f t="shared" ca="1" si="6"/>
        <v/>
      </c>
      <c r="H65" s="40" t="str">
        <f ca="1">IF(COUNTIF($W$2:W1050,A65)=1,VLOOKUP(A65,S:T,2), IF(COUNTIF($W$2:W1050,A65)=0,$D$9,""))</f>
        <v/>
      </c>
      <c r="I65" s="41" t="str">
        <f ca="1">IF(COUNTIF($X$2:X1050,INT(A65))=1,VLOOKUP(INT(A65),X:Y,2), IF(ISERROR(H65-2),"",I64*(1-$D$8*(H65-H64)*0.0001)))</f>
        <v/>
      </c>
      <c r="J65" s="41" t="str">
        <f t="shared" ca="1" si="7"/>
        <v/>
      </c>
      <c r="K65" s="43" t="str">
        <f t="shared" ca="1" si="8"/>
        <v/>
      </c>
      <c r="L65" s="43"/>
      <c r="M65" s="44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</row>
    <row r="66" spans="1:34" x14ac:dyDescent="0.25">
      <c r="A66" s="39" t="str">
        <f t="shared" ca="1" si="3"/>
        <v/>
      </c>
      <c r="B66" s="40" t="str">
        <f ca="1">IF(COUNTIF($W$2:W1051,A66)=1,VLOOKUP(A66,O:P,2), IF(COUNTIF($W$2:W1051,A66)=0,$B$9,""))</f>
        <v/>
      </c>
      <c r="C66" s="2" t="str">
        <f t="shared" ca="1" si="4"/>
        <v/>
      </c>
      <c r="D66" s="43"/>
      <c r="E66" s="40" t="str">
        <f ca="1">IF(COUNTIF($W$2:W1051,A66)=1,VLOOKUP(A66,Q:R,2), IF(COUNTIF($W$2:W1051,A66)=0,$C$9,""))</f>
        <v/>
      </c>
      <c r="F66" s="2" t="str">
        <f t="shared" ca="1" si="5"/>
        <v/>
      </c>
      <c r="G66" s="43" t="str">
        <f t="shared" ca="1" si="6"/>
        <v/>
      </c>
      <c r="H66" s="40" t="str">
        <f ca="1">IF(COUNTIF($W$2:W1051,A66)=1,VLOOKUP(A66,S:T,2), IF(COUNTIF($W$2:W1051,A66)=0,$D$9,""))</f>
        <v/>
      </c>
      <c r="I66" s="41" t="str">
        <f ca="1">IF(COUNTIF($X$2:X1051,INT(A66))=1,VLOOKUP(INT(A66),X:Y,2), IF(ISERROR(H66-2),"",I65*(1-$D$8*(H66-H65)*0.0001)))</f>
        <v/>
      </c>
      <c r="J66" s="41" t="str">
        <f t="shared" ca="1" si="7"/>
        <v/>
      </c>
      <c r="K66" s="43" t="str">
        <f t="shared" ca="1" si="8"/>
        <v/>
      </c>
      <c r="L66" s="43"/>
      <c r="M66" s="44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</row>
    <row r="67" spans="1:34" x14ac:dyDescent="0.25">
      <c r="A67" s="39" t="str">
        <f t="shared" ca="1" si="3"/>
        <v/>
      </c>
      <c r="B67" s="40" t="str">
        <f ca="1">IF(COUNTIF($W$2:W1052,A67)=1,VLOOKUP(A67,O:P,2), IF(COUNTIF($W$2:W1052,A67)=0,$B$9,""))</f>
        <v/>
      </c>
      <c r="C67" s="2" t="str">
        <f t="shared" ca="1" si="4"/>
        <v/>
      </c>
      <c r="D67" s="43"/>
      <c r="E67" s="40" t="str">
        <f ca="1">IF(COUNTIF($W$2:W1052,A67)=1,VLOOKUP(A67,Q:R,2), IF(COUNTIF($W$2:W1052,A67)=0,$C$9,""))</f>
        <v/>
      </c>
      <c r="F67" s="2" t="str">
        <f t="shared" ca="1" si="5"/>
        <v/>
      </c>
      <c r="G67" s="43" t="str">
        <f t="shared" ca="1" si="6"/>
        <v/>
      </c>
      <c r="H67" s="40" t="str">
        <f ca="1">IF(COUNTIF($W$2:W1052,A67)=1,VLOOKUP(A67,S:T,2), IF(COUNTIF($W$2:W1052,A67)=0,$D$9,""))</f>
        <v/>
      </c>
      <c r="I67" s="41" t="str">
        <f ca="1">IF(COUNTIF($X$2:X1052,INT(A67))=1,VLOOKUP(INT(A67),X:Y,2), IF(ISERROR(H67-2),"",I66*(1-$D$8*(H67-H66)*0.0001)))</f>
        <v/>
      </c>
      <c r="J67" s="41" t="str">
        <f t="shared" ca="1" si="7"/>
        <v/>
      </c>
      <c r="K67" s="43" t="str">
        <f t="shared" ca="1" si="8"/>
        <v/>
      </c>
      <c r="L67" s="43"/>
      <c r="M67" s="44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</row>
    <row r="68" spans="1:34" x14ac:dyDescent="0.25">
      <c r="A68" s="39" t="str">
        <f t="shared" ca="1" si="3"/>
        <v/>
      </c>
      <c r="B68" s="40" t="str">
        <f ca="1">IF(COUNTIF($W$2:W1053,A68)=1,VLOOKUP(A68,O:P,2), IF(COUNTIF($W$2:W1053,A68)=0,$B$9,""))</f>
        <v/>
      </c>
      <c r="C68" s="2" t="str">
        <f t="shared" ca="1" si="4"/>
        <v/>
      </c>
      <c r="D68" s="43"/>
      <c r="E68" s="40" t="str">
        <f ca="1">IF(COUNTIF($W$2:W1053,A68)=1,VLOOKUP(A68,Q:R,2), IF(COUNTIF($W$2:W1053,A68)=0,$C$9,""))</f>
        <v/>
      </c>
      <c r="F68" s="2" t="str">
        <f t="shared" ca="1" si="5"/>
        <v/>
      </c>
      <c r="G68" s="43" t="str">
        <f t="shared" ca="1" si="6"/>
        <v/>
      </c>
      <c r="H68" s="40" t="str">
        <f ca="1">IF(COUNTIF($W$2:W1053,A68)=1,VLOOKUP(A68,S:T,2), IF(COUNTIF($W$2:W1053,A68)=0,$D$9,""))</f>
        <v/>
      </c>
      <c r="I68" s="41" t="str">
        <f ca="1">IF(COUNTIF($X$2:X1053,INT(A68))=1,VLOOKUP(INT(A68),X:Y,2), IF(ISERROR(H68-2),"",I67*(1-$D$8*(H68-H67)*0.0001)))</f>
        <v/>
      </c>
      <c r="J68" s="41" t="str">
        <f t="shared" ca="1" si="7"/>
        <v/>
      </c>
      <c r="K68" s="43" t="str">
        <f t="shared" ca="1" si="8"/>
        <v/>
      </c>
      <c r="L68" s="43"/>
      <c r="M68" s="44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1">IF(COUNTIF(AB:AB,Z68),Z68,"")</f>
        <v>45873</v>
      </c>
      <c r="AE68" s="22"/>
      <c r="AF68" s="22"/>
      <c r="AG68" s="22"/>
      <c r="AH68" s="22"/>
    </row>
    <row r="69" spans="1:34" x14ac:dyDescent="0.25">
      <c r="A69" s="39" t="str">
        <f t="shared" ca="1" si="3"/>
        <v/>
      </c>
      <c r="B69" s="40" t="str">
        <f ca="1">IF(COUNTIF($W$2:W1054,A69)=1,VLOOKUP(A69,O:P,2), IF(COUNTIF($W$2:W1054,A69)=0,$B$9,""))</f>
        <v/>
      </c>
      <c r="C69" s="2" t="str">
        <f t="shared" ca="1" si="4"/>
        <v/>
      </c>
      <c r="D69" s="43"/>
      <c r="E69" s="40" t="str">
        <f ca="1">IF(COUNTIF($W$2:W1054,A69)=1,VLOOKUP(A69,Q:R,2), IF(COUNTIF($W$2:W1054,A69)=0,$C$9,""))</f>
        <v/>
      </c>
      <c r="F69" s="2" t="str">
        <f t="shared" ca="1" si="5"/>
        <v/>
      </c>
      <c r="G69" s="43" t="str">
        <f t="shared" ca="1" si="6"/>
        <v/>
      </c>
      <c r="H69" s="40" t="str">
        <f ca="1">IF(COUNTIF($W$2:W1054,A69)=1,VLOOKUP(A69,S:T,2), IF(COUNTIF($W$2:W1054,A69)=0,$D$9,""))</f>
        <v/>
      </c>
      <c r="I69" s="41" t="str">
        <f ca="1">IF(COUNTIF($X$2:X1054,INT(A69))=1,VLOOKUP(INT(A69),X:Y,2), IF(ISERROR(H69-2),"",I68*(1-$D$8*(H69-H68)*0.0001)))</f>
        <v/>
      </c>
      <c r="J69" s="41" t="str">
        <f t="shared" ca="1" si="7"/>
        <v/>
      </c>
      <c r="K69" s="43" t="str">
        <f t="shared" ca="1" si="8"/>
        <v/>
      </c>
      <c r="L69" s="43"/>
      <c r="M69" s="44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1"/>
        <v>45874</v>
      </c>
      <c r="AE69" s="22"/>
      <c r="AF69" s="22"/>
      <c r="AG69" s="22"/>
      <c r="AH69" s="22"/>
    </row>
    <row r="70" spans="1:34" x14ac:dyDescent="0.25">
      <c r="A70" s="39" t="str">
        <f t="shared" ca="1" si="3"/>
        <v/>
      </c>
      <c r="B70" s="40" t="str">
        <f ca="1">IF(COUNTIF($W$2:W1055,A70)=1,VLOOKUP(A70,O:P,2), IF(COUNTIF($W$2:W1055,A70)=0,$B$9,""))</f>
        <v/>
      </c>
      <c r="C70" s="2" t="str">
        <f t="shared" ca="1" si="4"/>
        <v/>
      </c>
      <c r="D70" s="43"/>
      <c r="E70" s="40" t="str">
        <f ca="1">IF(COUNTIF($W$2:W1055,A70)=1,VLOOKUP(A70,Q:R,2), IF(COUNTIF($W$2:W1055,A70)=0,$C$9,""))</f>
        <v/>
      </c>
      <c r="F70" s="2" t="str">
        <f t="shared" ca="1" si="5"/>
        <v/>
      </c>
      <c r="G70" s="43" t="str">
        <f t="shared" ca="1" si="6"/>
        <v/>
      </c>
      <c r="H70" s="40" t="str">
        <f ca="1">IF(COUNTIF($W$2:W1055,A70)=1,VLOOKUP(A70,S:T,2), IF(COUNTIF($W$2:W1055,A70)=0,$D$9,""))</f>
        <v/>
      </c>
      <c r="I70" s="41" t="str">
        <f ca="1">IF(COUNTIF($X$2:X1055,INT(A70))=1,VLOOKUP(INT(A70),X:Y,2), IF(ISERROR(H70-2),"",I69*(1-$D$8*(H70-H69)*0.0001)))</f>
        <v/>
      </c>
      <c r="J70" s="41" t="str">
        <f t="shared" ca="1" si="7"/>
        <v/>
      </c>
      <c r="K70" s="43" t="str">
        <f t="shared" ca="1" si="8"/>
        <v/>
      </c>
      <c r="L70" s="43"/>
      <c r="M70" s="44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1"/>
        <v>45875</v>
      </c>
    </row>
    <row r="71" spans="1:34" x14ac:dyDescent="0.25">
      <c r="A71" s="39" t="str">
        <f t="shared" ca="1" si="3"/>
        <v/>
      </c>
      <c r="B71" s="40" t="str">
        <f ca="1">IF(COUNTIF($W$2:W1056,A71)=1,VLOOKUP(A71,O:P,2), IF(COUNTIF($W$2:W1056,A71)=0,$B$9,""))</f>
        <v/>
      </c>
      <c r="C71" s="2" t="str">
        <f t="shared" ca="1" si="4"/>
        <v/>
      </c>
      <c r="D71" s="43"/>
      <c r="E71" s="40" t="str">
        <f ca="1">IF(COUNTIF($W$2:W1056,A71)=1,VLOOKUP(A71,Q:R,2), IF(COUNTIF($W$2:W1056,A71)=0,$C$9,""))</f>
        <v/>
      </c>
      <c r="F71" s="2" t="str">
        <f t="shared" ca="1" si="5"/>
        <v/>
      </c>
      <c r="G71" s="43" t="str">
        <f t="shared" ca="1" si="6"/>
        <v/>
      </c>
      <c r="H71" s="40" t="str">
        <f ca="1">IF(COUNTIF($W$2:W1056,A71)=1,VLOOKUP(A71,S:T,2), IF(COUNTIF($W$2:W1056,A71)=0,$D$9,""))</f>
        <v/>
      </c>
      <c r="I71" s="41" t="str">
        <f ca="1">IF(COUNTIF($X$2:X1056,INT(A71))=1,VLOOKUP(INT(A71),X:Y,2), IF(ISERROR(H71-2),"",I70*(1-$D$8*(H71-H70)*0.0001)))</f>
        <v/>
      </c>
      <c r="J71" s="41" t="str">
        <f t="shared" ca="1" si="7"/>
        <v/>
      </c>
      <c r="K71" s="43" t="str">
        <f t="shared" ca="1" si="8"/>
        <v/>
      </c>
      <c r="L71" s="43"/>
      <c r="M71" s="44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1"/>
        <v>45876</v>
      </c>
    </row>
    <row r="72" spans="1:34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/>
      <c r="E72" s="40" t="str">
        <f ca="1">IF(COUNTIF($W$2:W1057,A72)=1,VLOOKUP(A72,Q:R,2), IF(COUNTIF($W$2:W1057,A72)=0,$C$9,""))</f>
        <v/>
      </c>
      <c r="F72" s="2" t="str">
        <f t="shared" ca="1" si="5"/>
        <v/>
      </c>
      <c r="G72" s="43" t="str">
        <f t="shared" ca="1" si="6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7"/>
        <v/>
      </c>
      <c r="K72" s="43" t="str">
        <f t="shared" ca="1" si="8"/>
        <v/>
      </c>
      <c r="L72" s="43"/>
      <c r="M72" s="44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1"/>
        <v>45877</v>
      </c>
    </row>
    <row r="73" spans="1:34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/>
      <c r="E73" s="40" t="str">
        <f ca="1">IF(COUNTIF($W$2:W1058,A73)=1,VLOOKUP(A73,Q:R,2), IF(COUNTIF($W$2:W1058,A73)=0,$C$9,""))</f>
        <v/>
      </c>
      <c r="F73" s="2" t="str">
        <f t="shared" ca="1" si="5"/>
        <v/>
      </c>
      <c r="G73" s="43" t="str">
        <f t="shared" ca="1" si="6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7"/>
        <v/>
      </c>
      <c r="K73" s="43" t="str">
        <f t="shared" ca="1" si="8"/>
        <v/>
      </c>
      <c r="L73" s="43"/>
      <c r="M73" s="44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1"/>
        <v>45880</v>
      </c>
    </row>
    <row r="74" spans="1:34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/>
      <c r="E74" s="40" t="str">
        <f ca="1">IF(COUNTIF($W$2:W1059,A74)=1,VLOOKUP(A74,Q:R,2), IF(COUNTIF($W$2:W1059,A74)=0,$C$9,""))</f>
        <v/>
      </c>
      <c r="F74" s="2" t="str">
        <f t="shared" ca="1" si="5"/>
        <v/>
      </c>
      <c r="G74" s="43" t="str">
        <f t="shared" ca="1" si="6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7"/>
        <v/>
      </c>
      <c r="K74" s="43" t="str">
        <f t="shared" ca="1" si="8"/>
        <v/>
      </c>
      <c r="L74" s="43"/>
      <c r="M74" s="44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1"/>
        <v>45881</v>
      </c>
    </row>
    <row r="75" spans="1:34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/>
      <c r="E75" s="40" t="str">
        <f ca="1">IF(COUNTIF($W$2:W1060,A75)=1,VLOOKUP(A75,Q:R,2), IF(COUNTIF($W$2:W1060,A75)=0,$C$9,""))</f>
        <v/>
      </c>
      <c r="F75" s="2" t="str">
        <f t="shared" ca="1" si="5"/>
        <v/>
      </c>
      <c r="G75" s="43" t="str">
        <f t="shared" ca="1" si="6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7"/>
        <v/>
      </c>
      <c r="K75" s="43" t="str">
        <f t="shared" ca="1" si="8"/>
        <v/>
      </c>
      <c r="L75" s="43"/>
      <c r="M75" s="44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1"/>
        <v>45882</v>
      </c>
    </row>
    <row r="76" spans="1:34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/>
      <c r="E76" s="40" t="str">
        <f ca="1">IF(COUNTIF($W$2:W1061,A76)=1,VLOOKUP(A76,Q:R,2), IF(COUNTIF($W$2:W1061,A76)=0,$C$9,""))</f>
        <v/>
      </c>
      <c r="F76" s="2" t="str">
        <f t="shared" ca="1" si="5"/>
        <v/>
      </c>
      <c r="G76" s="43" t="str">
        <f t="shared" ca="1" si="6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7"/>
        <v/>
      </c>
      <c r="K76" s="43" t="str">
        <f t="shared" ca="1" si="8"/>
        <v/>
      </c>
      <c r="L76" s="43"/>
      <c r="M76" s="44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1"/>
        <v>45883</v>
      </c>
    </row>
    <row r="77" spans="1:34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/>
      <c r="E77" s="40" t="str">
        <f ca="1">IF(COUNTIF($W$2:W1062,A77)=1,VLOOKUP(A77,Q:R,2), IF(COUNTIF($W$2:W1062,A77)=0,$C$9,""))</f>
        <v/>
      </c>
      <c r="F77" s="2" t="str">
        <f t="shared" ca="1" si="5"/>
        <v/>
      </c>
      <c r="G77" s="43" t="str">
        <f t="shared" ca="1" si="6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7"/>
        <v/>
      </c>
      <c r="K77" s="43" t="str">
        <f t="shared" ca="1" si="8"/>
        <v/>
      </c>
      <c r="L77" s="43"/>
      <c r="M77" s="44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1"/>
        <v>45884</v>
      </c>
    </row>
    <row r="78" spans="1:34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/>
      <c r="E78" s="40" t="str">
        <f ca="1">IF(COUNTIF($W$2:W1063,A78)=1,VLOOKUP(A78,Q:R,2), IF(COUNTIF($W$2:W1063,A78)=0,$C$9,""))</f>
        <v/>
      </c>
      <c r="F78" s="2" t="str">
        <f t="shared" ca="1" si="5"/>
        <v/>
      </c>
      <c r="G78" s="43" t="str">
        <f t="shared" ca="1" si="6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7"/>
        <v/>
      </c>
      <c r="K78" s="43" t="str">
        <f t="shared" ca="1" si="8"/>
        <v/>
      </c>
      <c r="L78" s="43"/>
      <c r="M78" s="44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1"/>
        <v>45887</v>
      </c>
    </row>
    <row r="79" spans="1:34" x14ac:dyDescent="0.25">
      <c r="A79" s="39" t="str">
        <f t="shared" ref="A79:A142" ca="1" si="12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/>
      <c r="E79" s="40" t="str">
        <f ca="1">IF(COUNTIF($W$2:W1064,A79)=1,VLOOKUP(A79,Q:R,2), IF(COUNTIF($W$2:W1064,A79)=0,$C$9,""))</f>
        <v/>
      </c>
      <c r="F79" s="2" t="str">
        <f t="shared" ca="1" si="5"/>
        <v/>
      </c>
      <c r="G79" s="43" t="str">
        <f t="shared" ca="1" si="6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7"/>
        <v/>
      </c>
      <c r="K79" s="43" t="str">
        <f t="shared" ca="1" si="8"/>
        <v/>
      </c>
      <c r="L79" s="43"/>
      <c r="M79" s="44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1"/>
        <v>45888</v>
      </c>
    </row>
    <row r="80" spans="1:34" x14ac:dyDescent="0.25">
      <c r="A80" s="39" t="str">
        <f t="shared" ca="1" si="12"/>
        <v/>
      </c>
      <c r="B80" s="40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3"/>
      <c r="E80" s="40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3" t="str">
        <f t="shared" ref="G80:G143" ca="1" si="15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6">IF(ISERROR(H80-2),"",I80)</f>
        <v/>
      </c>
      <c r="K80" s="43" t="str">
        <f t="shared" ref="K80:K143" ca="1" si="17">IF(ISERROR(H80-2),"",(J80/$J$14-1)*$D$5)</f>
        <v/>
      </c>
      <c r="L80" s="43"/>
      <c r="M80" s="44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1"/>
        <v>45889</v>
      </c>
    </row>
    <row r="81" spans="1:30" x14ac:dyDescent="0.25">
      <c r="A81" s="39" t="str">
        <f t="shared" ca="1" si="12"/>
        <v/>
      </c>
      <c r="B81" s="40" t="str">
        <f ca="1">IF(COUNTIF($W$2:W1066,A81)=1,VLOOKUP(A81,O:P,2), IF(COUNTIF($W$2:W1066,A81)=0,$B$9,""))</f>
        <v/>
      </c>
      <c r="C81" s="2" t="str">
        <f t="shared" ca="1" si="13"/>
        <v/>
      </c>
      <c r="D81" s="43"/>
      <c r="E81" s="40" t="str">
        <f ca="1">IF(COUNTIF($W$2:W1066,A81)=1,VLOOKUP(A81,Q:R,2), IF(COUNTIF($W$2:W1066,A81)=0,$C$9,""))</f>
        <v/>
      </c>
      <c r="F81" s="2" t="str">
        <f t="shared" ca="1" si="14"/>
        <v/>
      </c>
      <c r="G81" s="43" t="str">
        <f t="shared" ca="1" si="15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6"/>
        <v/>
      </c>
      <c r="K81" s="43" t="str">
        <f t="shared" ca="1" si="17"/>
        <v/>
      </c>
      <c r="L81" s="43"/>
      <c r="M81" s="44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1"/>
        <v>45890</v>
      </c>
    </row>
    <row r="82" spans="1:30" x14ac:dyDescent="0.25">
      <c r="A82" s="39" t="str">
        <f t="shared" ca="1" si="12"/>
        <v/>
      </c>
      <c r="B82" s="40" t="str">
        <f ca="1">IF(COUNTIF($W$2:W1067,A82)=1,VLOOKUP(A82,O:P,2), IF(COUNTIF($W$2:W1067,A82)=0,$B$9,""))</f>
        <v/>
      </c>
      <c r="C82" s="2" t="str">
        <f t="shared" ca="1" si="13"/>
        <v/>
      </c>
      <c r="D82" s="43"/>
      <c r="E82" s="40" t="str">
        <f ca="1">IF(COUNTIF($W$2:W1067,A82)=1,VLOOKUP(A82,Q:R,2), IF(COUNTIF($W$2:W1067,A82)=0,$C$9,""))</f>
        <v/>
      </c>
      <c r="F82" s="2" t="str">
        <f t="shared" ca="1" si="14"/>
        <v/>
      </c>
      <c r="G82" s="43" t="str">
        <f t="shared" ca="1" si="15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6"/>
        <v/>
      </c>
      <c r="K82" s="43" t="str">
        <f t="shared" ca="1" si="17"/>
        <v/>
      </c>
      <c r="L82" s="43"/>
      <c r="M82" s="44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1"/>
        <v>45891</v>
      </c>
    </row>
    <row r="83" spans="1:30" x14ac:dyDescent="0.25">
      <c r="A83" s="39" t="str">
        <f t="shared" ca="1" si="12"/>
        <v/>
      </c>
      <c r="B83" s="40" t="str">
        <f ca="1">IF(COUNTIF($W$2:W1068,A83)=1,VLOOKUP(A83,O:P,2), IF(COUNTIF($W$2:W1068,A83)=0,$B$9,""))</f>
        <v/>
      </c>
      <c r="C83" s="2" t="str">
        <f t="shared" ca="1" si="13"/>
        <v/>
      </c>
      <c r="D83" s="43"/>
      <c r="E83" s="40" t="str">
        <f ca="1">IF(COUNTIF($W$2:W1068,A83)=1,VLOOKUP(A83,Q:R,2), IF(COUNTIF($W$2:W1068,A83)=0,$C$9,""))</f>
        <v/>
      </c>
      <c r="F83" s="2" t="str">
        <f t="shared" ca="1" si="14"/>
        <v/>
      </c>
      <c r="G83" s="43" t="str">
        <f t="shared" ca="1" si="15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6"/>
        <v/>
      </c>
      <c r="K83" s="43" t="str">
        <f t="shared" ca="1" si="17"/>
        <v/>
      </c>
      <c r="L83" s="43"/>
      <c r="M83" s="44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1"/>
        <v>45895</v>
      </c>
    </row>
    <row r="84" spans="1:30" x14ac:dyDescent="0.25">
      <c r="A84" s="39" t="str">
        <f t="shared" ca="1" si="12"/>
        <v/>
      </c>
      <c r="B84" s="40" t="str">
        <f ca="1">IF(COUNTIF($W$2:W1069,A84)=1,VLOOKUP(A84,O:P,2), IF(COUNTIF($W$2:W1069,A84)=0,$B$9,""))</f>
        <v/>
      </c>
      <c r="C84" s="2" t="str">
        <f t="shared" ca="1" si="13"/>
        <v/>
      </c>
      <c r="D84" s="43"/>
      <c r="E84" s="40" t="str">
        <f ca="1">IF(COUNTIF($W$2:W1069,A84)=1,VLOOKUP(A84,Q:R,2), IF(COUNTIF($W$2:W1069,A84)=0,$C$9,""))</f>
        <v/>
      </c>
      <c r="F84" s="2" t="str">
        <f t="shared" ca="1" si="14"/>
        <v/>
      </c>
      <c r="G84" s="43" t="str">
        <f t="shared" ca="1" si="15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6"/>
        <v/>
      </c>
      <c r="K84" s="43" t="str">
        <f t="shared" ca="1" si="17"/>
        <v/>
      </c>
      <c r="L84" s="43"/>
      <c r="M84" s="44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1"/>
        <v>45896</v>
      </c>
    </row>
    <row r="85" spans="1:30" x14ac:dyDescent="0.25">
      <c r="A85" s="39" t="str">
        <f t="shared" ca="1" si="12"/>
        <v/>
      </c>
      <c r="B85" s="40" t="str">
        <f ca="1">IF(COUNTIF($W$2:W1070,A85)=1,VLOOKUP(A85,O:P,2), IF(COUNTIF($W$2:W1070,A85)=0,$B$9,""))</f>
        <v/>
      </c>
      <c r="C85" s="2" t="str">
        <f t="shared" ca="1" si="13"/>
        <v/>
      </c>
      <c r="D85" s="43"/>
      <c r="E85" s="40" t="str">
        <f ca="1">IF(COUNTIF($W$2:W1070,A85)=1,VLOOKUP(A85,Q:R,2), IF(COUNTIF($W$2:W1070,A85)=0,$C$9,""))</f>
        <v/>
      </c>
      <c r="F85" s="2" t="str">
        <f t="shared" ca="1" si="14"/>
        <v/>
      </c>
      <c r="G85" s="43" t="str">
        <f t="shared" ca="1" si="15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6"/>
        <v/>
      </c>
      <c r="K85" s="43" t="str">
        <f t="shared" ca="1" si="17"/>
        <v/>
      </c>
      <c r="L85" s="43"/>
      <c r="M85" s="44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1"/>
        <v>45897</v>
      </c>
    </row>
    <row r="86" spans="1:30" x14ac:dyDescent="0.25">
      <c r="A86" s="39" t="str">
        <f t="shared" ca="1" si="12"/>
        <v/>
      </c>
      <c r="B86" s="40" t="str">
        <f ca="1">IF(COUNTIF($W$2:W1071,A86)=1,VLOOKUP(A86,O:P,2), IF(COUNTIF($W$2:W1071,A86)=0,$B$9,""))</f>
        <v/>
      </c>
      <c r="C86" s="2" t="str">
        <f t="shared" ca="1" si="13"/>
        <v/>
      </c>
      <c r="D86" s="43"/>
      <c r="E86" s="40" t="str">
        <f ca="1">IF(COUNTIF($W$2:W1071,A86)=1,VLOOKUP(A86,Q:R,2), IF(COUNTIF($W$2:W1071,A86)=0,$C$9,""))</f>
        <v/>
      </c>
      <c r="F86" s="2" t="str">
        <f t="shared" ca="1" si="14"/>
        <v/>
      </c>
      <c r="G86" s="43" t="str">
        <f t="shared" ca="1" si="15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6"/>
        <v/>
      </c>
      <c r="K86" s="43" t="str">
        <f t="shared" ca="1" si="17"/>
        <v/>
      </c>
      <c r="L86" s="43"/>
      <c r="M86" s="44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1"/>
        <v>45898</v>
      </c>
    </row>
    <row r="87" spans="1:30" x14ac:dyDescent="0.25">
      <c r="A87" s="39" t="str">
        <f t="shared" ca="1" si="12"/>
        <v/>
      </c>
      <c r="B87" s="40" t="str">
        <f ca="1">IF(COUNTIF($W$2:W1072,A87)=1,VLOOKUP(A87,O:P,2), IF(COUNTIF($W$2:W1072,A87)=0,$B$9,""))</f>
        <v/>
      </c>
      <c r="C87" s="2" t="str">
        <f t="shared" ca="1" si="13"/>
        <v/>
      </c>
      <c r="D87" s="43"/>
      <c r="E87" s="40" t="str">
        <f ca="1">IF(COUNTIF($W$2:W1072,A87)=1,VLOOKUP(A87,Q:R,2), IF(COUNTIF($W$2:W1072,A87)=0,$C$9,""))</f>
        <v/>
      </c>
      <c r="F87" s="2" t="str">
        <f t="shared" ca="1" si="14"/>
        <v/>
      </c>
      <c r="G87" s="43" t="str">
        <f t="shared" ca="1" si="15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6"/>
        <v/>
      </c>
      <c r="K87" s="43" t="str">
        <f t="shared" ca="1" si="17"/>
        <v/>
      </c>
      <c r="L87" s="43"/>
      <c r="M87" s="44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1"/>
        <v>45901</v>
      </c>
    </row>
    <row r="88" spans="1:30" x14ac:dyDescent="0.25">
      <c r="A88" s="39" t="str">
        <f t="shared" ca="1" si="12"/>
        <v/>
      </c>
      <c r="B88" s="40" t="str">
        <f ca="1">IF(COUNTIF($W$2:W1073,A88)=1,VLOOKUP(A88,O:P,2), IF(COUNTIF($W$2:W1073,A88)=0,$B$9,""))</f>
        <v/>
      </c>
      <c r="C88" s="2" t="str">
        <f t="shared" ca="1" si="13"/>
        <v/>
      </c>
      <c r="D88" s="43"/>
      <c r="E88" s="40" t="str">
        <f ca="1">IF(COUNTIF($W$2:W1073,A88)=1,VLOOKUP(A88,Q:R,2), IF(COUNTIF($W$2:W1073,A88)=0,$C$9,""))</f>
        <v/>
      </c>
      <c r="F88" s="2" t="str">
        <f t="shared" ca="1" si="14"/>
        <v/>
      </c>
      <c r="G88" s="43" t="str">
        <f t="shared" ca="1" si="15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6"/>
        <v/>
      </c>
      <c r="K88" s="43" t="str">
        <f t="shared" ca="1" si="17"/>
        <v/>
      </c>
      <c r="L88" s="43"/>
      <c r="M88" s="44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1"/>
        <v>45902</v>
      </c>
    </row>
    <row r="89" spans="1:30" x14ac:dyDescent="0.25">
      <c r="A89" s="39" t="str">
        <f t="shared" ca="1" si="12"/>
        <v/>
      </c>
      <c r="B89" s="40" t="str">
        <f ca="1">IF(COUNTIF($W$2:W1074,A89)=1,VLOOKUP(A89,O:P,2), IF(COUNTIF($W$2:W1074,A89)=0,$B$9,""))</f>
        <v/>
      </c>
      <c r="C89" s="2" t="str">
        <f t="shared" ca="1" si="13"/>
        <v/>
      </c>
      <c r="D89" s="43"/>
      <c r="E89" s="40" t="str">
        <f ca="1">IF(COUNTIF($W$2:W1074,A89)=1,VLOOKUP(A89,Q:R,2), IF(COUNTIF($W$2:W1074,A89)=0,$C$9,""))</f>
        <v/>
      </c>
      <c r="F89" s="2" t="str">
        <f t="shared" ca="1" si="14"/>
        <v/>
      </c>
      <c r="G89" s="43" t="str">
        <f t="shared" ca="1" si="15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6"/>
        <v/>
      </c>
      <c r="K89" s="43" t="str">
        <f t="shared" ca="1" si="17"/>
        <v/>
      </c>
      <c r="L89" s="43"/>
      <c r="M89" s="44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1"/>
        <v>45903</v>
      </c>
    </row>
    <row r="90" spans="1:30" x14ac:dyDescent="0.25">
      <c r="A90" s="39" t="str">
        <f t="shared" ca="1" si="12"/>
        <v/>
      </c>
      <c r="B90" s="40" t="str">
        <f ca="1">IF(COUNTIF($W$2:W1075,A90)=1,VLOOKUP(A90,O:P,2), IF(COUNTIF($W$2:W1075,A90)=0,$B$9,""))</f>
        <v/>
      </c>
      <c r="C90" s="2" t="str">
        <f t="shared" ca="1" si="13"/>
        <v/>
      </c>
      <c r="D90" s="43"/>
      <c r="E90" s="40" t="str">
        <f ca="1">IF(COUNTIF($W$2:W1075,A90)=1,VLOOKUP(A90,Q:R,2), IF(COUNTIF($W$2:W1075,A90)=0,$C$9,""))</f>
        <v/>
      </c>
      <c r="F90" s="2" t="str">
        <f t="shared" ca="1" si="14"/>
        <v/>
      </c>
      <c r="G90" s="43" t="str">
        <f t="shared" ca="1" si="15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6"/>
        <v/>
      </c>
      <c r="K90" s="43" t="str">
        <f t="shared" ca="1" si="17"/>
        <v/>
      </c>
      <c r="L90" s="43"/>
      <c r="M90" s="44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1"/>
        <v>45904</v>
      </c>
    </row>
    <row r="91" spans="1:30" x14ac:dyDescent="0.25">
      <c r="A91" s="39" t="str">
        <f t="shared" ca="1" si="12"/>
        <v/>
      </c>
      <c r="B91" s="40" t="str">
        <f ca="1">IF(COUNTIF($W$2:W1076,A91)=1,VLOOKUP(A91,O:P,2), IF(COUNTIF($W$2:W1076,A91)=0,$B$9,""))</f>
        <v/>
      </c>
      <c r="C91" s="2" t="str">
        <f t="shared" ca="1" si="13"/>
        <v/>
      </c>
      <c r="D91" s="43"/>
      <c r="E91" s="40" t="str">
        <f ca="1">IF(COUNTIF($W$2:W1076,A91)=1,VLOOKUP(A91,Q:R,2), IF(COUNTIF($W$2:W1076,A91)=0,$C$9,""))</f>
        <v/>
      </c>
      <c r="F91" s="2" t="str">
        <f t="shared" ca="1" si="14"/>
        <v/>
      </c>
      <c r="G91" s="43" t="str">
        <f t="shared" ca="1" si="15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6"/>
        <v/>
      </c>
      <c r="K91" s="43" t="str">
        <f t="shared" ca="1" si="17"/>
        <v/>
      </c>
      <c r="L91" s="43"/>
      <c r="M91" s="44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1"/>
        <v>45905</v>
      </c>
    </row>
    <row r="92" spans="1:30" x14ac:dyDescent="0.25">
      <c r="A92" s="39" t="str">
        <f t="shared" ca="1" si="12"/>
        <v/>
      </c>
      <c r="B92" s="40" t="str">
        <f ca="1">IF(COUNTIF($W$2:W1077,A92)=1,VLOOKUP(A92,O:P,2), IF(COUNTIF($W$2:W1077,A92)=0,$B$9,""))</f>
        <v/>
      </c>
      <c r="C92" s="2" t="str">
        <f t="shared" ca="1" si="13"/>
        <v/>
      </c>
      <c r="D92" s="43"/>
      <c r="E92" s="40" t="str">
        <f ca="1">IF(COUNTIF($W$2:W1077,A92)=1,VLOOKUP(A92,Q:R,2), IF(COUNTIF($W$2:W1077,A92)=0,$C$9,""))</f>
        <v/>
      </c>
      <c r="F92" s="2" t="str">
        <f t="shared" ca="1" si="14"/>
        <v/>
      </c>
      <c r="G92" s="43" t="str">
        <f t="shared" ca="1" si="15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6"/>
        <v/>
      </c>
      <c r="K92" s="43" t="str">
        <f t="shared" ca="1" si="17"/>
        <v/>
      </c>
      <c r="L92" s="43"/>
      <c r="M92" s="44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1"/>
        <v>45908</v>
      </c>
    </row>
    <row r="93" spans="1:30" x14ac:dyDescent="0.25">
      <c r="A93" s="39" t="str">
        <f t="shared" ca="1" si="12"/>
        <v/>
      </c>
      <c r="B93" s="40" t="str">
        <f ca="1">IF(COUNTIF($W$2:W1078,A93)=1,VLOOKUP(A93,O:P,2), IF(COUNTIF($W$2:W1078,A93)=0,$B$9,""))</f>
        <v/>
      </c>
      <c r="C93" s="2" t="str">
        <f t="shared" ca="1" si="13"/>
        <v/>
      </c>
      <c r="D93" s="43"/>
      <c r="E93" s="40" t="str">
        <f ca="1">IF(COUNTIF($W$2:W1078,A93)=1,VLOOKUP(A93,Q:R,2), IF(COUNTIF($W$2:W1078,A93)=0,$C$9,""))</f>
        <v/>
      </c>
      <c r="F93" s="2" t="str">
        <f t="shared" ca="1" si="14"/>
        <v/>
      </c>
      <c r="G93" s="43" t="str">
        <f t="shared" ca="1" si="15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6"/>
        <v/>
      </c>
      <c r="K93" s="43" t="str">
        <f t="shared" ca="1" si="17"/>
        <v/>
      </c>
      <c r="L93" s="43"/>
      <c r="M93" s="44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1"/>
        <v>45909</v>
      </c>
    </row>
    <row r="94" spans="1:30" x14ac:dyDescent="0.25">
      <c r="A94" s="39" t="str">
        <f t="shared" ca="1" si="12"/>
        <v/>
      </c>
      <c r="B94" s="40" t="str">
        <f ca="1">IF(COUNTIF($W$2:W1079,A94)=1,VLOOKUP(A94,O:P,2), IF(COUNTIF($W$2:W1079,A94)=0,$B$9,""))</f>
        <v/>
      </c>
      <c r="C94" s="2" t="str">
        <f t="shared" ca="1" si="13"/>
        <v/>
      </c>
      <c r="D94" s="43"/>
      <c r="E94" s="40" t="str">
        <f ca="1">IF(COUNTIF($W$2:W1079,A94)=1,VLOOKUP(A94,Q:R,2), IF(COUNTIF($W$2:W1079,A94)=0,$C$9,""))</f>
        <v/>
      </c>
      <c r="F94" s="2" t="str">
        <f t="shared" ca="1" si="14"/>
        <v/>
      </c>
      <c r="G94" s="43" t="str">
        <f t="shared" ca="1" si="15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6"/>
        <v/>
      </c>
      <c r="K94" s="43" t="str">
        <f t="shared" ca="1" si="17"/>
        <v/>
      </c>
      <c r="L94" s="43"/>
      <c r="M94" s="44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1"/>
        <v>45910</v>
      </c>
    </row>
    <row r="95" spans="1:30" x14ac:dyDescent="0.25">
      <c r="A95" s="39" t="str">
        <f t="shared" ca="1" si="12"/>
        <v/>
      </c>
      <c r="B95" s="40" t="str">
        <f ca="1">IF(COUNTIF($W$2:W1080,A95)=1,VLOOKUP(A95,O:P,2), IF(COUNTIF($W$2:W1080,A95)=0,$B$9,""))</f>
        <v/>
      </c>
      <c r="C95" s="2" t="str">
        <f t="shared" ca="1" si="13"/>
        <v/>
      </c>
      <c r="D95" s="43"/>
      <c r="E95" s="40" t="str">
        <f ca="1">IF(COUNTIF($W$2:W1080,A95)=1,VLOOKUP(A95,Q:R,2), IF(COUNTIF($W$2:W1080,A95)=0,$C$9,""))</f>
        <v/>
      </c>
      <c r="F95" s="2" t="str">
        <f t="shared" ca="1" si="14"/>
        <v/>
      </c>
      <c r="G95" s="43" t="str">
        <f t="shared" ca="1" si="15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6"/>
        <v/>
      </c>
      <c r="K95" s="43" t="str">
        <f t="shared" ca="1" si="17"/>
        <v/>
      </c>
      <c r="L95" s="43"/>
      <c r="M95" s="44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1"/>
        <v>45911</v>
      </c>
    </row>
    <row r="96" spans="1:30" x14ac:dyDescent="0.25">
      <c r="A96" s="39" t="str">
        <f t="shared" ca="1" si="12"/>
        <v/>
      </c>
      <c r="B96" s="40" t="str">
        <f ca="1">IF(COUNTIF($W$2:W1081,A96)=1,VLOOKUP(A96,O:P,2), IF(COUNTIF($W$2:W1081,A96)=0,$B$9,""))</f>
        <v/>
      </c>
      <c r="C96" s="2" t="str">
        <f t="shared" ca="1" si="13"/>
        <v/>
      </c>
      <c r="D96" s="43"/>
      <c r="E96" s="40" t="str">
        <f ca="1">IF(COUNTIF($W$2:W1081,A96)=1,VLOOKUP(A96,Q:R,2), IF(COUNTIF($W$2:W1081,A96)=0,$C$9,""))</f>
        <v/>
      </c>
      <c r="F96" s="2" t="str">
        <f t="shared" ca="1" si="14"/>
        <v/>
      </c>
      <c r="G96" s="43" t="str">
        <f t="shared" ca="1" si="15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6"/>
        <v/>
      </c>
      <c r="K96" s="43" t="str">
        <f t="shared" ca="1" si="17"/>
        <v/>
      </c>
      <c r="L96" s="43"/>
      <c r="M96" s="44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1"/>
        <v>45912</v>
      </c>
    </row>
    <row r="97" spans="1:30" x14ac:dyDescent="0.25">
      <c r="A97" s="39" t="str">
        <f t="shared" ca="1" si="12"/>
        <v/>
      </c>
      <c r="B97" s="40" t="str">
        <f ca="1">IF(COUNTIF($W$2:W1082,A97)=1,VLOOKUP(A97,O:P,2), IF(COUNTIF($W$2:W1082,A97)=0,$B$9,""))</f>
        <v/>
      </c>
      <c r="C97" s="2" t="str">
        <f t="shared" ca="1" si="13"/>
        <v/>
      </c>
      <c r="D97" s="43"/>
      <c r="E97" s="40" t="str">
        <f ca="1">IF(COUNTIF($W$2:W1082,A97)=1,VLOOKUP(A97,Q:R,2), IF(COUNTIF($W$2:W1082,A97)=0,$C$9,""))</f>
        <v/>
      </c>
      <c r="F97" s="2" t="str">
        <f t="shared" ca="1" si="14"/>
        <v/>
      </c>
      <c r="G97" s="43" t="str">
        <f t="shared" ca="1" si="15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6"/>
        <v/>
      </c>
      <c r="K97" s="43" t="str">
        <f t="shared" ca="1" si="17"/>
        <v/>
      </c>
      <c r="L97" s="43"/>
      <c r="M97" s="44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1"/>
        <v>45915</v>
      </c>
    </row>
    <row r="98" spans="1:30" x14ac:dyDescent="0.25">
      <c r="A98" s="39" t="str">
        <f t="shared" ca="1" si="12"/>
        <v/>
      </c>
      <c r="B98" s="40" t="str">
        <f ca="1">IF(COUNTIF($W$2:W1083,A98)=1,VLOOKUP(A98,O:P,2), IF(COUNTIF($W$2:W1083,A98)=0,$B$9,""))</f>
        <v/>
      </c>
      <c r="C98" s="2" t="str">
        <f t="shared" ca="1" si="13"/>
        <v/>
      </c>
      <c r="D98" s="43"/>
      <c r="E98" s="40" t="str">
        <f ca="1">IF(COUNTIF($W$2:W1083,A98)=1,VLOOKUP(A98,Q:R,2), IF(COUNTIF($W$2:W1083,A98)=0,$C$9,""))</f>
        <v/>
      </c>
      <c r="F98" s="2" t="str">
        <f t="shared" ca="1" si="14"/>
        <v/>
      </c>
      <c r="G98" s="43" t="str">
        <f t="shared" ca="1" si="15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6"/>
        <v/>
      </c>
      <c r="K98" s="43" t="str">
        <f t="shared" ca="1" si="17"/>
        <v/>
      </c>
      <c r="L98" s="43"/>
      <c r="M98" s="44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1"/>
        <v>45916</v>
      </c>
    </row>
    <row r="99" spans="1:30" x14ac:dyDescent="0.25">
      <c r="A99" s="39" t="str">
        <f t="shared" ca="1" si="12"/>
        <v/>
      </c>
      <c r="B99" s="40" t="str">
        <f ca="1">IF(COUNTIF($W$2:W1084,A99)=1,VLOOKUP(A99,O:P,2), IF(COUNTIF($W$2:W1084,A99)=0,$B$9,""))</f>
        <v/>
      </c>
      <c r="C99" s="2" t="str">
        <f t="shared" ca="1" si="13"/>
        <v/>
      </c>
      <c r="D99" s="43"/>
      <c r="E99" s="40" t="str">
        <f ca="1">IF(COUNTIF($W$2:W1084,A99)=1,VLOOKUP(A99,Q:R,2), IF(COUNTIF($W$2:W1084,A99)=0,$C$9,""))</f>
        <v/>
      </c>
      <c r="F99" s="2" t="str">
        <f t="shared" ca="1" si="14"/>
        <v/>
      </c>
      <c r="G99" s="43" t="str">
        <f t="shared" ca="1" si="15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6"/>
        <v/>
      </c>
      <c r="K99" s="43" t="str">
        <f t="shared" ca="1" si="17"/>
        <v/>
      </c>
      <c r="L99" s="43"/>
      <c r="M99" s="44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9" t="str">
        <f t="shared" ca="1" si="12"/>
        <v/>
      </c>
      <c r="B100" s="40" t="str">
        <f ca="1">IF(COUNTIF($W$2:W1085,A100)=1,VLOOKUP(A100,O:P,2), IF(COUNTIF($W$2:W1085,A100)=0,$B$9,""))</f>
        <v/>
      </c>
      <c r="C100" s="2" t="str">
        <f t="shared" ca="1" si="13"/>
        <v/>
      </c>
      <c r="D100" s="43"/>
      <c r="E100" s="40" t="str">
        <f ca="1">IF(COUNTIF($W$2:W1085,A100)=1,VLOOKUP(A100,Q:R,2), IF(COUNTIF($W$2:W1085,A100)=0,$C$9,""))</f>
        <v/>
      </c>
      <c r="F100" s="2" t="str">
        <f t="shared" ca="1" si="14"/>
        <v/>
      </c>
      <c r="G100" s="43" t="str">
        <f t="shared" ca="1" si="15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6"/>
        <v/>
      </c>
      <c r="K100" s="43" t="str">
        <f t="shared" ca="1" si="17"/>
        <v/>
      </c>
      <c r="L100" s="43"/>
      <c r="M100" s="44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9" t="str">
        <f t="shared" ca="1" si="12"/>
        <v/>
      </c>
      <c r="B101" s="40" t="str">
        <f ca="1">IF(COUNTIF($W$2:W1086,A101)=1,VLOOKUP(A101,O:P,2), IF(COUNTIF($W$2:W1086,A101)=0,$B$9,""))</f>
        <v/>
      </c>
      <c r="C101" s="2" t="str">
        <f t="shared" ca="1" si="13"/>
        <v/>
      </c>
      <c r="D101" s="43"/>
      <c r="E101" s="40" t="str">
        <f ca="1">IF(COUNTIF($W$2:W1086,A101)=1,VLOOKUP(A101,Q:R,2), IF(COUNTIF($W$2:W1086,A101)=0,$C$9,""))</f>
        <v/>
      </c>
      <c r="F101" s="2" t="str">
        <f t="shared" ca="1" si="14"/>
        <v/>
      </c>
      <c r="G101" s="43" t="str">
        <f t="shared" ca="1" si="15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6"/>
        <v/>
      </c>
      <c r="K101" s="43" t="str">
        <f t="shared" ca="1" si="17"/>
        <v/>
      </c>
      <c r="L101" s="43"/>
      <c r="M101" s="44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1"/>
        <v>45919</v>
      </c>
    </row>
    <row r="102" spans="1:30" x14ac:dyDescent="0.25">
      <c r="A102" s="39" t="str">
        <f t="shared" ca="1" si="12"/>
        <v/>
      </c>
      <c r="B102" s="40" t="str">
        <f ca="1">IF(COUNTIF($W$2:W1087,A102)=1,VLOOKUP(A102,O:P,2), IF(COUNTIF($W$2:W1087,A102)=0,$B$9,""))</f>
        <v/>
      </c>
      <c r="C102" s="2" t="str">
        <f t="shared" ca="1" si="13"/>
        <v/>
      </c>
      <c r="D102" s="43"/>
      <c r="E102" s="40" t="str">
        <f ca="1">IF(COUNTIF($W$2:W1087,A102)=1,VLOOKUP(A102,Q:R,2), IF(COUNTIF($W$2:W1087,A102)=0,$C$9,""))</f>
        <v/>
      </c>
      <c r="F102" s="2" t="str">
        <f t="shared" ca="1" si="14"/>
        <v/>
      </c>
      <c r="G102" s="43" t="str">
        <f t="shared" ca="1" si="15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6"/>
        <v/>
      </c>
      <c r="K102" s="43" t="str">
        <f t="shared" ca="1" si="17"/>
        <v/>
      </c>
      <c r="L102" s="43"/>
      <c r="M102" s="44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9" t="str">
        <f t="shared" ca="1" si="12"/>
        <v/>
      </c>
      <c r="B103" s="40" t="str">
        <f ca="1">IF(COUNTIF($W$2:W1088,A103)=1,VLOOKUP(A103,O:P,2), IF(COUNTIF($W$2:W1088,A103)=0,$B$9,""))</f>
        <v/>
      </c>
      <c r="C103" s="2" t="str">
        <f t="shared" ca="1" si="13"/>
        <v/>
      </c>
      <c r="D103" s="43"/>
      <c r="E103" s="40" t="str">
        <f ca="1">IF(COUNTIF($W$2:W1088,A103)=1,VLOOKUP(A103,Q:R,2), IF(COUNTIF($W$2:W1088,A103)=0,$C$9,""))</f>
        <v/>
      </c>
      <c r="F103" s="2" t="str">
        <f t="shared" ca="1" si="14"/>
        <v/>
      </c>
      <c r="G103" s="43" t="str">
        <f t="shared" ca="1" si="15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6"/>
        <v/>
      </c>
      <c r="K103" s="43" t="str">
        <f t="shared" ca="1" si="17"/>
        <v/>
      </c>
      <c r="L103" s="43"/>
      <c r="M103" s="44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1"/>
        <v>45923</v>
      </c>
    </row>
    <row r="104" spans="1:30" x14ac:dyDescent="0.25">
      <c r="A104" s="39" t="str">
        <f t="shared" ca="1" si="12"/>
        <v/>
      </c>
      <c r="B104" s="40" t="str">
        <f ca="1">IF(COUNTIF($W$2:W1089,A104)=1,VLOOKUP(A104,O:P,2), IF(COUNTIF($W$2:W1089,A104)=0,$B$9,""))</f>
        <v/>
      </c>
      <c r="C104" s="2" t="str">
        <f t="shared" ca="1" si="13"/>
        <v/>
      </c>
      <c r="D104" s="43"/>
      <c r="E104" s="40" t="str">
        <f ca="1">IF(COUNTIF($W$2:W1089,A104)=1,VLOOKUP(A104,Q:R,2), IF(COUNTIF($W$2:W1089,A104)=0,$C$9,""))</f>
        <v/>
      </c>
      <c r="F104" s="2" t="str">
        <f t="shared" ca="1" si="14"/>
        <v/>
      </c>
      <c r="G104" s="43" t="str">
        <f t="shared" ca="1" si="15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6"/>
        <v/>
      </c>
      <c r="K104" s="43" t="str">
        <f t="shared" ca="1" si="17"/>
        <v/>
      </c>
      <c r="L104" s="43"/>
      <c r="M104" s="44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1"/>
        <v>45924</v>
      </c>
    </row>
    <row r="105" spans="1:30" x14ac:dyDescent="0.25">
      <c r="A105" s="39" t="str">
        <f t="shared" ca="1" si="12"/>
        <v/>
      </c>
      <c r="B105" s="40" t="str">
        <f ca="1">IF(COUNTIF($W$2:W1090,A105)=1,VLOOKUP(A105,O:P,2), IF(COUNTIF($W$2:W1090,A105)=0,$B$9,""))</f>
        <v/>
      </c>
      <c r="C105" s="2" t="str">
        <f t="shared" ca="1" si="13"/>
        <v/>
      </c>
      <c r="D105" s="43"/>
      <c r="E105" s="40" t="str">
        <f ca="1">IF(COUNTIF($W$2:W1090,A105)=1,VLOOKUP(A105,Q:R,2), IF(COUNTIF($W$2:W1090,A105)=0,$C$9,""))</f>
        <v/>
      </c>
      <c r="F105" s="2" t="str">
        <f t="shared" ca="1" si="14"/>
        <v/>
      </c>
      <c r="G105" s="43" t="str">
        <f t="shared" ca="1" si="15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6"/>
        <v/>
      </c>
      <c r="K105" s="43" t="str">
        <f t="shared" ca="1" si="17"/>
        <v/>
      </c>
      <c r="L105" s="43"/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9" t="str">
        <f t="shared" ca="1" si="12"/>
        <v/>
      </c>
      <c r="B106" s="40" t="str">
        <f ca="1">IF(COUNTIF($W$2:W1091,A106)=1,VLOOKUP(A106,O:P,2), IF(COUNTIF($W$2:W1091,A106)=0,$B$9,""))</f>
        <v/>
      </c>
      <c r="C106" s="2" t="str">
        <f t="shared" ca="1" si="13"/>
        <v/>
      </c>
      <c r="D106" s="43"/>
      <c r="E106" s="40" t="str">
        <f ca="1">IF(COUNTIF($W$2:W1091,A106)=1,VLOOKUP(A106,Q:R,2), IF(COUNTIF($W$2:W1091,A106)=0,$C$9,""))</f>
        <v/>
      </c>
      <c r="F106" s="2" t="str">
        <f t="shared" ca="1" si="14"/>
        <v/>
      </c>
      <c r="G106" s="43" t="str">
        <f t="shared" ca="1" si="15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6"/>
        <v/>
      </c>
      <c r="K106" s="43" t="str">
        <f t="shared" ca="1" si="17"/>
        <v/>
      </c>
      <c r="L106" s="43"/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9" t="str">
        <f t="shared" ca="1" si="12"/>
        <v/>
      </c>
      <c r="B107" s="40" t="str">
        <f ca="1">IF(COUNTIF($W$2:W1092,A107)=1,VLOOKUP(A107,O:P,2), IF(COUNTIF($W$2:W1092,A107)=0,$B$9,""))</f>
        <v/>
      </c>
      <c r="C107" s="2" t="str">
        <f t="shared" ca="1" si="13"/>
        <v/>
      </c>
      <c r="D107" s="43"/>
      <c r="E107" s="40" t="str">
        <f ca="1">IF(COUNTIF($W$2:W1092,A107)=1,VLOOKUP(A107,Q:R,2), IF(COUNTIF($W$2:W1092,A107)=0,$C$9,""))</f>
        <v/>
      </c>
      <c r="F107" s="2" t="str">
        <f t="shared" ca="1" si="14"/>
        <v/>
      </c>
      <c r="G107" s="43" t="str">
        <f t="shared" ca="1" si="15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6"/>
        <v/>
      </c>
      <c r="K107" s="43" t="str">
        <f t="shared" ca="1" si="17"/>
        <v/>
      </c>
      <c r="L107" s="43"/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9" t="str">
        <f t="shared" ca="1" si="12"/>
        <v/>
      </c>
      <c r="B108" s="40" t="str">
        <f ca="1">IF(COUNTIF($W$2:W1093,A108)=1,VLOOKUP(A108,O:P,2), IF(COUNTIF($W$2:W1093,A108)=0,$B$9,""))</f>
        <v/>
      </c>
      <c r="C108" s="2" t="str">
        <f t="shared" ca="1" si="13"/>
        <v/>
      </c>
      <c r="D108" s="43"/>
      <c r="E108" s="40" t="str">
        <f ca="1">IF(COUNTIF($W$2:W1093,A108)=1,VLOOKUP(A108,Q:R,2), IF(COUNTIF($W$2:W1093,A108)=0,$C$9,""))</f>
        <v/>
      </c>
      <c r="F108" s="2" t="str">
        <f t="shared" ca="1" si="14"/>
        <v/>
      </c>
      <c r="G108" s="43" t="str">
        <f t="shared" ca="1" si="15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6"/>
        <v/>
      </c>
      <c r="K108" s="43" t="str">
        <f t="shared" ca="1" si="17"/>
        <v/>
      </c>
      <c r="L108" s="43"/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9" t="str">
        <f t="shared" ca="1" si="12"/>
        <v/>
      </c>
      <c r="B109" s="40" t="str">
        <f ca="1">IF(COUNTIF($W$2:W1094,A109)=1,VLOOKUP(A109,O:P,2), IF(COUNTIF($W$2:W1094,A109)=0,$B$9,""))</f>
        <v/>
      </c>
      <c r="C109" s="2" t="str">
        <f t="shared" ca="1" si="13"/>
        <v/>
      </c>
      <c r="D109" s="43"/>
      <c r="E109" s="40" t="str">
        <f ca="1">IF(COUNTIF($W$2:W1094,A109)=1,VLOOKUP(A109,Q:R,2), IF(COUNTIF($W$2:W1094,A109)=0,$C$9,""))</f>
        <v/>
      </c>
      <c r="F109" s="2" t="str">
        <f t="shared" ca="1" si="14"/>
        <v/>
      </c>
      <c r="G109" s="43" t="str">
        <f t="shared" ca="1" si="15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6"/>
        <v/>
      </c>
      <c r="K109" s="43" t="str">
        <f t="shared" ca="1" si="17"/>
        <v/>
      </c>
      <c r="L109" s="43"/>
      <c r="M109" s="44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1"/>
        <v>45931</v>
      </c>
    </row>
    <row r="110" spans="1:30" x14ac:dyDescent="0.25">
      <c r="A110" s="39" t="str">
        <f t="shared" ca="1" si="12"/>
        <v/>
      </c>
      <c r="B110" s="40" t="str">
        <f ca="1">IF(COUNTIF($W$2:W1095,A110)=1,VLOOKUP(A110,O:P,2), IF(COUNTIF($W$2:W1095,A110)=0,$B$9,""))</f>
        <v/>
      </c>
      <c r="C110" s="2" t="str">
        <f t="shared" ca="1" si="13"/>
        <v/>
      </c>
      <c r="D110" s="43"/>
      <c r="E110" s="40" t="str">
        <f ca="1">IF(COUNTIF($W$2:W1095,A110)=1,VLOOKUP(A110,Q:R,2), IF(COUNTIF($W$2:W1095,A110)=0,$C$9,""))</f>
        <v/>
      </c>
      <c r="F110" s="2" t="str">
        <f t="shared" ca="1" si="14"/>
        <v/>
      </c>
      <c r="G110" s="43" t="str">
        <f t="shared" ca="1" si="15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6"/>
        <v/>
      </c>
      <c r="K110" s="43" t="str">
        <f t="shared" ca="1" si="17"/>
        <v/>
      </c>
      <c r="L110" s="43"/>
      <c r="M110" s="44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9" t="str">
        <f t="shared" ca="1" si="12"/>
        <v/>
      </c>
      <c r="B111" s="40" t="str">
        <f ca="1">IF(COUNTIF($W$2:W1096,A111)=1,VLOOKUP(A111,O:P,2), IF(COUNTIF($W$2:W1096,A111)=0,$B$9,""))</f>
        <v/>
      </c>
      <c r="C111" s="2" t="str">
        <f t="shared" ca="1" si="13"/>
        <v/>
      </c>
      <c r="D111" s="43"/>
      <c r="E111" s="40" t="str">
        <f ca="1">IF(COUNTIF($W$2:W1096,A111)=1,VLOOKUP(A111,Q:R,2), IF(COUNTIF($W$2:W1096,A111)=0,$C$9,""))</f>
        <v/>
      </c>
      <c r="F111" s="2" t="str">
        <f t="shared" ca="1" si="14"/>
        <v/>
      </c>
      <c r="G111" s="43" t="str">
        <f t="shared" ca="1" si="15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6"/>
        <v/>
      </c>
      <c r="K111" s="43" t="str">
        <f t="shared" ca="1" si="17"/>
        <v/>
      </c>
      <c r="L111" s="43"/>
      <c r="M111" s="44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1"/>
        <v>45933</v>
      </c>
    </row>
    <row r="112" spans="1:30" x14ac:dyDescent="0.25">
      <c r="A112" s="39" t="str">
        <f t="shared" ca="1" si="12"/>
        <v/>
      </c>
      <c r="B112" s="40" t="str">
        <f ca="1">IF(COUNTIF($W$2:W1097,A112)=1,VLOOKUP(A112,O:P,2), IF(COUNTIF($W$2:W1097,A112)=0,$B$9,""))</f>
        <v/>
      </c>
      <c r="C112" s="2" t="str">
        <f t="shared" ca="1" si="13"/>
        <v/>
      </c>
      <c r="D112" s="43"/>
      <c r="E112" s="40" t="str">
        <f ca="1">IF(COUNTIF($W$2:W1097,A112)=1,VLOOKUP(A112,Q:R,2), IF(COUNTIF($W$2:W1097,A112)=0,$C$9,""))</f>
        <v/>
      </c>
      <c r="F112" s="2" t="str">
        <f t="shared" ca="1" si="14"/>
        <v/>
      </c>
      <c r="G112" s="43" t="str">
        <f t="shared" ca="1" si="15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6"/>
        <v/>
      </c>
      <c r="K112" s="43" t="str">
        <f t="shared" ca="1" si="17"/>
        <v/>
      </c>
      <c r="L112" s="43"/>
      <c r="M112" s="44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1"/>
        <v>45936</v>
      </c>
    </row>
    <row r="113" spans="1:30" x14ac:dyDescent="0.25">
      <c r="A113" s="39" t="str">
        <f t="shared" ca="1" si="12"/>
        <v/>
      </c>
      <c r="B113" s="40" t="str">
        <f ca="1">IF(COUNTIF($W$2:W1098,A113)=1,VLOOKUP(A113,O:P,2), IF(COUNTIF($W$2:W1098,A113)=0,$B$9,""))</f>
        <v/>
      </c>
      <c r="C113" s="2" t="str">
        <f t="shared" ca="1" si="13"/>
        <v/>
      </c>
      <c r="D113" s="43"/>
      <c r="E113" s="40" t="str">
        <f ca="1">IF(COUNTIF($W$2:W1098,A113)=1,VLOOKUP(A113,Q:R,2), IF(COUNTIF($W$2:W1098,A113)=0,$C$9,""))</f>
        <v/>
      </c>
      <c r="F113" s="2" t="str">
        <f t="shared" ca="1" si="14"/>
        <v/>
      </c>
      <c r="G113" s="43" t="str">
        <f t="shared" ca="1" si="15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6"/>
        <v/>
      </c>
      <c r="K113" s="43" t="str">
        <f t="shared" ca="1" si="17"/>
        <v/>
      </c>
      <c r="L113" s="43"/>
      <c r="M113" s="44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9" t="str">
        <f t="shared" ca="1" si="12"/>
        <v/>
      </c>
      <c r="B114" s="40" t="str">
        <f ca="1">IF(COUNTIF($W$2:W1099,A114)=1,VLOOKUP(A114,O:P,2), IF(COUNTIF($W$2:W1099,A114)=0,$B$9,""))</f>
        <v/>
      </c>
      <c r="C114" s="2" t="str">
        <f t="shared" ca="1" si="13"/>
        <v/>
      </c>
      <c r="D114" s="43"/>
      <c r="E114" s="40" t="str">
        <f ca="1">IF(COUNTIF($W$2:W1099,A114)=1,VLOOKUP(A114,Q:R,2), IF(COUNTIF($W$2:W1099,A114)=0,$C$9,""))</f>
        <v/>
      </c>
      <c r="F114" s="2" t="str">
        <f t="shared" ca="1" si="14"/>
        <v/>
      </c>
      <c r="G114" s="43" t="str">
        <f t="shared" ca="1" si="15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6"/>
        <v/>
      </c>
      <c r="K114" s="43" t="str">
        <f t="shared" ca="1" si="17"/>
        <v/>
      </c>
      <c r="L114" s="43"/>
      <c r="M114" s="44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9" t="str">
        <f t="shared" ca="1" si="12"/>
        <v/>
      </c>
      <c r="B115" s="40" t="str">
        <f ca="1">IF(COUNTIF($W$2:W1100,A115)=1,VLOOKUP(A115,O:P,2), IF(COUNTIF($W$2:W1100,A115)=0,$B$9,""))</f>
        <v/>
      </c>
      <c r="C115" s="2" t="str">
        <f t="shared" ca="1" si="13"/>
        <v/>
      </c>
      <c r="D115" s="43"/>
      <c r="E115" s="40" t="str">
        <f ca="1">IF(COUNTIF($W$2:W1100,A115)=1,VLOOKUP(A115,Q:R,2), IF(COUNTIF($W$2:W1100,A115)=0,$C$9,""))</f>
        <v/>
      </c>
      <c r="F115" s="2" t="str">
        <f t="shared" ca="1" si="14"/>
        <v/>
      </c>
      <c r="G115" s="43" t="str">
        <f t="shared" ca="1" si="15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6"/>
        <v/>
      </c>
      <c r="K115" s="43" t="str">
        <f t="shared" ca="1" si="17"/>
        <v/>
      </c>
      <c r="L115" s="43"/>
      <c r="M115" s="44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9" t="str">
        <f t="shared" ca="1" si="12"/>
        <v/>
      </c>
      <c r="B116" s="40" t="str">
        <f ca="1">IF(COUNTIF($W$2:W1101,A116)=1,VLOOKUP(A116,O:P,2), IF(COUNTIF($W$2:W1101,A116)=0,$B$9,""))</f>
        <v/>
      </c>
      <c r="C116" s="2" t="str">
        <f t="shared" ca="1" si="13"/>
        <v/>
      </c>
      <c r="D116" s="43"/>
      <c r="E116" s="40" t="str">
        <f ca="1">IF(COUNTIF($W$2:W1101,A116)=1,VLOOKUP(A116,Q:R,2), IF(COUNTIF($W$2:W1101,A116)=0,$C$9,""))</f>
        <v/>
      </c>
      <c r="F116" s="2" t="str">
        <f t="shared" ca="1" si="14"/>
        <v/>
      </c>
      <c r="G116" s="43" t="str">
        <f t="shared" ca="1" si="15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6"/>
        <v/>
      </c>
      <c r="K116" s="43" t="str">
        <f t="shared" ca="1" si="17"/>
        <v/>
      </c>
      <c r="L116" s="43"/>
      <c r="M116" s="44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9" t="str">
        <f t="shared" ca="1" si="12"/>
        <v/>
      </c>
      <c r="B117" s="40" t="str">
        <f ca="1">IF(COUNTIF($W$2:W1102,A117)=1,VLOOKUP(A117,O:P,2), IF(COUNTIF($W$2:W1102,A117)=0,$B$9,""))</f>
        <v/>
      </c>
      <c r="C117" s="2" t="str">
        <f t="shared" ca="1" si="13"/>
        <v/>
      </c>
      <c r="D117" s="43"/>
      <c r="E117" s="40" t="str">
        <f ca="1">IF(COUNTIF($W$2:W1102,A117)=1,VLOOKUP(A117,Q:R,2), IF(COUNTIF($W$2:W1102,A117)=0,$C$9,""))</f>
        <v/>
      </c>
      <c r="F117" s="2" t="str">
        <f t="shared" ca="1" si="14"/>
        <v/>
      </c>
      <c r="G117" s="43" t="str">
        <f t="shared" ca="1" si="15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6"/>
        <v/>
      </c>
      <c r="K117" s="43" t="str">
        <f t="shared" ca="1" si="17"/>
        <v/>
      </c>
      <c r="L117" s="43"/>
      <c r="M117" s="44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9" t="str">
        <f t="shared" ca="1" si="12"/>
        <v/>
      </c>
      <c r="B118" s="40" t="str">
        <f ca="1">IF(COUNTIF($W$2:W1103,A118)=1,VLOOKUP(A118,O:P,2), IF(COUNTIF($W$2:W1103,A118)=0,$B$9,""))</f>
        <v/>
      </c>
      <c r="C118" s="2" t="str">
        <f t="shared" ca="1" si="13"/>
        <v/>
      </c>
      <c r="D118" s="43"/>
      <c r="E118" s="40" t="str">
        <f ca="1">IF(COUNTIF($W$2:W1103,A118)=1,VLOOKUP(A118,Q:R,2), IF(COUNTIF($W$2:W1103,A118)=0,$C$9,""))</f>
        <v/>
      </c>
      <c r="F118" s="2" t="str">
        <f t="shared" ca="1" si="14"/>
        <v/>
      </c>
      <c r="G118" s="43" t="str">
        <f t="shared" ca="1" si="15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6"/>
        <v/>
      </c>
      <c r="K118" s="43" t="str">
        <f t="shared" ca="1" si="17"/>
        <v/>
      </c>
      <c r="L118" s="43"/>
      <c r="M118" s="44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9" t="str">
        <f t="shared" ca="1" si="12"/>
        <v/>
      </c>
      <c r="B119" s="40" t="str">
        <f ca="1">IF(COUNTIF($W$2:W1104,A119)=1,VLOOKUP(A119,O:P,2), IF(COUNTIF($W$2:W1104,A119)=0,$B$9,""))</f>
        <v/>
      </c>
      <c r="C119" s="2" t="str">
        <f t="shared" ca="1" si="13"/>
        <v/>
      </c>
      <c r="D119" s="43"/>
      <c r="E119" s="40" t="str">
        <f ca="1">IF(COUNTIF($W$2:W1104,A119)=1,VLOOKUP(A119,Q:R,2), IF(COUNTIF($W$2:W1104,A119)=0,$C$9,""))</f>
        <v/>
      </c>
      <c r="F119" s="2" t="str">
        <f t="shared" ca="1" si="14"/>
        <v/>
      </c>
      <c r="G119" s="43" t="str">
        <f t="shared" ca="1" si="15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6"/>
        <v/>
      </c>
      <c r="K119" s="43" t="str">
        <f t="shared" ca="1" si="17"/>
        <v/>
      </c>
      <c r="L119" s="43"/>
      <c r="M119" s="44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9" t="str">
        <f t="shared" ca="1" si="12"/>
        <v/>
      </c>
      <c r="B120" s="40" t="str">
        <f ca="1">IF(COUNTIF($W$2:W1105,A120)=1,VLOOKUP(A120,O:P,2), IF(COUNTIF($W$2:W1105,A120)=0,$B$9,""))</f>
        <v/>
      </c>
      <c r="C120" s="2" t="str">
        <f t="shared" ca="1" si="13"/>
        <v/>
      </c>
      <c r="D120" s="43"/>
      <c r="E120" s="40" t="str">
        <f ca="1">IF(COUNTIF($W$2:W1105,A120)=1,VLOOKUP(A120,Q:R,2), IF(COUNTIF($W$2:W1105,A120)=0,$C$9,""))</f>
        <v/>
      </c>
      <c r="F120" s="2" t="str">
        <f t="shared" ca="1" si="14"/>
        <v/>
      </c>
      <c r="G120" s="43" t="str">
        <f t="shared" ca="1" si="15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6"/>
        <v/>
      </c>
      <c r="K120" s="43" t="str">
        <f t="shared" ca="1" si="17"/>
        <v/>
      </c>
      <c r="L120" s="43"/>
      <c r="M120" s="44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9" t="str">
        <f t="shared" ca="1" si="12"/>
        <v/>
      </c>
      <c r="B121" s="40" t="str">
        <f ca="1">IF(COUNTIF($W$2:W1106,A121)=1,VLOOKUP(A121,O:P,2), IF(COUNTIF($W$2:W1106,A121)=0,$B$9,""))</f>
        <v/>
      </c>
      <c r="C121" s="2" t="str">
        <f t="shared" ca="1" si="13"/>
        <v/>
      </c>
      <c r="D121" s="43"/>
      <c r="E121" s="40" t="str">
        <f ca="1">IF(COUNTIF($W$2:W1106,A121)=1,VLOOKUP(A121,Q:R,2), IF(COUNTIF($W$2:W1106,A121)=0,$C$9,""))</f>
        <v/>
      </c>
      <c r="F121" s="2" t="str">
        <f t="shared" ca="1" si="14"/>
        <v/>
      </c>
      <c r="G121" s="43" t="str">
        <f t="shared" ca="1" si="15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6"/>
        <v/>
      </c>
      <c r="K121" s="43" t="str">
        <f t="shared" ca="1" si="17"/>
        <v/>
      </c>
      <c r="L121" s="43"/>
      <c r="M121" s="44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9" t="str">
        <f t="shared" ca="1" si="12"/>
        <v/>
      </c>
      <c r="B122" s="40" t="str">
        <f ca="1">IF(COUNTIF($W$2:W1107,A122)=1,VLOOKUP(A122,O:P,2), IF(COUNTIF($W$2:W1107,A122)=0,$B$9,""))</f>
        <v/>
      </c>
      <c r="C122" s="2" t="str">
        <f t="shared" ca="1" si="13"/>
        <v/>
      </c>
      <c r="D122" s="43"/>
      <c r="E122" s="40" t="str">
        <f ca="1">IF(COUNTIF($W$2:W1107,A122)=1,VLOOKUP(A122,Q:R,2), IF(COUNTIF($W$2:W1107,A122)=0,$C$9,""))</f>
        <v/>
      </c>
      <c r="F122" s="2" t="str">
        <f t="shared" ca="1" si="14"/>
        <v/>
      </c>
      <c r="G122" s="43" t="str">
        <f t="shared" ca="1" si="15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6"/>
        <v/>
      </c>
      <c r="K122" s="43" t="str">
        <f t="shared" ca="1" si="17"/>
        <v/>
      </c>
      <c r="L122" s="43"/>
      <c r="M122" s="44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9" t="str">
        <f t="shared" ca="1" si="12"/>
        <v/>
      </c>
      <c r="B123" s="40" t="str">
        <f ca="1">IF(COUNTIF($W$2:W1108,A123)=1,VLOOKUP(A123,O:P,2), IF(COUNTIF($W$2:W1108,A123)=0,$B$9,""))</f>
        <v/>
      </c>
      <c r="C123" s="2" t="str">
        <f t="shared" ca="1" si="13"/>
        <v/>
      </c>
      <c r="D123" s="43"/>
      <c r="E123" s="40" t="str">
        <f ca="1">IF(COUNTIF($W$2:W1108,A123)=1,VLOOKUP(A123,Q:R,2), IF(COUNTIF($W$2:W1108,A123)=0,$C$9,""))</f>
        <v/>
      </c>
      <c r="F123" s="2" t="str">
        <f t="shared" ca="1" si="14"/>
        <v/>
      </c>
      <c r="G123" s="43" t="str">
        <f t="shared" ca="1" si="15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6"/>
        <v/>
      </c>
      <c r="K123" s="43" t="str">
        <f t="shared" ca="1" si="17"/>
        <v/>
      </c>
      <c r="L123" s="43"/>
      <c r="M123" s="44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9" t="str">
        <f t="shared" ca="1" si="12"/>
        <v/>
      </c>
      <c r="B124" s="40" t="str">
        <f ca="1">IF(COUNTIF($W$2:W1109,A124)=1,VLOOKUP(A124,O:P,2), IF(COUNTIF($W$2:W1109,A124)=0,$B$9,""))</f>
        <v/>
      </c>
      <c r="C124" s="2" t="str">
        <f t="shared" ca="1" si="13"/>
        <v/>
      </c>
      <c r="D124" s="43"/>
      <c r="E124" s="40" t="str">
        <f ca="1">IF(COUNTIF($W$2:W1109,A124)=1,VLOOKUP(A124,Q:R,2), IF(COUNTIF($W$2:W1109,A124)=0,$C$9,""))</f>
        <v/>
      </c>
      <c r="F124" s="2" t="str">
        <f t="shared" ca="1" si="14"/>
        <v/>
      </c>
      <c r="G124" s="43" t="str">
        <f t="shared" ca="1" si="15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6"/>
        <v/>
      </c>
      <c r="K124" s="43" t="str">
        <f t="shared" ca="1" si="17"/>
        <v/>
      </c>
      <c r="L124" s="43"/>
      <c r="M124" s="44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9" t="str">
        <f t="shared" ca="1" si="12"/>
        <v/>
      </c>
      <c r="B125" s="40" t="str">
        <f ca="1">IF(COUNTIF($W$2:W1110,A125)=1,VLOOKUP(A125,O:P,2), IF(COUNTIF($W$2:W1110,A125)=0,$B$9,""))</f>
        <v/>
      </c>
      <c r="C125" s="2" t="str">
        <f t="shared" ca="1" si="13"/>
        <v/>
      </c>
      <c r="D125" s="43"/>
      <c r="E125" s="40" t="str">
        <f ca="1">IF(COUNTIF($W$2:W1110,A125)=1,VLOOKUP(A125,Q:R,2), IF(COUNTIF($W$2:W1110,A125)=0,$C$9,""))</f>
        <v/>
      </c>
      <c r="F125" s="2" t="str">
        <f t="shared" ca="1" si="14"/>
        <v/>
      </c>
      <c r="G125" s="43" t="str">
        <f t="shared" ca="1" si="15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6"/>
        <v/>
      </c>
      <c r="K125" s="43" t="str">
        <f t="shared" ca="1" si="17"/>
        <v/>
      </c>
      <c r="L125" s="43"/>
      <c r="M125" s="44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9" t="str">
        <f t="shared" ca="1" si="12"/>
        <v/>
      </c>
      <c r="B126" s="40" t="str">
        <f ca="1">IF(COUNTIF($W$2:W1111,A126)=1,VLOOKUP(A126,O:P,2), IF(COUNTIF($W$2:W1111,A126)=0,$B$9,""))</f>
        <v/>
      </c>
      <c r="C126" s="2" t="str">
        <f t="shared" ca="1" si="13"/>
        <v/>
      </c>
      <c r="D126" s="43"/>
      <c r="E126" s="40" t="str">
        <f ca="1">IF(COUNTIF($W$2:W1111,A126)=1,VLOOKUP(A126,Q:R,2), IF(COUNTIF($W$2:W1111,A126)=0,$C$9,""))</f>
        <v/>
      </c>
      <c r="F126" s="2" t="str">
        <f t="shared" ca="1" si="14"/>
        <v/>
      </c>
      <c r="G126" s="43" t="str">
        <f t="shared" ca="1" si="15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6"/>
        <v/>
      </c>
      <c r="K126" s="43" t="str">
        <f t="shared" ca="1" si="17"/>
        <v/>
      </c>
      <c r="L126" s="43"/>
      <c r="M126" s="44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1"/>
        <v>45954</v>
      </c>
    </row>
    <row r="127" spans="1:30" x14ac:dyDescent="0.25">
      <c r="A127" s="39" t="str">
        <f t="shared" ca="1" si="12"/>
        <v/>
      </c>
      <c r="B127" s="40" t="str">
        <f ca="1">IF(COUNTIF($W$2:W1112,A127)=1,VLOOKUP(A127,O:P,2), IF(COUNTIF($W$2:W1112,A127)=0,$B$9,""))</f>
        <v/>
      </c>
      <c r="C127" s="2" t="str">
        <f t="shared" ca="1" si="13"/>
        <v/>
      </c>
      <c r="D127" s="43"/>
      <c r="E127" s="40" t="str">
        <f ca="1">IF(COUNTIF($W$2:W1112,A127)=1,VLOOKUP(A127,Q:R,2), IF(COUNTIF($W$2:W1112,A127)=0,$C$9,""))</f>
        <v/>
      </c>
      <c r="F127" s="2" t="str">
        <f t="shared" ca="1" si="14"/>
        <v/>
      </c>
      <c r="G127" s="43" t="str">
        <f t="shared" ca="1" si="15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6"/>
        <v/>
      </c>
      <c r="K127" s="43" t="str">
        <f t="shared" ca="1" si="17"/>
        <v/>
      </c>
      <c r="L127" s="43"/>
      <c r="M127" s="44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9" t="str">
        <f t="shared" ca="1" si="12"/>
        <v/>
      </c>
      <c r="B128" s="40" t="str">
        <f ca="1">IF(COUNTIF($W$2:W1113,A128)=1,VLOOKUP(A128,O:P,2), IF(COUNTIF($W$2:W1113,A128)=0,$B$9,""))</f>
        <v/>
      </c>
      <c r="C128" s="2" t="str">
        <f t="shared" ca="1" si="13"/>
        <v/>
      </c>
      <c r="D128" s="43"/>
      <c r="E128" s="40" t="str">
        <f ca="1">IF(COUNTIF($W$2:W1113,A128)=1,VLOOKUP(A128,Q:R,2), IF(COUNTIF($W$2:W1113,A128)=0,$C$9,""))</f>
        <v/>
      </c>
      <c r="F128" s="2" t="str">
        <f t="shared" ca="1" si="14"/>
        <v/>
      </c>
      <c r="G128" s="43" t="str">
        <f t="shared" ca="1" si="15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6"/>
        <v/>
      </c>
      <c r="K128" s="43" t="str">
        <f t="shared" ca="1" si="17"/>
        <v/>
      </c>
      <c r="L128" s="43"/>
      <c r="M128" s="44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9" t="str">
        <f t="shared" ca="1" si="12"/>
        <v/>
      </c>
      <c r="B129" s="40" t="str">
        <f ca="1">IF(COUNTIF($W$2:W1114,A129)=1,VLOOKUP(A129,O:P,2), IF(COUNTIF($W$2:W1114,A129)=0,$B$9,""))</f>
        <v/>
      </c>
      <c r="C129" s="2" t="str">
        <f t="shared" ca="1" si="13"/>
        <v/>
      </c>
      <c r="D129" s="43"/>
      <c r="E129" s="40" t="str">
        <f ca="1">IF(COUNTIF($W$2:W1114,A129)=1,VLOOKUP(A129,Q:R,2), IF(COUNTIF($W$2:W1114,A129)=0,$C$9,""))</f>
        <v/>
      </c>
      <c r="F129" s="2" t="str">
        <f t="shared" ca="1" si="14"/>
        <v/>
      </c>
      <c r="G129" s="43" t="str">
        <f t="shared" ca="1" si="15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6"/>
        <v/>
      </c>
      <c r="K129" s="43" t="str">
        <f t="shared" ca="1" si="17"/>
        <v/>
      </c>
      <c r="L129" s="43"/>
      <c r="M129" s="44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9" t="str">
        <f t="shared" ca="1" si="12"/>
        <v/>
      </c>
      <c r="B130" s="40" t="str">
        <f ca="1">IF(COUNTIF($W$2:W1115,A130)=1,VLOOKUP(A130,O:P,2), IF(COUNTIF($W$2:W1115,A130)=0,$B$9,""))</f>
        <v/>
      </c>
      <c r="C130" s="2" t="str">
        <f t="shared" ca="1" si="13"/>
        <v/>
      </c>
      <c r="D130" s="43"/>
      <c r="E130" s="40" t="str">
        <f ca="1">IF(COUNTIF($W$2:W1115,A130)=1,VLOOKUP(A130,Q:R,2), IF(COUNTIF($W$2:W1115,A130)=0,$C$9,""))</f>
        <v/>
      </c>
      <c r="F130" s="2" t="str">
        <f t="shared" ca="1" si="14"/>
        <v/>
      </c>
      <c r="G130" s="43" t="str">
        <f t="shared" ca="1" si="15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6"/>
        <v/>
      </c>
      <c r="K130" s="43" t="str">
        <f t="shared" ca="1" si="17"/>
        <v/>
      </c>
      <c r="L130" s="43"/>
      <c r="M130" s="44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9" t="str">
        <f t="shared" ca="1" si="12"/>
        <v/>
      </c>
      <c r="B131" s="40" t="str">
        <f ca="1">IF(COUNTIF($W$2:W1116,A131)=1,VLOOKUP(A131,O:P,2), IF(COUNTIF($W$2:W1116,A131)=0,$B$9,""))</f>
        <v/>
      </c>
      <c r="C131" s="2" t="str">
        <f t="shared" ca="1" si="13"/>
        <v/>
      </c>
      <c r="D131" s="43"/>
      <c r="E131" s="40" t="str">
        <f ca="1">IF(COUNTIF($W$2:W1116,A131)=1,VLOOKUP(A131,Q:R,2), IF(COUNTIF($W$2:W1116,A131)=0,$C$9,""))</f>
        <v/>
      </c>
      <c r="F131" s="2" t="str">
        <f t="shared" ca="1" si="14"/>
        <v/>
      </c>
      <c r="G131" s="43" t="str">
        <f t="shared" ca="1" si="15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6"/>
        <v/>
      </c>
      <c r="K131" s="43" t="str">
        <f t="shared" ca="1" si="17"/>
        <v/>
      </c>
      <c r="L131" s="43"/>
      <c r="M131" s="44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1"/>
        <v>45961</v>
      </c>
    </row>
    <row r="132" spans="1:30" x14ac:dyDescent="0.25">
      <c r="A132" s="39" t="str">
        <f t="shared" ca="1" si="12"/>
        <v/>
      </c>
      <c r="B132" s="40" t="str">
        <f ca="1">IF(COUNTIF($W$2:W1117,A132)=1,VLOOKUP(A132,O:P,2), IF(COUNTIF($W$2:W1117,A132)=0,$B$9,""))</f>
        <v/>
      </c>
      <c r="C132" s="2" t="str">
        <f t="shared" ca="1" si="13"/>
        <v/>
      </c>
      <c r="D132" s="43"/>
      <c r="E132" s="40" t="str">
        <f ca="1">IF(COUNTIF($W$2:W1117,A132)=1,VLOOKUP(A132,Q:R,2), IF(COUNTIF($W$2:W1117,A132)=0,$C$9,""))</f>
        <v/>
      </c>
      <c r="F132" s="2" t="str">
        <f t="shared" ca="1" si="14"/>
        <v/>
      </c>
      <c r="G132" s="43" t="str">
        <f t="shared" ca="1" si="15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6"/>
        <v/>
      </c>
      <c r="K132" s="43" t="str">
        <f t="shared" ca="1" si="17"/>
        <v/>
      </c>
      <c r="L132" s="43"/>
      <c r="M132" s="44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9" t="str">
        <f t="shared" ca="1" si="12"/>
        <v/>
      </c>
      <c r="B133" s="40" t="str">
        <f ca="1">IF(COUNTIF($W$2:W1118,A133)=1,VLOOKUP(A133,O:P,2), IF(COUNTIF($W$2:W1118,A133)=0,$B$9,""))</f>
        <v/>
      </c>
      <c r="C133" s="2" t="str">
        <f t="shared" ca="1" si="13"/>
        <v/>
      </c>
      <c r="D133" s="43"/>
      <c r="E133" s="40" t="str">
        <f ca="1">IF(COUNTIF($W$2:W1118,A133)=1,VLOOKUP(A133,Q:R,2), IF(COUNTIF($W$2:W1118,A133)=0,$C$9,""))</f>
        <v/>
      </c>
      <c r="F133" s="2" t="str">
        <f t="shared" ca="1" si="14"/>
        <v/>
      </c>
      <c r="G133" s="43" t="str">
        <f t="shared" ca="1" si="15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6"/>
        <v/>
      </c>
      <c r="K133" s="43" t="str">
        <f t="shared" ca="1" si="17"/>
        <v/>
      </c>
      <c r="L133" s="43"/>
      <c r="M133" s="44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9" t="str">
        <f t="shared" ca="1" si="12"/>
        <v/>
      </c>
      <c r="B134" s="40" t="str">
        <f ca="1">IF(COUNTIF($W$2:W1119,A134)=1,VLOOKUP(A134,O:P,2), IF(COUNTIF($W$2:W1119,A134)=0,$B$9,""))</f>
        <v/>
      </c>
      <c r="C134" s="2" t="str">
        <f t="shared" ca="1" si="13"/>
        <v/>
      </c>
      <c r="D134" s="43"/>
      <c r="E134" s="40" t="str">
        <f ca="1">IF(COUNTIF($W$2:W1119,A134)=1,VLOOKUP(A134,Q:R,2), IF(COUNTIF($W$2:W1119,A134)=0,$C$9,""))</f>
        <v/>
      </c>
      <c r="F134" s="2" t="str">
        <f t="shared" ca="1" si="14"/>
        <v/>
      </c>
      <c r="G134" s="43" t="str">
        <f t="shared" ca="1" si="15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6"/>
        <v/>
      </c>
      <c r="K134" s="43" t="str">
        <f t="shared" ca="1" si="17"/>
        <v/>
      </c>
      <c r="L134" s="43"/>
      <c r="M134" s="44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9" t="str">
        <f t="shared" ca="1" si="12"/>
        <v/>
      </c>
      <c r="B135" s="40" t="str">
        <f ca="1">IF(COUNTIF($W$2:W1120,A135)=1,VLOOKUP(A135,O:P,2), IF(COUNTIF($W$2:W1120,A135)=0,$B$9,""))</f>
        <v/>
      </c>
      <c r="C135" s="2" t="str">
        <f t="shared" ca="1" si="13"/>
        <v/>
      </c>
      <c r="D135" s="43"/>
      <c r="E135" s="40" t="str">
        <f ca="1">IF(COUNTIF($W$2:W1120,A135)=1,VLOOKUP(A135,Q:R,2), IF(COUNTIF($W$2:W1120,A135)=0,$C$9,""))</f>
        <v/>
      </c>
      <c r="F135" s="2" t="str">
        <f t="shared" ca="1" si="14"/>
        <v/>
      </c>
      <c r="G135" s="43" t="str">
        <f t="shared" ca="1" si="15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6"/>
        <v/>
      </c>
      <c r="K135" s="43" t="str">
        <f t="shared" ca="1" si="17"/>
        <v/>
      </c>
      <c r="L135" s="43"/>
      <c r="M135" s="44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9" t="str">
        <f t="shared" ca="1" si="12"/>
        <v/>
      </c>
      <c r="B136" s="40" t="str">
        <f ca="1">IF(COUNTIF($W$2:W1121,A136)=1,VLOOKUP(A136,O:P,2), IF(COUNTIF($W$2:W1121,A136)=0,$B$9,""))</f>
        <v/>
      </c>
      <c r="C136" s="2" t="str">
        <f t="shared" ca="1" si="13"/>
        <v/>
      </c>
      <c r="D136" s="43"/>
      <c r="E136" s="40" t="str">
        <f ca="1">IF(COUNTIF($W$2:W1121,A136)=1,VLOOKUP(A136,Q:R,2), IF(COUNTIF($W$2:W1121,A136)=0,$C$9,""))</f>
        <v/>
      </c>
      <c r="F136" s="2" t="str">
        <f t="shared" ca="1" si="14"/>
        <v/>
      </c>
      <c r="G136" s="43" t="str">
        <f t="shared" ca="1" si="15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6"/>
        <v/>
      </c>
      <c r="K136" s="43" t="str">
        <f t="shared" ca="1" si="17"/>
        <v/>
      </c>
      <c r="L136" s="43"/>
      <c r="M136" s="44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9" t="str">
        <f t="shared" ca="1" si="12"/>
        <v/>
      </c>
      <c r="B137" s="40" t="str">
        <f ca="1">IF(COUNTIF($W$2:W1122,A137)=1,VLOOKUP(A137,O:P,2), IF(COUNTIF($W$2:W1122,A137)=0,$B$9,""))</f>
        <v/>
      </c>
      <c r="C137" s="2" t="str">
        <f t="shared" ca="1" si="13"/>
        <v/>
      </c>
      <c r="D137" s="43"/>
      <c r="E137" s="40" t="str">
        <f ca="1">IF(COUNTIF($W$2:W1122,A137)=1,VLOOKUP(A137,Q:R,2), IF(COUNTIF($W$2:W1122,A137)=0,$C$9,""))</f>
        <v/>
      </c>
      <c r="F137" s="2" t="str">
        <f t="shared" ca="1" si="14"/>
        <v/>
      </c>
      <c r="G137" s="43" t="str">
        <f t="shared" ca="1" si="15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6"/>
        <v/>
      </c>
      <c r="K137" s="43" t="str">
        <f t="shared" ca="1" si="17"/>
        <v/>
      </c>
      <c r="L137" s="43"/>
      <c r="M137" s="44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9" t="str">
        <f t="shared" ca="1" si="12"/>
        <v/>
      </c>
      <c r="B138" s="40" t="str">
        <f ca="1">IF(COUNTIF($W$2:W1123,A138)=1,VLOOKUP(A138,O:P,2), IF(COUNTIF($W$2:W1123,A138)=0,$B$9,""))</f>
        <v/>
      </c>
      <c r="C138" s="2" t="str">
        <f t="shared" ca="1" si="13"/>
        <v/>
      </c>
      <c r="D138" s="43"/>
      <c r="E138" s="40" t="str">
        <f ca="1">IF(COUNTIF($W$2:W1123,A138)=1,VLOOKUP(A138,Q:R,2), IF(COUNTIF($W$2:W1123,A138)=0,$C$9,""))</f>
        <v/>
      </c>
      <c r="F138" s="2" t="str">
        <f t="shared" ca="1" si="14"/>
        <v/>
      </c>
      <c r="G138" s="43" t="str">
        <f t="shared" ca="1" si="15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6"/>
        <v/>
      </c>
      <c r="K138" s="43" t="str">
        <f t="shared" ca="1" si="17"/>
        <v/>
      </c>
      <c r="L138" s="43"/>
      <c r="M138" s="44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9" t="str">
        <f t="shared" ca="1" si="12"/>
        <v/>
      </c>
      <c r="B139" s="40" t="str">
        <f ca="1">IF(COUNTIF($W$2:W1124,A139)=1,VLOOKUP(A139,O:P,2), IF(COUNTIF($W$2:W1124,A139)=0,$B$9,""))</f>
        <v/>
      </c>
      <c r="C139" s="2" t="str">
        <f t="shared" ca="1" si="13"/>
        <v/>
      </c>
      <c r="D139" s="43"/>
      <c r="E139" s="40" t="str">
        <f ca="1">IF(COUNTIF($W$2:W1124,A139)=1,VLOOKUP(A139,Q:R,2), IF(COUNTIF($W$2:W1124,A139)=0,$C$9,""))</f>
        <v/>
      </c>
      <c r="F139" s="2" t="str">
        <f t="shared" ca="1" si="14"/>
        <v/>
      </c>
      <c r="G139" s="43" t="str">
        <f t="shared" ca="1" si="15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6"/>
        <v/>
      </c>
      <c r="K139" s="43" t="str">
        <f t="shared" ca="1" si="17"/>
        <v/>
      </c>
      <c r="L139" s="43"/>
      <c r="M139" s="44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9" t="str">
        <f t="shared" ca="1" si="12"/>
        <v/>
      </c>
      <c r="B140" s="40" t="str">
        <f ca="1">IF(COUNTIF($W$2:W1125,A140)=1,VLOOKUP(A140,O:P,2), IF(COUNTIF($W$2:W1125,A140)=0,$B$9,""))</f>
        <v/>
      </c>
      <c r="C140" s="2" t="str">
        <f t="shared" ca="1" si="13"/>
        <v/>
      </c>
      <c r="D140" s="43"/>
      <c r="E140" s="40" t="str">
        <f ca="1">IF(COUNTIF($W$2:W1125,A140)=1,VLOOKUP(A140,Q:R,2), IF(COUNTIF($W$2:W1125,A140)=0,$C$9,""))</f>
        <v/>
      </c>
      <c r="F140" s="2" t="str">
        <f t="shared" ca="1" si="14"/>
        <v/>
      </c>
      <c r="G140" s="43" t="str">
        <f t="shared" ca="1" si="15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6"/>
        <v/>
      </c>
      <c r="K140" s="43" t="str">
        <f t="shared" ca="1" si="17"/>
        <v/>
      </c>
      <c r="L140" s="43"/>
      <c r="M140" s="44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9" t="str">
        <f t="shared" ca="1" si="12"/>
        <v/>
      </c>
      <c r="B141" s="40" t="str">
        <f ca="1">IF(COUNTIF($W$2:W1126,A141)=1,VLOOKUP(A141,O:P,2), IF(COUNTIF($W$2:W1126,A141)=0,$B$9,""))</f>
        <v/>
      </c>
      <c r="C141" s="2" t="str">
        <f t="shared" ca="1" si="13"/>
        <v/>
      </c>
      <c r="D141" s="43"/>
      <c r="E141" s="40" t="str">
        <f ca="1">IF(COUNTIF($W$2:W1126,A141)=1,VLOOKUP(A141,Q:R,2), IF(COUNTIF($W$2:W1126,A141)=0,$C$9,""))</f>
        <v/>
      </c>
      <c r="F141" s="2" t="str">
        <f t="shared" ca="1" si="14"/>
        <v/>
      </c>
      <c r="G141" s="43" t="str">
        <f t="shared" ca="1" si="15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6"/>
        <v/>
      </c>
      <c r="K141" s="43" t="str">
        <f t="shared" ca="1" si="17"/>
        <v/>
      </c>
      <c r="L141" s="43"/>
      <c r="M141" s="44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9" t="str">
        <f t="shared" ca="1" si="12"/>
        <v/>
      </c>
      <c r="B142" s="40" t="str">
        <f ca="1">IF(COUNTIF($W$2:W1127,A142)=1,VLOOKUP(A142,O:P,2), IF(COUNTIF($W$2:W1127,A142)=0,$B$9,""))</f>
        <v/>
      </c>
      <c r="C142" s="2" t="str">
        <f t="shared" ca="1" si="13"/>
        <v/>
      </c>
      <c r="D142" s="43"/>
      <c r="E142" s="40" t="str">
        <f ca="1">IF(COUNTIF($W$2:W1127,A142)=1,VLOOKUP(A142,Q:R,2), IF(COUNTIF($W$2:W1127,A142)=0,$C$9,""))</f>
        <v/>
      </c>
      <c r="F142" s="2" t="str">
        <f t="shared" ca="1" si="14"/>
        <v/>
      </c>
      <c r="G142" s="43" t="str">
        <f t="shared" ca="1" si="15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6"/>
        <v/>
      </c>
      <c r="K142" s="43" t="str">
        <f t="shared" ca="1" si="17"/>
        <v/>
      </c>
      <c r="L142" s="43"/>
      <c r="M142" s="44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9" t="str">
        <f t="shared" ref="A143:A167" ca="1" si="21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3"/>
        <v/>
      </c>
      <c r="D143" s="43"/>
      <c r="E143" s="40" t="str">
        <f ca="1">IF(COUNTIF($W$2:W1128,A143)=1,VLOOKUP(A143,Q:R,2), IF(COUNTIF($W$2:W1128,A143)=0,$C$9,""))</f>
        <v/>
      </c>
      <c r="F143" s="2" t="str">
        <f t="shared" ca="1" si="14"/>
        <v/>
      </c>
      <c r="G143" s="43" t="str">
        <f t="shared" ca="1" si="15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6"/>
        <v/>
      </c>
      <c r="K143" s="43" t="str">
        <f t="shared" ca="1" si="17"/>
        <v/>
      </c>
      <c r="L143" s="43"/>
      <c r="M143" s="44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9" t="str">
        <f t="shared" ca="1" si="21"/>
        <v/>
      </c>
      <c r="B144" s="40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3"/>
      <c r="E144" s="40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3" t="str">
        <f t="shared" ref="G144:G167" ca="1" si="24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167" ca="1" si="25">IF(ISERROR(H144-2),"",I144)</f>
        <v/>
      </c>
      <c r="K144" s="43" t="str">
        <f t="shared" ref="K144:K167" ca="1" si="26">IF(ISERROR(H144-2),"",(J144/$J$14-1)*$D$5)</f>
        <v/>
      </c>
      <c r="L144" s="43"/>
      <c r="M144" s="44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9" t="str">
        <f t="shared" ca="1" si="21"/>
        <v/>
      </c>
      <c r="B145" s="40" t="str">
        <f ca="1">IF(COUNTIF($W$2:W1130,A145)=1,VLOOKUP(A145,O:P,2), IF(COUNTIF($W$2:W1130,A145)=0,$B$9,""))</f>
        <v/>
      </c>
      <c r="C145" s="2" t="str">
        <f t="shared" ca="1" si="22"/>
        <v/>
      </c>
      <c r="D145" s="43"/>
      <c r="E145" s="40" t="str">
        <f ca="1">IF(COUNTIF($W$2:W1130,A145)=1,VLOOKUP(A145,Q:R,2), IF(COUNTIF($W$2:W1130,A145)=0,$C$9,""))</f>
        <v/>
      </c>
      <c r="F145" s="2" t="str">
        <f t="shared" ca="1" si="23"/>
        <v/>
      </c>
      <c r="G145" s="43" t="str">
        <f t="shared" ca="1" si="24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5"/>
        <v/>
      </c>
      <c r="K145" s="43" t="str">
        <f t="shared" ca="1" si="26"/>
        <v/>
      </c>
      <c r="L145" s="43"/>
      <c r="M145" s="44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9" t="str">
        <f t="shared" ca="1" si="21"/>
        <v/>
      </c>
      <c r="B146" s="40" t="str">
        <f ca="1">IF(COUNTIF($W$2:W1131,A146)=1,VLOOKUP(A146,O:P,2), IF(COUNTIF($W$2:W1131,A146)=0,$B$9,""))</f>
        <v/>
      </c>
      <c r="C146" s="2" t="str">
        <f t="shared" ca="1" si="22"/>
        <v/>
      </c>
      <c r="D146" s="43"/>
      <c r="E146" s="40" t="str">
        <f ca="1">IF(COUNTIF($W$2:W1131,A146)=1,VLOOKUP(A146,Q:R,2), IF(COUNTIF($W$2:W1131,A146)=0,$C$9,""))</f>
        <v/>
      </c>
      <c r="F146" s="2" t="str">
        <f t="shared" ca="1" si="23"/>
        <v/>
      </c>
      <c r="G146" s="43" t="str">
        <f t="shared" ca="1" si="24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5"/>
        <v/>
      </c>
      <c r="K146" s="43" t="str">
        <f t="shared" ca="1" si="26"/>
        <v/>
      </c>
      <c r="L146" s="43"/>
      <c r="M146" s="44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9" t="str">
        <f t="shared" ca="1" si="21"/>
        <v/>
      </c>
      <c r="B147" s="40" t="str">
        <f ca="1">IF(COUNTIF($W$2:W1132,A147)=1,VLOOKUP(A147,O:P,2), IF(COUNTIF($W$2:W1132,A147)=0,$B$9,""))</f>
        <v/>
      </c>
      <c r="C147" s="2" t="str">
        <f t="shared" ca="1" si="22"/>
        <v/>
      </c>
      <c r="D147" s="43"/>
      <c r="E147" s="40" t="str">
        <f ca="1">IF(COUNTIF($W$2:W1132,A147)=1,VLOOKUP(A147,Q:R,2), IF(COUNTIF($W$2:W1132,A147)=0,$C$9,""))</f>
        <v/>
      </c>
      <c r="F147" s="2" t="str">
        <f t="shared" ca="1" si="23"/>
        <v/>
      </c>
      <c r="G147" s="43" t="str">
        <f t="shared" ca="1" si="24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5"/>
        <v/>
      </c>
      <c r="K147" s="43" t="str">
        <f t="shared" ca="1" si="26"/>
        <v/>
      </c>
      <c r="L147" s="43"/>
      <c r="M147" s="44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9" t="str">
        <f t="shared" ca="1" si="21"/>
        <v/>
      </c>
      <c r="B148" s="40" t="str">
        <f ca="1">IF(COUNTIF($W$2:W1133,A148)=1,VLOOKUP(A148,O:P,2), IF(COUNTIF($W$2:W1133,A148)=0,$B$9,""))</f>
        <v/>
      </c>
      <c r="C148" s="2" t="str">
        <f t="shared" ca="1" si="22"/>
        <v/>
      </c>
      <c r="D148" s="43"/>
      <c r="E148" s="40" t="str">
        <f ca="1">IF(COUNTIF($W$2:W1133,A148)=1,VLOOKUP(A148,Q:R,2), IF(COUNTIF($W$2:W1133,A148)=0,$C$9,""))</f>
        <v/>
      </c>
      <c r="F148" s="2" t="str">
        <f t="shared" ca="1" si="23"/>
        <v/>
      </c>
      <c r="G148" s="43" t="str">
        <f t="shared" ca="1" si="24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5"/>
        <v/>
      </c>
      <c r="K148" s="43" t="str">
        <f t="shared" ca="1" si="26"/>
        <v/>
      </c>
      <c r="L148" s="43"/>
      <c r="M148" s="44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9" t="str">
        <f t="shared" ca="1" si="21"/>
        <v/>
      </c>
      <c r="B149" s="40" t="str">
        <f ca="1">IF(COUNTIF($W$2:W1134,A149)=1,VLOOKUP(A149,O:P,2), IF(COUNTIF($W$2:W1134,A149)=0,$B$9,""))</f>
        <v/>
      </c>
      <c r="C149" s="2" t="str">
        <f t="shared" ca="1" si="22"/>
        <v/>
      </c>
      <c r="D149" s="43"/>
      <c r="E149" s="40" t="str">
        <f ca="1">IF(COUNTIF($W$2:W1134,A149)=1,VLOOKUP(A149,Q:R,2), IF(COUNTIF($W$2:W1134,A149)=0,$C$9,""))</f>
        <v/>
      </c>
      <c r="F149" s="2" t="str">
        <f t="shared" ca="1" si="23"/>
        <v/>
      </c>
      <c r="G149" s="43" t="str">
        <f t="shared" ca="1" si="24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5"/>
        <v/>
      </c>
      <c r="K149" s="43" t="str">
        <f t="shared" ca="1" si="26"/>
        <v/>
      </c>
      <c r="L149" s="43"/>
      <c r="M149" s="44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9" t="str">
        <f t="shared" ca="1" si="21"/>
        <v/>
      </c>
      <c r="B150" s="40" t="str">
        <f ca="1">IF(COUNTIF($W$2:W1135,A150)=1,VLOOKUP(A150,O:P,2), IF(COUNTIF($W$2:W1135,A150)=0,$B$9,""))</f>
        <v/>
      </c>
      <c r="C150" s="2" t="str">
        <f t="shared" ca="1" si="22"/>
        <v/>
      </c>
      <c r="D150" s="43"/>
      <c r="E150" s="40" t="str">
        <f ca="1">IF(COUNTIF($W$2:W1135,A150)=1,VLOOKUP(A150,Q:R,2), IF(COUNTIF($W$2:W1135,A150)=0,$C$9,""))</f>
        <v/>
      </c>
      <c r="F150" s="2" t="str">
        <f t="shared" ca="1" si="23"/>
        <v/>
      </c>
      <c r="G150" s="43" t="str">
        <f t="shared" ca="1" si="24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5"/>
        <v/>
      </c>
      <c r="K150" s="43" t="str">
        <f t="shared" ca="1" si="26"/>
        <v/>
      </c>
      <c r="L150" s="43"/>
      <c r="M150" s="44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9" t="str">
        <f t="shared" ca="1" si="21"/>
        <v/>
      </c>
      <c r="B151" s="40" t="str">
        <f ca="1">IF(COUNTIF($W$2:W1136,A151)=1,VLOOKUP(A151,O:P,2), IF(COUNTIF($W$2:W1136,A151)=0,$B$9,""))</f>
        <v/>
      </c>
      <c r="C151" s="2" t="str">
        <f t="shared" ca="1" si="22"/>
        <v/>
      </c>
      <c r="D151" s="43"/>
      <c r="E151" s="40" t="str">
        <f ca="1">IF(COUNTIF($W$2:W1136,A151)=1,VLOOKUP(A151,Q:R,2), IF(COUNTIF($W$2:W1136,A151)=0,$C$9,""))</f>
        <v/>
      </c>
      <c r="F151" s="2" t="str">
        <f t="shared" ca="1" si="23"/>
        <v/>
      </c>
      <c r="G151" s="43" t="str">
        <f t="shared" ca="1" si="24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5"/>
        <v/>
      </c>
      <c r="K151" s="43" t="str">
        <f t="shared" ca="1" si="26"/>
        <v/>
      </c>
      <c r="L151" s="43"/>
      <c r="M151" s="44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9" t="str">
        <f t="shared" ca="1" si="21"/>
        <v/>
      </c>
      <c r="B152" s="40" t="str">
        <f ca="1">IF(COUNTIF($W$2:W1137,A152)=1,VLOOKUP(A152,O:P,2), IF(COUNTIF($W$2:W1137,A152)=0,$B$9,""))</f>
        <v/>
      </c>
      <c r="C152" s="2" t="str">
        <f t="shared" ca="1" si="22"/>
        <v/>
      </c>
      <c r="D152" s="43"/>
      <c r="E152" s="40" t="str">
        <f ca="1">IF(COUNTIF($W$2:W1137,A152)=1,VLOOKUP(A152,Q:R,2), IF(COUNTIF($W$2:W1137,A152)=0,$C$9,""))</f>
        <v/>
      </c>
      <c r="F152" s="2" t="str">
        <f t="shared" ca="1" si="23"/>
        <v/>
      </c>
      <c r="G152" s="43" t="str">
        <f t="shared" ca="1" si="24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5"/>
        <v/>
      </c>
      <c r="K152" s="43" t="str">
        <f t="shared" ca="1" si="26"/>
        <v/>
      </c>
      <c r="L152" s="43"/>
      <c r="M152" s="44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9" t="str">
        <f t="shared" ca="1" si="21"/>
        <v/>
      </c>
      <c r="B153" s="40" t="str">
        <f ca="1">IF(COUNTIF($W$2:W1138,A153)=1,VLOOKUP(A153,O:P,2), IF(COUNTIF($W$2:W1138,A153)=0,$B$9,""))</f>
        <v/>
      </c>
      <c r="C153" s="2" t="str">
        <f t="shared" ca="1" si="22"/>
        <v/>
      </c>
      <c r="D153" s="43"/>
      <c r="E153" s="40" t="str">
        <f ca="1">IF(COUNTIF($W$2:W1138,A153)=1,VLOOKUP(A153,Q:R,2), IF(COUNTIF($W$2:W1138,A153)=0,$C$9,""))</f>
        <v/>
      </c>
      <c r="F153" s="2" t="str">
        <f t="shared" ca="1" si="23"/>
        <v/>
      </c>
      <c r="G153" s="43" t="str">
        <f t="shared" ca="1" si="24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5"/>
        <v/>
      </c>
      <c r="K153" s="43" t="str">
        <f t="shared" ca="1" si="26"/>
        <v/>
      </c>
      <c r="L153" s="43"/>
      <c r="M153" s="44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9" t="str">
        <f t="shared" ca="1" si="21"/>
        <v/>
      </c>
      <c r="B154" s="40" t="str">
        <f ca="1">IF(COUNTIF($W$2:W1139,A154)=1,VLOOKUP(A154,O:P,2), IF(COUNTIF($W$2:W1139,A154)=0,$B$9,""))</f>
        <v/>
      </c>
      <c r="C154" s="2" t="str">
        <f t="shared" ca="1" si="22"/>
        <v/>
      </c>
      <c r="D154" s="43"/>
      <c r="E154" s="40" t="str">
        <f ca="1">IF(COUNTIF($W$2:W1139,A154)=1,VLOOKUP(A154,Q:R,2), IF(COUNTIF($W$2:W1139,A154)=0,$C$9,""))</f>
        <v/>
      </c>
      <c r="F154" s="2" t="str">
        <f t="shared" ca="1" si="23"/>
        <v/>
      </c>
      <c r="G154" s="43" t="str">
        <f t="shared" ca="1" si="24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5"/>
        <v/>
      </c>
      <c r="K154" s="43" t="str">
        <f t="shared" ca="1" si="26"/>
        <v/>
      </c>
      <c r="L154" s="43"/>
      <c r="M154" s="44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9" t="str">
        <f t="shared" ca="1" si="21"/>
        <v/>
      </c>
      <c r="B155" s="40" t="str">
        <f ca="1">IF(COUNTIF($W$2:W1140,A155)=1,VLOOKUP(A155,O:P,2), IF(COUNTIF($W$2:W1140,A155)=0,$B$9,""))</f>
        <v/>
      </c>
      <c r="C155" s="2" t="str">
        <f t="shared" ca="1" si="22"/>
        <v/>
      </c>
      <c r="D155" s="43"/>
      <c r="E155" s="40" t="str">
        <f ca="1">IF(COUNTIF($W$2:W1140,A155)=1,VLOOKUP(A155,Q:R,2), IF(COUNTIF($W$2:W1140,A155)=0,$C$9,""))</f>
        <v/>
      </c>
      <c r="F155" s="2" t="str">
        <f t="shared" ca="1" si="23"/>
        <v/>
      </c>
      <c r="G155" s="43" t="str">
        <f t="shared" ca="1" si="24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5"/>
        <v/>
      </c>
      <c r="K155" s="43" t="str">
        <f t="shared" ca="1" si="26"/>
        <v/>
      </c>
      <c r="L155" s="43"/>
      <c r="M155" s="44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0"/>
        <v>45995</v>
      </c>
    </row>
    <row r="156" spans="1:30" x14ac:dyDescent="0.25">
      <c r="A156" s="39" t="str">
        <f t="shared" ca="1" si="21"/>
        <v/>
      </c>
      <c r="B156" s="40" t="str">
        <f ca="1">IF(COUNTIF($W$2:W1141,A156)=1,VLOOKUP(A156,O:P,2), IF(COUNTIF($W$2:W1141,A156)=0,$B$9,""))</f>
        <v/>
      </c>
      <c r="C156" s="2" t="str">
        <f t="shared" ca="1" si="22"/>
        <v/>
      </c>
      <c r="D156" s="43"/>
      <c r="E156" s="40" t="str">
        <f ca="1">IF(COUNTIF($W$2:W1141,A156)=1,VLOOKUP(A156,Q:R,2), IF(COUNTIF($W$2:W1141,A156)=0,$C$9,""))</f>
        <v/>
      </c>
      <c r="F156" s="2" t="str">
        <f t="shared" ca="1" si="23"/>
        <v/>
      </c>
      <c r="G156" s="43" t="str">
        <f t="shared" ca="1" si="24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5"/>
        <v/>
      </c>
      <c r="K156" s="43" t="str">
        <f t="shared" ca="1" si="26"/>
        <v/>
      </c>
      <c r="L156" s="43"/>
      <c r="M156" s="44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9" t="str">
        <f t="shared" ca="1" si="21"/>
        <v/>
      </c>
      <c r="B157" s="40" t="str">
        <f ca="1">IF(COUNTIF($W$2:W1142,A157)=1,VLOOKUP(A157,O:P,2), IF(COUNTIF($W$2:W1142,A157)=0,$B$9,""))</f>
        <v/>
      </c>
      <c r="C157" s="2" t="str">
        <f t="shared" ca="1" si="22"/>
        <v/>
      </c>
      <c r="D157" s="43"/>
      <c r="E157" s="40" t="str">
        <f ca="1">IF(COUNTIF($W$2:W1142,A157)=1,VLOOKUP(A157,Q:R,2), IF(COUNTIF($W$2:W1142,A157)=0,$C$9,""))</f>
        <v/>
      </c>
      <c r="F157" s="2" t="str">
        <f t="shared" ca="1" si="23"/>
        <v/>
      </c>
      <c r="G157" s="43" t="str">
        <f t="shared" ca="1" si="24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5"/>
        <v/>
      </c>
      <c r="K157" s="43" t="str">
        <f t="shared" ca="1" si="26"/>
        <v/>
      </c>
      <c r="L157" s="43"/>
      <c r="M157" s="44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0"/>
        <v>45999</v>
      </c>
    </row>
    <row r="158" spans="1:30" x14ac:dyDescent="0.25">
      <c r="A158" s="39" t="str">
        <f t="shared" ca="1" si="21"/>
        <v/>
      </c>
      <c r="B158" s="40" t="str">
        <f ca="1">IF(COUNTIF($W$2:W1143,A158)=1,VLOOKUP(A158,O:P,2), IF(COUNTIF($W$2:W1143,A158)=0,$B$9,""))</f>
        <v/>
      </c>
      <c r="C158" s="2" t="str">
        <f t="shared" ca="1" si="22"/>
        <v/>
      </c>
      <c r="D158" s="43"/>
      <c r="E158" s="40" t="str">
        <f ca="1">IF(COUNTIF($W$2:W1143,A158)=1,VLOOKUP(A158,Q:R,2), IF(COUNTIF($W$2:W1143,A158)=0,$C$9,""))</f>
        <v/>
      </c>
      <c r="F158" s="2" t="str">
        <f t="shared" ca="1" si="23"/>
        <v/>
      </c>
      <c r="G158" s="43" t="str">
        <f t="shared" ca="1" si="24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5"/>
        <v/>
      </c>
      <c r="K158" s="43" t="str">
        <f t="shared" ca="1" si="26"/>
        <v/>
      </c>
      <c r="L158" s="43"/>
      <c r="M158" s="44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0"/>
        <v>46000</v>
      </c>
    </row>
    <row r="159" spans="1:30" x14ac:dyDescent="0.25">
      <c r="A159" s="39" t="str">
        <f t="shared" ca="1" si="21"/>
        <v/>
      </c>
      <c r="B159" s="40" t="str">
        <f ca="1">IF(COUNTIF($W$2:W1144,A159)=1,VLOOKUP(A159,O:P,2), IF(COUNTIF($W$2:W1144,A159)=0,$B$9,""))</f>
        <v/>
      </c>
      <c r="C159" s="2" t="str">
        <f t="shared" ca="1" si="22"/>
        <v/>
      </c>
      <c r="D159" s="43"/>
      <c r="E159" s="40" t="str">
        <f ca="1">IF(COUNTIF($W$2:W1144,A159)=1,VLOOKUP(A159,Q:R,2), IF(COUNTIF($W$2:W1144,A159)=0,$C$9,""))</f>
        <v/>
      </c>
      <c r="F159" s="2" t="str">
        <f t="shared" ca="1" si="23"/>
        <v/>
      </c>
      <c r="G159" s="43" t="str">
        <f t="shared" ca="1" si="24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5"/>
        <v/>
      </c>
      <c r="K159" s="43" t="str">
        <f t="shared" ca="1" si="26"/>
        <v/>
      </c>
      <c r="L159" s="43"/>
      <c r="M159" s="44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0"/>
        <v>46001</v>
      </c>
    </row>
    <row r="160" spans="1:30" x14ac:dyDescent="0.25">
      <c r="A160" s="39" t="str">
        <f t="shared" ca="1" si="21"/>
        <v/>
      </c>
      <c r="B160" s="40" t="str">
        <f ca="1">IF(COUNTIF($W$2:W1145,A160)=1,VLOOKUP(A160,O:P,2), IF(COUNTIF($W$2:W1145,A160)=0,$B$9,""))</f>
        <v/>
      </c>
      <c r="C160" s="2" t="str">
        <f t="shared" ca="1" si="22"/>
        <v/>
      </c>
      <c r="D160" s="43"/>
      <c r="E160" s="40" t="str">
        <f ca="1">IF(COUNTIF($W$2:W1145,A160)=1,VLOOKUP(A160,Q:R,2), IF(COUNTIF($W$2:W1145,A160)=0,$C$9,""))</f>
        <v/>
      </c>
      <c r="F160" s="2" t="str">
        <f t="shared" ca="1" si="23"/>
        <v/>
      </c>
      <c r="G160" s="43" t="str">
        <f t="shared" ca="1" si="24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5"/>
        <v/>
      </c>
      <c r="K160" s="43" t="str">
        <f t="shared" ca="1" si="26"/>
        <v/>
      </c>
      <c r="L160" s="43"/>
      <c r="M160" s="44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9" t="str">
        <f t="shared" ca="1" si="21"/>
        <v/>
      </c>
      <c r="B161" s="40" t="str">
        <f ca="1">IF(COUNTIF($W$2:W1146,A161)=1,VLOOKUP(A161,O:P,2), IF(COUNTIF($W$2:W1146,A161)=0,$B$9,""))</f>
        <v/>
      </c>
      <c r="C161" s="2" t="str">
        <f t="shared" ca="1" si="22"/>
        <v/>
      </c>
      <c r="D161" s="43"/>
      <c r="E161" s="40" t="str">
        <f ca="1">IF(COUNTIF($W$2:W1146,A161)=1,VLOOKUP(A161,Q:R,2), IF(COUNTIF($W$2:W1146,A161)=0,$C$9,""))</f>
        <v/>
      </c>
      <c r="F161" s="2" t="str">
        <f t="shared" ca="1" si="23"/>
        <v/>
      </c>
      <c r="G161" s="43" t="str">
        <f t="shared" ca="1" si="24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5"/>
        <v/>
      </c>
      <c r="K161" s="43" t="str">
        <f t="shared" ca="1" si="26"/>
        <v/>
      </c>
      <c r="L161" s="43"/>
      <c r="M161" s="44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0"/>
        <v>46003</v>
      </c>
    </row>
    <row r="162" spans="1:30" x14ac:dyDescent="0.25">
      <c r="A162" s="39" t="str">
        <f t="shared" ca="1" si="21"/>
        <v/>
      </c>
      <c r="B162" s="40" t="str">
        <f ca="1">IF(COUNTIF($W$2:W1147,A162)=1,VLOOKUP(A162,O:P,2), IF(COUNTIF($W$2:W1147,A162)=0,$B$9,""))</f>
        <v/>
      </c>
      <c r="C162" s="2" t="str">
        <f t="shared" ca="1" si="22"/>
        <v/>
      </c>
      <c r="D162" s="43"/>
      <c r="E162" s="40" t="str">
        <f ca="1">IF(COUNTIF($W$2:W1147,A162)=1,VLOOKUP(A162,Q:R,2), IF(COUNTIF($W$2:W1147,A162)=0,$C$9,""))</f>
        <v/>
      </c>
      <c r="F162" s="2" t="str">
        <f t="shared" ca="1" si="23"/>
        <v/>
      </c>
      <c r="G162" s="43" t="str">
        <f t="shared" ca="1" si="24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5"/>
        <v/>
      </c>
      <c r="K162" s="43" t="str">
        <f t="shared" ca="1" si="26"/>
        <v/>
      </c>
      <c r="L162" s="43"/>
      <c r="M162" s="44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9" t="str">
        <f t="shared" ca="1" si="21"/>
        <v/>
      </c>
      <c r="B163" s="40" t="str">
        <f ca="1">IF(COUNTIF($W$2:W1148,A163)=1,VLOOKUP(A163,O:P,2), IF(COUNTIF($W$2:W1148,A163)=0,$B$9,""))</f>
        <v/>
      </c>
      <c r="C163" s="2" t="str">
        <f t="shared" ca="1" si="22"/>
        <v/>
      </c>
      <c r="D163" s="43"/>
      <c r="E163" s="40" t="str">
        <f ca="1">IF(COUNTIF($W$2:W1148,A163)=1,VLOOKUP(A163,Q:R,2), IF(COUNTIF($W$2:W1148,A163)=0,$C$9,""))</f>
        <v/>
      </c>
      <c r="F163" s="2" t="str">
        <f t="shared" ca="1" si="23"/>
        <v/>
      </c>
      <c r="G163" s="43" t="str">
        <f t="shared" ca="1" si="24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5"/>
        <v/>
      </c>
      <c r="K163" s="43" t="str">
        <f t="shared" ca="1" si="26"/>
        <v/>
      </c>
      <c r="L163" s="43"/>
      <c r="M163" s="44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9" t="str">
        <f t="shared" ca="1" si="21"/>
        <v/>
      </c>
      <c r="B164" s="40" t="str">
        <f ca="1">IF(COUNTIF($W$2:W1149,A164)=1,VLOOKUP(A164,O:P,2), IF(COUNTIF($W$2:W1149,A164)=0,$B$9,""))</f>
        <v/>
      </c>
      <c r="C164" s="2" t="str">
        <f t="shared" ca="1" si="22"/>
        <v/>
      </c>
      <c r="D164" s="43"/>
      <c r="E164" s="40" t="str">
        <f ca="1">IF(COUNTIF($W$2:W1149,A164)=1,VLOOKUP(A164,Q:R,2), IF(COUNTIF($W$2:W1149,A164)=0,$C$9,""))</f>
        <v/>
      </c>
      <c r="F164" s="2" t="str">
        <f t="shared" ca="1" si="23"/>
        <v/>
      </c>
      <c r="G164" s="43" t="str">
        <f t="shared" ca="1" si="24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5"/>
        <v/>
      </c>
      <c r="K164" s="43" t="str">
        <f t="shared" ca="1" si="26"/>
        <v/>
      </c>
      <c r="L164" s="43"/>
      <c r="M164" s="44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9" t="str">
        <f t="shared" ca="1" si="21"/>
        <v/>
      </c>
      <c r="B165" s="40" t="str">
        <f ca="1">IF(COUNTIF($W$2:W1150,A165)=1,VLOOKUP(A165,O:P,2), IF(COUNTIF($W$2:W1150,A165)=0,$B$9,""))</f>
        <v/>
      </c>
      <c r="C165" s="2" t="str">
        <f t="shared" ca="1" si="22"/>
        <v/>
      </c>
      <c r="D165" s="43"/>
      <c r="E165" s="40" t="str">
        <f ca="1">IF(COUNTIF($W$2:W1150,A165)=1,VLOOKUP(A165,Q:R,2), IF(COUNTIF($W$2:W1150,A165)=0,$C$9,""))</f>
        <v/>
      </c>
      <c r="F165" s="2" t="str">
        <f t="shared" ca="1" si="23"/>
        <v/>
      </c>
      <c r="G165" s="43" t="str">
        <f t="shared" ca="1" si="24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5"/>
        <v/>
      </c>
      <c r="K165" s="43" t="str">
        <f t="shared" ca="1" si="26"/>
        <v/>
      </c>
      <c r="L165" s="43"/>
      <c r="M165" s="44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9" t="str">
        <f t="shared" ca="1" si="21"/>
        <v/>
      </c>
      <c r="B166" s="40" t="str">
        <f ca="1">IF(COUNTIF($W$2:W1151,A166)=1,VLOOKUP(A166,O:P,2), IF(COUNTIF($W$2:W1151,A166)=0,$B$9,""))</f>
        <v/>
      </c>
      <c r="C166" s="2" t="str">
        <f t="shared" ca="1" si="22"/>
        <v/>
      </c>
      <c r="D166" s="43"/>
      <c r="E166" s="40" t="str">
        <f ca="1">IF(COUNTIF($W$2:W1151,A166)=1,VLOOKUP(A166,Q:R,2), IF(COUNTIF($W$2:W1151,A166)=0,$C$9,""))</f>
        <v/>
      </c>
      <c r="F166" s="2" t="str">
        <f t="shared" ca="1" si="23"/>
        <v/>
      </c>
      <c r="G166" s="43" t="str">
        <f t="shared" ca="1" si="24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5"/>
        <v/>
      </c>
      <c r="K166" s="43" t="str">
        <f t="shared" ca="1" si="26"/>
        <v/>
      </c>
      <c r="L166" s="43"/>
      <c r="M166" s="44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0"/>
        <v>46010</v>
      </c>
    </row>
    <row r="167" spans="1:30" x14ac:dyDescent="0.25">
      <c r="A167" s="39" t="str">
        <f t="shared" ca="1" si="21"/>
        <v/>
      </c>
      <c r="B167" s="40" t="str">
        <f ca="1">IF(COUNTIF($W$2:W1152,A167)=1,VLOOKUP(A167,O:P,2), IF(COUNTIF($W$2:W1152,A167)=0,$B$9,""))</f>
        <v/>
      </c>
      <c r="C167" s="2" t="str">
        <f t="shared" ca="1" si="22"/>
        <v/>
      </c>
      <c r="D167" s="43"/>
      <c r="E167" s="40" t="str">
        <f ca="1">IF(COUNTIF($W$2:W1152,A167)=1,VLOOKUP(A167,Q:R,2), IF(COUNTIF($W$2:W1152,A167)=0,$C$9,""))</f>
        <v/>
      </c>
      <c r="F167" s="2" t="str">
        <f t="shared" ca="1" si="23"/>
        <v/>
      </c>
      <c r="G167" s="43" t="str">
        <f t="shared" ca="1" si="24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5"/>
        <v/>
      </c>
      <c r="K167" s="43" t="str">
        <f t="shared" ca="1" si="26"/>
        <v/>
      </c>
      <c r="L167" s="43"/>
      <c r="M167" s="44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9"/>
      <c r="B168" s="40"/>
      <c r="C168" s="2"/>
      <c r="D168" s="43"/>
      <c r="E168" s="40"/>
      <c r="F168" s="2"/>
      <c r="G168" s="43"/>
      <c r="H168" s="40"/>
      <c r="I168" s="41"/>
      <c r="J168" s="41"/>
      <c r="K168" s="43"/>
      <c r="L168" s="43"/>
      <c r="M168" s="44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0"/>
        <v>46014</v>
      </c>
    </row>
    <row r="169" spans="1:30" x14ac:dyDescent="0.25">
      <c r="A169" s="39"/>
      <c r="B169" s="40"/>
      <c r="C169" s="2"/>
      <c r="D169" s="43"/>
      <c r="E169" s="40"/>
      <c r="F169" s="2"/>
      <c r="G169" s="43"/>
      <c r="H169" s="40"/>
      <c r="I169" s="41"/>
      <c r="J169" s="41"/>
      <c r="K169" s="43"/>
      <c r="L169" s="43"/>
      <c r="M169" s="44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9"/>
      <c r="B170" s="40"/>
      <c r="C170" s="2"/>
      <c r="D170" s="43"/>
      <c r="E170" s="40"/>
      <c r="F170" s="2"/>
      <c r="G170" s="43"/>
      <c r="H170" s="40"/>
      <c r="I170" s="41"/>
      <c r="J170" s="41"/>
      <c r="K170" s="43"/>
      <c r="L170" s="43"/>
      <c r="M170" s="44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0"/>
        <v>46020</v>
      </c>
    </row>
    <row r="171" spans="1:30" x14ac:dyDescent="0.25">
      <c r="A171" s="39"/>
      <c r="B171" s="40"/>
      <c r="C171" s="2"/>
      <c r="D171" s="43"/>
      <c r="E171" s="40"/>
      <c r="F171" s="2"/>
      <c r="G171" s="43"/>
      <c r="H171" s="40"/>
      <c r="I171" s="41"/>
      <c r="J171" s="41"/>
      <c r="K171" s="43"/>
      <c r="L171" s="43"/>
      <c r="M171" s="44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9"/>
      <c r="B172" s="40"/>
      <c r="C172" s="2"/>
      <c r="D172" s="43"/>
      <c r="E172" s="40"/>
      <c r="F172" s="2"/>
      <c r="G172" s="43"/>
      <c r="H172" s="40"/>
      <c r="I172" s="41"/>
      <c r="J172" s="41"/>
      <c r="K172" s="43"/>
      <c r="L172" s="43"/>
      <c r="M172" s="44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0"/>
        <v>46022</v>
      </c>
    </row>
    <row r="173" spans="1:30" x14ac:dyDescent="0.25">
      <c r="A173" s="39"/>
      <c r="B173" s="40"/>
      <c r="C173" s="2"/>
      <c r="D173" s="43"/>
      <c r="E173" s="40"/>
      <c r="F173" s="2"/>
      <c r="G173" s="43"/>
      <c r="H173" s="40"/>
      <c r="I173" s="41"/>
      <c r="J173" s="41"/>
      <c r="K173" s="43"/>
      <c r="L173" s="43"/>
      <c r="M173" s="44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0"/>
        <v>46024</v>
      </c>
    </row>
    <row r="174" spans="1:30" x14ac:dyDescent="0.25">
      <c r="A174" s="39"/>
      <c r="B174" s="40"/>
      <c r="C174" s="2"/>
      <c r="D174" s="43"/>
      <c r="E174" s="40"/>
      <c r="F174" s="2"/>
      <c r="G174" s="43"/>
      <c r="H174" s="40"/>
      <c r="I174" s="41"/>
      <c r="J174" s="41"/>
      <c r="K174" s="43"/>
      <c r="L174" s="43"/>
      <c r="M174" s="44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9"/>
      <c r="B175" s="40"/>
      <c r="C175" s="2"/>
      <c r="D175" s="43"/>
      <c r="E175" s="40"/>
      <c r="F175" s="2"/>
      <c r="G175" s="43"/>
      <c r="H175" s="40"/>
      <c r="I175" s="41"/>
      <c r="J175" s="41"/>
      <c r="K175" s="43"/>
      <c r="L175" s="43"/>
      <c r="M175" s="44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9"/>
      <c r="B176" s="40"/>
      <c r="C176" s="2"/>
      <c r="D176" s="43"/>
      <c r="E176" s="40"/>
      <c r="F176" s="2"/>
      <c r="G176" s="43"/>
      <c r="H176" s="40"/>
      <c r="I176" s="41"/>
      <c r="J176" s="41"/>
      <c r="K176" s="43"/>
      <c r="L176" s="43"/>
      <c r="M176" s="44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0"/>
        <v>46029</v>
      </c>
    </row>
    <row r="177" spans="1:30" x14ac:dyDescent="0.25">
      <c r="A177" s="39"/>
      <c r="B177" s="40"/>
      <c r="C177" s="2"/>
      <c r="D177" s="43"/>
      <c r="E177" s="40"/>
      <c r="F177" s="2"/>
      <c r="G177" s="43"/>
      <c r="H177" s="40"/>
      <c r="I177" s="41"/>
      <c r="J177" s="41"/>
      <c r="K177" s="43"/>
      <c r="L177" s="43"/>
      <c r="M177" s="44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0"/>
        <v>46030</v>
      </c>
    </row>
    <row r="178" spans="1:30" x14ac:dyDescent="0.25">
      <c r="A178" s="39"/>
      <c r="B178" s="40"/>
      <c r="C178" s="2"/>
      <c r="D178" s="43"/>
      <c r="E178" s="40"/>
      <c r="F178" s="2"/>
      <c r="G178" s="43"/>
      <c r="H178" s="40"/>
      <c r="I178" s="41"/>
      <c r="J178" s="41"/>
      <c r="K178" s="43"/>
      <c r="L178" s="43"/>
      <c r="M178" s="44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9"/>
      <c r="B179" s="40"/>
      <c r="C179" s="2"/>
      <c r="D179" s="43"/>
      <c r="E179" s="40"/>
      <c r="F179" s="2"/>
      <c r="G179" s="43"/>
      <c r="H179" s="40"/>
      <c r="I179" s="41"/>
      <c r="J179" s="41"/>
      <c r="K179" s="43"/>
      <c r="L179" s="43"/>
      <c r="M179" s="44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9"/>
      <c r="B180" s="40"/>
      <c r="C180" s="2"/>
      <c r="D180" s="43"/>
      <c r="E180" s="40"/>
      <c r="F180" s="2"/>
      <c r="G180" s="43"/>
      <c r="H180" s="40"/>
      <c r="I180" s="41"/>
      <c r="J180" s="41"/>
      <c r="K180" s="43"/>
      <c r="L180" s="43"/>
      <c r="M180" s="44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9"/>
      <c r="B181" s="40"/>
      <c r="C181" s="2"/>
      <c r="D181" s="43"/>
      <c r="E181" s="40"/>
      <c r="F181" s="2"/>
      <c r="G181" s="43"/>
      <c r="H181" s="40"/>
      <c r="I181" s="41"/>
      <c r="J181" s="41"/>
      <c r="K181" s="43"/>
      <c r="L181" s="43"/>
      <c r="M181" s="44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9"/>
      <c r="B182" s="40"/>
      <c r="C182" s="2"/>
      <c r="D182" s="43"/>
      <c r="E182" s="40"/>
      <c r="F182" s="2"/>
      <c r="G182" s="43"/>
      <c r="H182" s="40"/>
      <c r="I182" s="41"/>
      <c r="J182" s="41"/>
      <c r="K182" s="43"/>
      <c r="L182" s="43"/>
      <c r="M182" s="44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0"/>
        <v>46037</v>
      </c>
    </row>
    <row r="183" spans="1:30" x14ac:dyDescent="0.25">
      <c r="A183" s="39"/>
      <c r="B183" s="40"/>
      <c r="C183" s="2"/>
      <c r="D183" s="43"/>
      <c r="E183" s="40"/>
      <c r="F183" s="2"/>
      <c r="G183" s="43"/>
      <c r="H183" s="40"/>
      <c r="I183" s="41"/>
      <c r="J183" s="41"/>
      <c r="K183" s="43"/>
      <c r="L183" s="43"/>
      <c r="M183" s="44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9"/>
      <c r="B184" s="40"/>
      <c r="C184" s="2"/>
      <c r="D184" s="43"/>
      <c r="E184" s="40"/>
      <c r="F184" s="2"/>
      <c r="G184" s="43"/>
      <c r="H184" s="40"/>
      <c r="I184" s="41"/>
      <c r="J184" s="41"/>
      <c r="K184" s="43"/>
      <c r="L184" s="43"/>
      <c r="M184" s="44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9"/>
      <c r="B185" s="40"/>
      <c r="C185" s="2"/>
      <c r="D185" s="43"/>
      <c r="E185" s="40"/>
      <c r="F185" s="2"/>
      <c r="G185" s="43"/>
      <c r="H185" s="40"/>
      <c r="I185" s="41"/>
      <c r="J185" s="41"/>
      <c r="K185" s="43"/>
      <c r="L185" s="43"/>
      <c r="M185" s="44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0"/>
        <v>46042</v>
      </c>
    </row>
    <row r="186" spans="1:30" x14ac:dyDescent="0.25">
      <c r="A186" s="39"/>
      <c r="B186" s="40"/>
      <c r="C186" s="2"/>
      <c r="D186" s="43"/>
      <c r="E186" s="40"/>
      <c r="F186" s="2"/>
      <c r="G186" s="43"/>
      <c r="H186" s="40"/>
      <c r="I186" s="41"/>
      <c r="J186" s="41"/>
      <c r="K186" s="43"/>
      <c r="L186" s="43"/>
      <c r="M186" s="44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9"/>
      <c r="B187" s="40"/>
      <c r="C187" s="2"/>
      <c r="D187" s="43"/>
      <c r="E187" s="40"/>
      <c r="F187" s="2"/>
      <c r="G187" s="43"/>
      <c r="H187" s="40"/>
      <c r="I187" s="41"/>
      <c r="J187" s="41"/>
      <c r="K187" s="43"/>
      <c r="L187" s="43"/>
      <c r="M187" s="44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0"/>
        <v>46044</v>
      </c>
    </row>
    <row r="188" spans="1:30" x14ac:dyDescent="0.25">
      <c r="A188" s="39"/>
      <c r="B188" s="40"/>
      <c r="C188" s="2"/>
      <c r="D188" s="43"/>
      <c r="E188" s="40"/>
      <c r="F188" s="2"/>
      <c r="G188" s="43"/>
      <c r="H188" s="40"/>
      <c r="I188" s="41"/>
      <c r="J188" s="41"/>
      <c r="K188" s="43"/>
      <c r="L188" s="43"/>
      <c r="M188" s="44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9"/>
      <c r="B189" s="40"/>
      <c r="C189" s="2"/>
      <c r="D189" s="43"/>
      <c r="E189" s="40"/>
      <c r="F189" s="2"/>
      <c r="G189" s="43"/>
      <c r="H189" s="40"/>
      <c r="I189" s="41"/>
      <c r="J189" s="41"/>
      <c r="K189" s="43"/>
      <c r="L189" s="43"/>
      <c r="M189" s="44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9"/>
      <c r="B190" s="40"/>
      <c r="C190" s="2"/>
      <c r="D190" s="43"/>
      <c r="E190" s="40"/>
      <c r="F190" s="2"/>
      <c r="G190" s="43"/>
      <c r="H190" s="40"/>
      <c r="I190" s="41"/>
      <c r="J190" s="41"/>
      <c r="K190" s="43"/>
      <c r="L190" s="43"/>
      <c r="M190" s="44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0"/>
        <v>46049</v>
      </c>
    </row>
    <row r="191" spans="1:30" x14ac:dyDescent="0.25">
      <c r="A191" s="39"/>
      <c r="B191" s="40"/>
      <c r="C191" s="2"/>
      <c r="D191" s="43"/>
      <c r="E191" s="40"/>
      <c r="F191" s="2"/>
      <c r="G191" s="43"/>
      <c r="H191" s="40"/>
      <c r="I191" s="41"/>
      <c r="J191" s="41"/>
      <c r="K191" s="43"/>
      <c r="L191" s="43"/>
      <c r="M191" s="44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0"/>
        <v>46050</v>
      </c>
    </row>
    <row r="192" spans="1:30" x14ac:dyDescent="0.25">
      <c r="A192" s="39"/>
      <c r="B192" s="40"/>
      <c r="C192" s="2"/>
      <c r="D192" s="43"/>
      <c r="E192" s="40"/>
      <c r="F192" s="2"/>
      <c r="G192" s="43"/>
      <c r="H192" s="40"/>
      <c r="I192" s="41"/>
      <c r="J192" s="41"/>
      <c r="K192" s="43"/>
      <c r="L192" s="43"/>
      <c r="M192" s="44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9"/>
      <c r="B193" s="40"/>
      <c r="C193" s="2"/>
      <c r="D193" s="43"/>
      <c r="E193" s="40"/>
      <c r="F193" s="2"/>
      <c r="G193" s="43"/>
      <c r="H193" s="40"/>
      <c r="I193" s="41"/>
      <c r="J193" s="41"/>
      <c r="K193" s="43"/>
      <c r="L193" s="43"/>
      <c r="M193" s="44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9"/>
      <c r="B194" s="40"/>
      <c r="C194" s="2"/>
      <c r="D194" s="43"/>
      <c r="E194" s="40"/>
      <c r="F194" s="2"/>
      <c r="G194" s="43"/>
      <c r="H194" s="40"/>
      <c r="I194" s="41"/>
      <c r="J194" s="41"/>
      <c r="K194" s="43"/>
      <c r="L194" s="43"/>
      <c r="M194" s="44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9"/>
      <c r="B195" s="40"/>
      <c r="C195" s="2"/>
      <c r="D195" s="43"/>
      <c r="E195" s="40"/>
      <c r="F195" s="2"/>
      <c r="G195" s="43"/>
      <c r="H195" s="40"/>
      <c r="I195" s="41"/>
      <c r="J195" s="41"/>
      <c r="K195" s="43"/>
      <c r="L195" s="43"/>
      <c r="M195" s="44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9"/>
      <c r="B196" s="40"/>
      <c r="C196" s="2"/>
      <c r="D196" s="43"/>
      <c r="E196" s="40"/>
      <c r="F196" s="2"/>
      <c r="G196" s="43"/>
      <c r="H196" s="40"/>
      <c r="I196" s="41"/>
      <c r="J196" s="41"/>
      <c r="K196" s="43"/>
      <c r="L196" s="43"/>
      <c r="M196" s="44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9"/>
      <c r="B197" s="40"/>
      <c r="C197" s="2"/>
      <c r="D197" s="43"/>
      <c r="E197" s="40"/>
      <c r="F197" s="2"/>
      <c r="G197" s="43"/>
      <c r="H197" s="40"/>
      <c r="I197" s="41"/>
      <c r="J197" s="41"/>
      <c r="K197" s="43"/>
      <c r="L197" s="43"/>
      <c r="M197" s="44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9"/>
      <c r="B198" s="40"/>
      <c r="C198" s="2"/>
      <c r="D198" s="43"/>
      <c r="E198" s="40"/>
      <c r="F198" s="2"/>
      <c r="G198" s="43"/>
      <c r="H198" s="40"/>
      <c r="I198" s="41"/>
      <c r="J198" s="41"/>
      <c r="K198" s="43"/>
      <c r="L198" s="43"/>
      <c r="M198" s="44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9"/>
      <c r="B199" s="40"/>
      <c r="C199" s="2"/>
      <c r="D199" s="43"/>
      <c r="E199" s="40"/>
      <c r="F199" s="2"/>
      <c r="G199" s="43"/>
      <c r="H199" s="40"/>
      <c r="I199" s="41"/>
      <c r="J199" s="41"/>
      <c r="K199" s="43"/>
      <c r="L199" s="43"/>
      <c r="M199" s="44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29"/>
        <v>46062</v>
      </c>
    </row>
    <row r="200" spans="1:30" x14ac:dyDescent="0.25">
      <c r="A200" s="39"/>
      <c r="B200" s="40"/>
      <c r="C200" s="2"/>
      <c r="D200" s="43"/>
      <c r="E200" s="40"/>
      <c r="F200" s="2"/>
      <c r="G200" s="43"/>
      <c r="H200" s="40"/>
      <c r="I200" s="41"/>
      <c r="J200" s="41"/>
      <c r="K200" s="43"/>
      <c r="L200" s="43"/>
      <c r="M200" s="44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29"/>
        <v>46063</v>
      </c>
    </row>
    <row r="201" spans="1:30" x14ac:dyDescent="0.25">
      <c r="A201" s="39"/>
      <c r="B201" s="40"/>
      <c r="C201" s="2"/>
      <c r="D201" s="43"/>
      <c r="E201" s="40"/>
      <c r="F201" s="2"/>
      <c r="G201" s="43"/>
      <c r="H201" s="40"/>
      <c r="I201" s="41"/>
      <c r="J201" s="41"/>
      <c r="K201" s="43"/>
      <c r="L201" s="43"/>
      <c r="M201" s="44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29"/>
        <v>46064</v>
      </c>
    </row>
    <row r="202" spans="1:30" x14ac:dyDescent="0.25">
      <c r="A202" s="39"/>
      <c r="B202" s="40"/>
      <c r="C202" s="2"/>
      <c r="D202" s="43"/>
      <c r="E202" s="40"/>
      <c r="F202" s="2"/>
      <c r="G202" s="43"/>
      <c r="H202" s="40"/>
      <c r="I202" s="41"/>
      <c r="J202" s="41"/>
      <c r="K202" s="43"/>
      <c r="L202" s="43"/>
      <c r="M202" s="44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29"/>
        <v>46065</v>
      </c>
    </row>
    <row r="203" spans="1:30" x14ac:dyDescent="0.25">
      <c r="A203" s="39"/>
      <c r="B203" s="40"/>
      <c r="C203" s="2"/>
      <c r="D203" s="43"/>
      <c r="E203" s="40"/>
      <c r="F203" s="2"/>
      <c r="G203" s="43"/>
      <c r="H203" s="40"/>
      <c r="I203" s="41"/>
      <c r="J203" s="41"/>
      <c r="K203" s="43"/>
      <c r="L203" s="43"/>
      <c r="M203" s="44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29"/>
        <v>46066</v>
      </c>
    </row>
    <row r="204" spans="1:30" x14ac:dyDescent="0.25">
      <c r="A204" s="39"/>
      <c r="B204" s="40"/>
      <c r="C204" s="2"/>
      <c r="D204" s="43"/>
      <c r="E204" s="40"/>
      <c r="F204" s="2"/>
      <c r="G204" s="43"/>
      <c r="H204" s="40"/>
      <c r="I204" s="41"/>
      <c r="J204" s="41"/>
      <c r="K204" s="43"/>
      <c r="L204" s="43"/>
      <c r="M204" s="44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29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29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29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29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29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29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29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29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29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29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29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29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29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29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2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2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2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2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2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2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2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2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2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2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0"/>
        <v/>
      </c>
      <c r="V294" s="3" t="str">
        <f t="shared" si="31"/>
        <v/>
      </c>
      <c r="AD294" s="6" t="str">
        <f t="shared" si="32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6"/>
        <v/>
      </c>
      <c r="V422" s="3" t="str">
        <f t="shared" si="37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6"/>
        <v/>
      </c>
      <c r="V423" s="3" t="str">
        <f t="shared" si="37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6"/>
        <v/>
      </c>
      <c r="V424" s="3" t="str">
        <f t="shared" si="37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6"/>
        <v/>
      </c>
      <c r="V425" s="3" t="str">
        <f t="shared" si="37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6"/>
        <v/>
      </c>
      <c r="V426" s="3" t="str">
        <f t="shared" si="37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6"/>
        <v/>
      </c>
      <c r="V427" s="3" t="str">
        <f t="shared" si="37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6"/>
        <v/>
      </c>
      <c r="V428" s="3" t="str">
        <f t="shared" si="37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6"/>
        <v/>
      </c>
      <c r="V429" s="3" t="str">
        <f t="shared" si="37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6"/>
        <v/>
      </c>
      <c r="V430" s="3" t="str">
        <f t="shared" si="37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6"/>
        <v/>
      </c>
      <c r="V431" s="3" t="str">
        <f t="shared" si="37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6"/>
        <v/>
      </c>
      <c r="V432" s="3" t="str">
        <f t="shared" si="37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6"/>
        <v/>
      </c>
      <c r="V433" s="3" t="str">
        <f t="shared" si="37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6"/>
        <v/>
      </c>
      <c r="V434" s="3" t="str">
        <f t="shared" si="37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6"/>
        <v/>
      </c>
      <c r="V435" s="3" t="str">
        <f t="shared" si="37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6"/>
        <v/>
      </c>
      <c r="V436" s="3" t="str">
        <f t="shared" si="37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6"/>
        <v/>
      </c>
      <c r="V437" s="3" t="str">
        <f t="shared" si="37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6"/>
        <v/>
      </c>
      <c r="V438" s="3" t="str">
        <f t="shared" si="37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6"/>
        <v/>
      </c>
      <c r="V439" s="3" t="str">
        <f t="shared" si="37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6"/>
        <v/>
      </c>
      <c r="V440" s="3" t="str">
        <f t="shared" si="37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6"/>
        <v/>
      </c>
      <c r="V441" s="3" t="str">
        <f t="shared" si="37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6"/>
        <v/>
      </c>
      <c r="V442" s="3" t="str">
        <f t="shared" si="37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6"/>
        <v/>
      </c>
      <c r="V443" s="3" t="str">
        <f t="shared" si="37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6"/>
        <v/>
      </c>
      <c r="V444" s="3" t="str">
        <f t="shared" si="37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6"/>
        <v/>
      </c>
      <c r="V445" s="3" t="str">
        <f t="shared" si="37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6"/>
        <v/>
      </c>
      <c r="V446" s="3" t="str">
        <f t="shared" si="37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6"/>
        <v/>
      </c>
      <c r="V447" s="3" t="str">
        <f t="shared" si="37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6"/>
        <v/>
      </c>
      <c r="V448" s="3" t="str">
        <f t="shared" si="37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6"/>
        <v/>
      </c>
      <c r="V449" s="3" t="str">
        <f t="shared" si="37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6"/>
        <v/>
      </c>
      <c r="V450" s="3" t="str">
        <f t="shared" si="37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6"/>
        <v/>
      </c>
      <c r="V451" s="3" t="str">
        <f t="shared" si="37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39"/>
        <v/>
      </c>
      <c r="V453" s="3" t="str">
        <f t="shared" si="40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39"/>
        <v/>
      </c>
      <c r="V454" s="3" t="str">
        <f t="shared" si="40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39"/>
        <v/>
      </c>
      <c r="V455" s="3" t="str">
        <f t="shared" si="40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39"/>
        <v/>
      </c>
      <c r="V456" s="3" t="str">
        <f t="shared" si="40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39"/>
        <v/>
      </c>
      <c r="V457" s="3" t="str">
        <f t="shared" si="40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39"/>
        <v/>
      </c>
      <c r="V458" s="3" t="str">
        <f t="shared" si="40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39"/>
        <v/>
      </c>
      <c r="V459" s="3" t="str">
        <f t="shared" si="40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39"/>
        <v/>
      </c>
      <c r="V460" s="3" t="str">
        <f t="shared" si="40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39"/>
        <v/>
      </c>
      <c r="V461" s="3" t="str">
        <f t="shared" si="40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39"/>
        <v/>
      </c>
      <c r="V462" s="3" t="str">
        <f t="shared" si="40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39"/>
        <v/>
      </c>
      <c r="V463" s="3" t="str">
        <f t="shared" si="40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39"/>
        <v/>
      </c>
      <c r="V464" s="3" t="str">
        <f t="shared" si="40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39"/>
        <v/>
      </c>
      <c r="V465" s="3" t="str">
        <f t="shared" si="40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39"/>
        <v/>
      </c>
      <c r="V466" s="3" t="str">
        <f t="shared" si="40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39"/>
        <v/>
      </c>
      <c r="V467" s="3" t="str">
        <f t="shared" si="40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39"/>
        <v/>
      </c>
      <c r="V468" s="3" t="str">
        <f t="shared" si="40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39"/>
        <v/>
      </c>
      <c r="V469" s="3" t="str">
        <f t="shared" si="40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39"/>
        <v/>
      </c>
      <c r="V470" s="3" t="str">
        <f t="shared" si="40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39"/>
        <v/>
      </c>
      <c r="V471" s="3" t="str">
        <f t="shared" si="40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39"/>
        <v/>
      </c>
      <c r="V472" s="3" t="str">
        <f t="shared" si="40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39"/>
        <v/>
      </c>
      <c r="V473" s="3" t="str">
        <f t="shared" si="40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39"/>
        <v/>
      </c>
      <c r="V474" s="3" t="str">
        <f t="shared" si="40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39"/>
        <v/>
      </c>
      <c r="V475" s="3" t="str">
        <f t="shared" si="40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39"/>
        <v/>
      </c>
      <c r="V476" s="3" t="str">
        <f t="shared" si="40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39"/>
        <v/>
      </c>
      <c r="V477" s="3" t="str">
        <f t="shared" si="40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39"/>
        <v/>
      </c>
      <c r="V478" s="3" t="str">
        <f t="shared" si="40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39"/>
        <v/>
      </c>
      <c r="V479" s="3" t="str">
        <f t="shared" si="40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39"/>
        <v/>
      </c>
      <c r="V480" s="3" t="str">
        <f t="shared" si="40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39"/>
        <v/>
      </c>
      <c r="V481" s="3" t="str">
        <f t="shared" si="40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39"/>
        <v/>
      </c>
      <c r="V482" s="3" t="str">
        <f t="shared" si="40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39"/>
        <v/>
      </c>
      <c r="V483" s="3" t="str">
        <f t="shared" si="40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39"/>
        <v/>
      </c>
      <c r="V484" s="3" t="str">
        <f t="shared" si="40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39"/>
        <v/>
      </c>
      <c r="V485" s="3" t="str">
        <f t="shared" si="40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39"/>
        <v/>
      </c>
      <c r="V486" s="3" t="str">
        <f t="shared" si="40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39"/>
        <v/>
      </c>
      <c r="V487" s="3" t="str">
        <f t="shared" si="40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39"/>
        <v/>
      </c>
      <c r="V488" s="3" t="str">
        <f t="shared" si="40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39"/>
        <v/>
      </c>
      <c r="V489" s="3" t="str">
        <f t="shared" si="40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39"/>
        <v/>
      </c>
      <c r="V490" s="3" t="str">
        <f t="shared" si="40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39"/>
        <v/>
      </c>
      <c r="V491" s="3" t="str">
        <f t="shared" si="40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39"/>
        <v/>
      </c>
      <c r="V492" s="3" t="str">
        <f t="shared" si="40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39"/>
        <v/>
      </c>
      <c r="V493" s="3" t="str">
        <f t="shared" si="40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39"/>
        <v/>
      </c>
      <c r="V494" s="3" t="str">
        <f t="shared" si="40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39"/>
        <v/>
      </c>
      <c r="V495" s="3" t="str">
        <f t="shared" si="40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39"/>
        <v/>
      </c>
      <c r="V496" s="3" t="str">
        <f t="shared" si="40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39"/>
        <v/>
      </c>
      <c r="V497" s="3" t="str">
        <f t="shared" si="40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39"/>
        <v/>
      </c>
      <c r="V498" s="3" t="str">
        <f t="shared" si="40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39"/>
        <v/>
      </c>
      <c r="V499" s="3" t="str">
        <f t="shared" si="40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39"/>
        <v/>
      </c>
      <c r="V500" s="3" t="str">
        <f t="shared" si="40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39"/>
        <v/>
      </c>
      <c r="V501" s="3" t="str">
        <f t="shared" si="40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39"/>
        <v/>
      </c>
      <c r="V502" s="3" t="str">
        <f t="shared" si="40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39"/>
        <v/>
      </c>
      <c r="V503" s="3" t="str">
        <f t="shared" si="40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39"/>
        <v/>
      </c>
      <c r="V504" s="3" t="str">
        <f t="shared" si="40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39"/>
        <v/>
      </c>
      <c r="V505" s="3" t="str">
        <f t="shared" si="40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39"/>
        <v/>
      </c>
      <c r="V506" s="3" t="str">
        <f t="shared" si="40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39"/>
        <v/>
      </c>
      <c r="V507" s="3" t="str">
        <f t="shared" si="40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39"/>
        <v/>
      </c>
      <c r="V508" s="3" t="str">
        <f t="shared" si="40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39"/>
        <v/>
      </c>
      <c r="V509" s="3" t="str">
        <f t="shared" si="40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39"/>
        <v/>
      </c>
      <c r="V510" s="3" t="str">
        <f t="shared" si="40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39"/>
        <v/>
      </c>
      <c r="V511" s="3" t="str">
        <f t="shared" si="40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39"/>
        <v/>
      </c>
      <c r="V512" s="3" t="str">
        <f t="shared" si="40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39"/>
        <v/>
      </c>
      <c r="V513" s="3" t="str">
        <f t="shared" si="40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39"/>
        <v/>
      </c>
      <c r="V514" s="3" t="str">
        <f t="shared" si="40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39"/>
        <v/>
      </c>
      <c r="V515" s="3" t="str">
        <f t="shared" si="40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1"/>
        <v/>
      </c>
      <c r="V517" s="3" t="str">
        <f t="shared" si="42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1"/>
        <v/>
      </c>
      <c r="V518" s="3" t="str">
        <f t="shared" si="42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1"/>
        <v/>
      </c>
      <c r="V519" s="3" t="str">
        <f t="shared" si="42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1"/>
        <v/>
      </c>
      <c r="V520" s="3" t="str">
        <f t="shared" si="42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1"/>
        <v/>
      </c>
      <c r="V521" s="3" t="str">
        <f t="shared" si="42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1"/>
        <v/>
      </c>
      <c r="V522" s="3" t="str">
        <f t="shared" si="42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1"/>
        <v/>
      </c>
      <c r="V523" s="3" t="str">
        <f t="shared" si="42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1"/>
        <v/>
      </c>
      <c r="V524" s="3" t="str">
        <f t="shared" si="42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1"/>
        <v/>
      </c>
      <c r="V525" s="3" t="str">
        <f t="shared" si="42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1"/>
        <v/>
      </c>
      <c r="V526" s="3" t="str">
        <f t="shared" si="42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1"/>
        <v/>
      </c>
      <c r="V527" s="3" t="str">
        <f t="shared" si="42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1"/>
        <v/>
      </c>
      <c r="V528" s="3" t="str">
        <f t="shared" si="42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1"/>
        <v/>
      </c>
      <c r="V529" s="3" t="str">
        <f t="shared" si="42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1"/>
        <v/>
      </c>
      <c r="V530" s="3" t="str">
        <f t="shared" si="42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1"/>
        <v/>
      </c>
      <c r="V531" s="3" t="str">
        <f t="shared" si="42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1"/>
        <v/>
      </c>
      <c r="V532" s="3" t="str">
        <f t="shared" si="42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1"/>
        <v/>
      </c>
      <c r="V533" s="3" t="str">
        <f t="shared" si="42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1"/>
        <v/>
      </c>
      <c r="V534" s="3" t="str">
        <f t="shared" si="42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1"/>
        <v/>
      </c>
      <c r="V535" s="3" t="str">
        <f t="shared" si="42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1"/>
        <v/>
      </c>
      <c r="V536" s="3" t="str">
        <f t="shared" si="42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1"/>
        <v/>
      </c>
      <c r="V537" s="3" t="str">
        <f t="shared" si="42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1"/>
        <v/>
      </c>
      <c r="V538" s="3" t="str">
        <f t="shared" si="42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1"/>
        <v/>
      </c>
      <c r="V539" s="3" t="str">
        <f t="shared" si="42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1"/>
        <v/>
      </c>
      <c r="V540" s="3" t="str">
        <f t="shared" si="42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1"/>
        <v/>
      </c>
      <c r="V541" s="3" t="str">
        <f t="shared" si="42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1"/>
        <v/>
      </c>
      <c r="V542" s="3" t="str">
        <f t="shared" si="42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1"/>
        <v/>
      </c>
      <c r="V543" s="3" t="str">
        <f t="shared" si="42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1"/>
        <v/>
      </c>
      <c r="V544" s="3" t="str">
        <f t="shared" si="42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1"/>
        <v/>
      </c>
      <c r="V545" s="3" t="str">
        <f t="shared" si="42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1"/>
        <v/>
      </c>
      <c r="V546" s="3" t="str">
        <f t="shared" si="42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1"/>
        <v/>
      </c>
      <c r="V547" s="3" t="str">
        <f t="shared" si="42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1"/>
        <v/>
      </c>
      <c r="V548" s="3" t="str">
        <f t="shared" si="42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1"/>
        <v/>
      </c>
      <c r="V549" s="3" t="str">
        <f t="shared" si="42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1"/>
        <v/>
      </c>
      <c r="V550" s="3" t="str">
        <f t="shared" si="42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1"/>
        <v/>
      </c>
      <c r="V551" s="3" t="str">
        <f t="shared" si="42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1"/>
        <v/>
      </c>
      <c r="V552" s="3" t="str">
        <f t="shared" si="42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1"/>
        <v/>
      </c>
      <c r="V553" s="3" t="str">
        <f t="shared" si="42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N116:N1048576">
    <cfRule type="cellIs" dxfId="1" priority="1" operator="lessThan">
      <formula>0</formula>
    </cfRule>
  </conditionalFormatting>
  <hyperlinks>
    <hyperlink ref="C4" r:id="rId1" xr:uid="{6C4C57D9-4726-441F-9EAB-7E3358A8344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CF79-EBAC-4D1D-BC42-EA7D209C209A}">
  <dimension ref="A1:AI569"/>
  <sheetViews>
    <sheetView zoomScale="90" zoomScaleNormal="90" workbookViewId="0">
      <selection activeCell="O3" sqref="O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329091.7068889864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9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13</v>
      </c>
      <c r="C4" s="24" t="s">
        <v>14</v>
      </c>
      <c r="D4" s="23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46114.625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 t="str">
        <f t="shared" si="1"/>
        <v/>
      </c>
      <c r="W5" s="3">
        <v>46119.625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 t="str">
        <f t="shared" si="1"/>
        <v/>
      </c>
      <c r="W6" s="3">
        <v>46120.625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 cm="1">
        <f t="array" ref="B7">_xll.BDP("EURR002W INDEX","PX_LAST")/100+0.25/100</f>
        <v>2.6499999999999999E-2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 t="str">
        <f t="shared" si="1"/>
        <v/>
      </c>
      <c r="W7" s="3">
        <v>46121.625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 t="str">
        <f t="shared" si="1"/>
        <v/>
      </c>
      <c r="W8" s="3">
        <v>46122.625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91.16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 t="str">
        <f t="shared" si="1"/>
        <v/>
      </c>
      <c r="W9" s="3">
        <v>46125.625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 t="str">
        <f t="shared" si="1"/>
        <v/>
      </c>
      <c r="W10" s="3">
        <v>46126.625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 t="str">
        <f t="shared" si="1"/>
        <v/>
      </c>
      <c r="W11" s="3">
        <v>46127.625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 t="str">
        <f t="shared" si="1"/>
        <v/>
      </c>
      <c r="W12" s="3">
        <v>46128.625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 t="str">
        <f t="shared" si="1"/>
        <v/>
      </c>
      <c r="W13" s="3">
        <v>46129.625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46113.625</v>
      </c>
      <c r="B14" s="40">
        <f>IF(COUNTIF($W$2:W999,A14)=1,VLOOKUP(A14,O:P,2), IF(COUNTIF($W$2:W999,A14)=0,$B$9,""))</f>
        <v>91.16</v>
      </c>
      <c r="C14" s="2"/>
      <c r="D14" s="18"/>
      <c r="E14" s="40">
        <f>IF(COUNTIF($W$2:W999,A14)=1,VLOOKUP(A14,Q:R,2), IF(COUNTIF($W$2:W999,A14)=0,$C$9,""))</f>
        <v>99.747</v>
      </c>
      <c r="F14" s="1"/>
      <c r="G14" s="18"/>
      <c r="H14" s="40">
        <f>IF(COUNTIF($W$2:W999,A14)=1,VLOOKUP(A14,S:T,2), IF(COUNTIF($W$2:W999,A14)=0,$D$9,""))</f>
        <v>247.30670000000001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 t="str">
        <f t="shared" si="1"/>
        <v/>
      </c>
      <c r="W14" s="3">
        <v>46132.625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46114.625</v>
      </c>
      <c r="B15" s="40">
        <f ca="1">IF(COUNTIF($W$2:W1000,A15)=1,VLOOKUP(A15,O:P,2), IF(COUNTIF($W$2:W1000,A15)=0,$B$9,""))</f>
        <v>89.7</v>
      </c>
      <c r="C15" s="2">
        <f ca="1">IF(ISERROR(B15-2),"",(B15/$B$14-1)*$B$5)</f>
        <v>-480473.89205791877</v>
      </c>
      <c r="D15" s="43">
        <f ca="1">IF(ISERROR(B15-2),"",-1*(INT(A15)-INT($A$14))/360*$B$7*$B$5)</f>
        <v>-2208.3333333333335</v>
      </c>
      <c r="E15" s="40">
        <f ca="1">IF(COUNTIF($W$2:W1000,A15)=1,VLOOKUP(A15,Q:R,2), IF(COUNTIF($W$2:W1000,A15)=0,$C$9,""))</f>
        <v>99.484999999999999</v>
      </c>
      <c r="F15" s="2">
        <f ca="1">IF(ISERROR(B15-2),"",(E15-$E$14)/100*$C$5)</f>
        <v>-68120.000000000116</v>
      </c>
      <c r="G15" s="43">
        <f ca="1">IF(ISERROR(B15-2),"",(INT(A15)-INT($A$14))/360*$C$6*$C$5-(INT(A15)-INT($A$14))/360*$C$7*$C$5*$E$14/100)</f>
        <v>4.3853333333333921</v>
      </c>
      <c r="H15" s="40">
        <f ca="1">IF(COUNTIF($W$2:W1000,A15)=1,VLOOKUP(A15,S:T,2), IF(COUNTIF($W$2:W1000,A15)=0,$D$9,""))</f>
        <v>326.72000000000003</v>
      </c>
      <c r="I15" s="41">
        <f ca="1">IF(COUNTIF($X$2:X1000,INT(A15))=1,VLOOKUP(INT(A15),X:Y,2), IF(ISERROR(H15-2),"",I14*(1-$D$8*(H15-H14)*0.0001)))</f>
        <v>259.01429999999999</v>
      </c>
      <c r="J15" s="41">
        <f ca="1">IF(ISERROR(H15-2),"",I15)</f>
        <v>259.01429999999999</v>
      </c>
      <c r="K15" s="43">
        <f ca="1">IF(ISERROR(H15-2),"",(J15/$J$14-1)*$D$5)</f>
        <v>-365654.44015444181</v>
      </c>
      <c r="L15" s="43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4">
        <f ca="1">IF(ISERROR(B15-2),"",C15+D15-F15-G15-K15+SUM($L$14:L15))</f>
        <v>-48912.170570143498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 t="str">
        <f t="shared" si="1"/>
        <v/>
      </c>
      <c r="W15" s="3">
        <v>46133.625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46119.625</v>
      </c>
      <c r="B16" s="40">
        <f ca="1">IF(COUNTIF($W$2:W1001,A16)=1,VLOOKUP(A16,O:P,2), IF(COUNTIF($W$2:W1001,A16)=0,$B$9,""))</f>
        <v>89.6</v>
      </c>
      <c r="C16" s="2">
        <f t="shared" ref="C16:C79" ca="1" si="4">IF(ISERROR(B16-2),"",(B16/$B$14-1)*$B$5)</f>
        <v>-513383.06274681946</v>
      </c>
      <c r="D16" s="43">
        <f t="shared" ref="D16:D79" ca="1" si="5">IF(ISERROR(B16-2),"",-1*(INT(A16)-INT($A$14))/360*$B$7*$B$5)</f>
        <v>-13250</v>
      </c>
      <c r="E16" s="40">
        <f ca="1">IF(COUNTIF($W$2:W1001,A16)=1,VLOOKUP(A16,Q:R,2), IF(COUNTIF($W$2:W1001,A16)=0,$C$9,""))</f>
        <v>99.212999999999994</v>
      </c>
      <c r="F16" s="2">
        <f t="shared" ref="F16:F79" ca="1" si="6">IF(ISERROR(B16-2),"",(E16-$E$14)/100*$C$5)</f>
        <v>-138840.00000000157</v>
      </c>
      <c r="G16" s="43">
        <f t="shared" ref="G16:G79" ca="1" si="7">IF(ISERROR(B16-2),"",(INT(A16)-INT($A$14))/360*$C$6*$C$5-(INT(A16)-INT($A$14))/360*$C$7*$C$5*$E$14/100)</f>
        <v>26.311999999999898</v>
      </c>
      <c r="H16" s="40">
        <f ca="1">IF(COUNTIF($W$2:W1001,A16)=1,VLOOKUP(A16,S:T,2), IF(COUNTIF($W$2:W1001,A16)=0,$D$9,""))</f>
        <v>333.96699999999998</v>
      </c>
      <c r="I16" s="41">
        <f ca="1">IF(COUNTIF($X$2:X1001,INT(A16))=1,VLOOKUP(INT(A16),X:Y,2), IF(ISERROR(H16-2),"",I15*(1-$D$8*(H16-H15)*0.0001)))</f>
        <v>258.06200000000001</v>
      </c>
      <c r="J16" s="41">
        <f t="shared" ref="J16:J79" ca="1" si="8">IF(ISERROR(H16-2),"",I16)</f>
        <v>258.06200000000001</v>
      </c>
      <c r="K16" s="43">
        <f t="shared" ref="K16:K79" ca="1" si="9">IF(ISERROR(H16-2),"",(J16/$J$14-1)*$D$5)</f>
        <v>-433063.06306306168</v>
      </c>
      <c r="L16" s="43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4">
        <f ca="1">IF(ISERROR(B16-2),"",C16+D16-F16-G16-K16+SUM($L$14:L16))</f>
        <v>45243.688316243817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 t="str">
        <f t="shared" si="1"/>
        <v/>
      </c>
      <c r="W16" s="3">
        <v>46134.625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46120.625</v>
      </c>
      <c r="B17" s="40">
        <f ca="1">IF(COUNTIF($W$2:W1002,A17)=1,VLOOKUP(A17,O:P,2), IF(COUNTIF($W$2:W1002,A17)=0,$B$9,""))</f>
        <v>90.56</v>
      </c>
      <c r="C17" s="2">
        <f t="shared" ca="1" si="4"/>
        <v>-197455.02413339054</v>
      </c>
      <c r="D17" s="43">
        <f t="shared" ca="1" si="5"/>
        <v>-15458.333333333334</v>
      </c>
      <c r="E17" s="40">
        <f ca="1">IF(COUNTIF($W$2:W1002,A17)=1,VLOOKUP(A17,Q:R,2), IF(COUNTIF($W$2:W1002,A17)=0,$C$9,""))</f>
        <v>99.777000000000001</v>
      </c>
      <c r="F17" s="2">
        <f t="shared" ca="1" si="6"/>
        <v>7800.0000000002956</v>
      </c>
      <c r="G17" s="43">
        <f t="shared" ca="1" si="7"/>
        <v>30.697333333333518</v>
      </c>
      <c r="H17" s="40">
        <f ca="1">IF(COUNTIF($W$2:W1002,A17)=1,VLOOKUP(A17,S:T,2), IF(COUNTIF($W$2:W1002,A17)=0,$D$9,""))</f>
        <v>301.61900000000003</v>
      </c>
      <c r="I17" s="41">
        <f ca="1">IF(COUNTIF($X$2:X1002,INT(A17))=1,VLOOKUP(INT(A17),X:Y,2), IF(ISERROR(H17-2),"",I16*(1-$D$8*(H17-H16)*0.0001)))</f>
        <v>262.38350000000003</v>
      </c>
      <c r="J17" s="41">
        <f t="shared" ca="1" si="8"/>
        <v>262.38350000000003</v>
      </c>
      <c r="K17" s="43">
        <f t="shared" ca="1" si="9"/>
        <v>-127165.37966537764</v>
      </c>
      <c r="L17" s="43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4">
        <f ca="1">IF(ISERROR(B17-2),"",C17+D17-F17-G17-K17+SUM($L$14:L17))</f>
        <v>-93578.675134679885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 t="str">
        <f t="shared" si="1"/>
        <v/>
      </c>
      <c r="W17" s="3">
        <v>46135.625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46121.625</v>
      </c>
      <c r="B18" s="40">
        <f ca="1">IF(COUNTIF($W$2:W1003,A18)=1,VLOOKUP(A18,O:P,2), IF(COUNTIF($W$2:W1003,A18)=0,$B$9,""))</f>
        <v>90.47</v>
      </c>
      <c r="C18" s="2">
        <f t="shared" ca="1" si="4"/>
        <v>-227073.27775340015</v>
      </c>
      <c r="D18" s="43">
        <f t="shared" ca="1" si="5"/>
        <v>-17666.666666666668</v>
      </c>
      <c r="E18" s="40">
        <f ca="1">IF(COUNTIF($W$2:W1003,A18)=1,VLOOKUP(A18,Q:R,2), IF(COUNTIF($W$2:W1003,A18)=0,$C$9,""))</f>
        <v>99.576999999999998</v>
      </c>
      <c r="F18" s="2">
        <f t="shared" ca="1" si="6"/>
        <v>-44200.000000000444</v>
      </c>
      <c r="G18" s="43">
        <f t="shared" ca="1" si="7"/>
        <v>35.082666666667137</v>
      </c>
      <c r="H18" s="40">
        <f ca="1">IF(COUNTIF($W$2:W1003,A18)=1,VLOOKUP(A18,S:T,2), IF(COUNTIF($W$2:W1003,A18)=0,$D$9,""))</f>
        <v>299.79199999999997</v>
      </c>
      <c r="I18" s="41">
        <f ca="1">IF(COUNTIF($X$2:X1003,INT(A18))=1,VLOOKUP(INT(A18),X:Y,2), IF(ISERROR(H18-2),"",I17*(1-$D$8*(H18-H17)*0.0001)))</f>
        <v>263.26260000000002</v>
      </c>
      <c r="J18" s="41">
        <f t="shared" ca="1" si="8"/>
        <v>263.26260000000002</v>
      </c>
      <c r="K18" s="43">
        <f t="shared" ca="1" si="9"/>
        <v>-64938.223938223447</v>
      </c>
      <c r="L18" s="43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4">
        <f ca="1">IF(ISERROR(B18-2),"",C18+D18-F18-G18-K18+SUM($L$14:L18))</f>
        <v>-135636.80314850959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 t="str">
        <f t="shared" si="1"/>
        <v/>
      </c>
      <c r="W18" s="3">
        <v>46136.625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46122.625</v>
      </c>
      <c r="B19" s="40">
        <f ca="1">IF(COUNTIF($W$2:W1004,A19)=1,VLOOKUP(A19,O:P,2), IF(COUNTIF($W$2:W1004,A19)=0,$B$9,""))</f>
        <v>90.75</v>
      </c>
      <c r="C19" s="2">
        <f t="shared" ca="1" si="4"/>
        <v>-134927.59982448365</v>
      </c>
      <c r="D19" s="43">
        <f t="shared" ca="1" si="5"/>
        <v>-19875</v>
      </c>
      <c r="E19" s="40">
        <f ca="1">IF(COUNTIF($W$2:W1004,A19)=1,VLOOKUP(A19,Q:R,2), IF(COUNTIF($W$2:W1004,A19)=0,$C$9,""))</f>
        <v>99.55</v>
      </c>
      <c r="F19" s="2">
        <f t="shared" ca="1" si="6"/>
        <v>-51220.000000000713</v>
      </c>
      <c r="G19" s="43">
        <f t="shared" ca="1" si="7"/>
        <v>39.468000000000757</v>
      </c>
      <c r="H19" s="40">
        <f ca="1">IF(COUNTIF($W$2:W1004,A19)=1,VLOOKUP(A19,S:T,2), IF(COUNTIF($W$2:W1004,A19)=0,$D$9,""))</f>
        <v>291.34300000000002</v>
      </c>
      <c r="I19" s="41">
        <f ca="1">IF(COUNTIF($X$2:X1004,INT(A19))=1,VLOOKUP(INT(A19),X:Y,2), IF(ISERROR(H19-2),"",I18*(1-$D$8*(H19-H18)*0.0001)))</f>
        <v>263.29309999999998</v>
      </c>
      <c r="J19" s="41">
        <f t="shared" ca="1" si="8"/>
        <v>263.29309999999998</v>
      </c>
      <c r="K19" s="43">
        <f t="shared" ca="1" si="9"/>
        <v>-62779.279279281996</v>
      </c>
      <c r="L19" s="43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4">
        <f ca="1">IF(ISERROR(B19-2),"",C19+D19-F19-G19-K19+SUM($L$14:L19))</f>
        <v>-40842.78854520095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 t="str">
        <f t="shared" si="1"/>
        <v/>
      </c>
      <c r="W19" s="3">
        <v>46139.625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46125.625</v>
      </c>
      <c r="B20" s="40">
        <f ca="1">IF(COUNTIF($W$2:W1005,A20)=1,VLOOKUP(A20,O:P,2), IF(COUNTIF($W$2:W1005,A20)=0,$B$9,""))</f>
        <v>90.46</v>
      </c>
      <c r="C20" s="2">
        <f t="shared" ca="1" si="4"/>
        <v>-230364.1948222912</v>
      </c>
      <c r="D20" s="43">
        <f t="shared" ca="1" si="5"/>
        <v>-26500</v>
      </c>
      <c r="E20" s="40">
        <f ca="1">IF(COUNTIF($W$2:W1005,A20)=1,VLOOKUP(A20,Q:R,2), IF(COUNTIF($W$2:W1005,A20)=0,$C$9,""))</f>
        <v>99.418000000000006</v>
      </c>
      <c r="F20" s="2">
        <f t="shared" ca="1" si="6"/>
        <v>-85539.999999998312</v>
      </c>
      <c r="G20" s="43">
        <f t="shared" ca="1" si="7"/>
        <v>52.623999999999796</v>
      </c>
      <c r="H20" s="40">
        <f ca="1">IF(COUNTIF($W$2:W1005,A20)=1,VLOOKUP(A20,S:T,2), IF(COUNTIF($W$2:W1005,A20)=0,$D$9,""))</f>
        <v>294.25299999999999</v>
      </c>
      <c r="I20" s="41">
        <f ca="1">IF(COUNTIF($X$2:X1005,INT(A20))=1,VLOOKUP(INT(A20),X:Y,2), IF(ISERROR(H20-2),"",I19*(1-$D$8*(H20-H19)*0.0001)))</f>
        <v>263.03910000000002</v>
      </c>
      <c r="J20" s="41">
        <f t="shared" ca="1" si="8"/>
        <v>263.03910000000002</v>
      </c>
      <c r="K20" s="43">
        <f t="shared" ca="1" si="9"/>
        <v>-80758.687258685532</v>
      </c>
      <c r="L20" s="43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4">
        <f ca="1">IF(ISERROR(B20-2),"",C20+D20-F20-G20-K20+SUM($L$14:L20))</f>
        <v>-90618.13156360737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 t="str">
        <f t="shared" si="1"/>
        <v/>
      </c>
      <c r="W20" s="3">
        <v>46140.625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46126.625</v>
      </c>
      <c r="B21" s="40">
        <f ca="1">IF(COUNTIF($W$2:W1006,A21)=1,VLOOKUP(A21,O:P,2), IF(COUNTIF($W$2:W1006,A21)=0,$B$9,""))</f>
        <v>90.75</v>
      </c>
      <c r="C21" s="2">
        <f t="shared" ca="1" si="4"/>
        <v>-134927.59982448365</v>
      </c>
      <c r="D21" s="43">
        <f t="shared" ca="1" si="5"/>
        <v>-28708.333333333328</v>
      </c>
      <c r="E21" s="40">
        <f ca="1">IF(COUNTIF($W$2:W1006,A21)=1,VLOOKUP(A21,Q:R,2), IF(COUNTIF($W$2:W1006,A21)=0,$C$9,""))</f>
        <v>99.619</v>
      </c>
      <c r="F21" s="2">
        <f t="shared" ca="1" si="6"/>
        <v>-33280.000000000029</v>
      </c>
      <c r="G21" s="43">
        <f t="shared" ca="1" si="7"/>
        <v>57.009333333331597</v>
      </c>
      <c r="H21" s="40">
        <f ca="1">IF(COUNTIF($W$2:W1006,A21)=1,VLOOKUP(A21,S:T,2), IF(COUNTIF($W$2:W1006,A21)=0,$D$9,""))</f>
        <v>282.697</v>
      </c>
      <c r="I21" s="41">
        <f ca="1">IF(COUNTIF($X$2:X1006,INT(A21))=1,VLOOKUP(INT(A21),X:Y,2), IF(ISERROR(H21-2),"",I20*(1-$D$8*(H21-H20)*0.0001)))</f>
        <v>264.6927</v>
      </c>
      <c r="J21" s="41">
        <f t="shared" ca="1" si="8"/>
        <v>264.6927</v>
      </c>
      <c r="K21" s="43">
        <f t="shared" ca="1" si="9"/>
        <v>36291.505791503594</v>
      </c>
      <c r="L21" s="43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4">
        <f ca="1">IF(ISERROR(B21-2),"",C21+D21-F21-G21-K21+SUM($L$14:L21))</f>
        <v>-166704.4482826539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 t="str">
        <f t="shared" si="1"/>
        <v/>
      </c>
      <c r="W21" s="3">
        <v>46141.625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46127.625</v>
      </c>
      <c r="B22" s="40">
        <f ca="1">IF(COUNTIF($W$2:W1007,A22)=1,VLOOKUP(A22,O:P,2), IF(COUNTIF($W$2:W1007,A22)=0,$B$9,""))</f>
        <v>90.88</v>
      </c>
      <c r="C22" s="2">
        <f t="shared" ca="1" si="4"/>
        <v>-92145.677928916484</v>
      </c>
      <c r="D22" s="43">
        <f t="shared" ca="1" si="5"/>
        <v>-30916.666666666668</v>
      </c>
      <c r="E22" s="40">
        <f ca="1">IF(COUNTIF($W$2:W1007,A22)=1,VLOOKUP(A22,Q:R,2), IF(COUNTIF($W$2:W1007,A22)=0,$C$9,""))</f>
        <v>99.653999999999996</v>
      </c>
      <c r="F22" s="2">
        <f t="shared" ca="1" si="6"/>
        <v>-24180.000000000917</v>
      </c>
      <c r="G22" s="43">
        <f t="shared" ca="1" si="7"/>
        <v>61.394666666667035</v>
      </c>
      <c r="H22" s="40">
        <f ca="1">IF(COUNTIF($W$2:W1007,A22)=1,VLOOKUP(A22,S:T,2), IF(COUNTIF($W$2:W1007,A22)=0,$D$9,""))</f>
        <v>282.51900000000001</v>
      </c>
      <c r="I22" s="41">
        <f ca="1">IF(COUNTIF($X$2:X1007,INT(A22))=1,VLOOKUP(INT(A22),X:Y,2), IF(ISERROR(H22-2),"",I21*(1-$D$8*(H22-H21)*0.0001)))</f>
        <v>264.62900000000002</v>
      </c>
      <c r="J22" s="41">
        <f t="shared" ca="1" si="8"/>
        <v>264.62900000000002</v>
      </c>
      <c r="K22" s="43">
        <f t="shared" ca="1" si="9"/>
        <v>31782.496782496895</v>
      </c>
      <c r="L22" s="43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4">
        <f ca="1">IF(ISERROR(B22-2),"",C22+D22-F22-G22-K22+SUM($L$14:L22))</f>
        <v>-130726.2360447458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 t="str">
        <f t="shared" si="1"/>
        <v/>
      </c>
      <c r="W22" s="3">
        <v>46142.625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46128.625</v>
      </c>
      <c r="B23" s="40">
        <f ca="1">IF(COUNTIF($W$2:W1008,A23)=1,VLOOKUP(A23,O:P,2), IF(COUNTIF($W$2:W1008,A23)=0,$B$9,""))</f>
        <v>90.85</v>
      </c>
      <c r="C23" s="2">
        <f t="shared" ca="1" si="4"/>
        <v>-102018.42913558634</v>
      </c>
      <c r="D23" s="43">
        <f t="shared" ca="1" si="5"/>
        <v>-33124.999999999993</v>
      </c>
      <c r="E23" s="40">
        <f ca="1">IF(COUNTIF($W$2:W1008,A23)=1,VLOOKUP(A23,Q:R,2), IF(COUNTIF($W$2:W1008,A23)=0,$C$9,""))</f>
        <v>99.677000000000007</v>
      </c>
      <c r="F23" s="2">
        <f t="shared" ca="1" si="6"/>
        <v>-18199.999999998228</v>
      </c>
      <c r="G23" s="43">
        <f t="shared" ca="1" si="7"/>
        <v>65.779999999998836</v>
      </c>
      <c r="H23" s="40">
        <f ca="1">IF(COUNTIF($W$2:W1008,A23)=1,VLOOKUP(A23,S:T,2), IF(COUNTIF($W$2:W1008,A23)=0,$D$9,""))</f>
        <v>286.733</v>
      </c>
      <c r="I23" s="41">
        <f ca="1">IF(COUNTIF($X$2:X1008,INT(A23))=1,VLOOKUP(INT(A23),X:Y,2), IF(ISERROR(H23-2),"",I22*(1-$D$8*(H23-H22)*0.0001)))</f>
        <v>264.24419999999998</v>
      </c>
      <c r="J23" s="41">
        <f t="shared" ca="1" si="8"/>
        <v>264.24419999999998</v>
      </c>
      <c r="K23" s="43">
        <f t="shared" ca="1" si="9"/>
        <v>4544.4015444009219</v>
      </c>
      <c r="L23" s="43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4">
        <f ca="1">IF(ISERROR(B23-2),"",C23+D23-F23-G23-K23+SUM($L$14:L23))</f>
        <v>-121553.61067998904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 t="str">
        <f t="shared" si="1"/>
        <v/>
      </c>
      <c r="W23" s="3">
        <v>46147.625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46129.625</v>
      </c>
      <c r="B24" s="40">
        <f ca="1">IF(COUNTIF($W$2:W1009,A24)=1,VLOOKUP(A24,O:P,2), IF(COUNTIF($W$2:W1009,A24)=0,$B$9,""))</f>
        <v>91.4</v>
      </c>
      <c r="C24" s="2">
        <f t="shared" ca="1" si="4"/>
        <v>78982.00965335888</v>
      </c>
      <c r="D24" s="43">
        <f t="shared" ca="1" si="5"/>
        <v>-35333.333333333336</v>
      </c>
      <c r="E24" s="40">
        <f ca="1">IF(COUNTIF($W$2:W1009,A24)=1,VLOOKUP(A24,Q:R,2), IF(COUNTIF($W$2:W1009,A24)=0,$C$9,""))</f>
        <v>99.953999999999994</v>
      </c>
      <c r="F24" s="2">
        <f t="shared" ca="1" si="6"/>
        <v>53819.999999998348</v>
      </c>
      <c r="G24" s="43">
        <f t="shared" ca="1" si="7"/>
        <v>70.165333333334274</v>
      </c>
      <c r="H24" s="40">
        <f ca="1">IF(COUNTIF($W$2:W1009,A24)=1,VLOOKUP(A24,S:T,2), IF(COUNTIF($W$2:W1009,A24)=0,$D$9,""))</f>
        <v>275.16800000000001</v>
      </c>
      <c r="I24" s="41">
        <f ca="1">IF(COUNTIF($X$2:X1009,INT(A24))=1,VLOOKUP(INT(A24),X:Y,2), IF(ISERROR(H24-2),"",I23*(1-$D$8*(H24-H23)*0.0001)))</f>
        <v>265.60180000000003</v>
      </c>
      <c r="J24" s="41">
        <f t="shared" ca="1" si="8"/>
        <v>265.60180000000003</v>
      </c>
      <c r="K24" s="43">
        <f t="shared" ca="1" si="9"/>
        <v>100642.21364221333</v>
      </c>
      <c r="L24" s="43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4">
        <f ca="1">IF(ISERROR(B24-2),"",C24+D24-F24-G24-K24+SUM($L$14:L24))</f>
        <v>-110883.70265551948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 t="str">
        <f t="shared" si="1"/>
        <v/>
      </c>
      <c r="W24" s="3">
        <v>46148.625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46132.625</v>
      </c>
      <c r="B25" s="40">
        <f ca="1">IF(COUNTIF($W$2:W1010,A25)=1,VLOOKUP(A25,O:P,2), IF(COUNTIF($W$2:W1010,A25)=0,$B$9,""))</f>
        <v>91.09</v>
      </c>
      <c r="C25" s="2">
        <f t="shared" ca="1" si="4"/>
        <v>-23036.419482227455</v>
      </c>
      <c r="D25" s="43">
        <f t="shared" ca="1" si="5"/>
        <v>-41958.333333333336</v>
      </c>
      <c r="E25" s="40">
        <f ca="1">IF(COUNTIF($W$2:W1010,A25)=1,VLOOKUP(A25,Q:R,2), IF(COUNTIF($W$2:W1010,A25)=0,$C$9,""))</f>
        <v>99.831000000000003</v>
      </c>
      <c r="F25" s="2">
        <f t="shared" ca="1" si="6"/>
        <v>21840.000000000826</v>
      </c>
      <c r="G25" s="43">
        <f t="shared" ca="1" si="7"/>
        <v>83.321333333333314</v>
      </c>
      <c r="H25" s="40">
        <f ca="1">IF(COUNTIF($W$2:W1010,A25)=1,VLOOKUP(A25,S:T,2), IF(COUNTIF($W$2:W1010,A25)=0,$D$9,""))</f>
        <v>280.36399999999998</v>
      </c>
      <c r="I25" s="41">
        <f ca="1">IF(COUNTIF($X$2:X1010,INT(A25))=1,VLOOKUP(INT(A25),X:Y,2), IF(ISERROR(H25-2),"",I24*(1-$D$8*(H25-H24)*0.0001)))</f>
        <v>265.2414</v>
      </c>
      <c r="J25" s="41">
        <f t="shared" ca="1" si="8"/>
        <v>265.2414</v>
      </c>
      <c r="K25" s="43">
        <f t="shared" ca="1" si="9"/>
        <v>75131.274131274666</v>
      </c>
      <c r="L25" s="43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4">
        <f ca="1">IF(ISERROR(B25-2),"",C25+D25-F25-G25-K25+SUM($L$14:L25))</f>
        <v>-162049.34828016962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 t="str">
        <f t="shared" si="1"/>
        <v/>
      </c>
      <c r="W25" s="3">
        <v>46149.625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46133.625</v>
      </c>
      <c r="B26" s="40">
        <f ca="1">IF(COUNTIF($W$2:W1011,A26)=1,VLOOKUP(A26,O:P,2), IF(COUNTIF($W$2:W1011,A26)=0,$B$9,""))</f>
        <v>91.01</v>
      </c>
      <c r="C26" s="2">
        <f t="shared" ca="1" si="4"/>
        <v>-49363.756033345977</v>
      </c>
      <c r="D26" s="43">
        <f t="shared" ca="1" si="5"/>
        <v>-44166.666666666664</v>
      </c>
      <c r="E26" s="40">
        <f ca="1">IF(COUNTIF($W$2:W1011,A26)=1,VLOOKUP(A26,Q:R,2), IF(COUNTIF($W$2:W1011,A26)=0,$C$9,""))</f>
        <v>99.707999999999998</v>
      </c>
      <c r="F26" s="2">
        <f t="shared" ca="1" si="6"/>
        <v>-10140.000000000384</v>
      </c>
      <c r="G26" s="43">
        <f t="shared" ca="1" si="7"/>
        <v>87.70666666667239</v>
      </c>
      <c r="H26" s="40">
        <f ca="1">IF(COUNTIF($W$2:W1011,A26)=1,VLOOKUP(A26,S:T,2), IF(COUNTIF($W$2:W1011,A26)=0,$D$9,""))</f>
        <v>285.44799999999998</v>
      </c>
      <c r="I26" s="41">
        <f ca="1">IF(COUNTIF($X$2:X1011,INT(A26))=1,VLOOKUP(INT(A26),X:Y,2), IF(ISERROR(H26-2),"",I25*(1-$D$8*(H26-H25)*0.0001)))</f>
        <v>264.60359999999997</v>
      </c>
      <c r="J26" s="41">
        <f t="shared" ca="1" si="8"/>
        <v>264.60359999999997</v>
      </c>
      <c r="K26" s="43">
        <f t="shared" ca="1" si="9"/>
        <v>29984.555984555296</v>
      </c>
      <c r="L26" s="43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4">
        <f ca="1">IF(ISERROR(B26-2),"",C26+D26-F26-G26-K26+SUM($L$14:L26))</f>
        <v>-113462.68535123423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 t="str">
        <f t="shared" si="1"/>
        <v/>
      </c>
      <c r="W26" s="3">
        <v>46150.625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46134.625</v>
      </c>
      <c r="B27" s="40">
        <f ca="1">IF(COUNTIF($W$2:W1012,A27)=1,VLOOKUP(A27,O:P,2), IF(COUNTIF($W$2:W1012,A27)=0,$B$9,""))</f>
        <v>90.94</v>
      </c>
      <c r="C27" s="2">
        <f t="shared" ca="1" si="4"/>
        <v>-72400.175515576761</v>
      </c>
      <c r="D27" s="43">
        <f t="shared" ca="1" si="5"/>
        <v>-46375</v>
      </c>
      <c r="E27" s="40">
        <f ca="1">IF(COUNTIF($W$2:W1012,A27)=1,VLOOKUP(A27,Q:R,2), IF(COUNTIF($W$2:W1012,A27)=0,$C$9,""))</f>
        <v>99.655000000000001</v>
      </c>
      <c r="F27" s="2">
        <f t="shared" ca="1" si="6"/>
        <v>-23919.999999999673</v>
      </c>
      <c r="G27" s="43">
        <f t="shared" ca="1" si="7"/>
        <v>92.092000000004191</v>
      </c>
      <c r="H27" s="40">
        <f ca="1">IF(COUNTIF($W$2:W1012,A27)=1,VLOOKUP(A27,S:T,2), IF(COUNTIF($W$2:W1012,A27)=0,$D$9,""))</f>
        <v>285.53500000000003</v>
      </c>
      <c r="I27" s="41">
        <f ca="1">IF(COUNTIF($X$2:X1012,INT(A27))=1,VLOOKUP(INT(A27),X:Y,2), IF(ISERROR(H27-2),"",I26*(1-$D$8*(H27-H26)*0.0001)))</f>
        <v>264.55340000000001</v>
      </c>
      <c r="J27" s="41">
        <f t="shared" ca="1" si="8"/>
        <v>264.55340000000001</v>
      </c>
      <c r="K27" s="43">
        <f t="shared" ca="1" si="9"/>
        <v>26431.145431146819</v>
      </c>
      <c r="L27" s="43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4">
        <f ca="1">IF(ISERROR(B27-2),"",C27+D27-F27-G27-K27+SUM($L$14:L27))</f>
        <v>-121378.4129467239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 t="str">
        <f t="shared" si="1"/>
        <v/>
      </c>
      <c r="W27" s="3">
        <v>46153.625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46135.625</v>
      </c>
      <c r="B28" s="40">
        <f ca="1">IF(COUNTIF($W$2:W1013,A28)=1,VLOOKUP(A28,O:P,2), IF(COUNTIF($W$2:W1013,A28)=0,$B$9,""))</f>
        <v>90.99</v>
      </c>
      <c r="C28" s="2">
        <f t="shared" ca="1" si="4"/>
        <v>-55945.590171128104</v>
      </c>
      <c r="D28" s="43">
        <f t="shared" ca="1" si="5"/>
        <v>-48583.333333333328</v>
      </c>
      <c r="E28" s="40">
        <f ca="1">IF(COUNTIF($W$2:W1013,A28)=1,VLOOKUP(A28,Q:R,2), IF(COUNTIF($W$2:W1013,A28)=0,$C$9,""))</f>
        <v>99.626999999999995</v>
      </c>
      <c r="F28" s="2">
        <f t="shared" ca="1" si="6"/>
        <v>-31200.000000001182</v>
      </c>
      <c r="G28" s="43">
        <f t="shared" ca="1" si="7"/>
        <v>96.477333333335991</v>
      </c>
      <c r="H28" s="40">
        <f ca="1">IF(COUNTIF($W$2:W1013,A28)=1,VLOOKUP(A28,S:T,2), IF(COUNTIF($W$2:W1013,A28)=0,$D$9,""))</f>
        <v>284.40800000000002</v>
      </c>
      <c r="I28" s="41">
        <f ca="1">IF(COUNTIF($X$2:X1013,INT(A28))=1,VLOOKUP(INT(A28),X:Y,2), IF(ISERROR(H28-2),"",I27*(1-$D$8*(H28-H27)*0.0001)))</f>
        <v>264.38159999999999</v>
      </c>
      <c r="J28" s="41">
        <f t="shared" ca="1" si="8"/>
        <v>264.38159999999999</v>
      </c>
      <c r="K28" s="43">
        <f t="shared" ca="1" si="9"/>
        <v>14270.270270269635</v>
      </c>
      <c r="L28" s="43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4">
        <f ca="1">IF(ISERROR(B28-2),"",C28+D28-F28-G28-K28+SUM($L$14:L28))</f>
        <v>-87695.671108063238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 t="str">
        <f t="shared" si="1"/>
        <v/>
      </c>
      <c r="W28" s="3">
        <v>46154.625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46136.625</v>
      </c>
      <c r="B29" s="40">
        <f ca="1">IF(COUNTIF($W$2:W1014,A29)=1,VLOOKUP(A29,O:P,2), IF(COUNTIF($W$2:W1014,A29)=0,$B$9,""))</f>
        <v>90.93</v>
      </c>
      <c r="C29" s="2">
        <f t="shared" ca="1" si="4"/>
        <v>-75691.092584464495</v>
      </c>
      <c r="D29" s="43">
        <f t="shared" ca="1" si="5"/>
        <v>-50791.666666666657</v>
      </c>
      <c r="E29" s="40">
        <f ca="1">IF(COUNTIF($W$2:W1014,A29)=1,VLOOKUP(A29,Q:R,2), IF(COUNTIF($W$2:W1014,A29)=0,$C$9,""))</f>
        <v>99.637</v>
      </c>
      <c r="F29" s="2">
        <f t="shared" ca="1" si="6"/>
        <v>-28599.999999999851</v>
      </c>
      <c r="G29" s="43">
        <f t="shared" ca="1" si="7"/>
        <v>100.86266666666779</v>
      </c>
      <c r="H29" s="40">
        <f ca="1">IF(COUNTIF($W$2:W1014,A29)=1,VLOOKUP(A29,S:T,2), IF(COUNTIF($W$2:W1014,A29)=0,$D$9,""))</f>
        <v>288.863</v>
      </c>
      <c r="I29" s="41">
        <f ca="1">IF(COUNTIF($X$2:X1014,INT(A29))=1,VLOOKUP(INT(A29),X:Y,2), IF(ISERROR(H29-2),"",I28*(1-$D$8*(H29-H28)*0.0001)))</f>
        <v>264.2679</v>
      </c>
      <c r="J29" s="41">
        <f t="shared" ca="1" si="8"/>
        <v>264.2679</v>
      </c>
      <c r="K29" s="43">
        <f t="shared" ca="1" si="9"/>
        <v>6222.0077220071616</v>
      </c>
      <c r="L29" s="43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4">
        <f ca="1">IF(ISERROR(B29-2),"",C29+D29-F29-G29-K29+SUM($L$14:L29))</f>
        <v>-104205.62963980512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 t="str">
        <f t="shared" si="1"/>
        <v/>
      </c>
      <c r="W29" s="3">
        <v>46155.625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46139.625</v>
      </c>
      <c r="B30" s="40">
        <f ca="1">IF(COUNTIF($W$2:W1015,A30)=1,VLOOKUP(A30,O:P,2), IF(COUNTIF($W$2:W1015,A30)=0,$B$9,""))</f>
        <v>90.97</v>
      </c>
      <c r="C30" s="2">
        <f t="shared" ca="1" si="4"/>
        <v>-62527.424308906899</v>
      </c>
      <c r="D30" s="43">
        <f t="shared" ca="1" si="5"/>
        <v>-57416.666666666657</v>
      </c>
      <c r="E30" s="40">
        <f ca="1">IF(COUNTIF($W$2:W1015,A30)=1,VLOOKUP(A30,Q:R,2), IF(COUNTIF($W$2:W1015,A30)=0,$C$9,""))</f>
        <v>99.608000000000004</v>
      </c>
      <c r="F30" s="2">
        <f t="shared" ca="1" si="6"/>
        <v>-36139.999999998909</v>
      </c>
      <c r="G30" s="43">
        <f t="shared" ca="1" si="7"/>
        <v>114.01866666666319</v>
      </c>
      <c r="H30" s="40">
        <f ca="1">IF(COUNTIF($W$2:W1015,A30)=1,VLOOKUP(A30,S:T,2), IF(COUNTIF($W$2:W1015,A30)=0,$D$9,""))</f>
        <v>289.209</v>
      </c>
      <c r="I30" s="41">
        <f ca="1">IF(COUNTIF($X$2:X1015,INT(A30))=1,VLOOKUP(INT(A30),X:Y,2), IF(ISERROR(H30-2),"",I29*(1-$D$8*(H30-H29)*0.0001)))</f>
        <v>264.16750000000002</v>
      </c>
      <c r="J30" s="41">
        <f t="shared" ca="1" si="8"/>
        <v>264.16750000000002</v>
      </c>
      <c r="K30" s="43">
        <f t="shared" ca="1" si="9"/>
        <v>-884.81338481186663</v>
      </c>
      <c r="L30" s="43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4">
        <f ca="1">IF(ISERROR(B30-2),"",C30+D30-F30-G30-K30+SUM($L$14:L30))</f>
        <v>-83033.296257429436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 t="str">
        <f t="shared" si="1"/>
        <v/>
      </c>
      <c r="W30" s="3">
        <v>46156.625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46140.625</v>
      </c>
      <c r="B31" s="40">
        <f ca="1">IF(COUNTIF($W$2:W1016,A31)=1,VLOOKUP(A31,O:P,2), IF(COUNTIF($W$2:W1016,A31)=0,$B$9,""))</f>
        <v>90.69</v>
      </c>
      <c r="C31" s="2">
        <f t="shared" ca="1" si="4"/>
        <v>-154673.10223782339</v>
      </c>
      <c r="D31" s="43">
        <f t="shared" ca="1" si="5"/>
        <v>-59624.999999999993</v>
      </c>
      <c r="E31" s="40">
        <f ca="1">IF(COUNTIF($W$2:W1016,A31)=1,VLOOKUP(A31,Q:R,2), IF(COUNTIF($W$2:W1016,A31)=0,$C$9,""))</f>
        <v>99.456000000000003</v>
      </c>
      <c r="F31" s="2">
        <f t="shared" ca="1" si="6"/>
        <v>-75659.999999999171</v>
      </c>
      <c r="G31" s="43">
        <f t="shared" ca="1" si="7"/>
        <v>118.40400000000227</v>
      </c>
      <c r="H31" s="40">
        <f ca="1">IF(COUNTIF($W$2:W1016,A31)=1,VLOOKUP(A31,S:T,2), IF(COUNTIF($W$2:W1016,A31)=0,$D$9,""))</f>
        <v>291.65699999999998</v>
      </c>
      <c r="I31" s="41">
        <f ca="1">IF(COUNTIF($X$2:X1016,INT(A31))=1,VLOOKUP(INT(A31),X:Y,2), IF(ISERROR(H31-2),"",I30*(1-$D$8*(H31-H30)*0.0001)))</f>
        <v>263.87139999999999</v>
      </c>
      <c r="J31" s="41">
        <f t="shared" ca="1" si="8"/>
        <v>263.87139999999999</v>
      </c>
      <c r="K31" s="43">
        <f t="shared" ca="1" si="9"/>
        <v>-21844.272844273248</v>
      </c>
      <c r="L31" s="43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4">
        <f ca="1">IF(ISERROR(B31-2),"",C31+D31-F31-G31-K31+SUM($L$14:L31))</f>
        <v>-116912.233393551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 t="str">
        <f t="shared" si="1"/>
        <v/>
      </c>
      <c r="W31" s="3">
        <v>46157.625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46141.625</v>
      </c>
      <c r="B32" s="40">
        <f ca="1">IF(COUNTIF($W$2:W1017,A32)=1,VLOOKUP(A32,O:P,2), IF(COUNTIF($W$2:W1017,A32)=0,$B$9,""))</f>
        <v>90.76</v>
      </c>
      <c r="C32" s="2">
        <f t="shared" ca="1" si="4"/>
        <v>-131636.6827555926</v>
      </c>
      <c r="D32" s="43">
        <f t="shared" ca="1" si="5"/>
        <v>-61833.333333333336</v>
      </c>
      <c r="E32" s="40">
        <f ca="1">IF(COUNTIF($W$2:W1017,A32)=1,VLOOKUP(A32,Q:R,2), IF(COUNTIF($W$2:W1017,A32)=0,$C$9,""))</f>
        <v>99.296000000000006</v>
      </c>
      <c r="F32" s="2">
        <f t="shared" ca="1" si="6"/>
        <v>-117259.99999999828</v>
      </c>
      <c r="G32" s="43">
        <f t="shared" ca="1" si="7"/>
        <v>122.78933333333407</v>
      </c>
      <c r="H32" s="40">
        <f ca="1">IF(COUNTIF($W$2:W1017,A32)=1,VLOOKUP(A32,S:T,2), IF(COUNTIF($W$2:W1017,A32)=0,$D$9,""))</f>
        <v>294.57900000000001</v>
      </c>
      <c r="I32" s="41">
        <f ca="1">IF(COUNTIF($X$2:X1017,INT(A32))=1,VLOOKUP(INT(A32),X:Y,2), IF(ISERROR(H32-2),"",I31*(1-$D$8*(H32-H31)*0.0001)))</f>
        <v>263.29599999999999</v>
      </c>
      <c r="J32" s="41">
        <f t="shared" ca="1" si="8"/>
        <v>263.29599999999999</v>
      </c>
      <c r="K32" s="43">
        <f t="shared" ca="1" si="9"/>
        <v>-62574.002574003418</v>
      </c>
      <c r="L32" s="43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4">
        <f ca="1">IF(ISERROR(B32-2),"",C32+D32-F32-G32-K32+SUM($L$14:L32))</f>
        <v>-13758.802848257576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 t="str">
        <f t="shared" si="1"/>
        <v/>
      </c>
      <c r="W32" s="3">
        <v>46160.625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46142.625</v>
      </c>
      <c r="B33" s="40">
        <f ca="1">IF(COUNTIF($W$2:W1018,A33)=1,VLOOKUP(A33,O:P,2), IF(COUNTIF($W$2:W1018,A33)=0,$B$9,""))</f>
        <v>90.81</v>
      </c>
      <c r="C33" s="2">
        <f t="shared" ca="1" si="4"/>
        <v>-115182.09741114394</v>
      </c>
      <c r="D33" s="43">
        <f t="shared" ca="1" si="5"/>
        <v>-64041.666666666672</v>
      </c>
      <c r="E33" s="40">
        <f ca="1">IF(COUNTIF($W$2:W1018,A33)=1,VLOOKUP(A33,Q:R,2), IF(COUNTIF($W$2:W1018,A33)=0,$C$9,""))</f>
        <v>99.435000000000002</v>
      </c>
      <c r="F33" s="2">
        <f t="shared" ca="1" si="6"/>
        <v>-81119.999999999374</v>
      </c>
      <c r="G33" s="43">
        <f t="shared" ca="1" si="7"/>
        <v>127.17466666667315</v>
      </c>
      <c r="H33" s="40">
        <f ca="1">IF(COUNTIF($W$2:W1018,A33)=1,VLOOKUP(A33,S:T,2), IF(COUNTIF($W$2:W1018,A33)=0,$D$9,""))</f>
        <v>292.42099999999999</v>
      </c>
      <c r="I33" s="41">
        <f ca="1">IF(COUNTIF($X$2:X1018,INT(A33))=1,VLOOKUP(INT(A33),X:Y,2), IF(ISERROR(H33-2),"",I32*(1-$D$8*(H33-H32)*0.0001)))</f>
        <v>263.72019999999998</v>
      </c>
      <c r="J33" s="41">
        <f t="shared" ca="1" si="8"/>
        <v>263.72019999999998</v>
      </c>
      <c r="K33" s="43">
        <f t="shared" ca="1" si="9"/>
        <v>-32546.975546977552</v>
      </c>
      <c r="L33" s="43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4">
        <f ca="1">IF(ISERROR(B33-2),"",C33+D33-F33-G33-K33+SUM($L$14:L33))</f>
        <v>-65683.963197500372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 t="str">
        <f t="shared" si="1"/>
        <v/>
      </c>
      <c r="W33" s="3">
        <v>46161.625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46147.625</v>
      </c>
      <c r="B34" s="40">
        <f ca="1">IF(COUNTIF($W$2:W1019,A34)=1,VLOOKUP(A34,O:P,2), IF(COUNTIF($W$2:W1019,A34)=0,$B$9,""))</f>
        <v>90.89</v>
      </c>
      <c r="C34" s="2">
        <f t="shared" ca="1" si="4"/>
        <v>-88854.760860025417</v>
      </c>
      <c r="D34" s="43">
        <f t="shared" ca="1" si="5"/>
        <v>-75083.333333333328</v>
      </c>
      <c r="E34" s="40">
        <f ca="1">IF(COUNTIF($W$2:W1019,A34)=1,VLOOKUP(A34,Q:R,2), IF(COUNTIF($W$2:W1019,A34)=0,$C$9,""))</f>
        <v>99.343000000000004</v>
      </c>
      <c r="F34" s="2">
        <f t="shared" ca="1" si="6"/>
        <v>-105039.99999999905</v>
      </c>
      <c r="G34" s="43">
        <f t="shared" ca="1" si="7"/>
        <v>149.10133333333215</v>
      </c>
      <c r="H34" s="40">
        <f ca="1">IF(COUNTIF($W$2:W1019,A34)=1,VLOOKUP(A34,S:T,2), IF(COUNTIF($W$2:W1019,A34)=0,$D$9,""))</f>
        <v>287.88900000000001</v>
      </c>
      <c r="I34" s="41">
        <f ca="1">IF(COUNTIF($X$2:X1019,INT(A34))=1,VLOOKUP(INT(A34),X:Y,2), IF(ISERROR(H34-2),"",I33*(1-$D$8*(H34-H33)*0.0001)))</f>
        <v>264.5573</v>
      </c>
      <c r="J34" s="41">
        <f t="shared" ca="1" si="8"/>
        <v>264.5573</v>
      </c>
      <c r="K34" s="43">
        <f t="shared" ca="1" si="9"/>
        <v>26707.207207207604</v>
      </c>
      <c r="L34" s="43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4">
        <f ca="1">IF(ISERROR(B34-2),"",C34+D34-F34-G34-K34+SUM($L$14:L34))</f>
        <v>-85754.402733900613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 t="str">
        <f t="shared" si="1"/>
        <v/>
      </c>
      <c r="W34" s="3">
        <v>46162.625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46148.625</v>
      </c>
      <c r="B35" s="40">
        <f ca="1">IF(COUNTIF($W$2:W1020,A35)=1,VLOOKUP(A35,O:P,2), IF(COUNTIF($W$2:W1020,A35)=0,$B$9,""))</f>
        <v>91.41</v>
      </c>
      <c r="C35" s="2">
        <f t="shared" ca="1" si="4"/>
        <v>82272.926722246615</v>
      </c>
      <c r="D35" s="43">
        <f t="shared" ca="1" si="5"/>
        <v>-77291.666666666672</v>
      </c>
      <c r="E35" s="40">
        <f ca="1">IF(COUNTIF($W$2:W1020,A35)=1,VLOOKUP(A35,Q:R,2), IF(COUNTIF($W$2:W1020,A35)=0,$C$9,""))</f>
        <v>99.63</v>
      </c>
      <c r="F35" s="2">
        <f t="shared" ca="1" si="6"/>
        <v>-30420.00000000115</v>
      </c>
      <c r="G35" s="43">
        <f t="shared" ca="1" si="7"/>
        <v>153.48666666666395</v>
      </c>
      <c r="H35" s="40">
        <f ca="1">IF(COUNTIF($W$2:W1020,A35)=1,VLOOKUP(A35,S:T,2), IF(COUNTIF($W$2:W1020,A35)=0,$D$9,""))</f>
        <v>275.09699999999998</v>
      </c>
      <c r="I35" s="41">
        <f ca="1">IF(COUNTIF($X$2:X1020,INT(A35))=1,VLOOKUP(INT(A35),X:Y,2), IF(ISERROR(H35-2),"",I34*(1-$D$8*(H35-H34)*0.0001)))</f>
        <v>266.11750000000001</v>
      </c>
      <c r="J35" s="41">
        <f t="shared" ca="1" si="8"/>
        <v>266.11750000000001</v>
      </c>
      <c r="K35" s="43">
        <f t="shared" ca="1" si="9"/>
        <v>137146.07464607395</v>
      </c>
      <c r="L35" s="43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4">
        <f ca="1">IF(ISERROR(B35-2),"",C35+D35-F35-G35-K35+SUM($L$14:L35))</f>
        <v>-101898.30125715952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 t="str">
        <f t="shared" si="1"/>
        <v/>
      </c>
      <c r="W35" s="3">
        <v>46163.625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46149.625</v>
      </c>
      <c r="B36" s="40">
        <f ca="1">IF(COUNTIF($W$2:W1021,A36)=1,VLOOKUP(A36,O:P,2), IF(COUNTIF($W$2:W1021,A36)=0,$B$9,""))</f>
        <v>91.39</v>
      </c>
      <c r="C36" s="2">
        <f t="shared" ca="1" si="4"/>
        <v>75691.09258447116</v>
      </c>
      <c r="D36" s="43">
        <f t="shared" ca="1" si="5"/>
        <v>-79500</v>
      </c>
      <c r="E36" s="40">
        <f ca="1">IF(COUNTIF($W$2:W1021,A36)=1,VLOOKUP(A36,Q:R,2), IF(COUNTIF($W$2:W1021,A36)=0,$C$9,""))</f>
        <v>99.650999999999996</v>
      </c>
      <c r="F36" s="2">
        <f t="shared" ca="1" si="6"/>
        <v>-24960.000000000946</v>
      </c>
      <c r="G36" s="43">
        <f t="shared" ca="1" si="7"/>
        <v>157.87200000000303</v>
      </c>
      <c r="H36" s="40">
        <f ca="1">IF(COUNTIF($W$2:W1021,A36)=1,VLOOKUP(A36,S:T,2), IF(COUNTIF($W$2:W1021,A36)=0,$D$9,""))</f>
        <v>275.04599999999999</v>
      </c>
      <c r="I36" s="41">
        <f ca="1">IF(COUNTIF($X$2:X1021,INT(A36))=1,VLOOKUP(INT(A36),X:Y,2), IF(ISERROR(H36-2),"",I35*(1-$D$8*(H36-H35)*0.0001)))</f>
        <v>265.79050000000001</v>
      </c>
      <c r="J36" s="41">
        <f t="shared" ca="1" si="8"/>
        <v>265.79050000000001</v>
      </c>
      <c r="K36" s="43">
        <f t="shared" ca="1" si="9"/>
        <v>113999.35649935532</v>
      </c>
      <c r="L36" s="43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4">
        <f ca="1">IF(ISERROR(B36-2),"",C36+D36-F36-G36-K36+SUM($L$14:L36))</f>
        <v>-93006.135914883213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 t="str">
        <f t="shared" si="1"/>
        <v/>
      </c>
      <c r="W36" s="3">
        <v>46164.625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46150.625</v>
      </c>
      <c r="B37" s="40">
        <f ca="1">IF(COUNTIF($W$2:W1022,A37)=1,VLOOKUP(A37,O:P,2), IF(COUNTIF($W$2:W1022,A37)=0,$B$9,""))</f>
        <v>91.4</v>
      </c>
      <c r="C37" s="2">
        <f t="shared" ca="1" si="4"/>
        <v>78982.00965335888</v>
      </c>
      <c r="D37" s="43">
        <f t="shared" ca="1" si="5"/>
        <v>-81708.333333333328</v>
      </c>
      <c r="E37" s="40">
        <f ca="1">IF(COUNTIF($W$2:W1022,A37)=1,VLOOKUP(A37,Q:R,2), IF(COUNTIF($W$2:W1022,A37)=0,$C$9,""))</f>
        <v>99.58</v>
      </c>
      <c r="F37" s="2">
        <f t="shared" ca="1" si="6"/>
        <v>-43420.000000000415</v>
      </c>
      <c r="G37" s="43">
        <f t="shared" ca="1" si="7"/>
        <v>162.25733333333483</v>
      </c>
      <c r="H37" s="40">
        <f ca="1">IF(COUNTIF($W$2:W1022,A37)=1,VLOOKUP(A37,S:T,2), IF(COUNTIF($W$2:W1022,A37)=0,$D$9,""))</f>
        <v>277.74599999999998</v>
      </c>
      <c r="I37" s="41">
        <f ca="1">IF(COUNTIF($X$2:X1022,INT(A37))=1,VLOOKUP(INT(A37),X:Y,2), IF(ISERROR(H37-2),"",I36*(1-$D$8*(H37-H36)*0.0001)))</f>
        <v>265.83870000000002</v>
      </c>
      <c r="J37" s="41">
        <f t="shared" ca="1" si="8"/>
        <v>265.83870000000002</v>
      </c>
      <c r="K37" s="43">
        <f t="shared" ca="1" si="9"/>
        <v>117411.19691119937</v>
      </c>
      <c r="L37" s="43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4">
        <f ca="1">IF(ISERROR(B37-2),"",C37+D37-F37-G37-K37+SUM($L$14:L37))</f>
        <v>-76879.777924506736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 t="str">
        <f t="shared" si="1"/>
        <v/>
      </c>
      <c r="W37" s="3">
        <v>46168.625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46153.625</v>
      </c>
      <c r="B38" s="40">
        <f ca="1">IF(COUNTIF($W$2:W1023,A38)=1,VLOOKUP(A38,O:P,2), IF(COUNTIF($W$2:W1023,A38)=0,$B$9,""))</f>
        <v>91.44</v>
      </c>
      <c r="C38" s="2">
        <f t="shared" ca="1" si="4"/>
        <v>92145.677928916484</v>
      </c>
      <c r="D38" s="43">
        <f t="shared" ca="1" si="5"/>
        <v>-88333.333333333328</v>
      </c>
      <c r="E38" s="40">
        <f ca="1">IF(COUNTIF($W$2:W1023,A38)=1,VLOOKUP(A38,Q:R,2), IF(COUNTIF($W$2:W1023,A38)=0,$C$9,""))</f>
        <v>99.436999999999998</v>
      </c>
      <c r="F38" s="2">
        <f t="shared" ca="1" si="6"/>
        <v>-80600.000000000597</v>
      </c>
      <c r="G38" s="43">
        <f t="shared" ca="1" si="7"/>
        <v>175.41333333334478</v>
      </c>
      <c r="H38" s="40">
        <f ca="1">IF(COUNTIF($W$2:W1023,A38)=1,VLOOKUP(A38,S:T,2), IF(COUNTIF($W$2:W1023,A38)=0,$D$9,""))</f>
        <v>277.33600000000001</v>
      </c>
      <c r="I38" s="41">
        <f ca="1">IF(COUNTIF($X$2:X1023,INT(A38))=1,VLOOKUP(INT(A38),X:Y,2), IF(ISERROR(H38-2),"",I37*(1-$D$8*(H38-H37)*0.0001)))</f>
        <v>266.14510000000001</v>
      </c>
      <c r="J38" s="41">
        <f t="shared" ca="1" si="8"/>
        <v>266.14510000000001</v>
      </c>
      <c r="K38" s="43">
        <f t="shared" ca="1" si="9"/>
        <v>139099.74259974511</v>
      </c>
      <c r="L38" s="43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4">
        <f ca="1">IF(ISERROR(B38-2),"",C38+D38-F38-G38-K38+SUM($L$14:L38))</f>
        <v>-54862.811337494699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 t="str">
        <f t="shared" si="1"/>
        <v/>
      </c>
      <c r="W38" s="3">
        <v>46169.625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46154.625</v>
      </c>
      <c r="B39" s="40">
        <f ca="1">IF(COUNTIF($W$2:W1024,A39)=1,VLOOKUP(A39,O:P,2), IF(COUNTIF($W$2:W1024,A39)=0,$B$9,""))</f>
        <v>91.28</v>
      </c>
      <c r="C39" s="2">
        <f t="shared" ca="1" si="4"/>
        <v>39491.00482667944</v>
      </c>
      <c r="D39" s="43">
        <f t="shared" ca="1" si="5"/>
        <v>-90541.666666666672</v>
      </c>
      <c r="E39" s="40">
        <f ca="1">IF(COUNTIF($W$2:W1024,A39)=1,VLOOKUP(A39,Q:R,2), IF(COUNTIF($W$2:W1024,A39)=0,$C$9,""))</f>
        <v>99.322999999999993</v>
      </c>
      <c r="F39" s="2">
        <f t="shared" ca="1" si="6"/>
        <v>-110240.00000000172</v>
      </c>
      <c r="G39" s="43">
        <f t="shared" ca="1" si="7"/>
        <v>179.79866666666931</v>
      </c>
      <c r="H39" s="40">
        <f ca="1">IF(COUNTIF($W$2:W1024,A39)=1,VLOOKUP(A39,S:T,2), IF(COUNTIF($W$2:W1024,A39)=0,$D$9,""))</f>
        <v>283.721</v>
      </c>
      <c r="I39" s="41">
        <f ca="1">IF(COUNTIF($X$2:X1024,INT(A39))=1,VLOOKUP(INT(A39),X:Y,2), IF(ISERROR(H39-2),"",I38*(1-$D$8*(H39-H38)*0.0001)))</f>
        <v>265.19240000000002</v>
      </c>
      <c r="J39" s="41">
        <f t="shared" ca="1" si="8"/>
        <v>265.19240000000002</v>
      </c>
      <c r="K39" s="43">
        <f t="shared" ca="1" si="9"/>
        <v>71662.805662807339</v>
      </c>
      <c r="L39" s="43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4">
        <f ca="1">IF(ISERROR(B39-2),"",C39+D39-F39-G39-K39+SUM($L$14:L39))</f>
        <v>-12653.266169459523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 t="str">
        <f t="shared" si="1"/>
        <v/>
      </c>
      <c r="W39" s="3">
        <v>46170.625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46155.625</v>
      </c>
      <c r="B40" s="40">
        <f ca="1">IF(COUNTIF($W$2:W1025,A40)=1,VLOOKUP(A40,O:P,2), IF(COUNTIF($W$2:W1025,A40)=0,$B$9,""))</f>
        <v>91.31</v>
      </c>
      <c r="C40" s="2">
        <f t="shared" ca="1" si="4"/>
        <v>49363.756033349302</v>
      </c>
      <c r="D40" s="43">
        <f t="shared" ca="1" si="5"/>
        <v>-92750</v>
      </c>
      <c r="E40" s="40">
        <f ca="1">IF(COUNTIF($W$2:W1025,A40)=1,VLOOKUP(A40,Q:R,2), IF(COUNTIF($W$2:W1025,A40)=0,$C$9,""))</f>
        <v>99.292000000000002</v>
      </c>
      <c r="F40" s="2">
        <f t="shared" ca="1" si="6"/>
        <v>-118299.99999999955</v>
      </c>
      <c r="G40" s="43">
        <f t="shared" ca="1" si="7"/>
        <v>184.18400000000838</v>
      </c>
      <c r="H40" s="40">
        <f ca="1">IF(COUNTIF($W$2:W1025,A40)=1,VLOOKUP(A40,S:T,2), IF(COUNTIF($W$2:W1025,A40)=0,$D$9,""))</f>
        <v>280.03899999999999</v>
      </c>
      <c r="I40" s="41">
        <f ca="1">IF(COUNTIF($X$2:X1025,INT(A40))=1,VLOOKUP(INT(A40),X:Y,2), IF(ISERROR(H40-2),"",I39*(1-$D$8*(H40-H39)*0.0001)))</f>
        <v>265.76659999999998</v>
      </c>
      <c r="J40" s="41">
        <f t="shared" ca="1" si="8"/>
        <v>265.76659999999998</v>
      </c>
      <c r="K40" s="43">
        <f t="shared" ca="1" si="9"/>
        <v>112307.59330759221</v>
      </c>
      <c r="L40" s="43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4">
        <f ca="1">IF(ISERROR(B40-2),"",C40+D40-F40-G40-K40+SUM($L$14:L40))</f>
        <v>-37578.021274243365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 t="str">
        <f t="shared" si="1"/>
        <v/>
      </c>
      <c r="W40" s="3">
        <v>46171.625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46156.625</v>
      </c>
      <c r="B41" s="40">
        <f ca="1">IF(COUNTIF($W$2:W1026,A41)=1,VLOOKUP(A41,O:P,2), IF(COUNTIF($W$2:W1026,A41)=0,$B$9,""))</f>
        <v>91.4</v>
      </c>
      <c r="C41" s="2">
        <f t="shared" ca="1" si="4"/>
        <v>78982.00965335888</v>
      </c>
      <c r="D41" s="43">
        <f t="shared" ca="1" si="5"/>
        <v>-94958.333333333328</v>
      </c>
      <c r="E41" s="40">
        <f ca="1">IF(COUNTIF($W$2:W1026,A41)=1,VLOOKUP(A41,Q:R,2), IF(COUNTIF($W$2:W1026,A41)=0,$C$9,""))</f>
        <v>99.430999999999997</v>
      </c>
      <c r="F41" s="2">
        <f t="shared" ca="1" si="6"/>
        <v>-82160.000000000655</v>
      </c>
      <c r="G41" s="43">
        <f t="shared" ca="1" si="7"/>
        <v>188.56933333333291</v>
      </c>
      <c r="H41" s="40">
        <f ca="1">IF(COUNTIF($W$2:W1026,A41)=1,VLOOKUP(A41,S:T,2), IF(COUNTIF($W$2:W1026,A41)=0,$D$9,""))</f>
        <v>274.584</v>
      </c>
      <c r="I41" s="41">
        <f ca="1">IF(COUNTIF($X$2:X1026,INT(A41))=1,VLOOKUP(INT(A41),X:Y,2), IF(ISERROR(H41-2),"",I40*(1-$D$8*(H41-H40)*0.0001)))</f>
        <v>266.41410000000002</v>
      </c>
      <c r="J41" s="41">
        <f t="shared" ca="1" si="8"/>
        <v>266.41410000000002</v>
      </c>
      <c r="K41" s="43">
        <f t="shared" ca="1" si="9"/>
        <v>158140.92664092954</v>
      </c>
      <c r="L41" s="43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4">
        <f ca="1">IF(ISERROR(B41-2),"",C41+D41-F41-G41-K41+SUM($L$14:L41))</f>
        <v>-92145.819654236664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 t="str">
        <f t="shared" si="1"/>
        <v/>
      </c>
      <c r="W41" s="3">
        <v>46174.625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46157.625</v>
      </c>
      <c r="B42" s="40">
        <f ca="1">IF(COUNTIF($W$2:W1027,A42)=1,VLOOKUP(A42,O:P,2), IF(COUNTIF($W$2:W1027,A42)=0,$B$9,""))</f>
        <v>91.28</v>
      </c>
      <c r="C42" s="2">
        <f t="shared" ca="1" si="4"/>
        <v>39491.00482667944</v>
      </c>
      <c r="D42" s="43">
        <f t="shared" ca="1" si="5"/>
        <v>-97166.666666666657</v>
      </c>
      <c r="E42" s="40">
        <f ca="1">IF(COUNTIF($W$2:W1027,A42)=1,VLOOKUP(A42,Q:R,2), IF(COUNTIF($W$2:W1027,A42)=0,$C$9,""))</f>
        <v>99.259</v>
      </c>
      <c r="F42" s="2">
        <f t="shared" ca="1" si="6"/>
        <v>-126879.99999999988</v>
      </c>
      <c r="G42" s="43">
        <f t="shared" ca="1" si="7"/>
        <v>192.95466666667198</v>
      </c>
      <c r="H42" s="40">
        <f ca="1">IF(COUNTIF($W$2:W1027,A42)=1,VLOOKUP(A42,S:T,2), IF(COUNTIF($W$2:W1027,A42)=0,$D$9,""))</f>
        <v>280.37200000000001</v>
      </c>
      <c r="I42" s="41">
        <f ca="1">IF(COUNTIF($X$2:X1027,INT(A42))=1,VLOOKUP(INT(A42),X:Y,2), IF(ISERROR(H42-2),"",I41*(1-$D$8*(H42-H41)*0.0001)))</f>
        <v>265.51639999999998</v>
      </c>
      <c r="J42" s="41">
        <f t="shared" ca="1" si="8"/>
        <v>265.51639999999998</v>
      </c>
      <c r="K42" s="43">
        <f t="shared" ca="1" si="9"/>
        <v>94597.168597164811</v>
      </c>
      <c r="L42" s="43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4">
        <f ca="1">IF(ISERROR(B42-2),"",C42+D42-F42-G42-K42+SUM($L$14:L42))</f>
        <v>-25585.785103818809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 t="str">
        <f t="shared" si="1"/>
        <v/>
      </c>
      <c r="W42" s="3">
        <v>46175.625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46160.625</v>
      </c>
      <c r="B43" s="40">
        <f ca="1">IF(COUNTIF($W$2:W1028,A43)=1,VLOOKUP(A43,O:P,2), IF(COUNTIF($W$2:W1028,A43)=0,$B$9,""))</f>
        <v>91.22</v>
      </c>
      <c r="C43" s="2">
        <f t="shared" ca="1" si="4"/>
        <v>19745.50241333972</v>
      </c>
      <c r="D43" s="43">
        <f t="shared" ca="1" si="5"/>
        <v>-103791.66666666667</v>
      </c>
      <c r="E43" s="40">
        <f ca="1">IF(COUNTIF($W$2:W1028,A43)=1,VLOOKUP(A43,Q:R,2), IF(COUNTIF($W$2:W1028,A43)=0,$C$9,""))</f>
        <v>99.296000000000006</v>
      </c>
      <c r="F43" s="2">
        <f t="shared" ca="1" si="6"/>
        <v>-117259.99999999828</v>
      </c>
      <c r="G43" s="43">
        <f t="shared" ca="1" si="7"/>
        <v>206.11066666666011</v>
      </c>
      <c r="H43" s="40">
        <f ca="1">IF(COUNTIF($W$2:W1028,A43)=1,VLOOKUP(A43,S:T,2), IF(COUNTIF($W$2:W1028,A43)=0,$D$9,""))</f>
        <v>279.00200000000001</v>
      </c>
      <c r="I43" s="41">
        <f ca="1">IF(COUNTIF($X$2:X1028,INT(A43))=1,VLOOKUP(INT(A43),X:Y,2), IF(ISERROR(H43-2),"",I42*(1-$D$8*(H43-H42)*0.0001)))</f>
        <v>265.6705</v>
      </c>
      <c r="J43" s="41">
        <f t="shared" ca="1" si="8"/>
        <v>265.6705</v>
      </c>
      <c r="K43" s="43">
        <f t="shared" ca="1" si="9"/>
        <v>105505.14800514976</v>
      </c>
      <c r="L43" s="43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4">
        <f ca="1">IF(ISERROR(B43-2),"",C43+D43-F43-G43-K43+SUM($L$14:L43))</f>
        <v>-72497.422925145089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 t="str">
        <f t="shared" si="1"/>
        <v/>
      </c>
      <c r="W43" s="3">
        <v>46176.625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46161.625</v>
      </c>
      <c r="B44" s="40">
        <f ca="1">IF(COUNTIF($W$2:W1029,A44)=1,VLOOKUP(A44,O:P,2), IF(COUNTIF($W$2:W1029,A44)=0,$B$9,""))</f>
        <v>90.83</v>
      </c>
      <c r="C44" s="2">
        <f t="shared" ca="1" si="4"/>
        <v>-108600.26327336514</v>
      </c>
      <c r="D44" s="43">
        <f t="shared" ca="1" si="5"/>
        <v>-106000</v>
      </c>
      <c r="E44" s="40">
        <f ca="1">IF(COUNTIF($W$2:W1029,A44)=1,VLOOKUP(A44,Q:R,2), IF(COUNTIF($W$2:W1029,A44)=0,$C$9,""))</f>
        <v>99.180999999999997</v>
      </c>
      <c r="F44" s="2">
        <f t="shared" ca="1" si="6"/>
        <v>-147160.00000000067</v>
      </c>
      <c r="G44" s="43">
        <f t="shared" ca="1" si="7"/>
        <v>210.49599999999919</v>
      </c>
      <c r="H44" s="40">
        <f ca="1">IF(COUNTIF($W$2:W1029,A44)=1,VLOOKUP(A44,S:T,2), IF(COUNTIF($W$2:W1029,A44)=0,$D$9,""))</f>
        <v>285.488</v>
      </c>
      <c r="I44" s="41">
        <f ca="1">IF(COUNTIF($X$2:X1029,INT(A44))=1,VLOOKUP(INT(A44),X:Y,2), IF(ISERROR(H44-2),"",I43*(1-$D$8*(H44-H43)*0.0001)))</f>
        <v>265.08920000000001</v>
      </c>
      <c r="J44" s="41">
        <f t="shared" ca="1" si="8"/>
        <v>265.08920000000001</v>
      </c>
      <c r="K44" s="43">
        <f t="shared" ca="1" si="9"/>
        <v>64357.786357786084</v>
      </c>
      <c r="L44" s="43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4">
        <f ca="1">IF(ISERROR(B44-2),"",C44+D44-F44-G44-K44+SUM($L$14:L44))</f>
        <v>-132008.54563115057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 t="str">
        <f t="shared" si="1"/>
        <v/>
      </c>
      <c r="W44" s="3">
        <v>46177.625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46162.625</v>
      </c>
      <c r="B45" s="40">
        <f ca="1">IF(COUNTIF($W$2:W1030,A45)=1,VLOOKUP(A45,O:P,2), IF(COUNTIF($W$2:W1030,A45)=0,$B$9,""))</f>
        <v>91.06</v>
      </c>
      <c r="C45" s="2">
        <f t="shared" ca="1" si="4"/>
        <v>-32909.170688897313</v>
      </c>
      <c r="D45" s="43">
        <f t="shared" ca="1" si="5"/>
        <v>-108208.33333333331</v>
      </c>
      <c r="E45" s="40">
        <f ca="1">IF(COUNTIF($W$2:W1030,A45)=1,VLOOKUP(A45,Q:R,2), IF(COUNTIF($W$2:W1030,A45)=0,$C$9,""))</f>
        <v>99.39</v>
      </c>
      <c r="F45" s="2">
        <f t="shared" ca="1" si="6"/>
        <v>-92819.999999999825</v>
      </c>
      <c r="G45" s="43">
        <f t="shared" ca="1" si="7"/>
        <v>214.88133333333826</v>
      </c>
      <c r="H45" s="40">
        <f ca="1">IF(COUNTIF($W$2:W1030,A45)=1,VLOOKUP(A45,S:T,2), IF(COUNTIF($W$2:W1030,A45)=0,$D$9,""))</f>
        <v>278.315</v>
      </c>
      <c r="I45" s="41">
        <f ca="1">IF(COUNTIF($X$2:X1030,INT(A45))=1,VLOOKUP(INT(A45),X:Y,2), IF(ISERROR(H45-2),"",I44*(1-$D$8*(H45-H44)*0.0001)))</f>
        <v>266.18329999999997</v>
      </c>
      <c r="J45" s="41">
        <f t="shared" ca="1" si="8"/>
        <v>266.18329999999997</v>
      </c>
      <c r="K45" s="43">
        <f t="shared" ca="1" si="9"/>
        <v>141803.73230372972</v>
      </c>
      <c r="L45" s="43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4">
        <f ca="1">IF(ISERROR(B45-2),"",C45+D45-F45-G45-K45+SUM($L$14:L45))</f>
        <v>-190316.11765929387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 t="str">
        <f t="shared" si="1"/>
        <v/>
      </c>
      <c r="W45" s="3">
        <v>46178.625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46163.625</v>
      </c>
      <c r="B46" s="40">
        <f ca="1">IF(COUNTIF($W$2:W1031,A46)=1,VLOOKUP(A46,O:P,2), IF(COUNTIF($W$2:W1031,A46)=0,$B$9,""))</f>
        <v>91.15</v>
      </c>
      <c r="C46" s="2">
        <f t="shared" ca="1" si="4"/>
        <v>-3290.917068887733</v>
      </c>
      <c r="D46" s="43">
        <f t="shared" ca="1" si="5"/>
        <v>-110416.66666666666</v>
      </c>
      <c r="E46" s="40">
        <f ca="1">IF(COUNTIF($W$2:W1031,A46)=1,VLOOKUP(A46,Q:R,2), IF(COUNTIF($W$2:W1031,A46)=0,$C$9,""))</f>
        <v>99.37</v>
      </c>
      <c r="F46" s="2">
        <f t="shared" ca="1" si="6"/>
        <v>-98019.999999998792</v>
      </c>
      <c r="G46" s="43">
        <f t="shared" ca="1" si="7"/>
        <v>219.26666666667734</v>
      </c>
      <c r="H46" s="40">
        <f ca="1">IF(COUNTIF($W$2:W1031,A46)=1,VLOOKUP(A46,S:T,2), IF(COUNTIF($W$2:W1031,A46)=0,$D$9,""))</f>
        <v>279.541</v>
      </c>
      <c r="I46" s="41">
        <f ca="1">IF(COUNTIF($X$2:X1031,INT(A46))=1,VLOOKUP(INT(A46),X:Y,2), IF(ISERROR(H46-2),"",I45*(1-$D$8*(H46-H45)*0.0001)))</f>
        <v>265.81610000000001</v>
      </c>
      <c r="J46" s="41">
        <f t="shared" ca="1" si="8"/>
        <v>265.81610000000001</v>
      </c>
      <c r="K46" s="43">
        <f t="shared" ca="1" si="9"/>
        <v>115811.45431145377</v>
      </c>
      <c r="L46" s="43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4">
        <f ca="1">IF(ISERROR(B46-2),"",C46+D46-F46-G46-K46+SUM($L$14:L46))</f>
        <v>-131718.30471367604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 t="str">
        <f t="shared" si="1"/>
        <v/>
      </c>
      <c r="W46" s="3">
        <v>46181.625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46164.625</v>
      </c>
      <c r="B47" s="40">
        <f ca="1">IF(COUNTIF($W$2:W1032,A47)=1,VLOOKUP(A47,O:P,2), IF(COUNTIF($W$2:W1032,A47)=0,$B$9,""))</f>
        <v>91.28</v>
      </c>
      <c r="C47" s="2">
        <f t="shared" ca="1" si="4"/>
        <v>39491.00482667944</v>
      </c>
      <c r="D47" s="43">
        <f t="shared" ca="1" si="5"/>
        <v>-112625</v>
      </c>
      <c r="E47" s="40">
        <f ca="1">IF(COUNTIF($W$2:W1032,A47)=1,VLOOKUP(A47,Q:R,2), IF(COUNTIF($W$2:W1032,A47)=0,$C$9,""))</f>
        <v>99.453999999999994</v>
      </c>
      <c r="F47" s="2">
        <f t="shared" ca="1" si="6"/>
        <v>-76180.000000001659</v>
      </c>
      <c r="G47" s="43">
        <f t="shared" ca="1" si="7"/>
        <v>223.65199999998731</v>
      </c>
      <c r="H47" s="40">
        <f ca="1">IF(COUNTIF($W$2:W1032,A47)=1,VLOOKUP(A47,S:T,2), IF(COUNTIF($W$2:W1032,A47)=0,$D$9,""))</f>
        <v>273.86200000000002</v>
      </c>
      <c r="I47" s="41">
        <f ca="1">IF(COUNTIF($X$2:X1032,INT(A47))=1,VLOOKUP(INT(A47),X:Y,2), IF(ISERROR(H47-2),"",I46*(1-$D$8*(H47-H46)*0.0001)))</f>
        <v>266.66180000000003</v>
      </c>
      <c r="J47" s="41">
        <f t="shared" ca="1" si="8"/>
        <v>266.66180000000003</v>
      </c>
      <c r="K47" s="43">
        <f t="shared" ca="1" si="9"/>
        <v>175674.38867439001</v>
      </c>
      <c r="L47" s="43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4">
        <f ca="1">IF(ISERROR(B47-2),"",C47+D47-F47-G47-K47+SUM($L$14:L47))</f>
        <v>-172852.03584770887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 t="str">
        <f t="shared" si="1"/>
        <v/>
      </c>
      <c r="W47" s="3">
        <v>46182.625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46168.625</v>
      </c>
      <c r="B48" s="40">
        <f ca="1">IF(COUNTIF($W$2:W1033,A48)=1,VLOOKUP(A48,O:P,2), IF(COUNTIF($W$2:W1033,A48)=0,$B$9,""))</f>
        <v>91.51</v>
      </c>
      <c r="C48" s="2">
        <f t="shared" ca="1" si="4"/>
        <v>115182.09741115059</v>
      </c>
      <c r="D48" s="43">
        <f t="shared" ca="1" si="5"/>
        <v>-121458.33333333334</v>
      </c>
      <c r="E48" s="40">
        <f ca="1">IF(COUNTIF($W$2:W1033,A48)=1,VLOOKUP(A48,Q:R,2), IF(COUNTIF($W$2:W1033,A48)=0,$C$9,""))</f>
        <v>99.56</v>
      </c>
      <c r="F48" s="2">
        <f t="shared" ca="1" si="6"/>
        <v>-48619.999999999374</v>
      </c>
      <c r="G48" s="43">
        <f t="shared" ca="1" si="7"/>
        <v>241.19333333332906</v>
      </c>
      <c r="H48" s="40">
        <f ca="1">IF(COUNTIF($W$2:W1033,A48)=1,VLOOKUP(A48,S:T,2), IF(COUNTIF($W$2:W1033,A48)=0,$D$9,""))</f>
        <v>268.83499999999998</v>
      </c>
      <c r="I48" s="41">
        <f ca="1">IF(COUNTIF($X$2:X1033,INT(A48))=1,VLOOKUP(INT(A48),X:Y,2), IF(ISERROR(H48-2),"",I47*(1-$D$8*(H48-H47)*0.0001)))</f>
        <v>267.40750000000003</v>
      </c>
      <c r="J48" s="41">
        <f t="shared" ca="1" si="8"/>
        <v>267.40750000000003</v>
      </c>
      <c r="K48" s="43">
        <f t="shared" ca="1" si="9"/>
        <v>228458.81595881886</v>
      </c>
      <c r="L48" s="43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4">
        <f ca="1">IF(ISERROR(B48-2),"",C48+D48-F48-G48-K48+SUM($L$14:L48))</f>
        <v>-186356.24521433556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 t="str">
        <f t="shared" si="1"/>
        <v/>
      </c>
      <c r="W48" s="3">
        <v>46183.625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46169.625</v>
      </c>
      <c r="B49" s="40">
        <f ca="1">IF(COUNTIF($W$2:W1034,A49)=1,VLOOKUP(A49,O:P,2), IF(COUNTIF($W$2:W1034,A49)=0,$B$9,""))</f>
        <v>91.58</v>
      </c>
      <c r="C49" s="2">
        <f t="shared" ca="1" si="4"/>
        <v>138218.51689337805</v>
      </c>
      <c r="D49" s="43">
        <f t="shared" ca="1" si="5"/>
        <v>-123666.66666666667</v>
      </c>
      <c r="E49" s="40">
        <f ca="1">IF(COUNTIF($W$2:W1034,A49)=1,VLOOKUP(A49,Q:R,2), IF(COUNTIF($W$2:W1034,A49)=0,$C$9,""))</f>
        <v>99.588999999999999</v>
      </c>
      <c r="F49" s="2">
        <f t="shared" ca="1" si="6"/>
        <v>-41080.000000000327</v>
      </c>
      <c r="G49" s="43">
        <f t="shared" ca="1" si="7"/>
        <v>245.57866666666814</v>
      </c>
      <c r="H49" s="40">
        <f ca="1">IF(COUNTIF($W$2:W1034,A49)=1,VLOOKUP(A49,S:T,2), IF(COUNTIF($W$2:W1034,A49)=0,$D$9,""))</f>
        <v>266.55900000000003</v>
      </c>
      <c r="I49" s="41">
        <f ca="1">IF(COUNTIF($X$2:X1034,INT(A49))=1,VLOOKUP(INT(A49),X:Y,2), IF(ISERROR(H49-2),"",I48*(1-$D$8*(H49-H48)*0.0001)))</f>
        <v>267.66390000000001</v>
      </c>
      <c r="J49" s="41">
        <f t="shared" ca="1" si="8"/>
        <v>267.66390000000001</v>
      </c>
      <c r="K49" s="43">
        <f t="shared" ca="1" si="9"/>
        <v>246608.10810810883</v>
      </c>
      <c r="L49" s="43" t="str">
        <f ca="1">IF($A49="","",IF(COUNTIFS(Dividends!$G:$G,"&gt;"&amp;INT($A48),Dividends!$G:$G,"&lt;="&amp;INT($A49))=0,"",$H$2*SUMIFS(Dividends!$H:$H,Dividends!$G:$G,"&gt;"&amp;INT($A48),Dividends!$G:$G,"&lt;="&amp;INT($A49))))</f>
        <v/>
      </c>
      <c r="M49" s="44">
        <f ca="1">IF(ISERROR(B49-2),"",C49+D49-F49-G49-K49+SUM($L$14:L49))</f>
        <v>-191221.83654806379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46184.625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46170.625</v>
      </c>
      <c r="B50" s="40">
        <f ca="1">IF(COUNTIF($W$2:W1035,A50)=1,VLOOKUP(A50,O:P,2), IF(COUNTIF($W$2:W1035,A50)=0,$B$9,""))</f>
        <v>91.7</v>
      </c>
      <c r="C50" s="2">
        <f t="shared" ca="1" si="4"/>
        <v>177709.5217200575</v>
      </c>
      <c r="D50" s="43">
        <f t="shared" ca="1" si="5"/>
        <v>-125874.99999999999</v>
      </c>
      <c r="E50" s="40">
        <f ca="1">IF(COUNTIF($W$2:W1035,A50)=1,VLOOKUP(A50,Q:R,2), IF(COUNTIF($W$2:W1035,A50)=0,$C$9,""))</f>
        <v>99.653999999999996</v>
      </c>
      <c r="F50" s="2">
        <f t="shared" ca="1" si="6"/>
        <v>-24180.000000000917</v>
      </c>
      <c r="G50" s="43">
        <f t="shared" ca="1" si="7"/>
        <v>249.96400000000722</v>
      </c>
      <c r="H50" s="40">
        <f ca="1">IF(COUNTIF($W$2:W1035,A50)=1,VLOOKUP(A50,S:T,2), IF(COUNTIF($W$2:W1035,A50)=0,$D$9,""))</f>
        <v>264.23200000000003</v>
      </c>
      <c r="I50" s="41">
        <f ca="1">IF(COUNTIF($X$2:X1035,INT(A50))=1,VLOOKUP(INT(A50),X:Y,2), IF(ISERROR(H50-2),"",I49*(1-$D$8*(H50-H49)*0.0001)))</f>
        <v>268.21620000000001</v>
      </c>
      <c r="J50" s="41">
        <f t="shared" ca="1" si="8"/>
        <v>268.21620000000001</v>
      </c>
      <c r="K50" s="43">
        <f t="shared" ca="1" si="9"/>
        <v>285702.7027027033</v>
      </c>
      <c r="L50" s="43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4">
        <f ca="1">IF(ISERROR(B50-2),"",C50+D50-F50-G50-K50+SUM($L$14:L50))</f>
        <v>-209938.14498264488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46185.625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46171.625</v>
      </c>
      <c r="B51" s="40">
        <f ca="1">IF(COUNTIF($W$2:W1036,A51)=1,VLOOKUP(A51,O:P,2), IF(COUNTIF($W$2:W1036,A51)=0,$B$9,""))</f>
        <v>91.85</v>
      </c>
      <c r="C51" s="2">
        <f t="shared" ca="1" si="4"/>
        <v>227073.27775340015</v>
      </c>
      <c r="D51" s="43">
        <f t="shared" ca="1" si="5"/>
        <v>-128083.33333333334</v>
      </c>
      <c r="E51" s="40">
        <f ca="1">IF(COUNTIF($W$2:W1036,A51)=1,VLOOKUP(A51,Q:R,2), IF(COUNTIF($W$2:W1036,A51)=0,$C$9,""))</f>
        <v>99.679000000000002</v>
      </c>
      <c r="F51" s="2">
        <f t="shared" ca="1" si="6"/>
        <v>-17679.999999999436</v>
      </c>
      <c r="G51" s="43">
        <f t="shared" ca="1" si="7"/>
        <v>254.34933333334629</v>
      </c>
      <c r="H51" s="40">
        <f ca="1">IF(COUNTIF($W$2:W1036,A51)=1,VLOOKUP(A51,S:T,2), IF(COUNTIF($W$2:W1036,A51)=0,$D$9,""))</f>
        <v>258.70600000000002</v>
      </c>
      <c r="I51" s="41">
        <f ca="1">IF(COUNTIF($X$2:X1036,INT(A51))=1,VLOOKUP(INT(A51),X:Y,2), IF(ISERROR(H51-2),"",I50*(1-$D$8*(H51-H50)*0.0001)))</f>
        <v>268.76229999999998</v>
      </c>
      <c r="J51" s="41">
        <f t="shared" ca="1" si="8"/>
        <v>268.76229999999998</v>
      </c>
      <c r="K51" s="43">
        <f t="shared" ca="1" si="9"/>
        <v>324358.42985842697</v>
      </c>
      <c r="L51" s="43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4">
        <f ca="1">IF(ISERROR(B51-2),"",C51+D51-F51-G51-K51+SUM($L$14:L51))</f>
        <v>-207942.83477169409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46188.625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46174.625</v>
      </c>
      <c r="B52" s="40">
        <f ca="1">IF(COUNTIF($W$2:W1037,A52)=1,VLOOKUP(A52,O:P,2), IF(COUNTIF($W$2:W1037,A52)=0,$B$9,""))</f>
        <v>91.65</v>
      </c>
      <c r="C52" s="2">
        <f t="shared" ca="1" si="4"/>
        <v>161254.9363756055</v>
      </c>
      <c r="D52" s="43">
        <f t="shared" ca="1" si="5"/>
        <v>-134708.33333333334</v>
      </c>
      <c r="E52" s="40">
        <f ca="1">IF(COUNTIF($W$2:W1037,A52)=1,VLOOKUP(A52,Q:R,2), IF(COUNTIF($W$2:W1037,A52)=0,$C$9,""))</f>
        <v>99.450999999999993</v>
      </c>
      <c r="F52" s="2">
        <f t="shared" ca="1" si="6"/>
        <v>-76960.000000001688</v>
      </c>
      <c r="G52" s="43">
        <f t="shared" ca="1" si="7"/>
        <v>267.50533333333442</v>
      </c>
      <c r="H52" s="40">
        <f ca="1">IF(COUNTIF($W$2:W1037,A52)=1,VLOOKUP(A52,S:T,2), IF(COUNTIF($W$2:W1037,A52)=0,$D$9,""))</f>
        <v>265.43599999999998</v>
      </c>
      <c r="I52" s="41">
        <f ca="1">IF(COUNTIF($X$2:X1037,INT(A52))=1,VLOOKUP(INT(A52),X:Y,2), IF(ISERROR(H52-2),"",I51*(1-$D$8*(H52-H51)*0.0001)))</f>
        <v>268.39839999999998</v>
      </c>
      <c r="J52" s="41">
        <f t="shared" ca="1" si="8"/>
        <v>268.39839999999998</v>
      </c>
      <c r="K52" s="43">
        <f t="shared" ca="1" si="9"/>
        <v>298599.74259974121</v>
      </c>
      <c r="L52" s="43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4">
        <f ca="1">IF(ISERROR(B52-2),"",C52+D52-F52-G52-K52+SUM($L$14:L52))</f>
        <v>-195360.6448908007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46189.625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46175.625</v>
      </c>
      <c r="B53" s="40">
        <f ca="1">IF(COUNTIF($W$2:W1038,A53)=1,VLOOKUP(A53,O:P,2), IF(COUNTIF($W$2:W1038,A53)=0,$B$9,""))</f>
        <v>91.88</v>
      </c>
      <c r="C53" s="2">
        <f t="shared" ca="1" si="4"/>
        <v>236946.02896006999</v>
      </c>
      <c r="D53" s="43">
        <f t="shared" ca="1" si="5"/>
        <v>-136916.66666666666</v>
      </c>
      <c r="E53" s="40">
        <f ca="1">IF(COUNTIF($W$2:W1038,A53)=1,VLOOKUP(A53,Q:R,2), IF(COUNTIF($W$2:W1038,A53)=0,$C$9,""))</f>
        <v>99.534999999999997</v>
      </c>
      <c r="F53" s="2">
        <f t="shared" ca="1" si="6"/>
        <v>-55120.000000000859</v>
      </c>
      <c r="G53" s="43">
        <f t="shared" ca="1" si="7"/>
        <v>271.8906666666735</v>
      </c>
      <c r="H53" s="40">
        <f ca="1">IF(COUNTIF($W$2:W1038,A53)=1,VLOOKUP(A53,S:T,2), IF(COUNTIF($W$2:W1038,A53)=0,$D$9,""))</f>
        <v>258.46100000000001</v>
      </c>
      <c r="I53" s="41">
        <f ca="1">IF(COUNTIF($X$2:X1038,INT(A53))=1,VLOOKUP(INT(A53),X:Y,2), IF(ISERROR(H53-2),"",I52*(1-$D$8*(H53-H52)*0.0001)))</f>
        <v>268.89879999999999</v>
      </c>
      <c r="J53" s="41">
        <f t="shared" ca="1" si="8"/>
        <v>268.89879999999999</v>
      </c>
      <c r="K53" s="43">
        <f t="shared" ca="1" si="9"/>
        <v>334020.5920205919</v>
      </c>
      <c r="L53" s="43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4">
        <f ca="1">IF(ISERROR(B53-2),"",C53+D53-F53-G53-K53+SUM($L$14:L53))</f>
        <v>-179143.12039385439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46190.625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46176.625</v>
      </c>
      <c r="B54" s="40">
        <f ca="1">IF(COUNTIF($W$2:W1039,A54)=1,VLOOKUP(A54,O:P,2), IF(COUNTIF($W$2:W1039,A54)=0,$B$9,""))</f>
        <v>91.75</v>
      </c>
      <c r="C54" s="2">
        <f t="shared" ca="1" si="4"/>
        <v>194164.10706450281</v>
      </c>
      <c r="D54" s="43">
        <f t="shared" ca="1" si="5"/>
        <v>-139124.99999999997</v>
      </c>
      <c r="E54" s="40">
        <f ca="1">IF(COUNTIF($W$2:W1039,A54)=1,VLOOKUP(A54,Q:R,2), IF(COUNTIF($W$2:W1039,A54)=0,$C$9,""))</f>
        <v>99.421999999999997</v>
      </c>
      <c r="F54" s="2">
        <f t="shared" ca="1" si="6"/>
        <v>-84500.000000000742</v>
      </c>
      <c r="G54" s="43">
        <f t="shared" ca="1" si="7"/>
        <v>276.27599999999802</v>
      </c>
      <c r="H54" s="40">
        <f ca="1">IF(COUNTIF($W$2:W1039,A54)=1,VLOOKUP(A54,S:T,2), IF(COUNTIF($W$2:W1039,A54)=0,$D$9,""))</f>
        <v>261.79599999999999</v>
      </c>
      <c r="I54" s="41">
        <f ca="1">IF(COUNTIF($X$2:X1039,INT(A54))=1,VLOOKUP(INT(A54),X:Y,2), IF(ISERROR(H54-2),"",I53*(1-$D$8*(H54-H53)*0.0001)))</f>
        <v>268.40789999999998</v>
      </c>
      <c r="J54" s="41">
        <f t="shared" ca="1" si="8"/>
        <v>268.40789999999998</v>
      </c>
      <c r="K54" s="43">
        <f t="shared" ca="1" si="9"/>
        <v>299272.20077219815</v>
      </c>
      <c r="L54" s="43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4">
        <f ca="1">IF(ISERROR(B54-2),"",C54+D54-F54-G54-K54+SUM($L$14:L54))</f>
        <v>-160009.36970769457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46191.625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46177.625</v>
      </c>
      <c r="B55" s="40">
        <f ca="1">IF(COUNTIF($W$2:W1040,A55)=1,VLOOKUP(A55,O:P,2), IF(COUNTIF($W$2:W1040,A55)=0,$B$9,""))</f>
        <v>91.74</v>
      </c>
      <c r="C55" s="2">
        <f t="shared" ca="1" si="4"/>
        <v>190873.18999560844</v>
      </c>
      <c r="D55" s="43">
        <f t="shared" ca="1" si="5"/>
        <v>-141333.33333333334</v>
      </c>
      <c r="E55" s="40">
        <f ca="1">IF(COUNTIF($W$2:W1040,A55)=1,VLOOKUP(A55,Q:R,2), IF(COUNTIF($W$2:W1040,A55)=0,$C$9,""))</f>
        <v>99.430999999999997</v>
      </c>
      <c r="F55" s="2">
        <f t="shared" ca="1" si="6"/>
        <v>-82160.000000000655</v>
      </c>
      <c r="G55" s="43">
        <f t="shared" ca="1" si="7"/>
        <v>280.6613333333371</v>
      </c>
      <c r="H55" s="40">
        <f ca="1">IF(COUNTIF($W$2:W1040,A55)=1,VLOOKUP(A55,S:T,2), IF(COUNTIF($W$2:W1040,A55)=0,$D$9,""))</f>
        <v>261.392</v>
      </c>
      <c r="I55" s="41">
        <f ca="1">IF(COUNTIF($X$2:X1040,INT(A55))=1,VLOOKUP(INT(A55),X:Y,2), IF(ISERROR(H55-2),"",I54*(1-$D$8*(H55-H54)*0.0001)))</f>
        <v>268.64510000000001</v>
      </c>
      <c r="J55" s="41">
        <f t="shared" ca="1" si="8"/>
        <v>268.64510000000001</v>
      </c>
      <c r="K55" s="43">
        <f t="shared" ca="1" si="9"/>
        <v>316062.41956242156</v>
      </c>
      <c r="L55" s="43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4">
        <f ca="1">IF(ISERROR(B55-2),"",C55+D55-F55-G55-K55+SUM($L$14:L55))</f>
        <v>-184643.22423347918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46192.625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46178.625</v>
      </c>
      <c r="B56" s="40">
        <f ca="1">IF(COUNTIF($W$2:W1041,A56)=1,VLOOKUP(A56,O:P,2), IF(COUNTIF($W$2:W1041,A56)=0,$B$9,""))</f>
        <v>91.71</v>
      </c>
      <c r="C56" s="2">
        <f t="shared" ca="1" si="4"/>
        <v>181000.43878893857</v>
      </c>
      <c r="D56" s="43">
        <f t="shared" ca="1" si="5"/>
        <v>-143541.66666666666</v>
      </c>
      <c r="E56" s="40">
        <f ca="1">IF(COUNTIF($W$2:W1041,A56)=1,VLOOKUP(A56,Q:R,2), IF(COUNTIF($W$2:W1041,A56)=0,$C$9,""))</f>
        <v>99.38</v>
      </c>
      <c r="F56" s="2">
        <f t="shared" ca="1" si="6"/>
        <v>-95420.00000000115</v>
      </c>
      <c r="G56" s="43">
        <f t="shared" ca="1" si="7"/>
        <v>285.04666666667617</v>
      </c>
      <c r="H56" s="40">
        <f ca="1">IF(COUNTIF($W$2:W1041,A56)=1,VLOOKUP(A56,S:T,2), IF(COUNTIF($W$2:W1041,A56)=0,$D$9,""))</f>
        <v>261.88600000000002</v>
      </c>
      <c r="I56" s="41">
        <f ca="1">IF(COUNTIF($X$2:X1041,INT(A56))=1,VLOOKUP(INT(A56),X:Y,2), IF(ISERROR(H56-2),"",I55*(1-$D$8*(H56-H55)*0.0001)))</f>
        <v>268.35000000000002</v>
      </c>
      <c r="J56" s="41">
        <f t="shared" ca="1" si="8"/>
        <v>268.35000000000002</v>
      </c>
      <c r="K56" s="43">
        <f t="shared" ca="1" si="9"/>
        <v>295173.74517374445</v>
      </c>
      <c r="L56" s="43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4">
        <f ca="1">IF(ISERROR(B56-2),"",C56+D56-F56-G56-K56+SUM($L$14:L56))</f>
        <v>-162580.01971813809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46195.625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46181.625</v>
      </c>
      <c r="B57" s="40">
        <f ca="1">IF(COUNTIF($W$2:W1042,A57)=1,VLOOKUP(A57,O:P,2), IF(COUNTIF($W$2:W1042,A57)=0,$B$9,""))</f>
        <v>91.65</v>
      </c>
      <c r="C57" s="2">
        <f t="shared" ca="1" si="4"/>
        <v>161254.9363756055</v>
      </c>
      <c r="D57" s="43">
        <f t="shared" ca="1" si="5"/>
        <v>-150166.66666666666</v>
      </c>
      <c r="E57" s="40">
        <f ca="1">IF(COUNTIF($W$2:W1042,A57)=1,VLOOKUP(A57,Q:R,2), IF(COUNTIF($W$2:W1042,A57)=0,$C$9,""))</f>
        <v>99.350999999999999</v>
      </c>
      <c r="F57" s="2">
        <f t="shared" ca="1" si="6"/>
        <v>-102960.0000000002</v>
      </c>
      <c r="G57" s="43">
        <f t="shared" ca="1" si="7"/>
        <v>298.2026666666643</v>
      </c>
      <c r="H57" s="40">
        <f ca="1">IF(COUNTIF($W$2:W1042,A57)=1,VLOOKUP(A57,S:T,2), IF(COUNTIF($W$2:W1042,A57)=0,$D$9,""))</f>
        <v>263.755</v>
      </c>
      <c r="I57" s="41">
        <f ca="1">IF(COUNTIF($X$2:X1042,INT(A57))=1,VLOOKUP(INT(A57),X:Y,2), IF(ISERROR(H57-2),"",I56*(1-$D$8*(H57-H56)*0.0001)))</f>
        <v>268.29649999999998</v>
      </c>
      <c r="J57" s="41">
        <f t="shared" ca="1" si="8"/>
        <v>268.29649999999998</v>
      </c>
      <c r="K57" s="43">
        <f t="shared" ca="1" si="9"/>
        <v>291386.74388674163</v>
      </c>
      <c r="L57" s="43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4">
        <f ca="1">IF(ISERROR(B57-2),"",C57+D57-F57-G57-K57+SUM($L$14:L57))</f>
        <v>-177636.67684446927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46196.625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46182.625</v>
      </c>
      <c r="B58" s="40">
        <f ca="1">IF(COUNTIF($W$2:W1043,A58)=1,VLOOKUP(A58,O:P,2), IF(COUNTIF($W$2:W1043,A58)=0,$B$9,""))</f>
        <v>91.63</v>
      </c>
      <c r="C58" s="2">
        <f t="shared" ca="1" si="4"/>
        <v>154673.10223782339</v>
      </c>
      <c r="D58" s="43">
        <f t="shared" ca="1" si="5"/>
        <v>-152375</v>
      </c>
      <c r="E58" s="40">
        <f ca="1">IF(COUNTIF($W$2:W1043,A58)=1,VLOOKUP(A58,Q:R,2), IF(COUNTIF($W$2:W1043,A58)=0,$C$9,""))</f>
        <v>99.396000000000001</v>
      </c>
      <c r="F58" s="2">
        <f t="shared" ca="1" si="6"/>
        <v>-91259.999999999767</v>
      </c>
      <c r="G58" s="43">
        <f t="shared" ca="1" si="7"/>
        <v>302.58800000000338</v>
      </c>
      <c r="H58" s="40">
        <f ca="1">IF(COUNTIF($W$2:W1043,A58)=1,VLOOKUP(A58,S:T,2), IF(COUNTIF($W$2:W1043,A58)=0,$D$9,""))</f>
        <v>261.05</v>
      </c>
      <c r="I58" s="41">
        <f ca="1">IF(COUNTIF($X$2:X1043,INT(A58))=1,VLOOKUP(INT(A58),X:Y,2), IF(ISERROR(H58-2),"",I57*(1-$D$8*(H58-H57)*0.0001)))</f>
        <v>268.3329</v>
      </c>
      <c r="J58" s="41">
        <f t="shared" ca="1" si="8"/>
        <v>268.3329</v>
      </c>
      <c r="K58" s="43">
        <f t="shared" ca="1" si="9"/>
        <v>293963.32046331867</v>
      </c>
      <c r="L58" s="43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4">
        <f ca="1">IF(ISERROR(B58-2),"",C58+D58-F58-G58-K58+SUM($L$14:L58))</f>
        <v>-200707.80622549553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46197.625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46183.625</v>
      </c>
      <c r="B59" s="40">
        <f ca="1">IF(COUNTIF($W$2:W1044,A59)=1,VLOOKUP(A59,O:P,2), IF(COUNTIF($W$2:W1044,A59)=0,$B$9,""))</f>
        <v>91.62</v>
      </c>
      <c r="C59" s="2">
        <f t="shared" ca="1" si="4"/>
        <v>151382.18516893566</v>
      </c>
      <c r="D59" s="43">
        <f t="shared" ca="1" si="5"/>
        <v>-154583.33333333334</v>
      </c>
      <c r="E59" s="40">
        <f ca="1">IF(COUNTIF($W$2:W1044,A59)=1,VLOOKUP(A59,Q:R,2), IF(COUNTIF($W$2:W1044,A59)=0,$C$9,""))</f>
        <v>99.337999999999994</v>
      </c>
      <c r="F59" s="2">
        <f t="shared" ca="1" si="6"/>
        <v>-106340.00000000157</v>
      </c>
      <c r="G59" s="43">
        <f t="shared" ca="1" si="7"/>
        <v>306.9733333333279</v>
      </c>
      <c r="H59" s="40">
        <f ca="1">IF(COUNTIF($W$2:W1044,A59)=1,VLOOKUP(A59,S:T,2), IF(COUNTIF($W$2:W1044,A59)=0,$D$9,""))</f>
        <v>264.82</v>
      </c>
      <c r="I59" s="41">
        <f ca="1">IF(COUNTIF($X$2:X1044,INT(A59))=1,VLOOKUP(INT(A59),X:Y,2), IF(ISERROR(H59-2),"",I58*(1-$D$8*(H59-H58)*0.0001)))</f>
        <v>268.03980000000001</v>
      </c>
      <c r="J59" s="41">
        <f t="shared" ca="1" si="8"/>
        <v>268.03980000000001</v>
      </c>
      <c r="K59" s="43">
        <f t="shared" ca="1" si="9"/>
        <v>273216.21621621842</v>
      </c>
      <c r="L59" s="43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4">
        <f ca="1">IF(ISERROR(B59-2),"",C59+D59-F59-G59-K59+SUM($L$14:L59))</f>
        <v>-170384.33771394787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46198.625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46184.625</v>
      </c>
      <c r="B60" s="40">
        <f ca="1">IF(COUNTIF($W$2:W1045,A60)=1,VLOOKUP(A60,O:P,2), IF(COUNTIF($W$2:W1045,A60)=0,$B$9,""))</f>
        <v>91.65</v>
      </c>
      <c r="C60" s="2">
        <f t="shared" ca="1" si="4"/>
        <v>161254.9363756055</v>
      </c>
      <c r="D60" s="43">
        <f t="shared" ca="1" si="5"/>
        <v>-156791.66666666666</v>
      </c>
      <c r="E60" s="40">
        <f ca="1">IF(COUNTIF($W$2:W1045,A60)=1,VLOOKUP(A60,Q:R,2), IF(COUNTIF($W$2:W1045,A60)=0,$C$9,""))</f>
        <v>99.400999999999996</v>
      </c>
      <c r="F60" s="2">
        <f t="shared" ca="1" si="6"/>
        <v>-89960.000000000946</v>
      </c>
      <c r="G60" s="43">
        <f t="shared" ca="1" si="7"/>
        <v>311.35866666666698</v>
      </c>
      <c r="H60" s="40">
        <f ca="1">IF(COUNTIF($W$2:W1045,A60)=1,VLOOKUP(A60,S:T,2), IF(COUNTIF($W$2:W1045,A60)=0,$D$9,""))</f>
        <v>263.56900000000002</v>
      </c>
      <c r="I60" s="41">
        <f ca="1">IF(COUNTIF($X$2:X1045,INT(A60))=1,VLOOKUP(INT(A60),X:Y,2), IF(ISERROR(H60-2),"",I59*(1-$D$8*(H60-H59)*0.0001)))</f>
        <v>268.44299999999998</v>
      </c>
      <c r="J60" s="41">
        <f t="shared" ca="1" si="8"/>
        <v>268.44299999999998</v>
      </c>
      <c r="K60" s="43">
        <f t="shared" ca="1" si="9"/>
        <v>301756.75675675354</v>
      </c>
      <c r="L60" s="43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4">
        <f ca="1">IF(ISERROR(B60-2),"",C60+D60-F60-G60-K60+SUM($L$14:L60))</f>
        <v>-207644.84571448044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46185.625</v>
      </c>
      <c r="B61" s="40">
        <f ca="1">IF(COUNTIF($W$2:W1046,A61)=1,VLOOKUP(A61,O:P,2), IF(COUNTIF($W$2:W1046,A61)=0,$B$9,""))</f>
        <v>91.87</v>
      </c>
      <c r="C61" s="2">
        <f t="shared" ca="1" si="4"/>
        <v>233655.11189118226</v>
      </c>
      <c r="D61" s="43">
        <f t="shared" ca="1" si="5"/>
        <v>-159000</v>
      </c>
      <c r="E61" s="40">
        <f ca="1">IF(COUNTIF($W$2:W1046,A61)=1,VLOOKUP(A61,Q:R,2), IF(COUNTIF($W$2:W1046,A61)=0,$C$9,""))</f>
        <v>99.512</v>
      </c>
      <c r="F61" s="2">
        <f t="shared" ca="1" si="6"/>
        <v>-61099.999999999854</v>
      </c>
      <c r="G61" s="43">
        <f t="shared" ca="1" si="7"/>
        <v>315.74400000000605</v>
      </c>
      <c r="H61" s="40">
        <f ca="1">IF(COUNTIF($W$2:W1046,A61)=1,VLOOKUP(A61,S:T,2), IF(COUNTIF($W$2:W1046,A61)=0,$D$9,""))</f>
        <v>253.16399999999999</v>
      </c>
      <c r="I61" s="41">
        <f ca="1">IF(COUNTIF($X$2:X1046,INT(A61))=1,VLOOKUP(INT(A61),X:Y,2), IF(ISERROR(H61-2),"",I60*(1-$D$8*(H61-H60)*0.0001)))</f>
        <v>269.7552</v>
      </c>
      <c r="J61" s="41">
        <f t="shared" ca="1" si="8"/>
        <v>269.7552</v>
      </c>
      <c r="K61" s="43">
        <f t="shared" ca="1" si="9"/>
        <v>394640.92664092622</v>
      </c>
      <c r="L61" s="43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4">
        <f ca="1">IF(ISERROR(B61-2),"",C61+D61-F61-G61-K61+SUM($L$14:L61))</f>
        <v>-259201.55874974412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46188.625</v>
      </c>
      <c r="B62" s="40">
        <f ca="1">IF(COUNTIF($W$2:W1047,A62)=1,VLOOKUP(A62,O:P,2), IF(COUNTIF($W$2:W1047,A62)=0,$B$9,""))</f>
        <v>92.18</v>
      </c>
      <c r="C62" s="2">
        <f t="shared" ca="1" si="4"/>
        <v>335673.54102676862</v>
      </c>
      <c r="D62" s="43">
        <f t="shared" ca="1" si="5"/>
        <v>-165625</v>
      </c>
      <c r="E62" s="40">
        <f ca="1">IF(COUNTIF($W$2:W1047,A62)=1,VLOOKUP(A62,Q:R,2), IF(COUNTIF($W$2:W1047,A62)=0,$C$9,""))</f>
        <v>99.631</v>
      </c>
      <c r="F62" s="2">
        <f t="shared" ca="1" si="6"/>
        <v>-30159.999999999909</v>
      </c>
      <c r="G62" s="43">
        <f t="shared" ca="1" si="7"/>
        <v>328.89999999999418</v>
      </c>
      <c r="H62" s="40">
        <f ca="1">IF(COUNTIF($W$2:W1047,A62)=1,VLOOKUP(A62,S:T,2), IF(COUNTIF($W$2:W1047,A62)=0,$D$9,""))</f>
        <v>248.518</v>
      </c>
      <c r="I62" s="41">
        <f ca="1">IF(COUNTIF($X$2:X1047,INT(A62))=1,VLOOKUP(INT(A62),X:Y,2), IF(ISERROR(H62-2),"",I61*(1-$D$8*(H62-H61)*0.0001)))</f>
        <v>270.47059999999999</v>
      </c>
      <c r="J62" s="41">
        <f t="shared" ca="1" si="8"/>
        <v>270.47059999999999</v>
      </c>
      <c r="K62" s="43">
        <f t="shared" ca="1" si="9"/>
        <v>445280.56628056424</v>
      </c>
      <c r="L62" s="43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4">
        <f ca="1">IF(ISERROR(B62-2),"",C62+D62-F62-G62-K62+SUM($L$14:L62))</f>
        <v>-245400.92525379569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46189.625</v>
      </c>
      <c r="B63" s="40">
        <f ca="1">IF(COUNTIF($W$2:W1048,A63)=1,VLOOKUP(A63,O:P,2), IF(COUNTIF($W$2:W1048,A63)=0,$B$9,""))</f>
        <v>92.15</v>
      </c>
      <c r="C63" s="2">
        <f t="shared" ca="1" si="4"/>
        <v>325800.78982009873</v>
      </c>
      <c r="D63" s="43">
        <f t="shared" ca="1" si="5"/>
        <v>-167833.33333333334</v>
      </c>
      <c r="E63" s="40">
        <f ca="1">IF(COUNTIF($W$2:W1048,A63)=1,VLOOKUP(A63,Q:R,2), IF(COUNTIF($W$2:W1048,A63)=0,$C$9,""))</f>
        <v>99.625</v>
      </c>
      <c r="F63" s="2">
        <f t="shared" ca="1" si="6"/>
        <v>-31719.999999999971</v>
      </c>
      <c r="G63" s="43">
        <f t="shared" ca="1" si="7"/>
        <v>333.28533333333326</v>
      </c>
      <c r="H63" s="40">
        <f ca="1">IF(COUNTIF($W$2:W1048,A63)=1,VLOOKUP(A63,S:T,2), IF(COUNTIF($W$2:W1048,A63)=0,$D$9,""))</f>
        <v>249.79400000000001</v>
      </c>
      <c r="I63" s="41">
        <f ca="1">IF(COUNTIF($X$2:X1048,INT(A63))=1,VLOOKUP(INT(A63),X:Y,2), IF(ISERROR(H63-2),"",I62*(1-$D$8*(H63-H62)*0.0001)))</f>
        <v>270.3356</v>
      </c>
      <c r="J63" s="41">
        <f t="shared" ca="1" si="8"/>
        <v>270.3356</v>
      </c>
      <c r="K63" s="43">
        <f t="shared" ca="1" si="9"/>
        <v>435724.58172458195</v>
      </c>
      <c r="L63" s="43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4">
        <f ca="1">IF(ISERROR(B63-2),"",C63+D63-F63-G63-K63+SUM($L$14:L63))</f>
        <v>-246370.41057114993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46190.625</v>
      </c>
      <c r="B64" s="40">
        <f ca="1">IF(COUNTIF($W$2:W1049,A64)=1,VLOOKUP(A64,O:P,2), IF(COUNTIF($W$2:W1049,A64)=0,$B$9,""))</f>
        <v>92.16</v>
      </c>
      <c r="C64" s="2">
        <f t="shared" ca="1" si="4"/>
        <v>329091.70688898646</v>
      </c>
      <c r="D64" s="43">
        <f t="shared" ca="1" si="5"/>
        <v>-170041.66666666666</v>
      </c>
      <c r="E64" s="40">
        <f ca="1">IF(COUNTIF($W$2:W1049,A64)=1,VLOOKUP(A64,Q:R,2), IF(COUNTIF($W$2:W1049,A64)=0,$C$9,""))</f>
        <v>99.600999999999999</v>
      </c>
      <c r="F64" s="2">
        <f t="shared" ca="1" si="6"/>
        <v>-37960.000000000204</v>
      </c>
      <c r="G64" s="43">
        <f t="shared" ca="1" si="7"/>
        <v>337.67066666667233</v>
      </c>
      <c r="H64" s="40">
        <f ca="1">IF(COUNTIF($W$2:W1049,A64)=1,VLOOKUP(A64,S:T,2), IF(COUNTIF($W$2:W1049,A64)=0,$D$9,""))</f>
        <v>252.459</v>
      </c>
      <c r="I64" s="41">
        <f ca="1">IF(COUNTIF($X$2:X1049,INT(A64))=1,VLOOKUP(INT(A64),X:Y,2), IF(ISERROR(H64-2),"",I63*(1-$D$8*(H64-H63)*0.0001)))</f>
        <v>270.1644</v>
      </c>
      <c r="J64" s="41">
        <f t="shared" ca="1" si="8"/>
        <v>270.1644</v>
      </c>
      <c r="K64" s="43">
        <f t="shared" ca="1" si="9"/>
        <v>423606.17760617536</v>
      </c>
      <c r="L64" s="43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4">
        <f ca="1">IF(ISERROR(B64-2),"",C64+D64-F64-G64-K64+SUM($L$14:L64))</f>
        <v>-226933.80805052203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>
        <f t="shared" ca="1" si="3"/>
        <v>46191.625</v>
      </c>
      <c r="B65" s="40">
        <f ca="1">IF(COUNTIF($W$2:W1050,A65)=1,VLOOKUP(A65,O:P,2), IF(COUNTIF($W$2:W1050,A65)=0,$B$9,""))</f>
        <v>91.01</v>
      </c>
      <c r="C65" s="2">
        <f t="shared" ca="1" si="4"/>
        <v>-49363.756033345977</v>
      </c>
      <c r="D65" s="43">
        <f t="shared" ca="1" si="5"/>
        <v>-172250</v>
      </c>
      <c r="E65" s="40">
        <f ca="1">IF(COUNTIF($W$2:W1050,A65)=1,VLOOKUP(A65,Q:R,2), IF(COUNTIF($W$2:W1050,A65)=0,$C$9,""))</f>
        <v>99.582999999999998</v>
      </c>
      <c r="F65" s="2">
        <f t="shared" ca="1" si="6"/>
        <v>-42640.000000000386</v>
      </c>
      <c r="G65" s="43">
        <f t="shared" ca="1" si="7"/>
        <v>342.05600000001141</v>
      </c>
      <c r="H65" s="40">
        <f ca="1">IF(COUNTIF($W$2:W1050,A65)=1,VLOOKUP(A65,S:T,2), IF(COUNTIF($W$2:W1050,A65)=0,$D$9,""))</f>
        <v>249.42099999999999</v>
      </c>
      <c r="I65" s="41">
        <f ca="1">IF(COUNTIF($X$2:X1050,INT(A65))=1,VLOOKUP(INT(A65),X:Y,2), IF(ISERROR(H65-2),"",I64*(1-$D$8*(H65-H64)*0.0001)))</f>
        <v>270.5043</v>
      </c>
      <c r="J65" s="41">
        <f t="shared" ca="1" si="8"/>
        <v>270.5043</v>
      </c>
      <c r="K65" s="43">
        <f t="shared" ca="1" si="9"/>
        <v>447666.02316602162</v>
      </c>
      <c r="L65" s="43">
        <f ca="1">IF($A65="","",IF(COUNTIFS(Dividends!$G:$G,"&gt;"&amp;INT($A64),Dividends!$G:$G,"&lt;="&amp;INT($A65))=0,"",$H$2*SUMIFS(Dividends!$H:$H,Dividends!$G:$G,"&gt;"&amp;INT($A64),Dividends!$G:$G,"&lt;="&amp;INT($A65))))</f>
        <v>383260.20184291358</v>
      </c>
      <c r="M65" s="44">
        <f ca="1">IF(ISERROR(B65-2),"",C65+D65-F65-G65-K65+SUM($L$14:L65))</f>
        <v>-243721.63335645368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>
        <f t="shared" ca="1" si="3"/>
        <v>46192.625</v>
      </c>
      <c r="B66" s="40">
        <f ca="1">IF(COUNTIF($W$2:W1051,A66)=1,VLOOKUP(A66,O:P,2), IF(COUNTIF($W$2:W1051,A66)=0,$B$9,""))</f>
        <v>91.05</v>
      </c>
      <c r="C66" s="2">
        <f t="shared" ca="1" si="4"/>
        <v>-36200.08775778838</v>
      </c>
      <c r="D66" s="43">
        <f t="shared" ca="1" si="5"/>
        <v>-174458.33333333334</v>
      </c>
      <c r="E66" s="40">
        <f ca="1">IF(COUNTIF($W$2:W1051,A66)=1,VLOOKUP(A66,Q:R,2), IF(COUNTIF($W$2:W1051,A66)=0,$C$9,""))</f>
        <v>99.489000000000004</v>
      </c>
      <c r="F66" s="2">
        <f t="shared" ca="1" si="6"/>
        <v>-67079.99999999885</v>
      </c>
      <c r="G66" s="43">
        <f t="shared" ca="1" si="7"/>
        <v>346.44133333332138</v>
      </c>
      <c r="H66" s="40">
        <f ca="1">IF(COUNTIF($W$2:W1051,A66)=1,VLOOKUP(A66,S:T,2), IF(COUNTIF($W$2:W1051,A66)=0,$D$9,""))</f>
        <v>249.20599999999999</v>
      </c>
      <c r="I66" s="41">
        <f ca="1">IF(COUNTIF($X$2:X1051,INT(A66))=1,VLOOKUP(INT(A66),X:Y,2), IF(ISERROR(H66-2),"",I65*(1-$D$8*(H66-H65)*0.0001)))</f>
        <v>270.44040000000001</v>
      </c>
      <c r="J66" s="41">
        <f t="shared" ca="1" si="8"/>
        <v>270.44040000000001</v>
      </c>
      <c r="K66" s="43">
        <f t="shared" ca="1" si="9"/>
        <v>443142.85714285803</v>
      </c>
      <c r="L66" s="43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4">
        <f ca="1">IF(ISERROR(B66-2),"",C66+D66-F66-G66-K66+SUM($L$14:L66))</f>
        <v>-203807.51772440068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>
        <f t="shared" ca="1" si="3"/>
        <v>46195.625</v>
      </c>
      <c r="B67" s="40">
        <f ca="1">IF(COUNTIF($W$2:W1052,A67)=1,VLOOKUP(A67,O:P,2), IF(COUNTIF($W$2:W1052,A67)=0,$B$9,""))</f>
        <v>91.17</v>
      </c>
      <c r="C67" s="2">
        <f t="shared" ca="1" si="4"/>
        <v>3290.9170688943946</v>
      </c>
      <c r="D67" s="43">
        <f t="shared" ca="1" si="5"/>
        <v>-181083.33333333334</v>
      </c>
      <c r="E67" s="40">
        <f ca="1">IF(COUNTIF($W$2:W1052,A67)=1,VLOOKUP(A67,Q:R,2), IF(COUNTIF($W$2:W1052,A67)=0,$C$9,""))</f>
        <v>99.591999999999999</v>
      </c>
      <c r="F67" s="2">
        <f t="shared" ca="1" si="6"/>
        <v>-40300.000000000298</v>
      </c>
      <c r="G67" s="43">
        <f t="shared" ca="1" si="7"/>
        <v>359.59733333333861</v>
      </c>
      <c r="H67" s="40">
        <f ca="1">IF(COUNTIF($W$2:W1052,A67)=1,VLOOKUP(A67,S:T,2), IF(COUNTIF($W$2:W1052,A67)=0,$D$9,""))</f>
        <v>246.90199999999999</v>
      </c>
      <c r="I67" s="41">
        <f ca="1">IF(COUNTIF($X$2:X1052,INT(A67))=1,VLOOKUP(INT(A67),X:Y,2), IF(ISERROR(H67-2),"",I66*(1-$D$8*(H67-H66)*0.0001)))</f>
        <v>270.85840000000002</v>
      </c>
      <c r="J67" s="41">
        <f t="shared" ca="1" si="8"/>
        <v>270.85840000000002</v>
      </c>
      <c r="K67" s="43">
        <f t="shared" ca="1" si="9"/>
        <v>472731.01673101721</v>
      </c>
      <c r="L67" s="43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4">
        <f ca="1">IF(ISERROR(B67-2),"",C67+D67-F67-G67-K67+SUM($L$14:L67))</f>
        <v>-227322.82848587568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>
        <f t="shared" ca="1" si="3"/>
        <v>46196.625</v>
      </c>
      <c r="B68" s="40">
        <f ca="1">IF(COUNTIF($W$2:W1053,A68)=1,VLOOKUP(A68,O:P,2), IF(COUNTIF($W$2:W1053,A68)=0,$B$9,""))</f>
        <v>91.08</v>
      </c>
      <c r="C68" s="2">
        <f t="shared" ca="1" si="4"/>
        <v>-26327.336551118518</v>
      </c>
      <c r="D68" s="43">
        <f t="shared" ca="1" si="5"/>
        <v>-183291.66666666666</v>
      </c>
      <c r="E68" s="40">
        <f ca="1">IF(COUNTIF($W$2:W1053,A68)=1,VLOOKUP(A68,Q:R,2), IF(COUNTIF($W$2:W1053,A68)=0,$C$9,""))</f>
        <v>99.66</v>
      </c>
      <c r="F68" s="2">
        <f t="shared" ca="1" si="6"/>
        <v>-22620.000000000859</v>
      </c>
      <c r="G68" s="43">
        <f t="shared" ca="1" si="7"/>
        <v>363.98266666667769</v>
      </c>
      <c r="H68" s="40">
        <f ca="1">IF(COUNTIF($W$2:W1053,A68)=1,VLOOKUP(A68,S:T,2), IF(COUNTIF($W$2:W1053,A68)=0,$D$9,""))</f>
        <v>248.29</v>
      </c>
      <c r="I68" s="41">
        <f ca="1">IF(COUNTIF($X$2:X1053,INT(A68))=1,VLOOKUP(INT(A68),X:Y,2), IF(ISERROR(H68-2),"",I67*(1-$D$8*(H68-H67)*0.0001)))</f>
        <v>270.70330000000001</v>
      </c>
      <c r="J68" s="41">
        <f t="shared" ca="1" si="8"/>
        <v>270.70330000000001</v>
      </c>
      <c r="K68" s="43">
        <f t="shared" ca="1" si="9"/>
        <v>461752.25225225213</v>
      </c>
      <c r="L68" s="43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4">
        <f ca="1">IF(ISERROR(B68-2),"",C68+D68-F68-G68-K68+SUM($L$14:L68))</f>
        <v>-265855.03629378957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2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>
        <f t="shared" ca="1" si="3"/>
        <v>46197.625</v>
      </c>
      <c r="B69" s="40">
        <f ca="1">IF(COUNTIF($W$2:W1054,A69)=1,VLOOKUP(A69,O:P,2), IF(COUNTIF($W$2:W1054,A69)=0,$B$9,""))</f>
        <v>91.03</v>
      </c>
      <c r="C69" s="2">
        <f t="shared" ca="1" si="4"/>
        <v>-42781.921895567175</v>
      </c>
      <c r="D69" s="43">
        <f t="shared" ca="1" si="5"/>
        <v>-185500</v>
      </c>
      <c r="E69" s="40">
        <f ca="1">IF(COUNTIF($W$2:W1054,A69)=1,VLOOKUP(A69,Q:R,2), IF(COUNTIF($W$2:W1054,A69)=0,$C$9,""))</f>
        <v>99.724999999999994</v>
      </c>
      <c r="F69" s="2">
        <f t="shared" ca="1" si="6"/>
        <v>-5720.0000000014488</v>
      </c>
      <c r="G69" s="43">
        <f t="shared" ca="1" si="7"/>
        <v>368.36800000001676</v>
      </c>
      <c r="H69" s="40">
        <f ca="1">IF(COUNTIF($W$2:W1054,A69)=1,VLOOKUP(A69,S:T,2), IF(COUNTIF($W$2:W1054,A69)=0,$D$9,""))</f>
        <v>247.875</v>
      </c>
      <c r="I69" s="41">
        <f ca="1">IF(COUNTIF($X$2:X1054,INT(A69))=1,VLOOKUP(INT(A69),X:Y,2), IF(ISERROR(H69-2),"",I68*(1-$D$8*(H69-H68)*0.0001)))</f>
        <v>270.80290000000002</v>
      </c>
      <c r="J69" s="41">
        <f t="shared" ca="1" si="8"/>
        <v>270.80290000000002</v>
      </c>
      <c r="K69" s="43">
        <f t="shared" ca="1" si="9"/>
        <v>468802.44530244579</v>
      </c>
      <c r="L69" s="43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4">
        <f ca="1">IF(ISERROR(B69-2),"",C69+D69-F69-G69-K69+SUM($L$14:L69))</f>
        <v>-308472.53335509793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2"/>
        <v>45874</v>
      </c>
      <c r="AE69" s="22"/>
      <c r="AF69" s="22"/>
      <c r="AG69" s="22"/>
      <c r="AH69" s="22"/>
      <c r="AI69" s="7"/>
    </row>
    <row r="70" spans="1:35" x14ac:dyDescent="0.25">
      <c r="A70" s="39">
        <f t="shared" ca="1" si="3"/>
        <v>46198.625</v>
      </c>
      <c r="B70" s="40">
        <f ca="1">IF(COUNTIF($W$2:W1055,A70)=1,VLOOKUP(A70,O:P,2), IF(COUNTIF($W$2:W1055,A70)=0,$B$9,""))</f>
        <v>91.17</v>
      </c>
      <c r="C70" s="2">
        <f t="shared" ca="1" si="4"/>
        <v>3290.9170688943946</v>
      </c>
      <c r="D70" s="43">
        <f t="shared" ca="1" si="5"/>
        <v>-187708.33333333334</v>
      </c>
      <c r="E70" s="40">
        <f ca="1">IF(COUNTIF($W$2:W1055,A70)=1,VLOOKUP(A70,Q:R,2), IF(COUNTIF($W$2:W1055,A70)=0,$C$9,""))</f>
        <v>99.748999999999995</v>
      </c>
      <c r="F70" s="2">
        <f t="shared" ca="1" si="6"/>
        <v>519.9999999987881</v>
      </c>
      <c r="G70" s="43">
        <f t="shared" ca="1" si="7"/>
        <v>372.75333333332674</v>
      </c>
      <c r="H70" s="40">
        <f ca="1">IF(COUNTIF($W$2:W1055,A70)=1,VLOOKUP(A70,S:T,2), IF(COUNTIF($W$2:W1055,A70)=0,$D$9,""))</f>
        <v>246.71700000000001</v>
      </c>
      <c r="I70" s="41">
        <f ca="1">IF(COUNTIF($X$2:X1055,INT(A70))=1,VLOOKUP(INT(A70),X:Y,2), IF(ISERROR(H70-2),"",I69*(1-$D$8*(H70-H69)*0.0001)))</f>
        <v>270.97930000000002</v>
      </c>
      <c r="J70" s="41">
        <f t="shared" ca="1" si="8"/>
        <v>270.97930000000002</v>
      </c>
      <c r="K70" s="43">
        <f t="shared" ca="1" si="9"/>
        <v>481288.93178893486</v>
      </c>
      <c r="L70" s="43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4">
        <f ca="1">IF(ISERROR(B70-2),"",C70+D70-F70-G70-K70+SUM($L$14:L70))</f>
        <v>-283338.8995437923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9">
        <f t="shared" ca="1" si="3"/>
        <v>46198.782064814812</v>
      </c>
      <c r="B71" s="40">
        <f ca="1">IF(COUNTIF($W$2:W1056,A71)=1,VLOOKUP(A71,O:P,2), IF(COUNTIF($W$2:W1056,A71)=0,$B$9,""))</f>
        <v>91.16</v>
      </c>
      <c r="C71" s="2">
        <f t="shared" ca="1" si="4"/>
        <v>0</v>
      </c>
      <c r="D71" s="43">
        <f t="shared" ca="1" si="5"/>
        <v>-187708.33333333334</v>
      </c>
      <c r="E71" s="40">
        <f ca="1">IF(COUNTIF($W$2:W1056,A71)=1,VLOOKUP(A71,Q:R,2), IF(COUNTIF($W$2:W1056,A71)=0,$C$9,""))</f>
        <v>99.747</v>
      </c>
      <c r="F71" s="2">
        <f t="shared" ca="1" si="6"/>
        <v>0</v>
      </c>
      <c r="G71" s="43">
        <f t="shared" ca="1" si="7"/>
        <v>372.75333333332674</v>
      </c>
      <c r="H71" s="40">
        <f ca="1">IF(COUNTIF($W$2:W1056,A71)=1,VLOOKUP(A71,S:T,2), IF(COUNTIF($W$2:W1056,A71)=0,$D$9,""))</f>
        <v>247.30670000000001</v>
      </c>
      <c r="I71" s="41">
        <f ca="1">IF(COUNTIF($X$2:X1056,INT(A71))=1,VLOOKUP(INT(A71),X:Y,2), IF(ISERROR(H71-2),"",I70*(1-$D$8*(H71-H70)*0.0001)))</f>
        <v>270.97930000000002</v>
      </c>
      <c r="J71" s="41">
        <f t="shared" ca="1" si="8"/>
        <v>270.97930000000002</v>
      </c>
      <c r="K71" s="43">
        <f t="shared" ca="1" si="9"/>
        <v>481288.93178893486</v>
      </c>
      <c r="L71" s="43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4">
        <f ca="1">IF(ISERROR(B71-2),"",C71+D71-F71-G71-K71+SUM($L$14:L71))</f>
        <v>-286109.81661268795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 t="str">
        <f t="shared" ca="1" si="5"/>
        <v/>
      </c>
      <c r="E72" s="40" t="str">
        <f ca="1">IF(COUNTIF($W$2:W1057,A72)=1,VLOOKUP(A72,Q:R,2), IF(COUNTIF($W$2:W1057,A72)=0,$C$9,""))</f>
        <v/>
      </c>
      <c r="F72" s="2" t="str">
        <f t="shared" ca="1" si="6"/>
        <v/>
      </c>
      <c r="G72" s="43" t="str">
        <f t="shared" ca="1" si="7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8"/>
        <v/>
      </c>
      <c r="K72" s="43" t="str">
        <f t="shared" ca="1" si="9"/>
        <v/>
      </c>
      <c r="L72" s="43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4" t="str">
        <f ca="1">IF(ISERROR(B72-2),"",C72+D72-F72-G72-K72+SUM($L$14:L72))</f>
        <v/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 t="str">
        <f t="shared" ca="1" si="5"/>
        <v/>
      </c>
      <c r="E73" s="40" t="str">
        <f ca="1">IF(COUNTIF($W$2:W1058,A73)=1,VLOOKUP(A73,Q:R,2), IF(COUNTIF($W$2:W1058,A73)=0,$C$9,""))</f>
        <v/>
      </c>
      <c r="F73" s="2" t="str">
        <f t="shared" ca="1" si="6"/>
        <v/>
      </c>
      <c r="G73" s="43" t="str">
        <f t="shared" ca="1" si="7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8"/>
        <v/>
      </c>
      <c r="K73" s="43" t="str">
        <f t="shared" ca="1" si="9"/>
        <v/>
      </c>
      <c r="L73" s="43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4" t="str">
        <f ca="1">IF(ISERROR(B73-2),"",C73+D73-F73-G73-K73+SUM($L$14:L73))</f>
        <v/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 t="str">
        <f t="shared" ca="1" si="5"/>
        <v/>
      </c>
      <c r="E74" s="40" t="str">
        <f ca="1">IF(COUNTIF($W$2:W1059,A74)=1,VLOOKUP(A74,Q:R,2), IF(COUNTIF($W$2:W1059,A74)=0,$C$9,""))</f>
        <v/>
      </c>
      <c r="F74" s="2" t="str">
        <f t="shared" ca="1" si="6"/>
        <v/>
      </c>
      <c r="G74" s="43" t="str">
        <f t="shared" ca="1" si="7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8"/>
        <v/>
      </c>
      <c r="K74" s="43" t="str">
        <f t="shared" ca="1" si="9"/>
        <v/>
      </c>
      <c r="L74" s="43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4" t="str">
        <f ca="1">IF(ISERROR(B74-2),"",C74+D74-F74-G74-K74+SUM($L$14:L74))</f>
        <v/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 t="str">
        <f t="shared" ca="1" si="5"/>
        <v/>
      </c>
      <c r="E75" s="40" t="str">
        <f ca="1">IF(COUNTIF($W$2:W1060,A75)=1,VLOOKUP(A75,Q:R,2), IF(COUNTIF($W$2:W1060,A75)=0,$C$9,""))</f>
        <v/>
      </c>
      <c r="F75" s="2" t="str">
        <f t="shared" ca="1" si="6"/>
        <v/>
      </c>
      <c r="G75" s="43" t="str">
        <f t="shared" ca="1" si="7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8"/>
        <v/>
      </c>
      <c r="K75" s="43" t="str">
        <f t="shared" ca="1" si="9"/>
        <v/>
      </c>
      <c r="L75" s="43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4" t="str">
        <f ca="1">IF(ISERROR(B75-2),"",C75+D75-F75-G75-K75+SUM($L$14:L75))</f>
        <v/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 t="str">
        <f t="shared" ca="1" si="5"/>
        <v/>
      </c>
      <c r="E76" s="40" t="str">
        <f ca="1">IF(COUNTIF($W$2:W1061,A76)=1,VLOOKUP(A76,Q:R,2), IF(COUNTIF($W$2:W1061,A76)=0,$C$9,""))</f>
        <v/>
      </c>
      <c r="F76" s="2" t="str">
        <f t="shared" ca="1" si="6"/>
        <v/>
      </c>
      <c r="G76" s="43" t="str">
        <f t="shared" ca="1" si="7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8"/>
        <v/>
      </c>
      <c r="K76" s="43" t="str">
        <f t="shared" ca="1" si="9"/>
        <v/>
      </c>
      <c r="L76" s="43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4" t="str">
        <f ca="1">IF(ISERROR(B76-2),"",C76+D76-F76-G76-K76+SUM($L$14:L76))</f>
        <v/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 t="str">
        <f t="shared" ca="1" si="5"/>
        <v/>
      </c>
      <c r="E77" s="40" t="str">
        <f ca="1">IF(COUNTIF($W$2:W1062,A77)=1,VLOOKUP(A77,Q:R,2), IF(COUNTIF($W$2:W1062,A77)=0,$C$9,""))</f>
        <v/>
      </c>
      <c r="F77" s="2" t="str">
        <f t="shared" ca="1" si="6"/>
        <v/>
      </c>
      <c r="G77" s="43" t="str">
        <f t="shared" ca="1" si="7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8"/>
        <v/>
      </c>
      <c r="K77" s="43" t="str">
        <f t="shared" ca="1" si="9"/>
        <v/>
      </c>
      <c r="L77" s="43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4" t="str">
        <f ca="1">IF(ISERROR(B77-2),"",C77+D77-F77-G77-K77+SUM($L$14:L77))</f>
        <v/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 t="str">
        <f t="shared" ca="1" si="5"/>
        <v/>
      </c>
      <c r="E78" s="40" t="str">
        <f ca="1">IF(COUNTIF($W$2:W1063,A78)=1,VLOOKUP(A78,Q:R,2), IF(COUNTIF($W$2:W1063,A78)=0,$C$9,""))</f>
        <v/>
      </c>
      <c r="F78" s="2" t="str">
        <f t="shared" ca="1" si="6"/>
        <v/>
      </c>
      <c r="G78" s="43" t="str">
        <f t="shared" ca="1" si="7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8"/>
        <v/>
      </c>
      <c r="K78" s="43" t="str">
        <f t="shared" ca="1" si="9"/>
        <v/>
      </c>
      <c r="L78" s="43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4" t="str">
        <f ca="1">IF(ISERROR(B78-2),"",C78+D78-F78-G78-K78+SUM($L$14:L78))</f>
        <v/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2"/>
        <v>45887</v>
      </c>
    </row>
    <row r="79" spans="1:35" x14ac:dyDescent="0.25">
      <c r="A79" s="39" t="str">
        <f t="shared" ref="A79:A142" ca="1" si="13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 t="str">
        <f t="shared" ca="1" si="5"/>
        <v/>
      </c>
      <c r="E79" s="40" t="str">
        <f ca="1">IF(COUNTIF($W$2:W1064,A79)=1,VLOOKUP(A79,Q:R,2), IF(COUNTIF($W$2:W1064,A79)=0,$C$9,""))</f>
        <v/>
      </c>
      <c r="F79" s="2" t="str">
        <f t="shared" ca="1" si="6"/>
        <v/>
      </c>
      <c r="G79" s="43" t="str">
        <f t="shared" ca="1" si="7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8"/>
        <v/>
      </c>
      <c r="K79" s="43" t="str">
        <f t="shared" ca="1" si="9"/>
        <v/>
      </c>
      <c r="L79" s="43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4" t="str">
        <f ca="1">IF(ISERROR(B79-2),"",C79+D79-F79-G79-K79+SUM($L$14:L79))</f>
        <v/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2"/>
        <v>45888</v>
      </c>
    </row>
    <row r="80" spans="1:35" x14ac:dyDescent="0.25">
      <c r="A80" s="39" t="str">
        <f t="shared" ca="1" si="13"/>
        <v/>
      </c>
      <c r="B80" s="40" t="str">
        <f ca="1">IF(COUNTIF($W$2:W1065,A80)=1,VLOOKUP(A80,O:P,2), IF(COUNTIF($W$2:W1065,A80)=0,$B$9,""))</f>
        <v/>
      </c>
      <c r="C80" s="2" t="str">
        <f t="shared" ref="C80:C143" ca="1" si="14">IF(ISERROR(B80-2),"",(B80/$B$14-1)*$B$5)</f>
        <v/>
      </c>
      <c r="D80" s="43" t="str">
        <f t="shared" ref="D80:D143" ca="1" si="15">IF(ISERROR(B80-2),"",-1*(INT(A80)-INT($A$14))/360*$B$7*$B$5)</f>
        <v/>
      </c>
      <c r="E80" s="40" t="str">
        <f ca="1">IF(COUNTIF($W$2:W1065,A80)=1,VLOOKUP(A80,Q:R,2), IF(COUNTIF($W$2:W1065,A80)=0,$C$9,""))</f>
        <v/>
      </c>
      <c r="F80" s="2" t="str">
        <f t="shared" ref="F80:F143" ca="1" si="16">IF(ISERROR(B80-2),"",(E80-$E$14)/100*$C$5)</f>
        <v/>
      </c>
      <c r="G80" s="43" t="str">
        <f t="shared" ref="G80:G143" ca="1" si="17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8">IF(ISERROR(H80-2),"",I80)</f>
        <v/>
      </c>
      <c r="K80" s="43" t="str">
        <f t="shared" ref="K80:K143" ca="1" si="19">IF(ISERROR(H80-2),"",(J80/$J$14-1)*$D$5)</f>
        <v/>
      </c>
      <c r="L80" s="43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4" t="str">
        <f ca="1">IF(ISERROR(B80-2),"",C80+D80-F80-G80-K80+SUM($L$14:L80))</f>
        <v/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2"/>
        <v>45889</v>
      </c>
    </row>
    <row r="81" spans="1:30" x14ac:dyDescent="0.25">
      <c r="A81" s="39" t="str">
        <f t="shared" ca="1" si="13"/>
        <v/>
      </c>
      <c r="B81" s="40" t="str">
        <f ca="1">IF(COUNTIF($W$2:W1066,A81)=1,VLOOKUP(A81,O:P,2), IF(COUNTIF($W$2:W1066,A81)=0,$B$9,""))</f>
        <v/>
      </c>
      <c r="C81" s="2" t="str">
        <f t="shared" ca="1" si="14"/>
        <v/>
      </c>
      <c r="D81" s="43" t="str">
        <f t="shared" ca="1" si="15"/>
        <v/>
      </c>
      <c r="E81" s="40" t="str">
        <f ca="1">IF(COUNTIF($W$2:W1066,A81)=1,VLOOKUP(A81,Q:R,2), IF(COUNTIF($W$2:W1066,A81)=0,$C$9,""))</f>
        <v/>
      </c>
      <c r="F81" s="2" t="str">
        <f t="shared" ca="1" si="16"/>
        <v/>
      </c>
      <c r="G81" s="43" t="str">
        <f t="shared" ca="1" si="17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8"/>
        <v/>
      </c>
      <c r="K81" s="43" t="str">
        <f t="shared" ca="1" si="19"/>
        <v/>
      </c>
      <c r="L81" s="43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4" t="str">
        <f ca="1">IF(ISERROR(B81-2),"",C81+D81-F81-G81-K81+SUM($L$14:L81))</f>
        <v/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2"/>
        <v>45890</v>
      </c>
    </row>
    <row r="82" spans="1:30" x14ac:dyDescent="0.25">
      <c r="A82" s="39" t="str">
        <f t="shared" ca="1" si="13"/>
        <v/>
      </c>
      <c r="B82" s="40" t="str">
        <f ca="1">IF(COUNTIF($W$2:W1067,A82)=1,VLOOKUP(A82,O:P,2), IF(COUNTIF($W$2:W1067,A82)=0,$B$9,""))</f>
        <v/>
      </c>
      <c r="C82" s="2" t="str">
        <f t="shared" ca="1" si="14"/>
        <v/>
      </c>
      <c r="D82" s="43" t="str">
        <f t="shared" ca="1" si="15"/>
        <v/>
      </c>
      <c r="E82" s="40" t="str">
        <f ca="1">IF(COUNTIF($W$2:W1067,A82)=1,VLOOKUP(A82,Q:R,2), IF(COUNTIF($W$2:W1067,A82)=0,$C$9,""))</f>
        <v/>
      </c>
      <c r="F82" s="2" t="str">
        <f t="shared" ca="1" si="16"/>
        <v/>
      </c>
      <c r="G82" s="43" t="str">
        <f t="shared" ca="1" si="17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8"/>
        <v/>
      </c>
      <c r="K82" s="43" t="str">
        <f t="shared" ca="1" si="19"/>
        <v/>
      </c>
      <c r="L82" s="43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4" t="str">
        <f ca="1">IF(ISERROR(B82-2),"",C82+D82-F82-G82-K82+SUM($L$14:L82))</f>
        <v/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2"/>
        <v>45891</v>
      </c>
    </row>
    <row r="83" spans="1:30" x14ac:dyDescent="0.25">
      <c r="A83" s="39" t="str">
        <f t="shared" ca="1" si="13"/>
        <v/>
      </c>
      <c r="B83" s="40" t="str">
        <f ca="1">IF(COUNTIF($W$2:W1068,A83)=1,VLOOKUP(A83,O:P,2), IF(COUNTIF($W$2:W1068,A83)=0,$B$9,""))</f>
        <v/>
      </c>
      <c r="C83" s="2" t="str">
        <f t="shared" ca="1" si="14"/>
        <v/>
      </c>
      <c r="D83" s="43" t="str">
        <f t="shared" ca="1" si="15"/>
        <v/>
      </c>
      <c r="E83" s="40" t="str">
        <f ca="1">IF(COUNTIF($W$2:W1068,A83)=1,VLOOKUP(A83,Q:R,2), IF(COUNTIF($W$2:W1068,A83)=0,$C$9,""))</f>
        <v/>
      </c>
      <c r="F83" s="2" t="str">
        <f t="shared" ca="1" si="16"/>
        <v/>
      </c>
      <c r="G83" s="43" t="str">
        <f t="shared" ca="1" si="17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8"/>
        <v/>
      </c>
      <c r="K83" s="43" t="str">
        <f t="shared" ca="1" si="19"/>
        <v/>
      </c>
      <c r="L83" s="43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4" t="str">
        <f ca="1">IF(ISERROR(B83-2),"",C83+D83-F83-G83-K83+SUM($L$14:L83))</f>
        <v/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2"/>
        <v>45895</v>
      </c>
    </row>
    <row r="84" spans="1:30" x14ac:dyDescent="0.25">
      <c r="A84" s="39" t="str">
        <f t="shared" ca="1" si="13"/>
        <v/>
      </c>
      <c r="B84" s="40" t="str">
        <f ca="1">IF(COUNTIF($W$2:W1069,A84)=1,VLOOKUP(A84,O:P,2), IF(COUNTIF($W$2:W1069,A84)=0,$B$9,""))</f>
        <v/>
      </c>
      <c r="C84" s="2" t="str">
        <f t="shared" ca="1" si="14"/>
        <v/>
      </c>
      <c r="D84" s="43" t="str">
        <f t="shared" ca="1" si="15"/>
        <v/>
      </c>
      <c r="E84" s="40" t="str">
        <f ca="1">IF(COUNTIF($W$2:W1069,A84)=1,VLOOKUP(A84,Q:R,2), IF(COUNTIF($W$2:W1069,A84)=0,$C$9,""))</f>
        <v/>
      </c>
      <c r="F84" s="2" t="str">
        <f t="shared" ca="1" si="16"/>
        <v/>
      </c>
      <c r="G84" s="43" t="str">
        <f t="shared" ca="1" si="17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8"/>
        <v/>
      </c>
      <c r="K84" s="43" t="str">
        <f t="shared" ca="1" si="19"/>
        <v/>
      </c>
      <c r="L84" s="43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4" t="str">
        <f ca="1">IF(ISERROR(B84-2),"",C84+D84-F84-G84-K84+SUM($L$14:L84))</f>
        <v/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2"/>
        <v>45896</v>
      </c>
    </row>
    <row r="85" spans="1:30" x14ac:dyDescent="0.25">
      <c r="A85" s="39" t="str">
        <f t="shared" ca="1" si="13"/>
        <v/>
      </c>
      <c r="B85" s="40" t="str">
        <f ca="1">IF(COUNTIF($W$2:W1070,A85)=1,VLOOKUP(A85,O:P,2), IF(COUNTIF($W$2:W1070,A85)=0,$B$9,""))</f>
        <v/>
      </c>
      <c r="C85" s="2" t="str">
        <f t="shared" ca="1" si="14"/>
        <v/>
      </c>
      <c r="D85" s="43" t="str">
        <f t="shared" ca="1" si="15"/>
        <v/>
      </c>
      <c r="E85" s="40" t="str">
        <f ca="1">IF(COUNTIF($W$2:W1070,A85)=1,VLOOKUP(A85,Q:R,2), IF(COUNTIF($W$2:W1070,A85)=0,$C$9,""))</f>
        <v/>
      </c>
      <c r="F85" s="2" t="str">
        <f t="shared" ca="1" si="16"/>
        <v/>
      </c>
      <c r="G85" s="43" t="str">
        <f t="shared" ca="1" si="17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8"/>
        <v/>
      </c>
      <c r="K85" s="43" t="str">
        <f t="shared" ca="1" si="19"/>
        <v/>
      </c>
      <c r="L85" s="43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4" t="str">
        <f ca="1">IF(ISERROR(B85-2),"",C85+D85-F85-G85-K85+SUM($L$14:L85))</f>
        <v/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2"/>
        <v>45897</v>
      </c>
    </row>
    <row r="86" spans="1:30" x14ac:dyDescent="0.25">
      <c r="A86" s="39" t="str">
        <f t="shared" ca="1" si="13"/>
        <v/>
      </c>
      <c r="B86" s="40" t="str">
        <f ca="1">IF(COUNTIF($W$2:W1071,A86)=1,VLOOKUP(A86,O:P,2), IF(COUNTIF($W$2:W1071,A86)=0,$B$9,""))</f>
        <v/>
      </c>
      <c r="C86" s="2" t="str">
        <f t="shared" ca="1" si="14"/>
        <v/>
      </c>
      <c r="D86" s="43" t="str">
        <f t="shared" ca="1" si="15"/>
        <v/>
      </c>
      <c r="E86" s="40" t="str">
        <f ca="1">IF(COUNTIF($W$2:W1071,A86)=1,VLOOKUP(A86,Q:R,2), IF(COUNTIF($W$2:W1071,A86)=0,$C$9,""))</f>
        <v/>
      </c>
      <c r="F86" s="2" t="str">
        <f t="shared" ca="1" si="16"/>
        <v/>
      </c>
      <c r="G86" s="43" t="str">
        <f t="shared" ca="1" si="17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8"/>
        <v/>
      </c>
      <c r="K86" s="43" t="str">
        <f t="shared" ca="1" si="19"/>
        <v/>
      </c>
      <c r="L86" s="43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4" t="str">
        <f ca="1">IF(ISERROR(B86-2),"",C86+D86-F86-G86-K86+SUM($L$14:L86))</f>
        <v/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2"/>
        <v>45898</v>
      </c>
    </row>
    <row r="87" spans="1:30" x14ac:dyDescent="0.25">
      <c r="A87" s="39" t="str">
        <f t="shared" ca="1" si="13"/>
        <v/>
      </c>
      <c r="B87" s="40" t="str">
        <f ca="1">IF(COUNTIF($W$2:W1072,A87)=1,VLOOKUP(A87,O:P,2), IF(COUNTIF($W$2:W1072,A87)=0,$B$9,""))</f>
        <v/>
      </c>
      <c r="C87" s="2" t="str">
        <f t="shared" ca="1" si="14"/>
        <v/>
      </c>
      <c r="D87" s="43" t="str">
        <f t="shared" ca="1" si="15"/>
        <v/>
      </c>
      <c r="E87" s="40" t="str">
        <f ca="1">IF(COUNTIF($W$2:W1072,A87)=1,VLOOKUP(A87,Q:R,2), IF(COUNTIF($W$2:W1072,A87)=0,$C$9,""))</f>
        <v/>
      </c>
      <c r="F87" s="2" t="str">
        <f t="shared" ca="1" si="16"/>
        <v/>
      </c>
      <c r="G87" s="43" t="str">
        <f t="shared" ca="1" si="17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8"/>
        <v/>
      </c>
      <c r="K87" s="43" t="str">
        <f t="shared" ca="1" si="19"/>
        <v/>
      </c>
      <c r="L87" s="43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4" t="str">
        <f ca="1">IF(ISERROR(B87-2),"",C87+D87-F87-G87-K87+SUM($L$14:L87))</f>
        <v/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2"/>
        <v>45901</v>
      </c>
    </row>
    <row r="88" spans="1:30" x14ac:dyDescent="0.25">
      <c r="A88" s="39" t="str">
        <f t="shared" ca="1" si="13"/>
        <v/>
      </c>
      <c r="B88" s="40" t="str">
        <f ca="1">IF(COUNTIF($W$2:W1073,A88)=1,VLOOKUP(A88,O:P,2), IF(COUNTIF($W$2:W1073,A88)=0,$B$9,""))</f>
        <v/>
      </c>
      <c r="C88" s="2" t="str">
        <f t="shared" ca="1" si="14"/>
        <v/>
      </c>
      <c r="D88" s="43" t="str">
        <f t="shared" ca="1" si="15"/>
        <v/>
      </c>
      <c r="E88" s="40" t="str">
        <f ca="1">IF(COUNTIF($W$2:W1073,A88)=1,VLOOKUP(A88,Q:R,2), IF(COUNTIF($W$2:W1073,A88)=0,$C$9,""))</f>
        <v/>
      </c>
      <c r="F88" s="2" t="str">
        <f t="shared" ca="1" si="16"/>
        <v/>
      </c>
      <c r="G88" s="43" t="str">
        <f t="shared" ca="1" si="17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8"/>
        <v/>
      </c>
      <c r="K88" s="43" t="str">
        <f t="shared" ca="1" si="19"/>
        <v/>
      </c>
      <c r="L88" s="43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4" t="str">
        <f ca="1">IF(ISERROR(B88-2),"",C88+D88-F88-G88-K88+SUM($L$14:L88))</f>
        <v/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2"/>
        <v>45902</v>
      </c>
    </row>
    <row r="89" spans="1:30" x14ac:dyDescent="0.25">
      <c r="A89" s="39" t="str">
        <f t="shared" ca="1" si="13"/>
        <v/>
      </c>
      <c r="B89" s="40" t="str">
        <f ca="1">IF(COUNTIF($W$2:W1074,A89)=1,VLOOKUP(A89,O:P,2), IF(COUNTIF($W$2:W1074,A89)=0,$B$9,""))</f>
        <v/>
      </c>
      <c r="C89" s="2" t="str">
        <f t="shared" ca="1" si="14"/>
        <v/>
      </c>
      <c r="D89" s="43" t="str">
        <f t="shared" ca="1" si="15"/>
        <v/>
      </c>
      <c r="E89" s="40" t="str">
        <f ca="1">IF(COUNTIF($W$2:W1074,A89)=1,VLOOKUP(A89,Q:R,2), IF(COUNTIF($W$2:W1074,A89)=0,$C$9,""))</f>
        <v/>
      </c>
      <c r="F89" s="2" t="str">
        <f t="shared" ca="1" si="16"/>
        <v/>
      </c>
      <c r="G89" s="43" t="str">
        <f t="shared" ca="1" si="17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8"/>
        <v/>
      </c>
      <c r="K89" s="43" t="str">
        <f t="shared" ca="1" si="19"/>
        <v/>
      </c>
      <c r="L89" s="43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4" t="str">
        <f ca="1">IF(ISERROR(B89-2),"",C89+D89-F89-G89-K89+SUM($L$14:L89))</f>
        <v/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2"/>
        <v>45903</v>
      </c>
    </row>
    <row r="90" spans="1:30" x14ac:dyDescent="0.25">
      <c r="A90" s="39" t="str">
        <f t="shared" ca="1" si="13"/>
        <v/>
      </c>
      <c r="B90" s="40" t="str">
        <f ca="1">IF(COUNTIF($W$2:W1075,A90)=1,VLOOKUP(A90,O:P,2), IF(COUNTIF($W$2:W1075,A90)=0,$B$9,""))</f>
        <v/>
      </c>
      <c r="C90" s="2" t="str">
        <f t="shared" ca="1" si="14"/>
        <v/>
      </c>
      <c r="D90" s="43" t="str">
        <f t="shared" ca="1" si="15"/>
        <v/>
      </c>
      <c r="E90" s="40" t="str">
        <f ca="1">IF(COUNTIF($W$2:W1075,A90)=1,VLOOKUP(A90,Q:R,2), IF(COUNTIF($W$2:W1075,A90)=0,$C$9,""))</f>
        <v/>
      </c>
      <c r="F90" s="2" t="str">
        <f t="shared" ca="1" si="16"/>
        <v/>
      </c>
      <c r="G90" s="43" t="str">
        <f t="shared" ca="1" si="17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8"/>
        <v/>
      </c>
      <c r="K90" s="43" t="str">
        <f t="shared" ca="1" si="19"/>
        <v/>
      </c>
      <c r="L90" s="43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4" t="str">
        <f ca="1">IF(ISERROR(B90-2),"",C90+D90-F90-G90-K90+SUM($L$14:L90))</f>
        <v/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2"/>
        <v>45904</v>
      </c>
    </row>
    <row r="91" spans="1:30" x14ac:dyDescent="0.25">
      <c r="A91" s="39" t="str">
        <f t="shared" ca="1" si="13"/>
        <v/>
      </c>
      <c r="B91" s="40" t="str">
        <f ca="1">IF(COUNTIF($W$2:W1076,A91)=1,VLOOKUP(A91,O:P,2), IF(COUNTIF($W$2:W1076,A91)=0,$B$9,""))</f>
        <v/>
      </c>
      <c r="C91" s="2" t="str">
        <f t="shared" ca="1" si="14"/>
        <v/>
      </c>
      <c r="D91" s="43" t="str">
        <f t="shared" ca="1" si="15"/>
        <v/>
      </c>
      <c r="E91" s="40" t="str">
        <f ca="1">IF(COUNTIF($W$2:W1076,A91)=1,VLOOKUP(A91,Q:R,2), IF(COUNTIF($W$2:W1076,A91)=0,$C$9,""))</f>
        <v/>
      </c>
      <c r="F91" s="2" t="str">
        <f t="shared" ca="1" si="16"/>
        <v/>
      </c>
      <c r="G91" s="43" t="str">
        <f t="shared" ca="1" si="17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8"/>
        <v/>
      </c>
      <c r="K91" s="43" t="str">
        <f t="shared" ca="1" si="19"/>
        <v/>
      </c>
      <c r="L91" s="43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4" t="str">
        <f ca="1">IF(ISERROR(B91-2),"",C91+D91-F91-G91-K91+SUM($L$14:L91))</f>
        <v/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2"/>
        <v>45905</v>
      </c>
    </row>
    <row r="92" spans="1:30" x14ac:dyDescent="0.25">
      <c r="A92" s="39" t="str">
        <f t="shared" ca="1" si="13"/>
        <v/>
      </c>
      <c r="B92" s="40" t="str">
        <f ca="1">IF(COUNTIF($W$2:W1077,A92)=1,VLOOKUP(A92,O:P,2), IF(COUNTIF($W$2:W1077,A92)=0,$B$9,""))</f>
        <v/>
      </c>
      <c r="C92" s="2" t="str">
        <f t="shared" ca="1" si="14"/>
        <v/>
      </c>
      <c r="D92" s="43" t="str">
        <f t="shared" ca="1" si="15"/>
        <v/>
      </c>
      <c r="E92" s="40" t="str">
        <f ca="1">IF(COUNTIF($W$2:W1077,A92)=1,VLOOKUP(A92,Q:R,2), IF(COUNTIF($W$2:W1077,A92)=0,$C$9,""))</f>
        <v/>
      </c>
      <c r="F92" s="2" t="str">
        <f t="shared" ca="1" si="16"/>
        <v/>
      </c>
      <c r="G92" s="43" t="str">
        <f t="shared" ca="1" si="17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8"/>
        <v/>
      </c>
      <c r="K92" s="43" t="str">
        <f t="shared" ca="1" si="19"/>
        <v/>
      </c>
      <c r="L92" s="43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4" t="str">
        <f ca="1">IF(ISERROR(B92-2),"",C92+D92-F92-G92-K92+SUM($L$14:L92))</f>
        <v/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2"/>
        <v>45908</v>
      </c>
    </row>
    <row r="93" spans="1:30" x14ac:dyDescent="0.25">
      <c r="A93" s="39" t="str">
        <f t="shared" ca="1" si="13"/>
        <v/>
      </c>
      <c r="B93" s="40" t="str">
        <f ca="1">IF(COUNTIF($W$2:W1078,A93)=1,VLOOKUP(A93,O:P,2), IF(COUNTIF($W$2:W1078,A93)=0,$B$9,""))</f>
        <v/>
      </c>
      <c r="C93" s="2" t="str">
        <f t="shared" ca="1" si="14"/>
        <v/>
      </c>
      <c r="D93" s="43" t="str">
        <f t="shared" ca="1" si="15"/>
        <v/>
      </c>
      <c r="E93" s="40" t="str">
        <f ca="1">IF(COUNTIF($W$2:W1078,A93)=1,VLOOKUP(A93,Q:R,2), IF(COUNTIF($W$2:W1078,A93)=0,$C$9,""))</f>
        <v/>
      </c>
      <c r="F93" s="2" t="str">
        <f t="shared" ca="1" si="16"/>
        <v/>
      </c>
      <c r="G93" s="43" t="str">
        <f t="shared" ca="1" si="17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8"/>
        <v/>
      </c>
      <c r="K93" s="43" t="str">
        <f t="shared" ca="1" si="19"/>
        <v/>
      </c>
      <c r="L93" s="43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4" t="str">
        <f ca="1">IF(ISERROR(B93-2),"",C93+D93-F93-G93-K93+SUM($L$14:L93))</f>
        <v/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2"/>
        <v>45909</v>
      </c>
    </row>
    <row r="94" spans="1:30" x14ac:dyDescent="0.25">
      <c r="A94" s="39" t="str">
        <f t="shared" ca="1" si="13"/>
        <v/>
      </c>
      <c r="B94" s="40" t="str">
        <f ca="1">IF(COUNTIF($W$2:W1079,A94)=1,VLOOKUP(A94,O:P,2), IF(COUNTIF($W$2:W1079,A94)=0,$B$9,""))</f>
        <v/>
      </c>
      <c r="C94" s="2" t="str">
        <f t="shared" ca="1" si="14"/>
        <v/>
      </c>
      <c r="D94" s="43" t="str">
        <f t="shared" ca="1" si="15"/>
        <v/>
      </c>
      <c r="E94" s="40" t="str">
        <f ca="1">IF(COUNTIF($W$2:W1079,A94)=1,VLOOKUP(A94,Q:R,2), IF(COUNTIF($W$2:W1079,A94)=0,$C$9,""))</f>
        <v/>
      </c>
      <c r="F94" s="2" t="str">
        <f t="shared" ca="1" si="16"/>
        <v/>
      </c>
      <c r="G94" s="43" t="str">
        <f t="shared" ca="1" si="17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8"/>
        <v/>
      </c>
      <c r="K94" s="43" t="str">
        <f t="shared" ca="1" si="19"/>
        <v/>
      </c>
      <c r="L94" s="43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4" t="str">
        <f ca="1">IF(ISERROR(B94-2),"",C94+D94-F94-G94-K94+SUM($L$14:L94))</f>
        <v/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2"/>
        <v>45910</v>
      </c>
    </row>
    <row r="95" spans="1:30" x14ac:dyDescent="0.25">
      <c r="A95" s="39" t="str">
        <f t="shared" ca="1" si="13"/>
        <v/>
      </c>
      <c r="B95" s="40" t="str">
        <f ca="1">IF(COUNTIF($W$2:W1080,A95)=1,VLOOKUP(A95,O:P,2), IF(COUNTIF($W$2:W1080,A95)=0,$B$9,""))</f>
        <v/>
      </c>
      <c r="C95" s="2" t="str">
        <f t="shared" ca="1" si="14"/>
        <v/>
      </c>
      <c r="D95" s="43" t="str">
        <f t="shared" ca="1" si="15"/>
        <v/>
      </c>
      <c r="E95" s="40" t="str">
        <f ca="1">IF(COUNTIF($W$2:W1080,A95)=1,VLOOKUP(A95,Q:R,2), IF(COUNTIF($W$2:W1080,A95)=0,$C$9,""))</f>
        <v/>
      </c>
      <c r="F95" s="2" t="str">
        <f t="shared" ca="1" si="16"/>
        <v/>
      </c>
      <c r="G95" s="43" t="str">
        <f t="shared" ca="1" si="17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8"/>
        <v/>
      </c>
      <c r="K95" s="43" t="str">
        <f t="shared" ca="1" si="19"/>
        <v/>
      </c>
      <c r="L95" s="43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4" t="str">
        <f ca="1">IF(ISERROR(B95-2),"",C95+D95-F95-G95-K95+SUM($L$14:L95))</f>
        <v/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2"/>
        <v>45911</v>
      </c>
    </row>
    <row r="96" spans="1:30" x14ac:dyDescent="0.25">
      <c r="A96" s="39" t="str">
        <f t="shared" ca="1" si="13"/>
        <v/>
      </c>
      <c r="B96" s="40" t="str">
        <f ca="1">IF(COUNTIF($W$2:W1081,A96)=1,VLOOKUP(A96,O:P,2), IF(COUNTIF($W$2:W1081,A96)=0,$B$9,""))</f>
        <v/>
      </c>
      <c r="C96" s="2" t="str">
        <f t="shared" ca="1" si="14"/>
        <v/>
      </c>
      <c r="D96" s="43" t="str">
        <f t="shared" ca="1" si="15"/>
        <v/>
      </c>
      <c r="E96" s="40" t="str">
        <f ca="1">IF(COUNTIF($W$2:W1081,A96)=1,VLOOKUP(A96,Q:R,2), IF(COUNTIF($W$2:W1081,A96)=0,$C$9,""))</f>
        <v/>
      </c>
      <c r="F96" s="2" t="str">
        <f t="shared" ca="1" si="16"/>
        <v/>
      </c>
      <c r="G96" s="43" t="str">
        <f t="shared" ca="1" si="17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8"/>
        <v/>
      </c>
      <c r="K96" s="43" t="str">
        <f t="shared" ca="1" si="19"/>
        <v/>
      </c>
      <c r="L96" s="43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4" t="str">
        <f ca="1">IF(ISERROR(B96-2),"",C96+D96-F96-G96-K96+SUM($L$14:L96))</f>
        <v/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2"/>
        <v>45912</v>
      </c>
    </row>
    <row r="97" spans="1:30" x14ac:dyDescent="0.25">
      <c r="A97" s="39" t="str">
        <f t="shared" ca="1" si="13"/>
        <v/>
      </c>
      <c r="B97" s="40" t="str">
        <f ca="1">IF(COUNTIF($W$2:W1082,A97)=1,VLOOKUP(A97,O:P,2), IF(COUNTIF($W$2:W1082,A97)=0,$B$9,""))</f>
        <v/>
      </c>
      <c r="C97" s="2" t="str">
        <f t="shared" ca="1" si="14"/>
        <v/>
      </c>
      <c r="D97" s="43" t="str">
        <f t="shared" ca="1" si="15"/>
        <v/>
      </c>
      <c r="E97" s="40" t="str">
        <f ca="1">IF(COUNTIF($W$2:W1082,A97)=1,VLOOKUP(A97,Q:R,2), IF(COUNTIF($W$2:W1082,A97)=0,$C$9,""))</f>
        <v/>
      </c>
      <c r="F97" s="2" t="str">
        <f t="shared" ca="1" si="16"/>
        <v/>
      </c>
      <c r="G97" s="43" t="str">
        <f t="shared" ca="1" si="17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8"/>
        <v/>
      </c>
      <c r="K97" s="43" t="str">
        <f t="shared" ca="1" si="19"/>
        <v/>
      </c>
      <c r="L97" s="43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4" t="str">
        <f ca="1">IF(ISERROR(B97-2),"",C97+D97-F97-G97-K97+SUM($L$14:L97))</f>
        <v/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2"/>
        <v>45915</v>
      </c>
    </row>
    <row r="98" spans="1:30" x14ac:dyDescent="0.25">
      <c r="A98" s="39" t="str">
        <f t="shared" ca="1" si="13"/>
        <v/>
      </c>
      <c r="B98" s="40" t="str">
        <f ca="1">IF(COUNTIF($W$2:W1083,A98)=1,VLOOKUP(A98,O:P,2), IF(COUNTIF($W$2:W1083,A98)=0,$B$9,""))</f>
        <v/>
      </c>
      <c r="C98" s="2" t="str">
        <f t="shared" ca="1" si="14"/>
        <v/>
      </c>
      <c r="D98" s="43" t="str">
        <f t="shared" ca="1" si="15"/>
        <v/>
      </c>
      <c r="E98" s="40" t="str">
        <f ca="1">IF(COUNTIF($W$2:W1083,A98)=1,VLOOKUP(A98,Q:R,2), IF(COUNTIF($W$2:W1083,A98)=0,$C$9,""))</f>
        <v/>
      </c>
      <c r="F98" s="2" t="str">
        <f t="shared" ca="1" si="16"/>
        <v/>
      </c>
      <c r="G98" s="43" t="str">
        <f t="shared" ca="1" si="17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8"/>
        <v/>
      </c>
      <c r="K98" s="43" t="str">
        <f t="shared" ca="1" si="19"/>
        <v/>
      </c>
      <c r="L98" s="43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4" t="str">
        <f ca="1">IF(ISERROR(B98-2),"",C98+D98-F98-G98-K98+SUM($L$14:L98))</f>
        <v/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2"/>
        <v>45916</v>
      </c>
    </row>
    <row r="99" spans="1:30" x14ac:dyDescent="0.25">
      <c r="A99" s="39" t="str">
        <f t="shared" ca="1" si="13"/>
        <v/>
      </c>
      <c r="B99" s="40" t="str">
        <f ca="1">IF(COUNTIF($W$2:W1084,A99)=1,VLOOKUP(A99,O:P,2), IF(COUNTIF($W$2:W1084,A99)=0,$B$9,""))</f>
        <v/>
      </c>
      <c r="C99" s="2" t="str">
        <f t="shared" ca="1" si="14"/>
        <v/>
      </c>
      <c r="D99" s="43" t="str">
        <f t="shared" ca="1" si="15"/>
        <v/>
      </c>
      <c r="E99" s="40" t="str">
        <f ca="1">IF(COUNTIF($W$2:W1084,A99)=1,VLOOKUP(A99,Q:R,2), IF(COUNTIF($W$2:W1084,A99)=0,$C$9,""))</f>
        <v/>
      </c>
      <c r="F99" s="2" t="str">
        <f t="shared" ca="1" si="16"/>
        <v/>
      </c>
      <c r="G99" s="43" t="str">
        <f t="shared" ca="1" si="17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8"/>
        <v/>
      </c>
      <c r="K99" s="43" t="str">
        <f t="shared" ca="1" si="19"/>
        <v/>
      </c>
      <c r="L99" s="43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4" t="str">
        <f ca="1">IF(ISERROR(B99-2),"",C99+D99-F99-G99-K99+SUM($L$14:L99))</f>
        <v/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9" t="str">
        <f t="shared" ca="1" si="13"/>
        <v/>
      </c>
      <c r="B100" s="40" t="str">
        <f ca="1">IF(COUNTIF($W$2:W1085,A100)=1,VLOOKUP(A100,O:P,2), IF(COUNTIF($W$2:W1085,A100)=0,$B$9,""))</f>
        <v/>
      </c>
      <c r="C100" s="2" t="str">
        <f t="shared" ca="1" si="14"/>
        <v/>
      </c>
      <c r="D100" s="43" t="str">
        <f t="shared" ca="1" si="15"/>
        <v/>
      </c>
      <c r="E100" s="40" t="str">
        <f ca="1">IF(COUNTIF($W$2:W1085,A100)=1,VLOOKUP(A100,Q:R,2), IF(COUNTIF($W$2:W1085,A100)=0,$C$9,""))</f>
        <v/>
      </c>
      <c r="F100" s="2" t="str">
        <f t="shared" ca="1" si="16"/>
        <v/>
      </c>
      <c r="G100" s="43" t="str">
        <f t="shared" ca="1" si="17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8"/>
        <v/>
      </c>
      <c r="K100" s="43" t="str">
        <f t="shared" ca="1" si="19"/>
        <v/>
      </c>
      <c r="L100" s="43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4" t="str">
        <f ca="1">IF(ISERROR(B100-2),"",C100+D100-F100-G100-K100+SUM($L$14:L100))</f>
        <v/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9" t="str">
        <f t="shared" ca="1" si="13"/>
        <v/>
      </c>
      <c r="B101" s="40" t="str">
        <f ca="1">IF(COUNTIF($W$2:W1086,A101)=1,VLOOKUP(A101,O:P,2), IF(COUNTIF($W$2:W1086,A101)=0,$B$9,""))</f>
        <v/>
      </c>
      <c r="C101" s="2" t="str">
        <f t="shared" ca="1" si="14"/>
        <v/>
      </c>
      <c r="D101" s="43" t="str">
        <f t="shared" ca="1" si="15"/>
        <v/>
      </c>
      <c r="E101" s="40" t="str">
        <f ca="1">IF(COUNTIF($W$2:W1086,A101)=1,VLOOKUP(A101,Q:R,2), IF(COUNTIF($W$2:W1086,A101)=0,$C$9,""))</f>
        <v/>
      </c>
      <c r="F101" s="2" t="str">
        <f t="shared" ca="1" si="16"/>
        <v/>
      </c>
      <c r="G101" s="43" t="str">
        <f t="shared" ca="1" si="17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8"/>
        <v/>
      </c>
      <c r="K101" s="43" t="str">
        <f t="shared" ca="1" si="19"/>
        <v/>
      </c>
      <c r="L101" s="43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4" t="str">
        <f ca="1">IF(ISERROR(B101-2),"",C101+D101-F101-G101-K101+SUM($L$14:L101))</f>
        <v/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2"/>
        <v>45919</v>
      </c>
    </row>
    <row r="102" spans="1:30" x14ac:dyDescent="0.25">
      <c r="A102" s="39" t="str">
        <f t="shared" ca="1" si="13"/>
        <v/>
      </c>
      <c r="B102" s="40" t="str">
        <f ca="1">IF(COUNTIF($W$2:W1087,A102)=1,VLOOKUP(A102,O:P,2), IF(COUNTIF($W$2:W1087,A102)=0,$B$9,""))</f>
        <v/>
      </c>
      <c r="C102" s="2" t="str">
        <f t="shared" ca="1" si="14"/>
        <v/>
      </c>
      <c r="D102" s="43" t="str">
        <f t="shared" ca="1" si="15"/>
        <v/>
      </c>
      <c r="E102" s="40" t="str">
        <f ca="1">IF(COUNTIF($W$2:W1087,A102)=1,VLOOKUP(A102,Q:R,2), IF(COUNTIF($W$2:W1087,A102)=0,$C$9,""))</f>
        <v/>
      </c>
      <c r="F102" s="2" t="str">
        <f t="shared" ca="1" si="16"/>
        <v/>
      </c>
      <c r="G102" s="43" t="str">
        <f t="shared" ca="1" si="17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8"/>
        <v/>
      </c>
      <c r="K102" s="43" t="str">
        <f t="shared" ca="1" si="19"/>
        <v/>
      </c>
      <c r="L102" s="43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4" t="str">
        <f ca="1">IF(ISERROR(B102-2),"",C102+D102-F102-G102-K102+SUM($L$14:L102))</f>
        <v/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9" t="str">
        <f t="shared" ca="1" si="13"/>
        <v/>
      </c>
      <c r="B103" s="40" t="str">
        <f ca="1">IF(COUNTIF($W$2:W1088,A103)=1,VLOOKUP(A103,O:P,2), IF(COUNTIF($W$2:W1088,A103)=0,$B$9,""))</f>
        <v/>
      </c>
      <c r="C103" s="2" t="str">
        <f t="shared" ca="1" si="14"/>
        <v/>
      </c>
      <c r="D103" s="43" t="str">
        <f t="shared" ca="1" si="15"/>
        <v/>
      </c>
      <c r="E103" s="40" t="str">
        <f ca="1">IF(COUNTIF($W$2:W1088,A103)=1,VLOOKUP(A103,Q:R,2), IF(COUNTIF($W$2:W1088,A103)=0,$C$9,""))</f>
        <v/>
      </c>
      <c r="F103" s="2" t="str">
        <f t="shared" ca="1" si="16"/>
        <v/>
      </c>
      <c r="G103" s="43" t="str">
        <f t="shared" ca="1" si="17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8"/>
        <v/>
      </c>
      <c r="K103" s="43" t="str">
        <f t="shared" ca="1" si="19"/>
        <v/>
      </c>
      <c r="L103" s="43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4" t="str">
        <f ca="1">IF(ISERROR(B103-2),"",C103+D103-F103-G103-K103+SUM($L$14:L103))</f>
        <v/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2"/>
        <v>45923</v>
      </c>
    </row>
    <row r="104" spans="1:30" x14ac:dyDescent="0.25">
      <c r="A104" s="39" t="str">
        <f t="shared" ca="1" si="13"/>
        <v/>
      </c>
      <c r="B104" s="40" t="str">
        <f ca="1">IF(COUNTIF($W$2:W1089,A104)=1,VLOOKUP(A104,O:P,2), IF(COUNTIF($W$2:W1089,A104)=0,$B$9,""))</f>
        <v/>
      </c>
      <c r="C104" s="2" t="str">
        <f t="shared" ca="1" si="14"/>
        <v/>
      </c>
      <c r="D104" s="43" t="str">
        <f t="shared" ca="1" si="15"/>
        <v/>
      </c>
      <c r="E104" s="40" t="str">
        <f ca="1">IF(COUNTIF($W$2:W1089,A104)=1,VLOOKUP(A104,Q:R,2), IF(COUNTIF($W$2:W1089,A104)=0,$C$9,""))</f>
        <v/>
      </c>
      <c r="F104" s="2" t="str">
        <f t="shared" ca="1" si="16"/>
        <v/>
      </c>
      <c r="G104" s="43" t="str">
        <f t="shared" ca="1" si="17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8"/>
        <v/>
      </c>
      <c r="K104" s="43" t="str">
        <f t="shared" ca="1" si="19"/>
        <v/>
      </c>
      <c r="L104" s="43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4" t="str">
        <f ca="1">IF(ISERROR(B104-2),"",C104+D104-F104-G104-K104+SUM($L$14:L104))</f>
        <v/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2"/>
        <v>45924</v>
      </c>
    </row>
    <row r="105" spans="1:30" x14ac:dyDescent="0.25">
      <c r="A105" s="39" t="str">
        <f t="shared" ca="1" si="13"/>
        <v/>
      </c>
      <c r="B105" s="40" t="str">
        <f ca="1">IF(COUNTIF($W$2:W1090,A105)=1,VLOOKUP(A105,O:P,2), IF(COUNTIF($W$2:W1090,A105)=0,$B$9,""))</f>
        <v/>
      </c>
      <c r="C105" s="2" t="str">
        <f t="shared" ca="1" si="14"/>
        <v/>
      </c>
      <c r="D105" s="43" t="str">
        <f t="shared" ca="1" si="15"/>
        <v/>
      </c>
      <c r="E105" s="40" t="str">
        <f ca="1">IF(COUNTIF($W$2:W1090,A105)=1,VLOOKUP(A105,Q:R,2), IF(COUNTIF($W$2:W1090,A105)=0,$C$9,""))</f>
        <v/>
      </c>
      <c r="F105" s="2" t="str">
        <f t="shared" ca="1" si="16"/>
        <v/>
      </c>
      <c r="G105" s="43" t="str">
        <f t="shared" ca="1" si="17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8"/>
        <v/>
      </c>
      <c r="K105" s="43" t="str">
        <f t="shared" ca="1" si="19"/>
        <v/>
      </c>
      <c r="L105" s="43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9" t="str">
        <f t="shared" ca="1" si="13"/>
        <v/>
      </c>
      <c r="B106" s="40" t="str">
        <f ca="1">IF(COUNTIF($W$2:W1091,A106)=1,VLOOKUP(A106,O:P,2), IF(COUNTIF($W$2:W1091,A106)=0,$B$9,""))</f>
        <v/>
      </c>
      <c r="C106" s="2" t="str">
        <f t="shared" ca="1" si="14"/>
        <v/>
      </c>
      <c r="D106" s="43" t="str">
        <f t="shared" ca="1" si="15"/>
        <v/>
      </c>
      <c r="E106" s="40" t="str">
        <f ca="1">IF(COUNTIF($W$2:W1091,A106)=1,VLOOKUP(A106,Q:R,2), IF(COUNTIF($W$2:W1091,A106)=0,$C$9,""))</f>
        <v/>
      </c>
      <c r="F106" s="2" t="str">
        <f t="shared" ca="1" si="16"/>
        <v/>
      </c>
      <c r="G106" s="43" t="str">
        <f t="shared" ca="1" si="17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8"/>
        <v/>
      </c>
      <c r="K106" s="43" t="str">
        <f t="shared" ca="1" si="19"/>
        <v/>
      </c>
      <c r="L106" s="43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9" t="str">
        <f t="shared" ca="1" si="13"/>
        <v/>
      </c>
      <c r="B107" s="40" t="str">
        <f ca="1">IF(COUNTIF($W$2:W1092,A107)=1,VLOOKUP(A107,O:P,2), IF(COUNTIF($W$2:W1092,A107)=0,$B$9,""))</f>
        <v/>
      </c>
      <c r="C107" s="2" t="str">
        <f t="shared" ca="1" si="14"/>
        <v/>
      </c>
      <c r="D107" s="43" t="str">
        <f t="shared" ca="1" si="15"/>
        <v/>
      </c>
      <c r="E107" s="40" t="str">
        <f ca="1">IF(COUNTIF($W$2:W1092,A107)=1,VLOOKUP(A107,Q:R,2), IF(COUNTIF($W$2:W1092,A107)=0,$C$9,""))</f>
        <v/>
      </c>
      <c r="F107" s="2" t="str">
        <f t="shared" ca="1" si="16"/>
        <v/>
      </c>
      <c r="G107" s="43" t="str">
        <f t="shared" ca="1" si="17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8"/>
        <v/>
      </c>
      <c r="K107" s="43" t="str">
        <f t="shared" ca="1" si="19"/>
        <v/>
      </c>
      <c r="L107" s="43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9" t="str">
        <f t="shared" ca="1" si="13"/>
        <v/>
      </c>
      <c r="B108" s="40" t="str">
        <f ca="1">IF(COUNTIF($W$2:W1093,A108)=1,VLOOKUP(A108,O:P,2), IF(COUNTIF($W$2:W1093,A108)=0,$B$9,""))</f>
        <v/>
      </c>
      <c r="C108" s="2" t="str">
        <f t="shared" ca="1" si="14"/>
        <v/>
      </c>
      <c r="D108" s="43" t="str">
        <f t="shared" ca="1" si="15"/>
        <v/>
      </c>
      <c r="E108" s="40" t="str">
        <f ca="1">IF(COUNTIF($W$2:W1093,A108)=1,VLOOKUP(A108,Q:R,2), IF(COUNTIF($W$2:W1093,A108)=0,$C$9,""))</f>
        <v/>
      </c>
      <c r="F108" s="2" t="str">
        <f t="shared" ca="1" si="16"/>
        <v/>
      </c>
      <c r="G108" s="43" t="str">
        <f t="shared" ca="1" si="17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8"/>
        <v/>
      </c>
      <c r="K108" s="43" t="str">
        <f t="shared" ca="1" si="19"/>
        <v/>
      </c>
      <c r="L108" s="43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9" t="str">
        <f t="shared" ca="1" si="13"/>
        <v/>
      </c>
      <c r="B109" s="40" t="str">
        <f ca="1">IF(COUNTIF($W$2:W1094,A109)=1,VLOOKUP(A109,O:P,2), IF(COUNTIF($W$2:W1094,A109)=0,$B$9,""))</f>
        <v/>
      </c>
      <c r="C109" s="2" t="str">
        <f t="shared" ca="1" si="14"/>
        <v/>
      </c>
      <c r="D109" s="43" t="str">
        <f t="shared" ca="1" si="15"/>
        <v/>
      </c>
      <c r="E109" s="40" t="str">
        <f ca="1">IF(COUNTIF($W$2:W1094,A109)=1,VLOOKUP(A109,Q:R,2), IF(COUNTIF($W$2:W1094,A109)=0,$C$9,""))</f>
        <v/>
      </c>
      <c r="F109" s="2" t="str">
        <f t="shared" ca="1" si="16"/>
        <v/>
      </c>
      <c r="G109" s="43" t="str">
        <f t="shared" ca="1" si="17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8"/>
        <v/>
      </c>
      <c r="K109" s="43" t="str">
        <f t="shared" ca="1" si="19"/>
        <v/>
      </c>
      <c r="L109" s="43" t="str">
        <f ca="1">IF($A109="","",IF(COUNTIFS(Dividends!$G:$G,"&gt;"&amp;INT($A108),Dividends!$G:$G,"&lt;="&amp;INT($A109))=0,"",$H$2*SUMIFS(Dividends!$H:$H,Dividends!$G:$G,"&gt;"&amp;INT($A108),Dividends!$G:$G,"&lt;="&amp;INT($A109))))</f>
        <v/>
      </c>
      <c r="M109" s="44" t="str">
        <f ca="1">IF(ISERROR(B109-2),"",C109+D109-F109-G109-K109+SUM($L$14:L109))</f>
        <v/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2"/>
        <v>45931</v>
      </c>
    </row>
    <row r="110" spans="1:30" x14ac:dyDescent="0.25">
      <c r="A110" s="39" t="str">
        <f t="shared" ca="1" si="13"/>
        <v/>
      </c>
      <c r="B110" s="40" t="str">
        <f ca="1">IF(COUNTIF($W$2:W1095,A110)=1,VLOOKUP(A110,O:P,2), IF(COUNTIF($W$2:W1095,A110)=0,$B$9,""))</f>
        <v/>
      </c>
      <c r="C110" s="2" t="str">
        <f t="shared" ca="1" si="14"/>
        <v/>
      </c>
      <c r="D110" s="43" t="str">
        <f t="shared" ca="1" si="15"/>
        <v/>
      </c>
      <c r="E110" s="40" t="str">
        <f ca="1">IF(COUNTIF($W$2:W1095,A110)=1,VLOOKUP(A110,Q:R,2), IF(COUNTIF($W$2:W1095,A110)=0,$C$9,""))</f>
        <v/>
      </c>
      <c r="F110" s="2" t="str">
        <f t="shared" ca="1" si="16"/>
        <v/>
      </c>
      <c r="G110" s="43" t="str">
        <f t="shared" ca="1" si="17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8"/>
        <v/>
      </c>
      <c r="K110" s="43" t="str">
        <f t="shared" ca="1" si="19"/>
        <v/>
      </c>
      <c r="L110" s="43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4" t="str">
        <f ca="1">IF(ISERROR(B110-2),"",C110+D110-F110-G110-K110+SUM($L$14:L110))</f>
        <v/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9" t="str">
        <f t="shared" ca="1" si="13"/>
        <v/>
      </c>
      <c r="B111" s="40" t="str">
        <f ca="1">IF(COUNTIF($W$2:W1096,A111)=1,VLOOKUP(A111,O:P,2), IF(COUNTIF($W$2:W1096,A111)=0,$B$9,""))</f>
        <v/>
      </c>
      <c r="C111" s="2" t="str">
        <f t="shared" ca="1" si="14"/>
        <v/>
      </c>
      <c r="D111" s="43" t="str">
        <f t="shared" ca="1" si="15"/>
        <v/>
      </c>
      <c r="E111" s="40" t="str">
        <f ca="1">IF(COUNTIF($W$2:W1096,A111)=1,VLOOKUP(A111,Q:R,2), IF(COUNTIF($W$2:W1096,A111)=0,$C$9,""))</f>
        <v/>
      </c>
      <c r="F111" s="2" t="str">
        <f t="shared" ca="1" si="16"/>
        <v/>
      </c>
      <c r="G111" s="43" t="str">
        <f t="shared" ca="1" si="17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8"/>
        <v/>
      </c>
      <c r="K111" s="43" t="str">
        <f t="shared" ca="1" si="19"/>
        <v/>
      </c>
      <c r="L111" s="43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4" t="str">
        <f ca="1">IF(ISERROR(B111-2),"",C111+D111-F111-G111-K111+SUM($L$14:L111))</f>
        <v/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2"/>
        <v>45933</v>
      </c>
    </row>
    <row r="112" spans="1:30" x14ac:dyDescent="0.25">
      <c r="A112" s="39" t="str">
        <f t="shared" ca="1" si="13"/>
        <v/>
      </c>
      <c r="B112" s="40" t="str">
        <f ca="1">IF(COUNTIF($W$2:W1097,A112)=1,VLOOKUP(A112,O:P,2), IF(COUNTIF($W$2:W1097,A112)=0,$B$9,""))</f>
        <v/>
      </c>
      <c r="C112" s="2" t="str">
        <f t="shared" ca="1" si="14"/>
        <v/>
      </c>
      <c r="D112" s="43" t="str">
        <f t="shared" ca="1" si="15"/>
        <v/>
      </c>
      <c r="E112" s="40" t="str">
        <f ca="1">IF(COUNTIF($W$2:W1097,A112)=1,VLOOKUP(A112,Q:R,2), IF(COUNTIF($W$2:W1097,A112)=0,$C$9,""))</f>
        <v/>
      </c>
      <c r="F112" s="2" t="str">
        <f t="shared" ca="1" si="16"/>
        <v/>
      </c>
      <c r="G112" s="43" t="str">
        <f t="shared" ca="1" si="17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8"/>
        <v/>
      </c>
      <c r="K112" s="43" t="str">
        <f t="shared" ca="1" si="19"/>
        <v/>
      </c>
      <c r="L112" s="43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4" t="str">
        <f ca="1">IF(ISERROR(B112-2),"",C112+D112-F112-G112-K112+SUM($L$14:L112))</f>
        <v/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2"/>
        <v>45936</v>
      </c>
    </row>
    <row r="113" spans="1:30" x14ac:dyDescent="0.25">
      <c r="A113" s="39" t="str">
        <f t="shared" ca="1" si="13"/>
        <v/>
      </c>
      <c r="B113" s="40" t="str">
        <f ca="1">IF(COUNTIF($W$2:W1098,A113)=1,VLOOKUP(A113,O:P,2), IF(COUNTIF($W$2:W1098,A113)=0,$B$9,""))</f>
        <v/>
      </c>
      <c r="C113" s="2" t="str">
        <f t="shared" ca="1" si="14"/>
        <v/>
      </c>
      <c r="D113" s="43" t="str">
        <f t="shared" ca="1" si="15"/>
        <v/>
      </c>
      <c r="E113" s="40" t="str">
        <f ca="1">IF(COUNTIF($W$2:W1098,A113)=1,VLOOKUP(A113,Q:R,2), IF(COUNTIF($W$2:W1098,A113)=0,$C$9,""))</f>
        <v/>
      </c>
      <c r="F113" s="2" t="str">
        <f t="shared" ca="1" si="16"/>
        <v/>
      </c>
      <c r="G113" s="43" t="str">
        <f t="shared" ca="1" si="17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8"/>
        <v/>
      </c>
      <c r="K113" s="43" t="str">
        <f t="shared" ca="1" si="19"/>
        <v/>
      </c>
      <c r="L113" s="43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4" t="str">
        <f ca="1">IF(ISERROR(B113-2),"",C113+D113-F113-G113-K113+SUM($L$14:L113))</f>
        <v/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9" t="str">
        <f t="shared" ca="1" si="13"/>
        <v/>
      </c>
      <c r="B114" s="40" t="str">
        <f ca="1">IF(COUNTIF($W$2:W1099,A114)=1,VLOOKUP(A114,O:P,2), IF(COUNTIF($W$2:W1099,A114)=0,$B$9,""))</f>
        <v/>
      </c>
      <c r="C114" s="2" t="str">
        <f t="shared" ca="1" si="14"/>
        <v/>
      </c>
      <c r="D114" s="43" t="str">
        <f t="shared" ca="1" si="15"/>
        <v/>
      </c>
      <c r="E114" s="40" t="str">
        <f ca="1">IF(COUNTIF($W$2:W1099,A114)=1,VLOOKUP(A114,Q:R,2), IF(COUNTIF($W$2:W1099,A114)=0,$C$9,""))</f>
        <v/>
      </c>
      <c r="F114" s="2" t="str">
        <f t="shared" ca="1" si="16"/>
        <v/>
      </c>
      <c r="G114" s="43" t="str">
        <f t="shared" ca="1" si="17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8"/>
        <v/>
      </c>
      <c r="K114" s="43" t="str">
        <f t="shared" ca="1" si="19"/>
        <v/>
      </c>
      <c r="L114" s="43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4" t="str">
        <f ca="1">IF(ISERROR(B114-2),"",C114+D114-F114-G114-K114+SUM($L$14:L114))</f>
        <v/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9" t="str">
        <f t="shared" ca="1" si="13"/>
        <v/>
      </c>
      <c r="B115" s="40" t="str">
        <f ca="1">IF(COUNTIF($W$2:W1100,A115)=1,VLOOKUP(A115,O:P,2), IF(COUNTIF($W$2:W1100,A115)=0,$B$9,""))</f>
        <v/>
      </c>
      <c r="C115" s="2" t="str">
        <f t="shared" ca="1" si="14"/>
        <v/>
      </c>
      <c r="D115" s="43" t="str">
        <f t="shared" ca="1" si="15"/>
        <v/>
      </c>
      <c r="E115" s="40" t="str">
        <f ca="1">IF(COUNTIF($W$2:W1100,A115)=1,VLOOKUP(A115,Q:R,2), IF(COUNTIF($W$2:W1100,A115)=0,$C$9,""))</f>
        <v/>
      </c>
      <c r="F115" s="2" t="str">
        <f t="shared" ca="1" si="16"/>
        <v/>
      </c>
      <c r="G115" s="43" t="str">
        <f t="shared" ca="1" si="17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8"/>
        <v/>
      </c>
      <c r="K115" s="43" t="str">
        <f t="shared" ca="1" si="19"/>
        <v/>
      </c>
      <c r="L115" s="43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4" t="str">
        <f ca="1">IF(ISERROR(B115-2),"",C115+D115-F115-G115-K115+SUM($L$14:L115))</f>
        <v/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9" t="str">
        <f t="shared" ca="1" si="13"/>
        <v/>
      </c>
      <c r="B116" s="40" t="str">
        <f ca="1">IF(COUNTIF($W$2:W1101,A116)=1,VLOOKUP(A116,O:P,2), IF(COUNTIF($W$2:W1101,A116)=0,$B$9,""))</f>
        <v/>
      </c>
      <c r="C116" s="2" t="str">
        <f t="shared" ca="1" si="14"/>
        <v/>
      </c>
      <c r="D116" s="43" t="str">
        <f t="shared" ca="1" si="15"/>
        <v/>
      </c>
      <c r="E116" s="40" t="str">
        <f ca="1">IF(COUNTIF($W$2:W1101,A116)=1,VLOOKUP(A116,Q:R,2), IF(COUNTIF($W$2:W1101,A116)=0,$C$9,""))</f>
        <v/>
      </c>
      <c r="F116" s="2" t="str">
        <f t="shared" ca="1" si="16"/>
        <v/>
      </c>
      <c r="G116" s="43" t="str">
        <f t="shared" ca="1" si="17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8"/>
        <v/>
      </c>
      <c r="K116" s="43" t="str">
        <f t="shared" ca="1" si="19"/>
        <v/>
      </c>
      <c r="L116" s="43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4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9" t="str">
        <f t="shared" ca="1" si="13"/>
        <v/>
      </c>
      <c r="B117" s="40" t="str">
        <f ca="1">IF(COUNTIF($W$2:W1102,A117)=1,VLOOKUP(A117,O:P,2), IF(COUNTIF($W$2:W1102,A117)=0,$B$9,""))</f>
        <v/>
      </c>
      <c r="C117" s="2" t="str">
        <f t="shared" ca="1" si="14"/>
        <v/>
      </c>
      <c r="D117" s="43" t="str">
        <f t="shared" ca="1" si="15"/>
        <v/>
      </c>
      <c r="E117" s="40" t="str">
        <f ca="1">IF(COUNTIF($W$2:W1102,A117)=1,VLOOKUP(A117,Q:R,2), IF(COUNTIF($W$2:W1102,A117)=0,$C$9,""))</f>
        <v/>
      </c>
      <c r="F117" s="2" t="str">
        <f t="shared" ca="1" si="16"/>
        <v/>
      </c>
      <c r="G117" s="43" t="str">
        <f t="shared" ca="1" si="17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8"/>
        <v/>
      </c>
      <c r="K117" s="43" t="str">
        <f t="shared" ca="1" si="19"/>
        <v/>
      </c>
      <c r="L117" s="43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4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9" t="str">
        <f t="shared" ca="1" si="13"/>
        <v/>
      </c>
      <c r="B118" s="40" t="str">
        <f ca="1">IF(COUNTIF($W$2:W1103,A118)=1,VLOOKUP(A118,O:P,2), IF(COUNTIF($W$2:W1103,A118)=0,$B$9,""))</f>
        <v/>
      </c>
      <c r="C118" s="2" t="str">
        <f t="shared" ca="1" si="14"/>
        <v/>
      </c>
      <c r="D118" s="43" t="str">
        <f t="shared" ca="1" si="15"/>
        <v/>
      </c>
      <c r="E118" s="40" t="str">
        <f ca="1">IF(COUNTIF($W$2:W1103,A118)=1,VLOOKUP(A118,Q:R,2), IF(COUNTIF($W$2:W1103,A118)=0,$C$9,""))</f>
        <v/>
      </c>
      <c r="F118" s="2" t="str">
        <f t="shared" ca="1" si="16"/>
        <v/>
      </c>
      <c r="G118" s="43" t="str">
        <f t="shared" ca="1" si="17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8"/>
        <v/>
      </c>
      <c r="K118" s="43" t="str">
        <f t="shared" ca="1" si="19"/>
        <v/>
      </c>
      <c r="L118" s="43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4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9" t="str">
        <f t="shared" ca="1" si="13"/>
        <v/>
      </c>
      <c r="B119" s="40" t="str">
        <f ca="1">IF(COUNTIF($W$2:W1104,A119)=1,VLOOKUP(A119,O:P,2), IF(COUNTIF($W$2:W1104,A119)=0,$B$9,""))</f>
        <v/>
      </c>
      <c r="C119" s="2" t="str">
        <f t="shared" ca="1" si="14"/>
        <v/>
      </c>
      <c r="D119" s="43" t="str">
        <f t="shared" ca="1" si="15"/>
        <v/>
      </c>
      <c r="E119" s="40" t="str">
        <f ca="1">IF(COUNTIF($W$2:W1104,A119)=1,VLOOKUP(A119,Q:R,2), IF(COUNTIF($W$2:W1104,A119)=0,$C$9,""))</f>
        <v/>
      </c>
      <c r="F119" s="2" t="str">
        <f t="shared" ca="1" si="16"/>
        <v/>
      </c>
      <c r="G119" s="43" t="str">
        <f t="shared" ca="1" si="17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8"/>
        <v/>
      </c>
      <c r="K119" s="43" t="str">
        <f t="shared" ca="1" si="19"/>
        <v/>
      </c>
      <c r="L119" s="43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4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9" t="str">
        <f t="shared" ca="1" si="13"/>
        <v/>
      </c>
      <c r="B120" s="40" t="str">
        <f ca="1">IF(COUNTIF($W$2:W1105,A120)=1,VLOOKUP(A120,O:P,2), IF(COUNTIF($W$2:W1105,A120)=0,$B$9,""))</f>
        <v/>
      </c>
      <c r="C120" s="2" t="str">
        <f t="shared" ca="1" si="14"/>
        <v/>
      </c>
      <c r="D120" s="43" t="str">
        <f t="shared" ca="1" si="15"/>
        <v/>
      </c>
      <c r="E120" s="40" t="str">
        <f ca="1">IF(COUNTIF($W$2:W1105,A120)=1,VLOOKUP(A120,Q:R,2), IF(COUNTIF($W$2:W1105,A120)=0,$C$9,""))</f>
        <v/>
      </c>
      <c r="F120" s="2" t="str">
        <f t="shared" ca="1" si="16"/>
        <v/>
      </c>
      <c r="G120" s="43" t="str">
        <f t="shared" ca="1" si="17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8"/>
        <v/>
      </c>
      <c r="K120" s="43" t="str">
        <f t="shared" ca="1" si="19"/>
        <v/>
      </c>
      <c r="L120" s="43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4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9" t="str">
        <f t="shared" ca="1" si="13"/>
        <v/>
      </c>
      <c r="B121" s="40" t="str">
        <f ca="1">IF(COUNTIF($W$2:W1106,A121)=1,VLOOKUP(A121,O:P,2), IF(COUNTIF($W$2:W1106,A121)=0,$B$9,""))</f>
        <v/>
      </c>
      <c r="C121" s="2" t="str">
        <f t="shared" ca="1" si="14"/>
        <v/>
      </c>
      <c r="D121" s="43" t="str">
        <f t="shared" ca="1" si="15"/>
        <v/>
      </c>
      <c r="E121" s="40" t="str">
        <f ca="1">IF(COUNTIF($W$2:W1106,A121)=1,VLOOKUP(A121,Q:R,2), IF(COUNTIF($W$2:W1106,A121)=0,$C$9,""))</f>
        <v/>
      </c>
      <c r="F121" s="2" t="str">
        <f t="shared" ca="1" si="16"/>
        <v/>
      </c>
      <c r="G121" s="43" t="str">
        <f t="shared" ca="1" si="17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8"/>
        <v/>
      </c>
      <c r="K121" s="43" t="str">
        <f t="shared" ca="1" si="19"/>
        <v/>
      </c>
      <c r="L121" s="43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4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9" t="str">
        <f t="shared" ca="1" si="13"/>
        <v/>
      </c>
      <c r="B122" s="40" t="str">
        <f ca="1">IF(COUNTIF($W$2:W1107,A122)=1,VLOOKUP(A122,O:P,2), IF(COUNTIF($W$2:W1107,A122)=0,$B$9,""))</f>
        <v/>
      </c>
      <c r="C122" s="2" t="str">
        <f t="shared" ca="1" si="14"/>
        <v/>
      </c>
      <c r="D122" s="43" t="str">
        <f t="shared" ca="1" si="15"/>
        <v/>
      </c>
      <c r="E122" s="40" t="str">
        <f ca="1">IF(COUNTIF($W$2:W1107,A122)=1,VLOOKUP(A122,Q:R,2), IF(COUNTIF($W$2:W1107,A122)=0,$C$9,""))</f>
        <v/>
      </c>
      <c r="F122" s="2" t="str">
        <f t="shared" ca="1" si="16"/>
        <v/>
      </c>
      <c r="G122" s="43" t="str">
        <f t="shared" ca="1" si="17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8"/>
        <v/>
      </c>
      <c r="K122" s="43" t="str">
        <f t="shared" ca="1" si="19"/>
        <v/>
      </c>
      <c r="L122" s="43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4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9" t="str">
        <f t="shared" ca="1" si="13"/>
        <v/>
      </c>
      <c r="B123" s="40" t="str">
        <f ca="1">IF(COUNTIF($W$2:W1108,A123)=1,VLOOKUP(A123,O:P,2), IF(COUNTIF($W$2:W1108,A123)=0,$B$9,""))</f>
        <v/>
      </c>
      <c r="C123" s="2" t="str">
        <f t="shared" ca="1" si="14"/>
        <v/>
      </c>
      <c r="D123" s="43" t="str">
        <f t="shared" ca="1" si="15"/>
        <v/>
      </c>
      <c r="E123" s="40" t="str">
        <f ca="1">IF(COUNTIF($W$2:W1108,A123)=1,VLOOKUP(A123,Q:R,2), IF(COUNTIF($W$2:W1108,A123)=0,$C$9,""))</f>
        <v/>
      </c>
      <c r="F123" s="2" t="str">
        <f t="shared" ca="1" si="16"/>
        <v/>
      </c>
      <c r="G123" s="43" t="str">
        <f t="shared" ca="1" si="17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8"/>
        <v/>
      </c>
      <c r="K123" s="43" t="str">
        <f t="shared" ca="1" si="19"/>
        <v/>
      </c>
      <c r="L123" s="43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4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9" t="str">
        <f t="shared" ca="1" si="13"/>
        <v/>
      </c>
      <c r="B124" s="40" t="str">
        <f ca="1">IF(COUNTIF($W$2:W1109,A124)=1,VLOOKUP(A124,O:P,2), IF(COUNTIF($W$2:W1109,A124)=0,$B$9,""))</f>
        <v/>
      </c>
      <c r="C124" s="2" t="str">
        <f t="shared" ca="1" si="14"/>
        <v/>
      </c>
      <c r="D124" s="43" t="str">
        <f t="shared" ca="1" si="15"/>
        <v/>
      </c>
      <c r="E124" s="40" t="str">
        <f ca="1">IF(COUNTIF($W$2:W1109,A124)=1,VLOOKUP(A124,Q:R,2), IF(COUNTIF($W$2:W1109,A124)=0,$C$9,""))</f>
        <v/>
      </c>
      <c r="F124" s="2" t="str">
        <f t="shared" ca="1" si="16"/>
        <v/>
      </c>
      <c r="G124" s="43" t="str">
        <f t="shared" ca="1" si="17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8"/>
        <v/>
      </c>
      <c r="K124" s="43" t="str">
        <f t="shared" ca="1" si="19"/>
        <v/>
      </c>
      <c r="L124" s="43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4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9" t="str">
        <f t="shared" ca="1" si="13"/>
        <v/>
      </c>
      <c r="B125" s="40" t="str">
        <f ca="1">IF(COUNTIF($W$2:W1110,A125)=1,VLOOKUP(A125,O:P,2), IF(COUNTIF($W$2:W1110,A125)=0,$B$9,""))</f>
        <v/>
      </c>
      <c r="C125" s="2" t="str">
        <f t="shared" ca="1" si="14"/>
        <v/>
      </c>
      <c r="D125" s="43" t="str">
        <f t="shared" ca="1" si="15"/>
        <v/>
      </c>
      <c r="E125" s="40" t="str">
        <f ca="1">IF(COUNTIF($W$2:W1110,A125)=1,VLOOKUP(A125,Q:R,2), IF(COUNTIF($W$2:W1110,A125)=0,$C$9,""))</f>
        <v/>
      </c>
      <c r="F125" s="2" t="str">
        <f t="shared" ca="1" si="16"/>
        <v/>
      </c>
      <c r="G125" s="43" t="str">
        <f t="shared" ca="1" si="17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8"/>
        <v/>
      </c>
      <c r="K125" s="43" t="str">
        <f t="shared" ca="1" si="19"/>
        <v/>
      </c>
      <c r="L125" s="43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4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9" t="str">
        <f t="shared" ca="1" si="13"/>
        <v/>
      </c>
      <c r="B126" s="40" t="str">
        <f ca="1">IF(COUNTIF($W$2:W1111,A126)=1,VLOOKUP(A126,O:P,2), IF(COUNTIF($W$2:W1111,A126)=0,$B$9,""))</f>
        <v/>
      </c>
      <c r="C126" s="2" t="str">
        <f t="shared" ca="1" si="14"/>
        <v/>
      </c>
      <c r="D126" s="43" t="str">
        <f t="shared" ca="1" si="15"/>
        <v/>
      </c>
      <c r="E126" s="40" t="str">
        <f ca="1">IF(COUNTIF($W$2:W1111,A126)=1,VLOOKUP(A126,Q:R,2), IF(COUNTIF($W$2:W1111,A126)=0,$C$9,""))</f>
        <v/>
      </c>
      <c r="F126" s="2" t="str">
        <f t="shared" ca="1" si="16"/>
        <v/>
      </c>
      <c r="G126" s="43" t="str">
        <f t="shared" ca="1" si="17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8"/>
        <v/>
      </c>
      <c r="K126" s="43" t="str">
        <f t="shared" ca="1" si="19"/>
        <v/>
      </c>
      <c r="L126" s="43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4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2"/>
        <v>45954</v>
      </c>
    </row>
    <row r="127" spans="1:30" x14ac:dyDescent="0.25">
      <c r="A127" s="39" t="str">
        <f t="shared" ca="1" si="13"/>
        <v/>
      </c>
      <c r="B127" s="40" t="str">
        <f ca="1">IF(COUNTIF($W$2:W1112,A127)=1,VLOOKUP(A127,O:P,2), IF(COUNTIF($W$2:W1112,A127)=0,$B$9,""))</f>
        <v/>
      </c>
      <c r="C127" s="2" t="str">
        <f t="shared" ca="1" si="14"/>
        <v/>
      </c>
      <c r="D127" s="43" t="str">
        <f t="shared" ca="1" si="15"/>
        <v/>
      </c>
      <c r="E127" s="40" t="str">
        <f ca="1">IF(COUNTIF($W$2:W1112,A127)=1,VLOOKUP(A127,Q:R,2), IF(COUNTIF($W$2:W1112,A127)=0,$C$9,""))</f>
        <v/>
      </c>
      <c r="F127" s="2" t="str">
        <f t="shared" ca="1" si="16"/>
        <v/>
      </c>
      <c r="G127" s="43" t="str">
        <f t="shared" ca="1" si="17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8"/>
        <v/>
      </c>
      <c r="K127" s="43" t="str">
        <f t="shared" ca="1" si="19"/>
        <v/>
      </c>
      <c r="L127" s="43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4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9" t="str">
        <f t="shared" ca="1" si="13"/>
        <v/>
      </c>
      <c r="B128" s="40" t="str">
        <f ca="1">IF(COUNTIF($W$2:W1113,A128)=1,VLOOKUP(A128,O:P,2), IF(COUNTIF($W$2:W1113,A128)=0,$B$9,""))</f>
        <v/>
      </c>
      <c r="C128" s="2" t="str">
        <f t="shared" ca="1" si="14"/>
        <v/>
      </c>
      <c r="D128" s="43" t="str">
        <f t="shared" ca="1" si="15"/>
        <v/>
      </c>
      <c r="E128" s="40" t="str">
        <f ca="1">IF(COUNTIF($W$2:W1113,A128)=1,VLOOKUP(A128,Q:R,2), IF(COUNTIF($W$2:W1113,A128)=0,$C$9,""))</f>
        <v/>
      </c>
      <c r="F128" s="2" t="str">
        <f t="shared" ca="1" si="16"/>
        <v/>
      </c>
      <c r="G128" s="43" t="str">
        <f t="shared" ca="1" si="17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8"/>
        <v/>
      </c>
      <c r="K128" s="43" t="str">
        <f t="shared" ca="1" si="19"/>
        <v/>
      </c>
      <c r="L128" s="43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4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9" t="str">
        <f t="shared" ca="1" si="13"/>
        <v/>
      </c>
      <c r="B129" s="40" t="str">
        <f ca="1">IF(COUNTIF($W$2:W1114,A129)=1,VLOOKUP(A129,O:P,2), IF(COUNTIF($W$2:W1114,A129)=0,$B$9,""))</f>
        <v/>
      </c>
      <c r="C129" s="2" t="str">
        <f t="shared" ca="1" si="14"/>
        <v/>
      </c>
      <c r="D129" s="43" t="str">
        <f t="shared" ca="1" si="15"/>
        <v/>
      </c>
      <c r="E129" s="40" t="str">
        <f ca="1">IF(COUNTIF($W$2:W1114,A129)=1,VLOOKUP(A129,Q:R,2), IF(COUNTIF($W$2:W1114,A129)=0,$C$9,""))</f>
        <v/>
      </c>
      <c r="F129" s="2" t="str">
        <f t="shared" ca="1" si="16"/>
        <v/>
      </c>
      <c r="G129" s="43" t="str">
        <f t="shared" ca="1" si="17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8"/>
        <v/>
      </c>
      <c r="K129" s="43" t="str">
        <f t="shared" ca="1" si="19"/>
        <v/>
      </c>
      <c r="L129" s="43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4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9" t="str">
        <f t="shared" ca="1" si="13"/>
        <v/>
      </c>
      <c r="B130" s="40" t="str">
        <f ca="1">IF(COUNTIF($W$2:W1115,A130)=1,VLOOKUP(A130,O:P,2), IF(COUNTIF($W$2:W1115,A130)=0,$B$9,""))</f>
        <v/>
      </c>
      <c r="C130" s="2" t="str">
        <f t="shared" ca="1" si="14"/>
        <v/>
      </c>
      <c r="D130" s="43" t="str">
        <f t="shared" ca="1" si="15"/>
        <v/>
      </c>
      <c r="E130" s="40" t="str">
        <f ca="1">IF(COUNTIF($W$2:W1115,A130)=1,VLOOKUP(A130,Q:R,2), IF(COUNTIF($W$2:W1115,A130)=0,$C$9,""))</f>
        <v/>
      </c>
      <c r="F130" s="2" t="str">
        <f t="shared" ca="1" si="16"/>
        <v/>
      </c>
      <c r="G130" s="43" t="str">
        <f t="shared" ca="1" si="17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8"/>
        <v/>
      </c>
      <c r="K130" s="43" t="str">
        <f t="shared" ca="1" si="19"/>
        <v/>
      </c>
      <c r="L130" s="43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4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9" t="str">
        <f t="shared" ca="1" si="13"/>
        <v/>
      </c>
      <c r="B131" s="40" t="str">
        <f ca="1">IF(COUNTIF($W$2:W1116,A131)=1,VLOOKUP(A131,O:P,2), IF(COUNTIF($W$2:W1116,A131)=0,$B$9,""))</f>
        <v/>
      </c>
      <c r="C131" s="2" t="str">
        <f t="shared" ca="1" si="14"/>
        <v/>
      </c>
      <c r="D131" s="43" t="str">
        <f t="shared" ca="1" si="15"/>
        <v/>
      </c>
      <c r="E131" s="40" t="str">
        <f ca="1">IF(COUNTIF($W$2:W1116,A131)=1,VLOOKUP(A131,Q:R,2), IF(COUNTIF($W$2:W1116,A131)=0,$C$9,""))</f>
        <v/>
      </c>
      <c r="F131" s="2" t="str">
        <f t="shared" ca="1" si="16"/>
        <v/>
      </c>
      <c r="G131" s="43" t="str">
        <f t="shared" ca="1" si="17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8"/>
        <v/>
      </c>
      <c r="K131" s="43" t="str">
        <f t="shared" ca="1" si="19"/>
        <v/>
      </c>
      <c r="L131" s="43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4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2"/>
        <v>45961</v>
      </c>
    </row>
    <row r="132" spans="1:30" x14ac:dyDescent="0.25">
      <c r="A132" s="39" t="str">
        <f t="shared" ca="1" si="13"/>
        <v/>
      </c>
      <c r="B132" s="40" t="str">
        <f ca="1">IF(COUNTIF($W$2:W1117,A132)=1,VLOOKUP(A132,O:P,2), IF(COUNTIF($W$2:W1117,A132)=0,$B$9,""))</f>
        <v/>
      </c>
      <c r="C132" s="2" t="str">
        <f t="shared" ca="1" si="14"/>
        <v/>
      </c>
      <c r="D132" s="43" t="str">
        <f t="shared" ca="1" si="15"/>
        <v/>
      </c>
      <c r="E132" s="40" t="str">
        <f ca="1">IF(COUNTIF($W$2:W1117,A132)=1,VLOOKUP(A132,Q:R,2), IF(COUNTIF($W$2:W1117,A132)=0,$C$9,""))</f>
        <v/>
      </c>
      <c r="F132" s="2" t="str">
        <f t="shared" ca="1" si="16"/>
        <v/>
      </c>
      <c r="G132" s="43" t="str">
        <f t="shared" ca="1" si="17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8"/>
        <v/>
      </c>
      <c r="K132" s="43" t="str">
        <f t="shared" ca="1" si="19"/>
        <v/>
      </c>
      <c r="L132" s="43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4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9" t="str">
        <f t="shared" ca="1" si="13"/>
        <v/>
      </c>
      <c r="B133" s="40" t="str">
        <f ca="1">IF(COUNTIF($W$2:W1118,A133)=1,VLOOKUP(A133,O:P,2), IF(COUNTIF($W$2:W1118,A133)=0,$B$9,""))</f>
        <v/>
      </c>
      <c r="C133" s="2" t="str">
        <f t="shared" ca="1" si="14"/>
        <v/>
      </c>
      <c r="D133" s="43" t="str">
        <f t="shared" ca="1" si="15"/>
        <v/>
      </c>
      <c r="E133" s="40" t="str">
        <f ca="1">IF(COUNTIF($W$2:W1118,A133)=1,VLOOKUP(A133,Q:R,2), IF(COUNTIF($W$2:W1118,A133)=0,$C$9,""))</f>
        <v/>
      </c>
      <c r="F133" s="2" t="str">
        <f t="shared" ca="1" si="16"/>
        <v/>
      </c>
      <c r="G133" s="43" t="str">
        <f t="shared" ca="1" si="17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8"/>
        <v/>
      </c>
      <c r="K133" s="43" t="str">
        <f t="shared" ca="1" si="19"/>
        <v/>
      </c>
      <c r="L133" s="43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4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9" t="str">
        <f t="shared" ca="1" si="13"/>
        <v/>
      </c>
      <c r="B134" s="40" t="str">
        <f ca="1">IF(COUNTIF($W$2:W1119,A134)=1,VLOOKUP(A134,O:P,2), IF(COUNTIF($W$2:W1119,A134)=0,$B$9,""))</f>
        <v/>
      </c>
      <c r="C134" s="2" t="str">
        <f t="shared" ca="1" si="14"/>
        <v/>
      </c>
      <c r="D134" s="43" t="str">
        <f t="shared" ca="1" si="15"/>
        <v/>
      </c>
      <c r="E134" s="40" t="str">
        <f ca="1">IF(COUNTIF($W$2:W1119,A134)=1,VLOOKUP(A134,Q:R,2), IF(COUNTIF($W$2:W1119,A134)=0,$C$9,""))</f>
        <v/>
      </c>
      <c r="F134" s="2" t="str">
        <f t="shared" ca="1" si="16"/>
        <v/>
      </c>
      <c r="G134" s="43" t="str">
        <f t="shared" ca="1" si="17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8"/>
        <v/>
      </c>
      <c r="K134" s="43" t="str">
        <f t="shared" ca="1" si="19"/>
        <v/>
      </c>
      <c r="L134" s="43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4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9" t="str">
        <f t="shared" ca="1" si="13"/>
        <v/>
      </c>
      <c r="B135" s="40" t="str">
        <f ca="1">IF(COUNTIF($W$2:W1120,A135)=1,VLOOKUP(A135,O:P,2), IF(COUNTIF($W$2:W1120,A135)=0,$B$9,""))</f>
        <v/>
      </c>
      <c r="C135" s="2" t="str">
        <f t="shared" ca="1" si="14"/>
        <v/>
      </c>
      <c r="D135" s="43" t="str">
        <f t="shared" ca="1" si="15"/>
        <v/>
      </c>
      <c r="E135" s="40" t="str">
        <f ca="1">IF(COUNTIF($W$2:W1120,A135)=1,VLOOKUP(A135,Q:R,2), IF(COUNTIF($W$2:W1120,A135)=0,$C$9,""))</f>
        <v/>
      </c>
      <c r="F135" s="2" t="str">
        <f t="shared" ca="1" si="16"/>
        <v/>
      </c>
      <c r="G135" s="43" t="str">
        <f t="shared" ca="1" si="17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8"/>
        <v/>
      </c>
      <c r="K135" s="43" t="str">
        <f t="shared" ca="1" si="19"/>
        <v/>
      </c>
      <c r="L135" s="43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4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9" t="str">
        <f t="shared" ca="1" si="13"/>
        <v/>
      </c>
      <c r="B136" s="40" t="str">
        <f ca="1">IF(COUNTIF($W$2:W1121,A136)=1,VLOOKUP(A136,O:P,2), IF(COUNTIF($W$2:W1121,A136)=0,$B$9,""))</f>
        <v/>
      </c>
      <c r="C136" s="2" t="str">
        <f t="shared" ca="1" si="14"/>
        <v/>
      </c>
      <c r="D136" s="43" t="str">
        <f t="shared" ca="1" si="15"/>
        <v/>
      </c>
      <c r="E136" s="40" t="str">
        <f ca="1">IF(COUNTIF($W$2:W1121,A136)=1,VLOOKUP(A136,Q:R,2), IF(COUNTIF($W$2:W1121,A136)=0,$C$9,""))</f>
        <v/>
      </c>
      <c r="F136" s="2" t="str">
        <f t="shared" ca="1" si="16"/>
        <v/>
      </c>
      <c r="G136" s="43" t="str">
        <f t="shared" ca="1" si="17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8"/>
        <v/>
      </c>
      <c r="K136" s="43" t="str">
        <f t="shared" ca="1" si="19"/>
        <v/>
      </c>
      <c r="L136" s="43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4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9" t="str">
        <f t="shared" ca="1" si="13"/>
        <v/>
      </c>
      <c r="B137" s="40" t="str">
        <f ca="1">IF(COUNTIF($W$2:W1122,A137)=1,VLOOKUP(A137,O:P,2), IF(COUNTIF($W$2:W1122,A137)=0,$B$9,""))</f>
        <v/>
      </c>
      <c r="C137" s="2" t="str">
        <f t="shared" ca="1" si="14"/>
        <v/>
      </c>
      <c r="D137" s="43" t="str">
        <f t="shared" ca="1" si="15"/>
        <v/>
      </c>
      <c r="E137" s="40" t="str">
        <f ca="1">IF(COUNTIF($W$2:W1122,A137)=1,VLOOKUP(A137,Q:R,2), IF(COUNTIF($W$2:W1122,A137)=0,$C$9,""))</f>
        <v/>
      </c>
      <c r="F137" s="2" t="str">
        <f t="shared" ca="1" si="16"/>
        <v/>
      </c>
      <c r="G137" s="43" t="str">
        <f t="shared" ca="1" si="17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8"/>
        <v/>
      </c>
      <c r="K137" s="43" t="str">
        <f t="shared" ca="1" si="19"/>
        <v/>
      </c>
      <c r="L137" s="43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4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9" t="str">
        <f t="shared" ca="1" si="13"/>
        <v/>
      </c>
      <c r="B138" s="40" t="str">
        <f ca="1">IF(COUNTIF($W$2:W1123,A138)=1,VLOOKUP(A138,O:P,2), IF(COUNTIF($W$2:W1123,A138)=0,$B$9,""))</f>
        <v/>
      </c>
      <c r="C138" s="2" t="str">
        <f t="shared" ca="1" si="14"/>
        <v/>
      </c>
      <c r="D138" s="43" t="str">
        <f t="shared" ca="1" si="15"/>
        <v/>
      </c>
      <c r="E138" s="40" t="str">
        <f ca="1">IF(COUNTIF($W$2:W1123,A138)=1,VLOOKUP(A138,Q:R,2), IF(COUNTIF($W$2:W1123,A138)=0,$C$9,""))</f>
        <v/>
      </c>
      <c r="F138" s="2" t="str">
        <f t="shared" ca="1" si="16"/>
        <v/>
      </c>
      <c r="G138" s="43" t="str">
        <f t="shared" ca="1" si="17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8"/>
        <v/>
      </c>
      <c r="K138" s="43" t="str">
        <f t="shared" ca="1" si="19"/>
        <v/>
      </c>
      <c r="L138" s="43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4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9" t="str">
        <f t="shared" ca="1" si="13"/>
        <v/>
      </c>
      <c r="B139" s="40" t="str">
        <f ca="1">IF(COUNTIF($W$2:W1124,A139)=1,VLOOKUP(A139,O:P,2), IF(COUNTIF($W$2:W1124,A139)=0,$B$9,""))</f>
        <v/>
      </c>
      <c r="C139" s="2" t="str">
        <f t="shared" ca="1" si="14"/>
        <v/>
      </c>
      <c r="D139" s="43" t="str">
        <f t="shared" ca="1" si="15"/>
        <v/>
      </c>
      <c r="E139" s="40" t="str">
        <f ca="1">IF(COUNTIF($W$2:W1124,A139)=1,VLOOKUP(A139,Q:R,2), IF(COUNTIF($W$2:W1124,A139)=0,$C$9,""))</f>
        <v/>
      </c>
      <c r="F139" s="2" t="str">
        <f t="shared" ca="1" si="16"/>
        <v/>
      </c>
      <c r="G139" s="43" t="str">
        <f t="shared" ca="1" si="17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8"/>
        <v/>
      </c>
      <c r="K139" s="43" t="str">
        <f t="shared" ca="1" si="19"/>
        <v/>
      </c>
      <c r="L139" s="43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4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9" t="str">
        <f t="shared" ca="1" si="13"/>
        <v/>
      </c>
      <c r="B140" s="40" t="str">
        <f ca="1">IF(COUNTIF($W$2:W1125,A140)=1,VLOOKUP(A140,O:P,2), IF(COUNTIF($W$2:W1125,A140)=0,$B$9,""))</f>
        <v/>
      </c>
      <c r="C140" s="2" t="str">
        <f t="shared" ca="1" si="14"/>
        <v/>
      </c>
      <c r="D140" s="43" t="str">
        <f t="shared" ca="1" si="15"/>
        <v/>
      </c>
      <c r="E140" s="40" t="str">
        <f ca="1">IF(COUNTIF($W$2:W1125,A140)=1,VLOOKUP(A140,Q:R,2), IF(COUNTIF($W$2:W1125,A140)=0,$C$9,""))</f>
        <v/>
      </c>
      <c r="F140" s="2" t="str">
        <f t="shared" ca="1" si="16"/>
        <v/>
      </c>
      <c r="G140" s="43" t="str">
        <f t="shared" ca="1" si="17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8"/>
        <v/>
      </c>
      <c r="K140" s="43" t="str">
        <f t="shared" ca="1" si="19"/>
        <v/>
      </c>
      <c r="L140" s="43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4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9" t="str">
        <f t="shared" ca="1" si="13"/>
        <v/>
      </c>
      <c r="B141" s="40" t="str">
        <f ca="1">IF(COUNTIF($W$2:W1126,A141)=1,VLOOKUP(A141,O:P,2), IF(COUNTIF($W$2:W1126,A141)=0,$B$9,""))</f>
        <v/>
      </c>
      <c r="C141" s="2" t="str">
        <f t="shared" ca="1" si="14"/>
        <v/>
      </c>
      <c r="D141" s="43" t="str">
        <f t="shared" ca="1" si="15"/>
        <v/>
      </c>
      <c r="E141" s="40" t="str">
        <f ca="1">IF(COUNTIF($W$2:W1126,A141)=1,VLOOKUP(A141,Q:R,2), IF(COUNTIF($W$2:W1126,A141)=0,$C$9,""))</f>
        <v/>
      </c>
      <c r="F141" s="2" t="str">
        <f t="shared" ca="1" si="16"/>
        <v/>
      </c>
      <c r="G141" s="43" t="str">
        <f t="shared" ca="1" si="17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8"/>
        <v/>
      </c>
      <c r="K141" s="43" t="str">
        <f t="shared" ca="1" si="19"/>
        <v/>
      </c>
      <c r="L141" s="43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4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9" t="str">
        <f t="shared" ca="1" si="13"/>
        <v/>
      </c>
      <c r="B142" s="40" t="str">
        <f ca="1">IF(COUNTIF($W$2:W1127,A142)=1,VLOOKUP(A142,O:P,2), IF(COUNTIF($W$2:W1127,A142)=0,$B$9,""))</f>
        <v/>
      </c>
      <c r="C142" s="2" t="str">
        <f t="shared" ca="1" si="14"/>
        <v/>
      </c>
      <c r="D142" s="43" t="str">
        <f t="shared" ca="1" si="15"/>
        <v/>
      </c>
      <c r="E142" s="40" t="str">
        <f ca="1">IF(COUNTIF($W$2:W1127,A142)=1,VLOOKUP(A142,Q:R,2), IF(COUNTIF($W$2:W1127,A142)=0,$C$9,""))</f>
        <v/>
      </c>
      <c r="F142" s="2" t="str">
        <f t="shared" ca="1" si="16"/>
        <v/>
      </c>
      <c r="G142" s="43" t="str">
        <f t="shared" ca="1" si="17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8"/>
        <v/>
      </c>
      <c r="K142" s="43" t="str">
        <f t="shared" ca="1" si="19"/>
        <v/>
      </c>
      <c r="L142" s="43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4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9" t="str">
        <f t="shared" ref="A143:A204" ca="1" si="23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4"/>
        <v/>
      </c>
      <c r="D143" s="43" t="str">
        <f t="shared" ca="1" si="15"/>
        <v/>
      </c>
      <c r="E143" s="40" t="str">
        <f ca="1">IF(COUNTIF($W$2:W1128,A143)=1,VLOOKUP(A143,Q:R,2), IF(COUNTIF($W$2:W1128,A143)=0,$C$9,""))</f>
        <v/>
      </c>
      <c r="F143" s="2" t="str">
        <f t="shared" ca="1" si="16"/>
        <v/>
      </c>
      <c r="G143" s="43" t="str">
        <f t="shared" ca="1" si="17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8"/>
        <v/>
      </c>
      <c r="K143" s="43" t="str">
        <f t="shared" ca="1" si="19"/>
        <v/>
      </c>
      <c r="L143" s="43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4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9" t="str">
        <f t="shared" ca="1" si="23"/>
        <v/>
      </c>
      <c r="B144" s="40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3" t="str">
        <f t="shared" ref="D144:D204" ca="1" si="25">IF(ISERROR(B144-2),"",-1*(INT(A144)-INT($A$14))/360*$B$7*$B$5)</f>
        <v/>
      </c>
      <c r="E144" s="40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3" t="str">
        <f t="shared" ref="G144:G204" ca="1" si="27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204" ca="1" si="28">IF(ISERROR(H144-2),"",I144)</f>
        <v/>
      </c>
      <c r="K144" s="43" t="str">
        <f t="shared" ref="K144:K204" ca="1" si="29">IF(ISERROR(H144-2),"",(J144/$J$14-1)*$D$5)</f>
        <v/>
      </c>
      <c r="L144" s="43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4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9" t="str">
        <f t="shared" ca="1" si="23"/>
        <v/>
      </c>
      <c r="B145" s="40" t="str">
        <f ca="1">IF(COUNTIF($W$2:W1130,A145)=1,VLOOKUP(A145,O:P,2), IF(COUNTIF($W$2:W1130,A145)=0,$B$9,""))</f>
        <v/>
      </c>
      <c r="C145" s="2" t="str">
        <f t="shared" ca="1" si="24"/>
        <v/>
      </c>
      <c r="D145" s="43" t="str">
        <f t="shared" ca="1" si="25"/>
        <v/>
      </c>
      <c r="E145" s="40" t="str">
        <f ca="1">IF(COUNTIF($W$2:W1130,A145)=1,VLOOKUP(A145,Q:R,2), IF(COUNTIF($W$2:W1130,A145)=0,$C$9,""))</f>
        <v/>
      </c>
      <c r="F145" s="2" t="str">
        <f t="shared" ca="1" si="26"/>
        <v/>
      </c>
      <c r="G145" s="43" t="str">
        <f t="shared" ca="1" si="27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8"/>
        <v/>
      </c>
      <c r="K145" s="43" t="str">
        <f t="shared" ca="1" si="29"/>
        <v/>
      </c>
      <c r="L145" s="43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4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9" t="str">
        <f t="shared" ca="1" si="23"/>
        <v/>
      </c>
      <c r="B146" s="40" t="str">
        <f ca="1">IF(COUNTIF($W$2:W1131,A146)=1,VLOOKUP(A146,O:P,2), IF(COUNTIF($W$2:W1131,A146)=0,$B$9,""))</f>
        <v/>
      </c>
      <c r="C146" s="2" t="str">
        <f t="shared" ca="1" si="24"/>
        <v/>
      </c>
      <c r="D146" s="43" t="str">
        <f t="shared" ca="1" si="25"/>
        <v/>
      </c>
      <c r="E146" s="40" t="str">
        <f ca="1">IF(COUNTIF($W$2:W1131,A146)=1,VLOOKUP(A146,Q:R,2), IF(COUNTIF($W$2:W1131,A146)=0,$C$9,""))</f>
        <v/>
      </c>
      <c r="F146" s="2" t="str">
        <f t="shared" ca="1" si="26"/>
        <v/>
      </c>
      <c r="G146" s="43" t="str">
        <f t="shared" ca="1" si="27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8"/>
        <v/>
      </c>
      <c r="K146" s="43" t="str">
        <f t="shared" ca="1" si="29"/>
        <v/>
      </c>
      <c r="L146" s="43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4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9" t="str">
        <f t="shared" ca="1" si="23"/>
        <v/>
      </c>
      <c r="B147" s="40" t="str">
        <f ca="1">IF(COUNTIF($W$2:W1132,A147)=1,VLOOKUP(A147,O:P,2), IF(COUNTIF($W$2:W1132,A147)=0,$B$9,""))</f>
        <v/>
      </c>
      <c r="C147" s="2" t="str">
        <f t="shared" ca="1" si="24"/>
        <v/>
      </c>
      <c r="D147" s="43" t="str">
        <f t="shared" ca="1" si="25"/>
        <v/>
      </c>
      <c r="E147" s="40" t="str">
        <f ca="1">IF(COUNTIF($W$2:W1132,A147)=1,VLOOKUP(A147,Q:R,2), IF(COUNTIF($W$2:W1132,A147)=0,$C$9,""))</f>
        <v/>
      </c>
      <c r="F147" s="2" t="str">
        <f t="shared" ca="1" si="26"/>
        <v/>
      </c>
      <c r="G147" s="43" t="str">
        <f t="shared" ca="1" si="27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8"/>
        <v/>
      </c>
      <c r="K147" s="43" t="str">
        <f t="shared" ca="1" si="29"/>
        <v/>
      </c>
      <c r="L147" s="43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4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9" t="str">
        <f t="shared" ca="1" si="23"/>
        <v/>
      </c>
      <c r="B148" s="40" t="str">
        <f ca="1">IF(COUNTIF($W$2:W1133,A148)=1,VLOOKUP(A148,O:P,2), IF(COUNTIF($W$2:W1133,A148)=0,$B$9,""))</f>
        <v/>
      </c>
      <c r="C148" s="2" t="str">
        <f t="shared" ca="1" si="24"/>
        <v/>
      </c>
      <c r="D148" s="43" t="str">
        <f t="shared" ca="1" si="25"/>
        <v/>
      </c>
      <c r="E148" s="40" t="str">
        <f ca="1">IF(COUNTIF($W$2:W1133,A148)=1,VLOOKUP(A148,Q:R,2), IF(COUNTIF($W$2:W1133,A148)=0,$C$9,""))</f>
        <v/>
      </c>
      <c r="F148" s="2" t="str">
        <f t="shared" ca="1" si="26"/>
        <v/>
      </c>
      <c r="G148" s="43" t="str">
        <f t="shared" ca="1" si="27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8"/>
        <v/>
      </c>
      <c r="K148" s="43" t="str">
        <f t="shared" ca="1" si="29"/>
        <v/>
      </c>
      <c r="L148" s="43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4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9" t="str">
        <f t="shared" ca="1" si="23"/>
        <v/>
      </c>
      <c r="B149" s="40" t="str">
        <f ca="1">IF(COUNTIF($W$2:W1134,A149)=1,VLOOKUP(A149,O:P,2), IF(COUNTIF($W$2:W1134,A149)=0,$B$9,""))</f>
        <v/>
      </c>
      <c r="C149" s="2" t="str">
        <f t="shared" ca="1" si="24"/>
        <v/>
      </c>
      <c r="D149" s="43" t="str">
        <f t="shared" ca="1" si="25"/>
        <v/>
      </c>
      <c r="E149" s="40" t="str">
        <f ca="1">IF(COUNTIF($W$2:W1134,A149)=1,VLOOKUP(A149,Q:R,2), IF(COUNTIF($W$2:W1134,A149)=0,$C$9,""))</f>
        <v/>
      </c>
      <c r="F149" s="2" t="str">
        <f t="shared" ca="1" si="26"/>
        <v/>
      </c>
      <c r="G149" s="43" t="str">
        <f t="shared" ca="1" si="27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8"/>
        <v/>
      </c>
      <c r="K149" s="43" t="str">
        <f t="shared" ca="1" si="29"/>
        <v/>
      </c>
      <c r="L149" s="43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4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9" t="str">
        <f t="shared" ca="1" si="23"/>
        <v/>
      </c>
      <c r="B150" s="40" t="str">
        <f ca="1">IF(COUNTIF($W$2:W1135,A150)=1,VLOOKUP(A150,O:P,2), IF(COUNTIF($W$2:W1135,A150)=0,$B$9,""))</f>
        <v/>
      </c>
      <c r="C150" s="2" t="str">
        <f t="shared" ca="1" si="24"/>
        <v/>
      </c>
      <c r="D150" s="43" t="str">
        <f t="shared" ca="1" si="25"/>
        <v/>
      </c>
      <c r="E150" s="40" t="str">
        <f ca="1">IF(COUNTIF($W$2:W1135,A150)=1,VLOOKUP(A150,Q:R,2), IF(COUNTIF($W$2:W1135,A150)=0,$C$9,""))</f>
        <v/>
      </c>
      <c r="F150" s="2" t="str">
        <f t="shared" ca="1" si="26"/>
        <v/>
      </c>
      <c r="G150" s="43" t="str">
        <f t="shared" ca="1" si="27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8"/>
        <v/>
      </c>
      <c r="K150" s="43" t="str">
        <f t="shared" ca="1" si="29"/>
        <v/>
      </c>
      <c r="L150" s="43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4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9" t="str">
        <f t="shared" ca="1" si="23"/>
        <v/>
      </c>
      <c r="B151" s="40" t="str">
        <f ca="1">IF(COUNTIF($W$2:W1136,A151)=1,VLOOKUP(A151,O:P,2), IF(COUNTIF($W$2:W1136,A151)=0,$B$9,""))</f>
        <v/>
      </c>
      <c r="C151" s="2" t="str">
        <f t="shared" ca="1" si="24"/>
        <v/>
      </c>
      <c r="D151" s="43" t="str">
        <f t="shared" ca="1" si="25"/>
        <v/>
      </c>
      <c r="E151" s="40" t="str">
        <f ca="1">IF(COUNTIF($W$2:W1136,A151)=1,VLOOKUP(A151,Q:R,2), IF(COUNTIF($W$2:W1136,A151)=0,$C$9,""))</f>
        <v/>
      </c>
      <c r="F151" s="2" t="str">
        <f t="shared" ca="1" si="26"/>
        <v/>
      </c>
      <c r="G151" s="43" t="str">
        <f t="shared" ca="1" si="27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8"/>
        <v/>
      </c>
      <c r="K151" s="43" t="str">
        <f t="shared" ca="1" si="29"/>
        <v/>
      </c>
      <c r="L151" s="43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4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9" t="str">
        <f t="shared" ca="1" si="23"/>
        <v/>
      </c>
      <c r="B152" s="40" t="str">
        <f ca="1">IF(COUNTIF($W$2:W1137,A152)=1,VLOOKUP(A152,O:P,2), IF(COUNTIF($W$2:W1137,A152)=0,$B$9,""))</f>
        <v/>
      </c>
      <c r="C152" s="2" t="str">
        <f t="shared" ca="1" si="24"/>
        <v/>
      </c>
      <c r="D152" s="43" t="str">
        <f t="shared" ca="1" si="25"/>
        <v/>
      </c>
      <c r="E152" s="40" t="str">
        <f ca="1">IF(COUNTIF($W$2:W1137,A152)=1,VLOOKUP(A152,Q:R,2), IF(COUNTIF($W$2:W1137,A152)=0,$C$9,""))</f>
        <v/>
      </c>
      <c r="F152" s="2" t="str">
        <f t="shared" ca="1" si="26"/>
        <v/>
      </c>
      <c r="G152" s="43" t="str">
        <f t="shared" ca="1" si="27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8"/>
        <v/>
      </c>
      <c r="K152" s="43" t="str">
        <f t="shared" ca="1" si="29"/>
        <v/>
      </c>
      <c r="L152" s="43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4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9" t="str">
        <f t="shared" ca="1" si="23"/>
        <v/>
      </c>
      <c r="B153" s="40" t="str">
        <f ca="1">IF(COUNTIF($W$2:W1138,A153)=1,VLOOKUP(A153,O:P,2), IF(COUNTIF($W$2:W1138,A153)=0,$B$9,""))</f>
        <v/>
      </c>
      <c r="C153" s="2" t="str">
        <f t="shared" ca="1" si="24"/>
        <v/>
      </c>
      <c r="D153" s="43" t="str">
        <f t="shared" ca="1" si="25"/>
        <v/>
      </c>
      <c r="E153" s="40" t="str">
        <f ca="1">IF(COUNTIF($W$2:W1138,A153)=1,VLOOKUP(A153,Q:R,2), IF(COUNTIF($W$2:W1138,A153)=0,$C$9,""))</f>
        <v/>
      </c>
      <c r="F153" s="2" t="str">
        <f t="shared" ca="1" si="26"/>
        <v/>
      </c>
      <c r="G153" s="43" t="str">
        <f t="shared" ca="1" si="27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8"/>
        <v/>
      </c>
      <c r="K153" s="43" t="str">
        <f t="shared" ca="1" si="29"/>
        <v/>
      </c>
      <c r="L153" s="43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4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9" t="str">
        <f t="shared" ca="1" si="23"/>
        <v/>
      </c>
      <c r="B154" s="40" t="str">
        <f ca="1">IF(COUNTIF($W$2:W1139,A154)=1,VLOOKUP(A154,O:P,2), IF(COUNTIF($W$2:W1139,A154)=0,$B$9,""))</f>
        <v/>
      </c>
      <c r="C154" s="2" t="str">
        <f t="shared" ca="1" si="24"/>
        <v/>
      </c>
      <c r="D154" s="43" t="str">
        <f t="shared" ca="1" si="25"/>
        <v/>
      </c>
      <c r="E154" s="40" t="str">
        <f ca="1">IF(COUNTIF($W$2:W1139,A154)=1,VLOOKUP(A154,Q:R,2), IF(COUNTIF($W$2:W1139,A154)=0,$C$9,""))</f>
        <v/>
      </c>
      <c r="F154" s="2" t="str">
        <f t="shared" ca="1" si="26"/>
        <v/>
      </c>
      <c r="G154" s="43" t="str">
        <f t="shared" ca="1" si="27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8"/>
        <v/>
      </c>
      <c r="K154" s="43" t="str">
        <f t="shared" ca="1" si="29"/>
        <v/>
      </c>
      <c r="L154" s="43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4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9" t="str">
        <f t="shared" ca="1" si="23"/>
        <v/>
      </c>
      <c r="B155" s="40" t="str">
        <f ca="1">IF(COUNTIF($W$2:W1140,A155)=1,VLOOKUP(A155,O:P,2), IF(COUNTIF($W$2:W1140,A155)=0,$B$9,""))</f>
        <v/>
      </c>
      <c r="C155" s="2" t="str">
        <f t="shared" ca="1" si="24"/>
        <v/>
      </c>
      <c r="D155" s="43" t="str">
        <f t="shared" ca="1" si="25"/>
        <v/>
      </c>
      <c r="E155" s="40" t="str">
        <f ca="1">IF(COUNTIF($W$2:W1140,A155)=1,VLOOKUP(A155,Q:R,2), IF(COUNTIF($W$2:W1140,A155)=0,$C$9,""))</f>
        <v/>
      </c>
      <c r="F155" s="2" t="str">
        <f t="shared" ca="1" si="26"/>
        <v/>
      </c>
      <c r="G155" s="43" t="str">
        <f t="shared" ca="1" si="27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8"/>
        <v/>
      </c>
      <c r="K155" s="43" t="str">
        <f t="shared" ca="1" si="29"/>
        <v/>
      </c>
      <c r="L155" s="43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4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2"/>
        <v>45995</v>
      </c>
    </row>
    <row r="156" spans="1:30" x14ac:dyDescent="0.25">
      <c r="A156" s="39" t="str">
        <f t="shared" ca="1" si="23"/>
        <v/>
      </c>
      <c r="B156" s="40" t="str">
        <f ca="1">IF(COUNTIF($W$2:W1141,A156)=1,VLOOKUP(A156,O:P,2), IF(COUNTIF($W$2:W1141,A156)=0,$B$9,""))</f>
        <v/>
      </c>
      <c r="C156" s="2" t="str">
        <f t="shared" ca="1" si="24"/>
        <v/>
      </c>
      <c r="D156" s="43" t="str">
        <f t="shared" ca="1" si="25"/>
        <v/>
      </c>
      <c r="E156" s="40" t="str">
        <f ca="1">IF(COUNTIF($W$2:W1141,A156)=1,VLOOKUP(A156,Q:R,2), IF(COUNTIF($W$2:W1141,A156)=0,$C$9,""))</f>
        <v/>
      </c>
      <c r="F156" s="2" t="str">
        <f t="shared" ca="1" si="26"/>
        <v/>
      </c>
      <c r="G156" s="43" t="str">
        <f t="shared" ca="1" si="27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8"/>
        <v/>
      </c>
      <c r="K156" s="43" t="str">
        <f t="shared" ca="1" si="29"/>
        <v/>
      </c>
      <c r="L156" s="43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4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9" t="str">
        <f t="shared" ca="1" si="23"/>
        <v/>
      </c>
      <c r="B157" s="40" t="str">
        <f ca="1">IF(COUNTIF($W$2:W1142,A157)=1,VLOOKUP(A157,O:P,2), IF(COUNTIF($W$2:W1142,A157)=0,$B$9,""))</f>
        <v/>
      </c>
      <c r="C157" s="2" t="str">
        <f t="shared" ca="1" si="24"/>
        <v/>
      </c>
      <c r="D157" s="43" t="str">
        <f t="shared" ca="1" si="25"/>
        <v/>
      </c>
      <c r="E157" s="40" t="str">
        <f ca="1">IF(COUNTIF($W$2:W1142,A157)=1,VLOOKUP(A157,Q:R,2), IF(COUNTIF($W$2:W1142,A157)=0,$C$9,""))</f>
        <v/>
      </c>
      <c r="F157" s="2" t="str">
        <f t="shared" ca="1" si="26"/>
        <v/>
      </c>
      <c r="G157" s="43" t="str">
        <f t="shared" ca="1" si="27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8"/>
        <v/>
      </c>
      <c r="K157" s="43" t="str">
        <f t="shared" ca="1" si="29"/>
        <v/>
      </c>
      <c r="L157" s="43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4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2"/>
        <v>45999</v>
      </c>
    </row>
    <row r="158" spans="1:30" x14ac:dyDescent="0.25">
      <c r="A158" s="39" t="str">
        <f t="shared" ca="1" si="23"/>
        <v/>
      </c>
      <c r="B158" s="40" t="str">
        <f ca="1">IF(COUNTIF($W$2:W1143,A158)=1,VLOOKUP(A158,O:P,2), IF(COUNTIF($W$2:W1143,A158)=0,$B$9,""))</f>
        <v/>
      </c>
      <c r="C158" s="2" t="str">
        <f t="shared" ca="1" si="24"/>
        <v/>
      </c>
      <c r="D158" s="43" t="str">
        <f t="shared" ca="1" si="25"/>
        <v/>
      </c>
      <c r="E158" s="40" t="str">
        <f ca="1">IF(COUNTIF($W$2:W1143,A158)=1,VLOOKUP(A158,Q:R,2), IF(COUNTIF($W$2:W1143,A158)=0,$C$9,""))</f>
        <v/>
      </c>
      <c r="F158" s="2" t="str">
        <f t="shared" ca="1" si="26"/>
        <v/>
      </c>
      <c r="G158" s="43" t="str">
        <f t="shared" ca="1" si="27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8"/>
        <v/>
      </c>
      <c r="K158" s="43" t="str">
        <f t="shared" ca="1" si="29"/>
        <v/>
      </c>
      <c r="L158" s="43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4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2"/>
        <v>46000</v>
      </c>
    </row>
    <row r="159" spans="1:30" x14ac:dyDescent="0.25">
      <c r="A159" s="39" t="str">
        <f t="shared" ca="1" si="23"/>
        <v/>
      </c>
      <c r="B159" s="40" t="str">
        <f ca="1">IF(COUNTIF($W$2:W1144,A159)=1,VLOOKUP(A159,O:P,2), IF(COUNTIF($W$2:W1144,A159)=0,$B$9,""))</f>
        <v/>
      </c>
      <c r="C159" s="2" t="str">
        <f t="shared" ca="1" si="24"/>
        <v/>
      </c>
      <c r="D159" s="43" t="str">
        <f t="shared" ca="1" si="25"/>
        <v/>
      </c>
      <c r="E159" s="40" t="str">
        <f ca="1">IF(COUNTIF($W$2:W1144,A159)=1,VLOOKUP(A159,Q:R,2), IF(COUNTIF($W$2:W1144,A159)=0,$C$9,""))</f>
        <v/>
      </c>
      <c r="F159" s="2" t="str">
        <f t="shared" ca="1" si="26"/>
        <v/>
      </c>
      <c r="G159" s="43" t="str">
        <f t="shared" ca="1" si="27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8"/>
        <v/>
      </c>
      <c r="K159" s="43" t="str">
        <f t="shared" ca="1" si="29"/>
        <v/>
      </c>
      <c r="L159" s="43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4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2"/>
        <v>46001</v>
      </c>
    </row>
    <row r="160" spans="1:30" x14ac:dyDescent="0.25">
      <c r="A160" s="39" t="str">
        <f t="shared" ca="1" si="23"/>
        <v/>
      </c>
      <c r="B160" s="40" t="str">
        <f ca="1">IF(COUNTIF($W$2:W1145,A160)=1,VLOOKUP(A160,O:P,2), IF(COUNTIF($W$2:W1145,A160)=0,$B$9,""))</f>
        <v/>
      </c>
      <c r="C160" s="2" t="str">
        <f t="shared" ca="1" si="24"/>
        <v/>
      </c>
      <c r="D160" s="43" t="str">
        <f t="shared" ca="1" si="25"/>
        <v/>
      </c>
      <c r="E160" s="40" t="str">
        <f ca="1">IF(COUNTIF($W$2:W1145,A160)=1,VLOOKUP(A160,Q:R,2), IF(COUNTIF($W$2:W1145,A160)=0,$C$9,""))</f>
        <v/>
      </c>
      <c r="F160" s="2" t="str">
        <f t="shared" ca="1" si="26"/>
        <v/>
      </c>
      <c r="G160" s="43" t="str">
        <f t="shared" ca="1" si="27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8"/>
        <v/>
      </c>
      <c r="K160" s="43" t="str">
        <f t="shared" ca="1" si="29"/>
        <v/>
      </c>
      <c r="L160" s="43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4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9" t="str">
        <f t="shared" ca="1" si="23"/>
        <v/>
      </c>
      <c r="B161" s="40" t="str">
        <f ca="1">IF(COUNTIF($W$2:W1146,A161)=1,VLOOKUP(A161,O:P,2), IF(COUNTIF($W$2:W1146,A161)=0,$B$9,""))</f>
        <v/>
      </c>
      <c r="C161" s="2" t="str">
        <f t="shared" ca="1" si="24"/>
        <v/>
      </c>
      <c r="D161" s="43" t="str">
        <f t="shared" ca="1" si="25"/>
        <v/>
      </c>
      <c r="E161" s="40" t="str">
        <f ca="1">IF(COUNTIF($W$2:W1146,A161)=1,VLOOKUP(A161,Q:R,2), IF(COUNTIF($W$2:W1146,A161)=0,$C$9,""))</f>
        <v/>
      </c>
      <c r="F161" s="2" t="str">
        <f t="shared" ca="1" si="26"/>
        <v/>
      </c>
      <c r="G161" s="43" t="str">
        <f t="shared" ca="1" si="27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8"/>
        <v/>
      </c>
      <c r="K161" s="43" t="str">
        <f t="shared" ca="1" si="29"/>
        <v/>
      </c>
      <c r="L161" s="43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4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2"/>
        <v>46003</v>
      </c>
    </row>
    <row r="162" spans="1:30" x14ac:dyDescent="0.25">
      <c r="A162" s="39" t="str">
        <f t="shared" ca="1" si="23"/>
        <v/>
      </c>
      <c r="B162" s="40" t="str">
        <f ca="1">IF(COUNTIF($W$2:W1147,A162)=1,VLOOKUP(A162,O:P,2), IF(COUNTIF($W$2:W1147,A162)=0,$B$9,""))</f>
        <v/>
      </c>
      <c r="C162" s="2" t="str">
        <f t="shared" ca="1" si="24"/>
        <v/>
      </c>
      <c r="D162" s="43" t="str">
        <f t="shared" ca="1" si="25"/>
        <v/>
      </c>
      <c r="E162" s="40" t="str">
        <f ca="1">IF(COUNTIF($W$2:W1147,A162)=1,VLOOKUP(A162,Q:R,2), IF(COUNTIF($W$2:W1147,A162)=0,$C$9,""))</f>
        <v/>
      </c>
      <c r="F162" s="2" t="str">
        <f t="shared" ca="1" si="26"/>
        <v/>
      </c>
      <c r="G162" s="43" t="str">
        <f t="shared" ca="1" si="27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8"/>
        <v/>
      </c>
      <c r="K162" s="43" t="str">
        <f t="shared" ca="1" si="29"/>
        <v/>
      </c>
      <c r="L162" s="43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4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9" t="str">
        <f t="shared" ca="1" si="23"/>
        <v/>
      </c>
      <c r="B163" s="40" t="str">
        <f ca="1">IF(COUNTIF($W$2:W1148,A163)=1,VLOOKUP(A163,O:P,2), IF(COUNTIF($W$2:W1148,A163)=0,$B$9,""))</f>
        <v/>
      </c>
      <c r="C163" s="2" t="str">
        <f t="shared" ca="1" si="24"/>
        <v/>
      </c>
      <c r="D163" s="43" t="str">
        <f t="shared" ca="1" si="25"/>
        <v/>
      </c>
      <c r="E163" s="40" t="str">
        <f ca="1">IF(COUNTIF($W$2:W1148,A163)=1,VLOOKUP(A163,Q:R,2), IF(COUNTIF($W$2:W1148,A163)=0,$C$9,""))</f>
        <v/>
      </c>
      <c r="F163" s="2" t="str">
        <f t="shared" ca="1" si="26"/>
        <v/>
      </c>
      <c r="G163" s="43" t="str">
        <f t="shared" ca="1" si="27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8"/>
        <v/>
      </c>
      <c r="K163" s="43" t="str">
        <f t="shared" ca="1" si="29"/>
        <v/>
      </c>
      <c r="L163" s="43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4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9" t="str">
        <f t="shared" ca="1" si="23"/>
        <v/>
      </c>
      <c r="B164" s="40" t="str">
        <f ca="1">IF(COUNTIF($W$2:W1149,A164)=1,VLOOKUP(A164,O:P,2), IF(COUNTIF($W$2:W1149,A164)=0,$B$9,""))</f>
        <v/>
      </c>
      <c r="C164" s="2" t="str">
        <f t="shared" ca="1" si="24"/>
        <v/>
      </c>
      <c r="D164" s="43" t="str">
        <f t="shared" ca="1" si="25"/>
        <v/>
      </c>
      <c r="E164" s="40" t="str">
        <f ca="1">IF(COUNTIF($W$2:W1149,A164)=1,VLOOKUP(A164,Q:R,2), IF(COUNTIF($W$2:W1149,A164)=0,$C$9,""))</f>
        <v/>
      </c>
      <c r="F164" s="2" t="str">
        <f t="shared" ca="1" si="26"/>
        <v/>
      </c>
      <c r="G164" s="43" t="str">
        <f t="shared" ca="1" si="27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8"/>
        <v/>
      </c>
      <c r="K164" s="43" t="str">
        <f t="shared" ca="1" si="29"/>
        <v/>
      </c>
      <c r="L164" s="43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4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9" t="str">
        <f t="shared" ca="1" si="23"/>
        <v/>
      </c>
      <c r="B165" s="40" t="str">
        <f ca="1">IF(COUNTIF($W$2:W1150,A165)=1,VLOOKUP(A165,O:P,2), IF(COUNTIF($W$2:W1150,A165)=0,$B$9,""))</f>
        <v/>
      </c>
      <c r="C165" s="2" t="str">
        <f t="shared" ca="1" si="24"/>
        <v/>
      </c>
      <c r="D165" s="43" t="str">
        <f t="shared" ca="1" si="25"/>
        <v/>
      </c>
      <c r="E165" s="40" t="str">
        <f ca="1">IF(COUNTIF($W$2:W1150,A165)=1,VLOOKUP(A165,Q:R,2), IF(COUNTIF($W$2:W1150,A165)=0,$C$9,""))</f>
        <v/>
      </c>
      <c r="F165" s="2" t="str">
        <f t="shared" ca="1" si="26"/>
        <v/>
      </c>
      <c r="G165" s="43" t="str">
        <f t="shared" ca="1" si="27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8"/>
        <v/>
      </c>
      <c r="K165" s="43" t="str">
        <f t="shared" ca="1" si="29"/>
        <v/>
      </c>
      <c r="L165" s="43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4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9" t="str">
        <f t="shared" ca="1" si="23"/>
        <v/>
      </c>
      <c r="B166" s="40" t="str">
        <f ca="1">IF(COUNTIF($W$2:W1151,A166)=1,VLOOKUP(A166,O:P,2), IF(COUNTIF($W$2:W1151,A166)=0,$B$9,""))</f>
        <v/>
      </c>
      <c r="C166" s="2" t="str">
        <f t="shared" ca="1" si="24"/>
        <v/>
      </c>
      <c r="D166" s="43" t="str">
        <f t="shared" ca="1" si="25"/>
        <v/>
      </c>
      <c r="E166" s="40" t="str">
        <f ca="1">IF(COUNTIF($W$2:W1151,A166)=1,VLOOKUP(A166,Q:R,2), IF(COUNTIF($W$2:W1151,A166)=0,$C$9,""))</f>
        <v/>
      </c>
      <c r="F166" s="2" t="str">
        <f t="shared" ca="1" si="26"/>
        <v/>
      </c>
      <c r="G166" s="43" t="str">
        <f t="shared" ca="1" si="27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8"/>
        <v/>
      </c>
      <c r="K166" s="43" t="str">
        <f t="shared" ca="1" si="29"/>
        <v/>
      </c>
      <c r="L166" s="43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4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2"/>
        <v>46010</v>
      </c>
    </row>
    <row r="167" spans="1:30" x14ac:dyDescent="0.25">
      <c r="A167" s="39" t="str">
        <f t="shared" ca="1" si="23"/>
        <v/>
      </c>
      <c r="B167" s="40" t="str">
        <f ca="1">IF(COUNTIF($W$2:W1152,A167)=1,VLOOKUP(A167,O:P,2), IF(COUNTIF($W$2:W1152,A167)=0,$B$9,""))</f>
        <v/>
      </c>
      <c r="C167" s="2" t="str">
        <f t="shared" ca="1" si="24"/>
        <v/>
      </c>
      <c r="D167" s="43" t="str">
        <f t="shared" ca="1" si="25"/>
        <v/>
      </c>
      <c r="E167" s="40" t="str">
        <f ca="1">IF(COUNTIF($W$2:W1152,A167)=1,VLOOKUP(A167,Q:R,2), IF(COUNTIF($W$2:W1152,A167)=0,$C$9,""))</f>
        <v/>
      </c>
      <c r="F167" s="2" t="str">
        <f t="shared" ca="1" si="26"/>
        <v/>
      </c>
      <c r="G167" s="43" t="str">
        <f t="shared" ca="1" si="27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8"/>
        <v/>
      </c>
      <c r="K167" s="43" t="str">
        <f t="shared" ca="1" si="29"/>
        <v/>
      </c>
      <c r="L167" s="43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4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9" t="str">
        <f t="shared" ca="1" si="23"/>
        <v/>
      </c>
      <c r="B168" s="40" t="str">
        <f ca="1">IF(COUNTIF($W$2:W1153,A168)=1,VLOOKUP(A168,O:P,2), IF(COUNTIF($W$2:W1153,A168)=0,$B$9,""))</f>
        <v/>
      </c>
      <c r="C168" s="2" t="str">
        <f t="shared" ca="1" si="24"/>
        <v/>
      </c>
      <c r="D168" s="43" t="str">
        <f t="shared" ca="1" si="25"/>
        <v/>
      </c>
      <c r="E168" s="40" t="str">
        <f ca="1">IF(COUNTIF($W$2:W1153,A168)=1,VLOOKUP(A168,Q:R,2), IF(COUNTIF($W$2:W1153,A168)=0,$C$9,""))</f>
        <v/>
      </c>
      <c r="F168" s="2" t="str">
        <f t="shared" ca="1" si="26"/>
        <v/>
      </c>
      <c r="G168" s="43" t="str">
        <f t="shared" ca="1" si="27"/>
        <v/>
      </c>
      <c r="H168" s="40" t="str">
        <f ca="1">IF(COUNTIF($W$2:W1153,A168)=1,VLOOKUP(A168,S:T,2), IF(COUNTIF($W$2:W1153,A168)=0,$D$9,""))</f>
        <v/>
      </c>
      <c r="I168" s="41" t="str">
        <f ca="1">IF(COUNTIF($X$2:X1153,INT(A168))=1,VLOOKUP(INT(A168),X:Y,2), IF(ISERROR(H168-2),"",I167*(1-$D$8*(H168-H167)*0.0001)))</f>
        <v/>
      </c>
      <c r="J168" s="41" t="str">
        <f t="shared" ca="1" si="28"/>
        <v/>
      </c>
      <c r="K168" s="43" t="str">
        <f t="shared" ca="1" si="29"/>
        <v/>
      </c>
      <c r="L168" s="43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4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2"/>
        <v>46014</v>
      </c>
    </row>
    <row r="169" spans="1:30" x14ac:dyDescent="0.25">
      <c r="A169" s="39" t="str">
        <f t="shared" ca="1" si="23"/>
        <v/>
      </c>
      <c r="B169" s="40" t="str">
        <f ca="1">IF(COUNTIF($W$2:W1154,A169)=1,VLOOKUP(A169,O:P,2), IF(COUNTIF($W$2:W1154,A169)=0,$B$9,""))</f>
        <v/>
      </c>
      <c r="C169" s="2" t="str">
        <f t="shared" ca="1" si="24"/>
        <v/>
      </c>
      <c r="D169" s="43" t="str">
        <f t="shared" ca="1" si="25"/>
        <v/>
      </c>
      <c r="E169" s="40" t="str">
        <f ca="1">IF(COUNTIF($W$2:W1154,A169)=1,VLOOKUP(A169,Q:R,2), IF(COUNTIF($W$2:W1154,A169)=0,$C$9,""))</f>
        <v/>
      </c>
      <c r="F169" s="2" t="str">
        <f t="shared" ca="1" si="26"/>
        <v/>
      </c>
      <c r="G169" s="43" t="str">
        <f t="shared" ca="1" si="27"/>
        <v/>
      </c>
      <c r="H169" s="40" t="str">
        <f ca="1">IF(COUNTIF($W$2:W1154,A169)=1,VLOOKUP(A169,S:T,2), IF(COUNTIF($W$2:W1154,A169)=0,$D$9,""))</f>
        <v/>
      </c>
      <c r="I169" s="41" t="str">
        <f ca="1">IF(COUNTIF($X$2:X1154,INT(A169))=1,VLOOKUP(INT(A169),X:Y,2), IF(ISERROR(H169-2),"",I168*(1-$D$8*(H169-H168)*0.0001)))</f>
        <v/>
      </c>
      <c r="J169" s="41" t="str">
        <f t="shared" ca="1" si="28"/>
        <v/>
      </c>
      <c r="K169" s="43" t="str">
        <f t="shared" ca="1" si="29"/>
        <v/>
      </c>
      <c r="L169" s="43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4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9" t="str">
        <f t="shared" ca="1" si="23"/>
        <v/>
      </c>
      <c r="B170" s="40" t="str">
        <f ca="1">IF(COUNTIF($W$2:W1155,A170)=1,VLOOKUP(A170,O:P,2), IF(COUNTIF($W$2:W1155,A170)=0,$B$9,""))</f>
        <v/>
      </c>
      <c r="C170" s="2" t="str">
        <f t="shared" ca="1" si="24"/>
        <v/>
      </c>
      <c r="D170" s="43" t="str">
        <f t="shared" ca="1" si="25"/>
        <v/>
      </c>
      <c r="E170" s="40" t="str">
        <f ca="1">IF(COUNTIF($W$2:W1155,A170)=1,VLOOKUP(A170,Q:R,2), IF(COUNTIF($W$2:W1155,A170)=0,$C$9,""))</f>
        <v/>
      </c>
      <c r="F170" s="2" t="str">
        <f t="shared" ca="1" si="26"/>
        <v/>
      </c>
      <c r="G170" s="43" t="str">
        <f t="shared" ca="1" si="27"/>
        <v/>
      </c>
      <c r="H170" s="40" t="str">
        <f ca="1">IF(COUNTIF($W$2:W1155,A170)=1,VLOOKUP(A170,S:T,2), IF(COUNTIF($W$2:W1155,A170)=0,$D$9,""))</f>
        <v/>
      </c>
      <c r="I170" s="41" t="str">
        <f ca="1">IF(COUNTIF($X$2:X1155,INT(A170))=1,VLOOKUP(INT(A170),X:Y,2), IF(ISERROR(H170-2),"",I169*(1-$D$8*(H170-H169)*0.0001)))</f>
        <v/>
      </c>
      <c r="J170" s="41" t="str">
        <f t="shared" ca="1" si="28"/>
        <v/>
      </c>
      <c r="K170" s="43" t="str">
        <f t="shared" ca="1" si="29"/>
        <v/>
      </c>
      <c r="L170" s="43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4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2"/>
        <v>46020</v>
      </c>
    </row>
    <row r="171" spans="1:30" x14ac:dyDescent="0.25">
      <c r="A171" s="39" t="str">
        <f t="shared" ca="1" si="23"/>
        <v/>
      </c>
      <c r="B171" s="40" t="str">
        <f ca="1">IF(COUNTIF($W$2:W1156,A171)=1,VLOOKUP(A171,O:P,2), IF(COUNTIF($W$2:W1156,A171)=0,$B$9,""))</f>
        <v/>
      </c>
      <c r="C171" s="2" t="str">
        <f t="shared" ca="1" si="24"/>
        <v/>
      </c>
      <c r="D171" s="43" t="str">
        <f t="shared" ca="1" si="25"/>
        <v/>
      </c>
      <c r="E171" s="40" t="str">
        <f ca="1">IF(COUNTIF($W$2:W1156,A171)=1,VLOOKUP(A171,Q:R,2), IF(COUNTIF($W$2:W1156,A171)=0,$C$9,""))</f>
        <v/>
      </c>
      <c r="F171" s="2" t="str">
        <f t="shared" ca="1" si="26"/>
        <v/>
      </c>
      <c r="G171" s="43" t="str">
        <f t="shared" ca="1" si="27"/>
        <v/>
      </c>
      <c r="H171" s="40" t="str">
        <f ca="1">IF(COUNTIF($W$2:W1156,A171)=1,VLOOKUP(A171,S:T,2), IF(COUNTIF($W$2:W1156,A171)=0,$D$9,""))</f>
        <v/>
      </c>
      <c r="I171" s="41" t="str">
        <f ca="1">IF(COUNTIF($X$2:X1156,INT(A171))=1,VLOOKUP(INT(A171),X:Y,2), IF(ISERROR(H171-2),"",I170*(1-$D$8*(H171-H170)*0.0001)))</f>
        <v/>
      </c>
      <c r="J171" s="41" t="str">
        <f t="shared" ca="1" si="28"/>
        <v/>
      </c>
      <c r="K171" s="43" t="str">
        <f t="shared" ca="1" si="29"/>
        <v/>
      </c>
      <c r="L171" s="43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4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9" t="str">
        <f t="shared" ca="1" si="23"/>
        <v/>
      </c>
      <c r="B172" s="40" t="str">
        <f ca="1">IF(COUNTIF($W$2:W1157,A172)=1,VLOOKUP(A172,O:P,2), IF(COUNTIF($W$2:W1157,A172)=0,$B$9,""))</f>
        <v/>
      </c>
      <c r="C172" s="2" t="str">
        <f t="shared" ca="1" si="24"/>
        <v/>
      </c>
      <c r="D172" s="43" t="str">
        <f t="shared" ca="1" si="25"/>
        <v/>
      </c>
      <c r="E172" s="40" t="str">
        <f ca="1">IF(COUNTIF($W$2:W1157,A172)=1,VLOOKUP(A172,Q:R,2), IF(COUNTIF($W$2:W1157,A172)=0,$C$9,""))</f>
        <v/>
      </c>
      <c r="F172" s="2" t="str">
        <f t="shared" ca="1" si="26"/>
        <v/>
      </c>
      <c r="G172" s="43" t="str">
        <f t="shared" ca="1" si="27"/>
        <v/>
      </c>
      <c r="H172" s="40" t="str">
        <f ca="1">IF(COUNTIF($W$2:W1157,A172)=1,VLOOKUP(A172,S:T,2), IF(COUNTIF($W$2:W1157,A172)=0,$D$9,""))</f>
        <v/>
      </c>
      <c r="I172" s="41" t="str">
        <f ca="1">IF(COUNTIF($X$2:X1157,INT(A172))=1,VLOOKUP(INT(A172),X:Y,2), IF(ISERROR(H172-2),"",I171*(1-$D$8*(H172-H171)*0.0001)))</f>
        <v/>
      </c>
      <c r="J172" s="41" t="str">
        <f t="shared" ca="1" si="28"/>
        <v/>
      </c>
      <c r="K172" s="43" t="str">
        <f t="shared" ca="1" si="29"/>
        <v/>
      </c>
      <c r="L172" s="43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4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2"/>
        <v>46022</v>
      </c>
    </row>
    <row r="173" spans="1:30" x14ac:dyDescent="0.25">
      <c r="A173" s="39" t="str">
        <f t="shared" ca="1" si="23"/>
        <v/>
      </c>
      <c r="B173" s="40" t="str">
        <f ca="1">IF(COUNTIF($W$2:W1158,A173)=1,VLOOKUP(A173,O:P,2), IF(COUNTIF($W$2:W1158,A173)=0,$B$9,""))</f>
        <v/>
      </c>
      <c r="C173" s="2" t="str">
        <f t="shared" ca="1" si="24"/>
        <v/>
      </c>
      <c r="D173" s="43" t="str">
        <f t="shared" ca="1" si="25"/>
        <v/>
      </c>
      <c r="E173" s="40" t="str">
        <f ca="1">IF(COUNTIF($W$2:W1158,A173)=1,VLOOKUP(A173,Q:R,2), IF(COUNTIF($W$2:W1158,A173)=0,$C$9,""))</f>
        <v/>
      </c>
      <c r="F173" s="2" t="str">
        <f t="shared" ca="1" si="26"/>
        <v/>
      </c>
      <c r="G173" s="43" t="str">
        <f t="shared" ca="1" si="27"/>
        <v/>
      </c>
      <c r="H173" s="40" t="str">
        <f ca="1">IF(COUNTIF($W$2:W1158,A173)=1,VLOOKUP(A173,S:T,2), IF(COUNTIF($W$2:W1158,A173)=0,$D$9,""))</f>
        <v/>
      </c>
      <c r="I173" s="41" t="str">
        <f ca="1">IF(COUNTIF($X$2:X1158,INT(A173))=1,VLOOKUP(INT(A173),X:Y,2), IF(ISERROR(H173-2),"",I172*(1-$D$8*(H173-H172)*0.0001)))</f>
        <v/>
      </c>
      <c r="J173" s="41" t="str">
        <f t="shared" ca="1" si="28"/>
        <v/>
      </c>
      <c r="K173" s="43" t="str">
        <f t="shared" ca="1" si="29"/>
        <v/>
      </c>
      <c r="L173" s="43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4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2"/>
        <v>46024</v>
      </c>
    </row>
    <row r="174" spans="1:30" x14ac:dyDescent="0.25">
      <c r="A174" s="39" t="str">
        <f t="shared" ca="1" si="23"/>
        <v/>
      </c>
      <c r="B174" s="40" t="str">
        <f ca="1">IF(COUNTIF($W$2:W1159,A174)=1,VLOOKUP(A174,O:P,2), IF(COUNTIF($W$2:W1159,A174)=0,$B$9,""))</f>
        <v/>
      </c>
      <c r="C174" s="2" t="str">
        <f t="shared" ca="1" si="24"/>
        <v/>
      </c>
      <c r="D174" s="43" t="str">
        <f t="shared" ca="1" si="25"/>
        <v/>
      </c>
      <c r="E174" s="40" t="str">
        <f ca="1">IF(COUNTIF($W$2:W1159,A174)=1,VLOOKUP(A174,Q:R,2), IF(COUNTIF($W$2:W1159,A174)=0,$C$9,""))</f>
        <v/>
      </c>
      <c r="F174" s="2" t="str">
        <f t="shared" ca="1" si="26"/>
        <v/>
      </c>
      <c r="G174" s="43" t="str">
        <f t="shared" ca="1" si="27"/>
        <v/>
      </c>
      <c r="H174" s="40" t="str">
        <f ca="1">IF(COUNTIF($W$2:W1159,A174)=1,VLOOKUP(A174,S:T,2), IF(COUNTIF($W$2:W1159,A174)=0,$D$9,""))</f>
        <v/>
      </c>
      <c r="I174" s="41" t="str">
        <f ca="1">IF(COUNTIF($X$2:X1159,INT(A174))=1,VLOOKUP(INT(A174),X:Y,2), IF(ISERROR(H174-2),"",I173*(1-$D$8*(H174-H173)*0.0001)))</f>
        <v/>
      </c>
      <c r="J174" s="41" t="str">
        <f t="shared" ca="1" si="28"/>
        <v/>
      </c>
      <c r="K174" s="43" t="str">
        <f t="shared" ca="1" si="29"/>
        <v/>
      </c>
      <c r="L174" s="43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4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9" t="str">
        <f t="shared" ca="1" si="23"/>
        <v/>
      </c>
      <c r="B175" s="40" t="str">
        <f ca="1">IF(COUNTIF($W$2:W1160,A175)=1,VLOOKUP(A175,O:P,2), IF(COUNTIF($W$2:W1160,A175)=0,$B$9,""))</f>
        <v/>
      </c>
      <c r="C175" s="2" t="str">
        <f t="shared" ca="1" si="24"/>
        <v/>
      </c>
      <c r="D175" s="43" t="str">
        <f t="shared" ca="1" si="25"/>
        <v/>
      </c>
      <c r="E175" s="40" t="str">
        <f ca="1">IF(COUNTIF($W$2:W1160,A175)=1,VLOOKUP(A175,Q:R,2), IF(COUNTIF($W$2:W1160,A175)=0,$C$9,""))</f>
        <v/>
      </c>
      <c r="F175" s="2" t="str">
        <f t="shared" ca="1" si="26"/>
        <v/>
      </c>
      <c r="G175" s="43" t="str">
        <f t="shared" ca="1" si="27"/>
        <v/>
      </c>
      <c r="H175" s="40" t="str">
        <f ca="1">IF(COUNTIF($W$2:W1160,A175)=1,VLOOKUP(A175,S:T,2), IF(COUNTIF($W$2:W1160,A175)=0,$D$9,""))</f>
        <v/>
      </c>
      <c r="I175" s="41" t="str">
        <f ca="1">IF(COUNTIF($X$2:X1160,INT(A175))=1,VLOOKUP(INT(A175),X:Y,2), IF(ISERROR(H175-2),"",I174*(1-$D$8*(H175-H174)*0.0001)))</f>
        <v/>
      </c>
      <c r="J175" s="41" t="str">
        <f t="shared" ca="1" si="28"/>
        <v/>
      </c>
      <c r="K175" s="43" t="str">
        <f t="shared" ca="1" si="29"/>
        <v/>
      </c>
      <c r="L175" s="43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4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9" t="str">
        <f t="shared" ca="1" si="23"/>
        <v/>
      </c>
      <c r="B176" s="40" t="str">
        <f ca="1">IF(COUNTIF($W$2:W1161,A176)=1,VLOOKUP(A176,O:P,2), IF(COUNTIF($W$2:W1161,A176)=0,$B$9,""))</f>
        <v/>
      </c>
      <c r="C176" s="2" t="str">
        <f t="shared" ca="1" si="24"/>
        <v/>
      </c>
      <c r="D176" s="43" t="str">
        <f t="shared" ca="1" si="25"/>
        <v/>
      </c>
      <c r="E176" s="40" t="str">
        <f ca="1">IF(COUNTIF($W$2:W1161,A176)=1,VLOOKUP(A176,Q:R,2), IF(COUNTIF($W$2:W1161,A176)=0,$C$9,""))</f>
        <v/>
      </c>
      <c r="F176" s="2" t="str">
        <f t="shared" ca="1" si="26"/>
        <v/>
      </c>
      <c r="G176" s="43" t="str">
        <f t="shared" ca="1" si="27"/>
        <v/>
      </c>
      <c r="H176" s="40" t="str">
        <f ca="1">IF(COUNTIF($W$2:W1161,A176)=1,VLOOKUP(A176,S:T,2), IF(COUNTIF($W$2:W1161,A176)=0,$D$9,""))</f>
        <v/>
      </c>
      <c r="I176" s="41" t="str">
        <f ca="1">IF(COUNTIF($X$2:X1161,INT(A176))=1,VLOOKUP(INT(A176),X:Y,2), IF(ISERROR(H176-2),"",I175*(1-$D$8*(H176-H175)*0.0001)))</f>
        <v/>
      </c>
      <c r="J176" s="41" t="str">
        <f t="shared" ca="1" si="28"/>
        <v/>
      </c>
      <c r="K176" s="43" t="str">
        <f t="shared" ca="1" si="29"/>
        <v/>
      </c>
      <c r="L176" s="43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4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2"/>
        <v>46029</v>
      </c>
    </row>
    <row r="177" spans="1:30" x14ac:dyDescent="0.25">
      <c r="A177" s="39" t="str">
        <f t="shared" ca="1" si="23"/>
        <v/>
      </c>
      <c r="B177" s="40" t="str">
        <f ca="1">IF(COUNTIF($W$2:W1162,A177)=1,VLOOKUP(A177,O:P,2), IF(COUNTIF($W$2:W1162,A177)=0,$B$9,""))</f>
        <v/>
      </c>
      <c r="C177" s="2" t="str">
        <f t="shared" ca="1" si="24"/>
        <v/>
      </c>
      <c r="D177" s="43" t="str">
        <f t="shared" ca="1" si="25"/>
        <v/>
      </c>
      <c r="E177" s="40" t="str">
        <f ca="1">IF(COUNTIF($W$2:W1162,A177)=1,VLOOKUP(A177,Q:R,2), IF(COUNTIF($W$2:W1162,A177)=0,$C$9,""))</f>
        <v/>
      </c>
      <c r="F177" s="2" t="str">
        <f t="shared" ca="1" si="26"/>
        <v/>
      </c>
      <c r="G177" s="43" t="str">
        <f t="shared" ca="1" si="27"/>
        <v/>
      </c>
      <c r="H177" s="40" t="str">
        <f ca="1">IF(COUNTIF($W$2:W1162,A177)=1,VLOOKUP(A177,S:T,2), IF(COUNTIF($W$2:W1162,A177)=0,$D$9,""))</f>
        <v/>
      </c>
      <c r="I177" s="41" t="str">
        <f ca="1">IF(COUNTIF($X$2:X1162,INT(A177))=1,VLOOKUP(INT(A177),X:Y,2), IF(ISERROR(H177-2),"",I176*(1-$D$8*(H177-H176)*0.0001)))</f>
        <v/>
      </c>
      <c r="J177" s="41" t="str">
        <f t="shared" ca="1" si="28"/>
        <v/>
      </c>
      <c r="K177" s="43" t="str">
        <f t="shared" ca="1" si="29"/>
        <v/>
      </c>
      <c r="L177" s="43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4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2"/>
        <v>46030</v>
      </c>
    </row>
    <row r="178" spans="1:30" x14ac:dyDescent="0.25">
      <c r="A178" s="39" t="str">
        <f t="shared" ca="1" si="23"/>
        <v/>
      </c>
      <c r="B178" s="40" t="str">
        <f ca="1">IF(COUNTIF($W$2:W1163,A178)=1,VLOOKUP(A178,O:P,2), IF(COUNTIF($W$2:W1163,A178)=0,$B$9,""))</f>
        <v/>
      </c>
      <c r="C178" s="2" t="str">
        <f t="shared" ca="1" si="24"/>
        <v/>
      </c>
      <c r="D178" s="43" t="str">
        <f t="shared" ca="1" si="25"/>
        <v/>
      </c>
      <c r="E178" s="40" t="str">
        <f ca="1">IF(COUNTIF($W$2:W1163,A178)=1,VLOOKUP(A178,Q:R,2), IF(COUNTIF($W$2:W1163,A178)=0,$C$9,""))</f>
        <v/>
      </c>
      <c r="F178" s="2" t="str">
        <f t="shared" ca="1" si="26"/>
        <v/>
      </c>
      <c r="G178" s="43" t="str">
        <f t="shared" ca="1" si="27"/>
        <v/>
      </c>
      <c r="H178" s="40" t="str">
        <f ca="1">IF(COUNTIF($W$2:W1163,A178)=1,VLOOKUP(A178,S:T,2), IF(COUNTIF($W$2:W1163,A178)=0,$D$9,""))</f>
        <v/>
      </c>
      <c r="I178" s="41" t="str">
        <f ca="1">IF(COUNTIF($X$2:X1163,INT(A178))=1,VLOOKUP(INT(A178),X:Y,2), IF(ISERROR(H178-2),"",I177*(1-$D$8*(H178-H177)*0.0001)))</f>
        <v/>
      </c>
      <c r="J178" s="41" t="str">
        <f t="shared" ca="1" si="28"/>
        <v/>
      </c>
      <c r="K178" s="43" t="str">
        <f t="shared" ca="1" si="29"/>
        <v/>
      </c>
      <c r="L178" s="43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4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9" t="str">
        <f t="shared" ca="1" si="23"/>
        <v/>
      </c>
      <c r="B179" s="40" t="str">
        <f ca="1">IF(COUNTIF($W$2:W1164,A179)=1,VLOOKUP(A179,O:P,2), IF(COUNTIF($W$2:W1164,A179)=0,$B$9,""))</f>
        <v/>
      </c>
      <c r="C179" s="2" t="str">
        <f t="shared" ca="1" si="24"/>
        <v/>
      </c>
      <c r="D179" s="43" t="str">
        <f t="shared" ca="1" si="25"/>
        <v/>
      </c>
      <c r="E179" s="40" t="str">
        <f ca="1">IF(COUNTIF($W$2:W1164,A179)=1,VLOOKUP(A179,Q:R,2), IF(COUNTIF($W$2:W1164,A179)=0,$C$9,""))</f>
        <v/>
      </c>
      <c r="F179" s="2" t="str">
        <f t="shared" ca="1" si="26"/>
        <v/>
      </c>
      <c r="G179" s="43" t="str">
        <f t="shared" ca="1" si="27"/>
        <v/>
      </c>
      <c r="H179" s="40" t="str">
        <f ca="1">IF(COUNTIF($W$2:W1164,A179)=1,VLOOKUP(A179,S:T,2), IF(COUNTIF($W$2:W1164,A179)=0,$D$9,""))</f>
        <v/>
      </c>
      <c r="I179" s="41" t="str">
        <f ca="1">IF(COUNTIF($X$2:X1164,INT(A179))=1,VLOOKUP(INT(A179),X:Y,2), IF(ISERROR(H179-2),"",I178*(1-$D$8*(H179-H178)*0.0001)))</f>
        <v/>
      </c>
      <c r="J179" s="41" t="str">
        <f t="shared" ca="1" si="28"/>
        <v/>
      </c>
      <c r="K179" s="43" t="str">
        <f t="shared" ca="1" si="29"/>
        <v/>
      </c>
      <c r="L179" s="43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4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9" t="str">
        <f t="shared" ca="1" si="23"/>
        <v/>
      </c>
      <c r="B180" s="40" t="str">
        <f ca="1">IF(COUNTIF($W$2:W1165,A180)=1,VLOOKUP(A180,O:P,2), IF(COUNTIF($W$2:W1165,A180)=0,$B$9,""))</f>
        <v/>
      </c>
      <c r="C180" s="2" t="str">
        <f t="shared" ca="1" si="24"/>
        <v/>
      </c>
      <c r="D180" s="43" t="str">
        <f t="shared" ca="1" si="25"/>
        <v/>
      </c>
      <c r="E180" s="40" t="str">
        <f ca="1">IF(COUNTIF($W$2:W1165,A180)=1,VLOOKUP(A180,Q:R,2), IF(COUNTIF($W$2:W1165,A180)=0,$C$9,""))</f>
        <v/>
      </c>
      <c r="F180" s="2" t="str">
        <f t="shared" ca="1" si="26"/>
        <v/>
      </c>
      <c r="G180" s="43" t="str">
        <f t="shared" ca="1" si="27"/>
        <v/>
      </c>
      <c r="H180" s="40" t="str">
        <f ca="1">IF(COUNTIF($W$2:W1165,A180)=1,VLOOKUP(A180,S:T,2), IF(COUNTIF($W$2:W1165,A180)=0,$D$9,""))</f>
        <v/>
      </c>
      <c r="I180" s="41" t="str">
        <f ca="1">IF(COUNTIF($X$2:X1165,INT(A180))=1,VLOOKUP(INT(A180),X:Y,2), IF(ISERROR(H180-2),"",I179*(1-$D$8*(H180-H179)*0.0001)))</f>
        <v/>
      </c>
      <c r="J180" s="41" t="str">
        <f t="shared" ca="1" si="28"/>
        <v/>
      </c>
      <c r="K180" s="43" t="str">
        <f t="shared" ca="1" si="29"/>
        <v/>
      </c>
      <c r="L180" s="43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4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9" t="str">
        <f t="shared" ca="1" si="23"/>
        <v/>
      </c>
      <c r="B181" s="40" t="str">
        <f ca="1">IF(COUNTIF($W$2:W1166,A181)=1,VLOOKUP(A181,O:P,2), IF(COUNTIF($W$2:W1166,A181)=0,$B$9,""))</f>
        <v/>
      </c>
      <c r="C181" s="2" t="str">
        <f t="shared" ca="1" si="24"/>
        <v/>
      </c>
      <c r="D181" s="43" t="str">
        <f t="shared" ca="1" si="25"/>
        <v/>
      </c>
      <c r="E181" s="40" t="str">
        <f ca="1">IF(COUNTIF($W$2:W1166,A181)=1,VLOOKUP(A181,Q:R,2), IF(COUNTIF($W$2:W1166,A181)=0,$C$9,""))</f>
        <v/>
      </c>
      <c r="F181" s="2" t="str">
        <f t="shared" ca="1" si="26"/>
        <v/>
      </c>
      <c r="G181" s="43" t="str">
        <f t="shared" ca="1" si="27"/>
        <v/>
      </c>
      <c r="H181" s="40" t="str">
        <f ca="1">IF(COUNTIF($W$2:W1166,A181)=1,VLOOKUP(A181,S:T,2), IF(COUNTIF($W$2:W1166,A181)=0,$D$9,""))</f>
        <v/>
      </c>
      <c r="I181" s="41" t="str">
        <f ca="1">IF(COUNTIF($X$2:X1166,INT(A181))=1,VLOOKUP(INT(A181),X:Y,2), IF(ISERROR(H181-2),"",I180*(1-$D$8*(H181-H180)*0.0001)))</f>
        <v/>
      </c>
      <c r="J181" s="41" t="str">
        <f t="shared" ca="1" si="28"/>
        <v/>
      </c>
      <c r="K181" s="43" t="str">
        <f t="shared" ca="1" si="29"/>
        <v/>
      </c>
      <c r="L181" s="43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4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9" t="str">
        <f t="shared" ca="1" si="23"/>
        <v/>
      </c>
      <c r="B182" s="40" t="str">
        <f ca="1">IF(COUNTIF($W$2:W1167,A182)=1,VLOOKUP(A182,O:P,2), IF(COUNTIF($W$2:W1167,A182)=0,$B$9,""))</f>
        <v/>
      </c>
      <c r="C182" s="2" t="str">
        <f t="shared" ca="1" si="24"/>
        <v/>
      </c>
      <c r="D182" s="43" t="str">
        <f t="shared" ca="1" si="25"/>
        <v/>
      </c>
      <c r="E182" s="40" t="str">
        <f ca="1">IF(COUNTIF($W$2:W1167,A182)=1,VLOOKUP(A182,Q:R,2), IF(COUNTIF($W$2:W1167,A182)=0,$C$9,""))</f>
        <v/>
      </c>
      <c r="F182" s="2" t="str">
        <f t="shared" ca="1" si="26"/>
        <v/>
      </c>
      <c r="G182" s="43" t="str">
        <f t="shared" ca="1" si="27"/>
        <v/>
      </c>
      <c r="H182" s="40" t="str">
        <f ca="1">IF(COUNTIF($W$2:W1167,A182)=1,VLOOKUP(A182,S:T,2), IF(COUNTIF($W$2:W1167,A182)=0,$D$9,""))</f>
        <v/>
      </c>
      <c r="I182" s="41" t="str">
        <f ca="1">IF(COUNTIF($X$2:X1167,INT(A182))=1,VLOOKUP(INT(A182),X:Y,2), IF(ISERROR(H182-2),"",I181*(1-$D$8*(H182-H181)*0.0001)))</f>
        <v/>
      </c>
      <c r="J182" s="41" t="str">
        <f t="shared" ca="1" si="28"/>
        <v/>
      </c>
      <c r="K182" s="43" t="str">
        <f t="shared" ca="1" si="29"/>
        <v/>
      </c>
      <c r="L182" s="43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4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2"/>
        <v>46037</v>
      </c>
    </row>
    <row r="183" spans="1:30" x14ac:dyDescent="0.25">
      <c r="A183" s="39" t="str">
        <f t="shared" ca="1" si="23"/>
        <v/>
      </c>
      <c r="B183" s="40" t="str">
        <f ca="1">IF(COUNTIF($W$2:W1168,A183)=1,VLOOKUP(A183,O:P,2), IF(COUNTIF($W$2:W1168,A183)=0,$B$9,""))</f>
        <v/>
      </c>
      <c r="C183" s="2" t="str">
        <f t="shared" ca="1" si="24"/>
        <v/>
      </c>
      <c r="D183" s="43" t="str">
        <f t="shared" ca="1" si="25"/>
        <v/>
      </c>
      <c r="E183" s="40" t="str">
        <f ca="1">IF(COUNTIF($W$2:W1168,A183)=1,VLOOKUP(A183,Q:R,2), IF(COUNTIF($W$2:W1168,A183)=0,$C$9,""))</f>
        <v/>
      </c>
      <c r="F183" s="2" t="str">
        <f t="shared" ca="1" si="26"/>
        <v/>
      </c>
      <c r="G183" s="43" t="str">
        <f t="shared" ca="1" si="27"/>
        <v/>
      </c>
      <c r="H183" s="40" t="str">
        <f ca="1">IF(COUNTIF($W$2:W1168,A183)=1,VLOOKUP(A183,S:T,2), IF(COUNTIF($W$2:W1168,A183)=0,$D$9,""))</f>
        <v/>
      </c>
      <c r="I183" s="41" t="str">
        <f ca="1">IF(COUNTIF($X$2:X1168,INT(A183))=1,VLOOKUP(INT(A183),X:Y,2), IF(ISERROR(H183-2),"",I182*(1-$D$8*(H183-H182)*0.0001)))</f>
        <v/>
      </c>
      <c r="J183" s="41" t="str">
        <f t="shared" ca="1" si="28"/>
        <v/>
      </c>
      <c r="K183" s="43" t="str">
        <f t="shared" ca="1" si="29"/>
        <v/>
      </c>
      <c r="L183" s="43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4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9" t="str">
        <f t="shared" ca="1" si="23"/>
        <v/>
      </c>
      <c r="B184" s="40" t="str">
        <f ca="1">IF(COUNTIF($W$2:W1169,A184)=1,VLOOKUP(A184,O:P,2), IF(COUNTIF($W$2:W1169,A184)=0,$B$9,""))</f>
        <v/>
      </c>
      <c r="C184" s="2" t="str">
        <f t="shared" ca="1" si="24"/>
        <v/>
      </c>
      <c r="D184" s="43" t="str">
        <f t="shared" ca="1" si="25"/>
        <v/>
      </c>
      <c r="E184" s="40" t="str">
        <f ca="1">IF(COUNTIF($W$2:W1169,A184)=1,VLOOKUP(A184,Q:R,2), IF(COUNTIF($W$2:W1169,A184)=0,$C$9,""))</f>
        <v/>
      </c>
      <c r="F184" s="2" t="str">
        <f t="shared" ca="1" si="26"/>
        <v/>
      </c>
      <c r="G184" s="43" t="str">
        <f t="shared" ca="1" si="27"/>
        <v/>
      </c>
      <c r="H184" s="40" t="str">
        <f ca="1">IF(COUNTIF($W$2:W1169,A184)=1,VLOOKUP(A184,S:T,2), IF(COUNTIF($W$2:W1169,A184)=0,$D$9,""))</f>
        <v/>
      </c>
      <c r="I184" s="41" t="str">
        <f ca="1">IF(COUNTIF($X$2:X1169,INT(A184))=1,VLOOKUP(INT(A184),X:Y,2), IF(ISERROR(H184-2),"",I183*(1-$D$8*(H184-H183)*0.0001)))</f>
        <v/>
      </c>
      <c r="J184" s="41" t="str">
        <f t="shared" ca="1" si="28"/>
        <v/>
      </c>
      <c r="K184" s="43" t="str">
        <f t="shared" ca="1" si="29"/>
        <v/>
      </c>
      <c r="L184" s="43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4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9" t="str">
        <f t="shared" ca="1" si="23"/>
        <v/>
      </c>
      <c r="B185" s="40" t="str">
        <f ca="1">IF(COUNTIF($W$2:W1170,A185)=1,VLOOKUP(A185,O:P,2), IF(COUNTIF($W$2:W1170,A185)=0,$B$9,""))</f>
        <v/>
      </c>
      <c r="C185" s="2" t="str">
        <f t="shared" ca="1" si="24"/>
        <v/>
      </c>
      <c r="D185" s="43" t="str">
        <f t="shared" ca="1" si="25"/>
        <v/>
      </c>
      <c r="E185" s="40" t="str">
        <f ca="1">IF(COUNTIF($W$2:W1170,A185)=1,VLOOKUP(A185,Q:R,2), IF(COUNTIF($W$2:W1170,A185)=0,$C$9,""))</f>
        <v/>
      </c>
      <c r="F185" s="2" t="str">
        <f t="shared" ca="1" si="26"/>
        <v/>
      </c>
      <c r="G185" s="43" t="str">
        <f t="shared" ca="1" si="27"/>
        <v/>
      </c>
      <c r="H185" s="40" t="str">
        <f ca="1">IF(COUNTIF($W$2:W1170,A185)=1,VLOOKUP(A185,S:T,2), IF(COUNTIF($W$2:W1170,A185)=0,$D$9,""))</f>
        <v/>
      </c>
      <c r="I185" s="41" t="str">
        <f ca="1">IF(COUNTIF($X$2:X1170,INT(A185))=1,VLOOKUP(INT(A185),X:Y,2), IF(ISERROR(H185-2),"",I184*(1-$D$8*(H185-H184)*0.0001)))</f>
        <v/>
      </c>
      <c r="J185" s="41" t="str">
        <f t="shared" ca="1" si="28"/>
        <v/>
      </c>
      <c r="K185" s="43" t="str">
        <f t="shared" ca="1" si="29"/>
        <v/>
      </c>
      <c r="L185" s="43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4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2"/>
        <v>46042</v>
      </c>
    </row>
    <row r="186" spans="1:30" x14ac:dyDescent="0.25">
      <c r="A186" s="39" t="str">
        <f t="shared" ca="1" si="23"/>
        <v/>
      </c>
      <c r="B186" s="40" t="str">
        <f ca="1">IF(COUNTIF($W$2:W1171,A186)=1,VLOOKUP(A186,O:P,2), IF(COUNTIF($W$2:W1171,A186)=0,$B$9,""))</f>
        <v/>
      </c>
      <c r="C186" s="2" t="str">
        <f t="shared" ca="1" si="24"/>
        <v/>
      </c>
      <c r="D186" s="43" t="str">
        <f t="shared" ca="1" si="25"/>
        <v/>
      </c>
      <c r="E186" s="40" t="str">
        <f ca="1">IF(COUNTIF($W$2:W1171,A186)=1,VLOOKUP(A186,Q:R,2), IF(COUNTIF($W$2:W1171,A186)=0,$C$9,""))</f>
        <v/>
      </c>
      <c r="F186" s="2" t="str">
        <f t="shared" ca="1" si="26"/>
        <v/>
      </c>
      <c r="G186" s="43" t="str">
        <f t="shared" ca="1" si="27"/>
        <v/>
      </c>
      <c r="H186" s="40" t="str">
        <f ca="1">IF(COUNTIF($W$2:W1171,A186)=1,VLOOKUP(A186,S:T,2), IF(COUNTIF($W$2:W1171,A186)=0,$D$9,""))</f>
        <v/>
      </c>
      <c r="I186" s="41" t="str">
        <f ca="1">IF(COUNTIF($X$2:X1171,INT(A186))=1,VLOOKUP(INT(A186),X:Y,2), IF(ISERROR(H186-2),"",I185*(1-$D$8*(H186-H185)*0.0001)))</f>
        <v/>
      </c>
      <c r="J186" s="41" t="str">
        <f t="shared" ca="1" si="28"/>
        <v/>
      </c>
      <c r="K186" s="43" t="str">
        <f t="shared" ca="1" si="29"/>
        <v/>
      </c>
      <c r="L186" s="43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4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9" t="str">
        <f t="shared" ca="1" si="23"/>
        <v/>
      </c>
      <c r="B187" s="40" t="str">
        <f ca="1">IF(COUNTIF($W$2:W1172,A187)=1,VLOOKUP(A187,O:P,2), IF(COUNTIF($W$2:W1172,A187)=0,$B$9,""))</f>
        <v/>
      </c>
      <c r="C187" s="2" t="str">
        <f t="shared" ca="1" si="24"/>
        <v/>
      </c>
      <c r="D187" s="43" t="str">
        <f t="shared" ca="1" si="25"/>
        <v/>
      </c>
      <c r="E187" s="40" t="str">
        <f ca="1">IF(COUNTIF($W$2:W1172,A187)=1,VLOOKUP(A187,Q:R,2), IF(COUNTIF($W$2:W1172,A187)=0,$C$9,""))</f>
        <v/>
      </c>
      <c r="F187" s="2" t="str">
        <f t="shared" ca="1" si="26"/>
        <v/>
      </c>
      <c r="G187" s="43" t="str">
        <f t="shared" ca="1" si="27"/>
        <v/>
      </c>
      <c r="H187" s="40" t="str">
        <f ca="1">IF(COUNTIF($W$2:W1172,A187)=1,VLOOKUP(A187,S:T,2), IF(COUNTIF($W$2:W1172,A187)=0,$D$9,""))</f>
        <v/>
      </c>
      <c r="I187" s="41" t="str">
        <f ca="1">IF(COUNTIF($X$2:X1172,INT(A187))=1,VLOOKUP(INT(A187),X:Y,2), IF(ISERROR(H187-2),"",I186*(1-$D$8*(H187-H186)*0.0001)))</f>
        <v/>
      </c>
      <c r="J187" s="41" t="str">
        <f t="shared" ca="1" si="28"/>
        <v/>
      </c>
      <c r="K187" s="43" t="str">
        <f t="shared" ca="1" si="29"/>
        <v/>
      </c>
      <c r="L187" s="43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4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2"/>
        <v>46044</v>
      </c>
    </row>
    <row r="188" spans="1:30" x14ac:dyDescent="0.25">
      <c r="A188" s="39" t="str">
        <f t="shared" ca="1" si="23"/>
        <v/>
      </c>
      <c r="B188" s="40" t="str">
        <f ca="1">IF(COUNTIF($W$2:W1173,A188)=1,VLOOKUP(A188,O:P,2), IF(COUNTIF($W$2:W1173,A188)=0,$B$9,""))</f>
        <v/>
      </c>
      <c r="C188" s="2" t="str">
        <f t="shared" ca="1" si="24"/>
        <v/>
      </c>
      <c r="D188" s="43" t="str">
        <f t="shared" ca="1" si="25"/>
        <v/>
      </c>
      <c r="E188" s="40" t="str">
        <f ca="1">IF(COUNTIF($W$2:W1173,A188)=1,VLOOKUP(A188,Q:R,2), IF(COUNTIF($W$2:W1173,A188)=0,$C$9,""))</f>
        <v/>
      </c>
      <c r="F188" s="2" t="str">
        <f t="shared" ca="1" si="26"/>
        <v/>
      </c>
      <c r="G188" s="43" t="str">
        <f t="shared" ca="1" si="27"/>
        <v/>
      </c>
      <c r="H188" s="40" t="str">
        <f ca="1">IF(COUNTIF($W$2:W1173,A188)=1,VLOOKUP(A188,S:T,2), IF(COUNTIF($W$2:W1173,A188)=0,$D$9,""))</f>
        <v/>
      </c>
      <c r="I188" s="41" t="str">
        <f ca="1">IF(COUNTIF($X$2:X1173,INT(A188))=1,VLOOKUP(INT(A188),X:Y,2), IF(ISERROR(H188-2),"",I187*(1-$D$8*(H188-H187)*0.0001)))</f>
        <v/>
      </c>
      <c r="J188" s="41" t="str">
        <f t="shared" ca="1" si="28"/>
        <v/>
      </c>
      <c r="K188" s="43" t="str">
        <f t="shared" ca="1" si="29"/>
        <v/>
      </c>
      <c r="L188" s="43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4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9" t="str">
        <f t="shared" ca="1" si="23"/>
        <v/>
      </c>
      <c r="B189" s="40" t="str">
        <f ca="1">IF(COUNTIF($W$2:W1174,A189)=1,VLOOKUP(A189,O:P,2), IF(COUNTIF($W$2:W1174,A189)=0,$B$9,""))</f>
        <v/>
      </c>
      <c r="C189" s="2" t="str">
        <f t="shared" ca="1" si="24"/>
        <v/>
      </c>
      <c r="D189" s="43" t="str">
        <f t="shared" ca="1" si="25"/>
        <v/>
      </c>
      <c r="E189" s="40" t="str">
        <f ca="1">IF(COUNTIF($W$2:W1174,A189)=1,VLOOKUP(A189,Q:R,2), IF(COUNTIF($W$2:W1174,A189)=0,$C$9,""))</f>
        <v/>
      </c>
      <c r="F189" s="2" t="str">
        <f t="shared" ca="1" si="26"/>
        <v/>
      </c>
      <c r="G189" s="43" t="str">
        <f t="shared" ca="1" si="27"/>
        <v/>
      </c>
      <c r="H189" s="40" t="str">
        <f ca="1">IF(COUNTIF($W$2:W1174,A189)=1,VLOOKUP(A189,S:T,2), IF(COUNTIF($W$2:W1174,A189)=0,$D$9,""))</f>
        <v/>
      </c>
      <c r="I189" s="41" t="str">
        <f ca="1">IF(COUNTIF($X$2:X1174,INT(A189))=1,VLOOKUP(INT(A189),X:Y,2), IF(ISERROR(H189-2),"",I188*(1-$D$8*(H189-H188)*0.0001)))</f>
        <v/>
      </c>
      <c r="J189" s="41" t="str">
        <f t="shared" ca="1" si="28"/>
        <v/>
      </c>
      <c r="K189" s="43" t="str">
        <f t="shared" ca="1" si="29"/>
        <v/>
      </c>
      <c r="L189" s="43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4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9" t="str">
        <f t="shared" ca="1" si="23"/>
        <v/>
      </c>
      <c r="B190" s="40" t="str">
        <f ca="1">IF(COUNTIF($W$2:W1175,A190)=1,VLOOKUP(A190,O:P,2), IF(COUNTIF($W$2:W1175,A190)=0,$B$9,""))</f>
        <v/>
      </c>
      <c r="C190" s="2" t="str">
        <f t="shared" ca="1" si="24"/>
        <v/>
      </c>
      <c r="D190" s="43" t="str">
        <f t="shared" ca="1" si="25"/>
        <v/>
      </c>
      <c r="E190" s="40" t="str">
        <f ca="1">IF(COUNTIF($W$2:W1175,A190)=1,VLOOKUP(A190,Q:R,2), IF(COUNTIF($W$2:W1175,A190)=0,$C$9,""))</f>
        <v/>
      </c>
      <c r="F190" s="2" t="str">
        <f t="shared" ca="1" si="26"/>
        <v/>
      </c>
      <c r="G190" s="43" t="str">
        <f t="shared" ca="1" si="27"/>
        <v/>
      </c>
      <c r="H190" s="40" t="str">
        <f ca="1">IF(COUNTIF($W$2:W1175,A190)=1,VLOOKUP(A190,S:T,2), IF(COUNTIF($W$2:W1175,A190)=0,$D$9,""))</f>
        <v/>
      </c>
      <c r="I190" s="41" t="str">
        <f ca="1">IF(COUNTIF($X$2:X1175,INT(A190))=1,VLOOKUP(INT(A190),X:Y,2), IF(ISERROR(H190-2),"",I189*(1-$D$8*(H190-H189)*0.0001)))</f>
        <v/>
      </c>
      <c r="J190" s="41" t="str">
        <f t="shared" ca="1" si="28"/>
        <v/>
      </c>
      <c r="K190" s="43" t="str">
        <f t="shared" ca="1" si="29"/>
        <v/>
      </c>
      <c r="L190" s="43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4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2"/>
        <v>46049</v>
      </c>
    </row>
    <row r="191" spans="1:30" x14ac:dyDescent="0.25">
      <c r="A191" s="39" t="str">
        <f t="shared" ca="1" si="23"/>
        <v/>
      </c>
      <c r="B191" s="40" t="str">
        <f ca="1">IF(COUNTIF($W$2:W1176,A191)=1,VLOOKUP(A191,O:P,2), IF(COUNTIF($W$2:W1176,A191)=0,$B$9,""))</f>
        <v/>
      </c>
      <c r="C191" s="2" t="str">
        <f t="shared" ca="1" si="24"/>
        <v/>
      </c>
      <c r="D191" s="43" t="str">
        <f t="shared" ca="1" si="25"/>
        <v/>
      </c>
      <c r="E191" s="40" t="str">
        <f ca="1">IF(COUNTIF($W$2:W1176,A191)=1,VLOOKUP(A191,Q:R,2), IF(COUNTIF($W$2:W1176,A191)=0,$C$9,""))</f>
        <v/>
      </c>
      <c r="F191" s="2" t="str">
        <f t="shared" ca="1" si="26"/>
        <v/>
      </c>
      <c r="G191" s="43" t="str">
        <f t="shared" ca="1" si="27"/>
        <v/>
      </c>
      <c r="H191" s="40" t="str">
        <f ca="1">IF(COUNTIF($W$2:W1176,A191)=1,VLOOKUP(A191,S:T,2), IF(COUNTIF($W$2:W1176,A191)=0,$D$9,""))</f>
        <v/>
      </c>
      <c r="I191" s="41" t="str">
        <f ca="1">IF(COUNTIF($X$2:X1176,INT(A191))=1,VLOOKUP(INT(A191),X:Y,2), IF(ISERROR(H191-2),"",I190*(1-$D$8*(H191-H190)*0.0001)))</f>
        <v/>
      </c>
      <c r="J191" s="41" t="str">
        <f t="shared" ca="1" si="28"/>
        <v/>
      </c>
      <c r="K191" s="43" t="str">
        <f t="shared" ca="1" si="29"/>
        <v/>
      </c>
      <c r="L191" s="43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4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2"/>
        <v>46050</v>
      </c>
    </row>
    <row r="192" spans="1:30" x14ac:dyDescent="0.25">
      <c r="A192" s="39" t="str">
        <f t="shared" ca="1" si="23"/>
        <v/>
      </c>
      <c r="B192" s="40" t="str">
        <f ca="1">IF(COUNTIF($W$2:W1177,A192)=1,VLOOKUP(A192,O:P,2), IF(COUNTIF($W$2:W1177,A192)=0,$B$9,""))</f>
        <v/>
      </c>
      <c r="C192" s="2" t="str">
        <f t="shared" ca="1" si="24"/>
        <v/>
      </c>
      <c r="D192" s="43" t="str">
        <f t="shared" ca="1" si="25"/>
        <v/>
      </c>
      <c r="E192" s="40" t="str">
        <f ca="1">IF(COUNTIF($W$2:W1177,A192)=1,VLOOKUP(A192,Q:R,2), IF(COUNTIF($W$2:W1177,A192)=0,$C$9,""))</f>
        <v/>
      </c>
      <c r="F192" s="2" t="str">
        <f t="shared" ca="1" si="26"/>
        <v/>
      </c>
      <c r="G192" s="43" t="str">
        <f t="shared" ca="1" si="27"/>
        <v/>
      </c>
      <c r="H192" s="40" t="str">
        <f ca="1">IF(COUNTIF($W$2:W1177,A192)=1,VLOOKUP(A192,S:T,2), IF(COUNTIF($W$2:W1177,A192)=0,$D$9,""))</f>
        <v/>
      </c>
      <c r="I192" s="41" t="str">
        <f ca="1">IF(COUNTIF($X$2:X1177,INT(A192))=1,VLOOKUP(INT(A192),X:Y,2), IF(ISERROR(H192-2),"",I191*(1-$D$8*(H192-H191)*0.0001)))</f>
        <v/>
      </c>
      <c r="J192" s="41" t="str">
        <f t="shared" ca="1" si="28"/>
        <v/>
      </c>
      <c r="K192" s="43" t="str">
        <f t="shared" ca="1" si="29"/>
        <v/>
      </c>
      <c r="L192" s="43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4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9" t="str">
        <f t="shared" ca="1" si="23"/>
        <v/>
      </c>
      <c r="B193" s="40" t="str">
        <f ca="1">IF(COUNTIF($W$2:W1178,A193)=1,VLOOKUP(A193,O:P,2), IF(COUNTIF($W$2:W1178,A193)=0,$B$9,""))</f>
        <v/>
      </c>
      <c r="C193" s="2" t="str">
        <f t="shared" ca="1" si="24"/>
        <v/>
      </c>
      <c r="D193" s="43" t="str">
        <f t="shared" ca="1" si="25"/>
        <v/>
      </c>
      <c r="E193" s="40" t="str">
        <f ca="1">IF(COUNTIF($W$2:W1178,A193)=1,VLOOKUP(A193,Q:R,2), IF(COUNTIF($W$2:W1178,A193)=0,$C$9,""))</f>
        <v/>
      </c>
      <c r="F193" s="2" t="str">
        <f t="shared" ca="1" si="26"/>
        <v/>
      </c>
      <c r="G193" s="43" t="str">
        <f t="shared" ca="1" si="27"/>
        <v/>
      </c>
      <c r="H193" s="40" t="str">
        <f ca="1">IF(COUNTIF($W$2:W1178,A193)=1,VLOOKUP(A193,S:T,2), IF(COUNTIF($W$2:W1178,A193)=0,$D$9,""))</f>
        <v/>
      </c>
      <c r="I193" s="41" t="str">
        <f ca="1">IF(COUNTIF($X$2:X1178,INT(A193))=1,VLOOKUP(INT(A193),X:Y,2), IF(ISERROR(H193-2),"",I192*(1-$D$8*(H193-H192)*0.0001)))</f>
        <v/>
      </c>
      <c r="J193" s="41" t="str">
        <f t="shared" ca="1" si="28"/>
        <v/>
      </c>
      <c r="K193" s="43" t="str">
        <f t="shared" ca="1" si="29"/>
        <v/>
      </c>
      <c r="L193" s="43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4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9" t="str">
        <f t="shared" ca="1" si="23"/>
        <v/>
      </c>
      <c r="B194" s="40" t="str">
        <f ca="1">IF(COUNTIF($W$2:W1179,A194)=1,VLOOKUP(A194,O:P,2), IF(COUNTIF($W$2:W1179,A194)=0,$B$9,""))</f>
        <v/>
      </c>
      <c r="C194" s="2" t="str">
        <f t="shared" ca="1" si="24"/>
        <v/>
      </c>
      <c r="D194" s="43" t="str">
        <f t="shared" ca="1" si="25"/>
        <v/>
      </c>
      <c r="E194" s="40" t="str">
        <f ca="1">IF(COUNTIF($W$2:W1179,A194)=1,VLOOKUP(A194,Q:R,2), IF(COUNTIF($W$2:W1179,A194)=0,$C$9,""))</f>
        <v/>
      </c>
      <c r="F194" s="2" t="str">
        <f t="shared" ca="1" si="26"/>
        <v/>
      </c>
      <c r="G194" s="43" t="str">
        <f t="shared" ca="1" si="27"/>
        <v/>
      </c>
      <c r="H194" s="40" t="str">
        <f ca="1">IF(COUNTIF($W$2:W1179,A194)=1,VLOOKUP(A194,S:T,2), IF(COUNTIF($W$2:W1179,A194)=0,$D$9,""))</f>
        <v/>
      </c>
      <c r="I194" s="41" t="str">
        <f ca="1">IF(COUNTIF($X$2:X1179,INT(A194))=1,VLOOKUP(INT(A194),X:Y,2), IF(ISERROR(H194-2),"",I193*(1-$D$8*(H194-H193)*0.0001)))</f>
        <v/>
      </c>
      <c r="J194" s="41" t="str">
        <f t="shared" ca="1" si="28"/>
        <v/>
      </c>
      <c r="K194" s="43" t="str">
        <f t="shared" ca="1" si="29"/>
        <v/>
      </c>
      <c r="L194" s="43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4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9" t="str">
        <f t="shared" ca="1" si="23"/>
        <v/>
      </c>
      <c r="B195" s="40" t="str">
        <f ca="1">IF(COUNTIF($W$2:W1180,A195)=1,VLOOKUP(A195,O:P,2), IF(COUNTIF($W$2:W1180,A195)=0,$B$9,""))</f>
        <v/>
      </c>
      <c r="C195" s="2" t="str">
        <f t="shared" ca="1" si="24"/>
        <v/>
      </c>
      <c r="D195" s="43" t="str">
        <f t="shared" ca="1" si="25"/>
        <v/>
      </c>
      <c r="E195" s="40" t="str">
        <f ca="1">IF(COUNTIF($W$2:W1180,A195)=1,VLOOKUP(A195,Q:R,2), IF(COUNTIF($W$2:W1180,A195)=0,$C$9,""))</f>
        <v/>
      </c>
      <c r="F195" s="2" t="str">
        <f t="shared" ca="1" si="26"/>
        <v/>
      </c>
      <c r="G195" s="43" t="str">
        <f t="shared" ca="1" si="27"/>
        <v/>
      </c>
      <c r="H195" s="40" t="str">
        <f ca="1">IF(COUNTIF($W$2:W1180,A195)=1,VLOOKUP(A195,S:T,2), IF(COUNTIF($W$2:W1180,A195)=0,$D$9,""))</f>
        <v/>
      </c>
      <c r="I195" s="41" t="str">
        <f ca="1">IF(COUNTIF($X$2:X1180,INT(A195))=1,VLOOKUP(INT(A195),X:Y,2), IF(ISERROR(H195-2),"",I194*(1-$D$8*(H195-H194)*0.0001)))</f>
        <v/>
      </c>
      <c r="J195" s="41" t="str">
        <f t="shared" ca="1" si="28"/>
        <v/>
      </c>
      <c r="K195" s="43" t="str">
        <f t="shared" ca="1" si="29"/>
        <v/>
      </c>
      <c r="L195" s="43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4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9" t="str">
        <f t="shared" ca="1" si="23"/>
        <v/>
      </c>
      <c r="B196" s="40" t="str">
        <f ca="1">IF(COUNTIF($W$2:W1181,A196)=1,VLOOKUP(A196,O:P,2), IF(COUNTIF($W$2:W1181,A196)=0,$B$9,""))</f>
        <v/>
      </c>
      <c r="C196" s="2" t="str">
        <f t="shared" ca="1" si="24"/>
        <v/>
      </c>
      <c r="D196" s="43" t="str">
        <f t="shared" ca="1" si="25"/>
        <v/>
      </c>
      <c r="E196" s="40" t="str">
        <f ca="1">IF(COUNTIF($W$2:W1181,A196)=1,VLOOKUP(A196,Q:R,2), IF(COUNTIF($W$2:W1181,A196)=0,$C$9,""))</f>
        <v/>
      </c>
      <c r="F196" s="2" t="str">
        <f t="shared" ca="1" si="26"/>
        <v/>
      </c>
      <c r="G196" s="43" t="str">
        <f t="shared" ca="1" si="27"/>
        <v/>
      </c>
      <c r="H196" s="40" t="str">
        <f ca="1">IF(COUNTIF($W$2:W1181,A196)=1,VLOOKUP(A196,S:T,2), IF(COUNTIF($W$2:W1181,A196)=0,$D$9,""))</f>
        <v/>
      </c>
      <c r="I196" s="41" t="str">
        <f ca="1">IF(COUNTIF($X$2:X1181,INT(A196))=1,VLOOKUP(INT(A196),X:Y,2), IF(ISERROR(H196-2),"",I195*(1-$D$8*(H196-H195)*0.0001)))</f>
        <v/>
      </c>
      <c r="J196" s="41" t="str">
        <f t="shared" ca="1" si="28"/>
        <v/>
      </c>
      <c r="K196" s="43" t="str">
        <f t="shared" ca="1" si="29"/>
        <v/>
      </c>
      <c r="L196" s="43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4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9" t="str">
        <f t="shared" ca="1" si="23"/>
        <v/>
      </c>
      <c r="B197" s="40" t="str">
        <f ca="1">IF(COUNTIF($W$2:W1182,A197)=1,VLOOKUP(A197,O:P,2), IF(COUNTIF($W$2:W1182,A197)=0,$B$9,""))</f>
        <v/>
      </c>
      <c r="C197" s="2" t="str">
        <f t="shared" ca="1" si="24"/>
        <v/>
      </c>
      <c r="D197" s="43" t="str">
        <f t="shared" ca="1" si="25"/>
        <v/>
      </c>
      <c r="E197" s="40" t="str">
        <f ca="1">IF(COUNTIF($W$2:W1182,A197)=1,VLOOKUP(A197,Q:R,2), IF(COUNTIF($W$2:W1182,A197)=0,$C$9,""))</f>
        <v/>
      </c>
      <c r="F197" s="2" t="str">
        <f t="shared" ca="1" si="26"/>
        <v/>
      </c>
      <c r="G197" s="43" t="str">
        <f t="shared" ca="1" si="27"/>
        <v/>
      </c>
      <c r="H197" s="40" t="str">
        <f ca="1">IF(COUNTIF($W$2:W1182,A197)=1,VLOOKUP(A197,S:T,2), IF(COUNTIF($W$2:W1182,A197)=0,$D$9,""))</f>
        <v/>
      </c>
      <c r="I197" s="41" t="str">
        <f ca="1">IF(COUNTIF($X$2:X1182,INT(A197))=1,VLOOKUP(INT(A197),X:Y,2), IF(ISERROR(H197-2),"",I196*(1-$D$8*(H197-H196)*0.0001)))</f>
        <v/>
      </c>
      <c r="J197" s="41" t="str">
        <f t="shared" ca="1" si="28"/>
        <v/>
      </c>
      <c r="K197" s="43" t="str">
        <f t="shared" ca="1" si="29"/>
        <v/>
      </c>
      <c r="L197" s="43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4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9" t="str">
        <f t="shared" ca="1" si="23"/>
        <v/>
      </c>
      <c r="B198" s="40" t="str">
        <f ca="1">IF(COUNTIF($W$2:W1183,A198)=1,VLOOKUP(A198,O:P,2), IF(COUNTIF($W$2:W1183,A198)=0,$B$9,""))</f>
        <v/>
      </c>
      <c r="C198" s="2" t="str">
        <f t="shared" ca="1" si="24"/>
        <v/>
      </c>
      <c r="D198" s="43" t="str">
        <f t="shared" ca="1" si="25"/>
        <v/>
      </c>
      <c r="E198" s="40" t="str">
        <f ca="1">IF(COUNTIF($W$2:W1183,A198)=1,VLOOKUP(A198,Q:R,2), IF(COUNTIF($W$2:W1183,A198)=0,$C$9,""))</f>
        <v/>
      </c>
      <c r="F198" s="2" t="str">
        <f t="shared" ca="1" si="26"/>
        <v/>
      </c>
      <c r="G198" s="43" t="str">
        <f t="shared" ca="1" si="27"/>
        <v/>
      </c>
      <c r="H198" s="40" t="str">
        <f ca="1">IF(COUNTIF($W$2:W1183,A198)=1,VLOOKUP(A198,S:T,2), IF(COUNTIF($W$2:W1183,A198)=0,$D$9,""))</f>
        <v/>
      </c>
      <c r="I198" s="41" t="str">
        <f ca="1">IF(COUNTIF($X$2:X1183,INT(A198))=1,VLOOKUP(INT(A198),X:Y,2), IF(ISERROR(H198-2),"",I197*(1-$D$8*(H198-H197)*0.0001)))</f>
        <v/>
      </c>
      <c r="J198" s="41" t="str">
        <f t="shared" ca="1" si="28"/>
        <v/>
      </c>
      <c r="K198" s="43" t="str">
        <f t="shared" ca="1" si="29"/>
        <v/>
      </c>
      <c r="L198" s="43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4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9" t="str">
        <f t="shared" ca="1" si="23"/>
        <v/>
      </c>
      <c r="B199" s="40" t="str">
        <f ca="1">IF(COUNTIF($W$2:W1184,A199)=1,VLOOKUP(A199,O:P,2), IF(COUNTIF($W$2:W1184,A199)=0,$B$9,""))</f>
        <v/>
      </c>
      <c r="C199" s="2" t="str">
        <f t="shared" ca="1" si="24"/>
        <v/>
      </c>
      <c r="D199" s="43" t="str">
        <f t="shared" ca="1" si="25"/>
        <v/>
      </c>
      <c r="E199" s="40" t="str">
        <f ca="1">IF(COUNTIF($W$2:W1184,A199)=1,VLOOKUP(A199,Q:R,2), IF(COUNTIF($W$2:W1184,A199)=0,$C$9,""))</f>
        <v/>
      </c>
      <c r="F199" s="2" t="str">
        <f t="shared" ca="1" si="26"/>
        <v/>
      </c>
      <c r="G199" s="43" t="str">
        <f t="shared" ca="1" si="27"/>
        <v/>
      </c>
      <c r="H199" s="40" t="str">
        <f ca="1">IF(COUNTIF($W$2:W1184,A199)=1,VLOOKUP(A199,S:T,2), IF(COUNTIF($W$2:W1184,A199)=0,$D$9,""))</f>
        <v/>
      </c>
      <c r="I199" s="41" t="str">
        <f ca="1">IF(COUNTIF($X$2:X1184,INT(A199))=1,VLOOKUP(INT(A199),X:Y,2), IF(ISERROR(H199-2),"",I198*(1-$D$8*(H199-H198)*0.0001)))</f>
        <v/>
      </c>
      <c r="J199" s="41" t="str">
        <f t="shared" ca="1" si="28"/>
        <v/>
      </c>
      <c r="K199" s="43" t="str">
        <f t="shared" ca="1" si="29"/>
        <v/>
      </c>
      <c r="L199" s="43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4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32"/>
        <v>46062</v>
      </c>
    </row>
    <row r="200" spans="1:30" x14ac:dyDescent="0.25">
      <c r="A200" s="39" t="str">
        <f t="shared" ca="1" si="23"/>
        <v/>
      </c>
      <c r="B200" s="40" t="str">
        <f ca="1">IF(COUNTIF($W$2:W1185,A200)=1,VLOOKUP(A200,O:P,2), IF(COUNTIF($W$2:W1185,A200)=0,$B$9,""))</f>
        <v/>
      </c>
      <c r="C200" s="2" t="str">
        <f t="shared" ca="1" si="24"/>
        <v/>
      </c>
      <c r="D200" s="43" t="str">
        <f t="shared" ca="1" si="25"/>
        <v/>
      </c>
      <c r="E200" s="40" t="str">
        <f ca="1">IF(COUNTIF($W$2:W1185,A200)=1,VLOOKUP(A200,Q:R,2), IF(COUNTIF($W$2:W1185,A200)=0,$C$9,""))</f>
        <v/>
      </c>
      <c r="F200" s="2" t="str">
        <f t="shared" ca="1" si="26"/>
        <v/>
      </c>
      <c r="G200" s="43" t="str">
        <f t="shared" ca="1" si="27"/>
        <v/>
      </c>
      <c r="H200" s="40" t="str">
        <f ca="1">IF(COUNTIF($W$2:W1185,A200)=1,VLOOKUP(A200,S:T,2), IF(COUNTIF($W$2:W1185,A200)=0,$D$9,""))</f>
        <v/>
      </c>
      <c r="I200" s="41" t="str">
        <f ca="1">IF(COUNTIF($X$2:X1185,INT(A200))=1,VLOOKUP(INT(A200),X:Y,2), IF(ISERROR(H200-2),"",I199*(1-$D$8*(H200-H199)*0.0001)))</f>
        <v/>
      </c>
      <c r="J200" s="41" t="str">
        <f t="shared" ca="1" si="28"/>
        <v/>
      </c>
      <c r="K200" s="43" t="str">
        <f t="shared" ca="1" si="29"/>
        <v/>
      </c>
      <c r="L200" s="43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4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32"/>
        <v>46063</v>
      </c>
    </row>
    <row r="201" spans="1:30" x14ac:dyDescent="0.25">
      <c r="A201" s="39" t="str">
        <f t="shared" ca="1" si="23"/>
        <v/>
      </c>
      <c r="B201" s="40" t="str">
        <f ca="1">IF(COUNTIF($W$2:W1186,A201)=1,VLOOKUP(A201,O:P,2), IF(COUNTIF($W$2:W1186,A201)=0,$B$9,""))</f>
        <v/>
      </c>
      <c r="C201" s="2" t="str">
        <f t="shared" ca="1" si="24"/>
        <v/>
      </c>
      <c r="D201" s="43" t="str">
        <f t="shared" ca="1" si="25"/>
        <v/>
      </c>
      <c r="E201" s="40" t="str">
        <f ca="1">IF(COUNTIF($W$2:W1186,A201)=1,VLOOKUP(A201,Q:R,2), IF(COUNTIF($W$2:W1186,A201)=0,$C$9,""))</f>
        <v/>
      </c>
      <c r="F201" s="2" t="str">
        <f t="shared" ca="1" si="26"/>
        <v/>
      </c>
      <c r="G201" s="43" t="str">
        <f t="shared" ca="1" si="27"/>
        <v/>
      </c>
      <c r="H201" s="40" t="str">
        <f ca="1">IF(COUNTIF($W$2:W1186,A201)=1,VLOOKUP(A201,S:T,2), IF(COUNTIF($W$2:W1186,A201)=0,$D$9,""))</f>
        <v/>
      </c>
      <c r="I201" s="41" t="str">
        <f ca="1">IF(COUNTIF($X$2:X1186,INT(A201))=1,VLOOKUP(INT(A201),X:Y,2), IF(ISERROR(H201-2),"",I200*(1-$D$8*(H201-H200)*0.0001)))</f>
        <v/>
      </c>
      <c r="J201" s="41" t="str">
        <f t="shared" ca="1" si="28"/>
        <v/>
      </c>
      <c r="K201" s="43" t="str">
        <f t="shared" ca="1" si="29"/>
        <v/>
      </c>
      <c r="L201" s="43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4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32"/>
        <v>46064</v>
      </c>
    </row>
    <row r="202" spans="1:30" x14ac:dyDescent="0.25">
      <c r="A202" s="39" t="str">
        <f t="shared" ca="1" si="23"/>
        <v/>
      </c>
      <c r="B202" s="40" t="str">
        <f ca="1">IF(COUNTIF($W$2:W1187,A202)=1,VLOOKUP(A202,O:P,2), IF(COUNTIF($W$2:W1187,A202)=0,$B$9,""))</f>
        <v/>
      </c>
      <c r="C202" s="2" t="str">
        <f t="shared" ca="1" si="24"/>
        <v/>
      </c>
      <c r="D202" s="43" t="str">
        <f t="shared" ca="1" si="25"/>
        <v/>
      </c>
      <c r="E202" s="40" t="str">
        <f ca="1">IF(COUNTIF($W$2:W1187,A202)=1,VLOOKUP(A202,Q:R,2), IF(COUNTIF($W$2:W1187,A202)=0,$C$9,""))</f>
        <v/>
      </c>
      <c r="F202" s="2" t="str">
        <f t="shared" ca="1" si="26"/>
        <v/>
      </c>
      <c r="G202" s="43" t="str">
        <f t="shared" ca="1" si="27"/>
        <v/>
      </c>
      <c r="H202" s="40" t="str">
        <f ca="1">IF(COUNTIF($W$2:W1187,A202)=1,VLOOKUP(A202,S:T,2), IF(COUNTIF($W$2:W1187,A202)=0,$D$9,""))</f>
        <v/>
      </c>
      <c r="I202" s="41" t="str">
        <f ca="1">IF(COUNTIF($X$2:X1187,INT(A202))=1,VLOOKUP(INT(A202),X:Y,2), IF(ISERROR(H202-2),"",I201*(1-$D$8*(H202-H201)*0.0001)))</f>
        <v/>
      </c>
      <c r="J202" s="41" t="str">
        <f t="shared" ca="1" si="28"/>
        <v/>
      </c>
      <c r="K202" s="43" t="str">
        <f t="shared" ca="1" si="29"/>
        <v/>
      </c>
      <c r="L202" s="43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4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32"/>
        <v>46065</v>
      </c>
    </row>
    <row r="203" spans="1:30" x14ac:dyDescent="0.25">
      <c r="A203" s="39" t="str">
        <f t="shared" ca="1" si="23"/>
        <v/>
      </c>
      <c r="B203" s="40" t="str">
        <f ca="1">IF(COUNTIF($W$2:W1188,A203)=1,VLOOKUP(A203,O:P,2), IF(COUNTIF($W$2:W1188,A203)=0,$B$9,""))</f>
        <v/>
      </c>
      <c r="C203" s="2" t="str">
        <f t="shared" ca="1" si="24"/>
        <v/>
      </c>
      <c r="D203" s="43" t="str">
        <f t="shared" ca="1" si="25"/>
        <v/>
      </c>
      <c r="E203" s="40" t="str">
        <f ca="1">IF(COUNTIF($W$2:W1188,A203)=1,VLOOKUP(A203,Q:R,2), IF(COUNTIF($W$2:W1188,A203)=0,$C$9,""))</f>
        <v/>
      </c>
      <c r="F203" s="2" t="str">
        <f t="shared" ca="1" si="26"/>
        <v/>
      </c>
      <c r="G203" s="43" t="str">
        <f t="shared" ca="1" si="27"/>
        <v/>
      </c>
      <c r="H203" s="40" t="str">
        <f ca="1">IF(COUNTIF($W$2:W1188,A203)=1,VLOOKUP(A203,S:T,2), IF(COUNTIF($W$2:W1188,A203)=0,$D$9,""))</f>
        <v/>
      </c>
      <c r="I203" s="41" t="str">
        <f ca="1">IF(COUNTIF($X$2:X1188,INT(A203))=1,VLOOKUP(INT(A203),X:Y,2), IF(ISERROR(H203-2),"",I202*(1-$D$8*(H203-H202)*0.0001)))</f>
        <v/>
      </c>
      <c r="J203" s="41" t="str">
        <f t="shared" ca="1" si="28"/>
        <v/>
      </c>
      <c r="K203" s="43" t="str">
        <f t="shared" ca="1" si="29"/>
        <v/>
      </c>
      <c r="L203" s="43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4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32"/>
        <v>46066</v>
      </c>
    </row>
    <row r="204" spans="1:30" x14ac:dyDescent="0.25">
      <c r="A204" s="39" t="str">
        <f t="shared" ca="1" si="23"/>
        <v/>
      </c>
      <c r="B204" s="40" t="str">
        <f ca="1">IF(COUNTIF($W$2:W1189,A204)=1,VLOOKUP(A204,O:P,2), IF(COUNTIF($W$2:W1189,A204)=0,$B$9,""))</f>
        <v/>
      </c>
      <c r="C204" s="2" t="str">
        <f t="shared" ca="1" si="24"/>
        <v/>
      </c>
      <c r="D204" s="43" t="str">
        <f t="shared" ca="1" si="25"/>
        <v/>
      </c>
      <c r="E204" s="40" t="str">
        <f ca="1">IF(COUNTIF($W$2:W1189,A204)=1,VLOOKUP(A204,Q:R,2), IF(COUNTIF($W$2:W1189,A204)=0,$C$9,""))</f>
        <v/>
      </c>
      <c r="F204" s="2" t="str">
        <f t="shared" ca="1" si="26"/>
        <v/>
      </c>
      <c r="G204" s="43" t="str">
        <f t="shared" ca="1" si="27"/>
        <v/>
      </c>
      <c r="H204" s="40" t="str">
        <f ca="1">IF(COUNTIF($W$2:W1189,A204)=1,VLOOKUP(A204,S:T,2), IF(COUNTIF($W$2:W1189,A204)=0,$D$9,""))</f>
        <v/>
      </c>
      <c r="I204" s="41" t="str">
        <f ca="1">IF(COUNTIF($X$2:X1189,INT(A204))=1,VLOOKUP(INT(A204),X:Y,2), IF(ISERROR(H204-2),"",I203*(1-$D$8*(H204-H203)*0.0001)))</f>
        <v/>
      </c>
      <c r="J204" s="41" t="str">
        <f t="shared" ca="1" si="28"/>
        <v/>
      </c>
      <c r="K204" s="43" t="str">
        <f t="shared" ca="1" si="29"/>
        <v/>
      </c>
      <c r="L204" s="43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4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32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32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32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32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32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32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32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32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32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32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32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32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32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32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5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5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5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5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5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5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5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5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5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5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3"/>
        <v/>
      </c>
      <c r="V294" s="3" t="str">
        <f t="shared" si="34"/>
        <v/>
      </c>
      <c r="AD294" s="6" t="str">
        <f t="shared" si="35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9"/>
        <v/>
      </c>
      <c r="V422" s="3" t="str">
        <f t="shared" si="40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9"/>
        <v/>
      </c>
      <c r="V423" s="3" t="str">
        <f t="shared" si="40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9"/>
        <v/>
      </c>
      <c r="V424" s="3" t="str">
        <f t="shared" si="40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9"/>
        <v/>
      </c>
      <c r="V425" s="3" t="str">
        <f t="shared" si="40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9"/>
        <v/>
      </c>
      <c r="V426" s="3" t="str">
        <f t="shared" si="40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9"/>
        <v/>
      </c>
      <c r="V427" s="3" t="str">
        <f t="shared" si="40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9"/>
        <v/>
      </c>
      <c r="V428" s="3" t="str">
        <f t="shared" si="40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9"/>
        <v/>
      </c>
      <c r="V429" s="3" t="str">
        <f t="shared" si="40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9"/>
        <v/>
      </c>
      <c r="V430" s="3" t="str">
        <f t="shared" si="40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9"/>
        <v/>
      </c>
      <c r="V431" s="3" t="str">
        <f t="shared" si="40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9"/>
        <v/>
      </c>
      <c r="V432" s="3" t="str">
        <f t="shared" si="40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9"/>
        <v/>
      </c>
      <c r="V433" s="3" t="str">
        <f t="shared" si="40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9"/>
        <v/>
      </c>
      <c r="V434" s="3" t="str">
        <f t="shared" si="40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9"/>
        <v/>
      </c>
      <c r="V435" s="3" t="str">
        <f t="shared" si="40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9"/>
        <v/>
      </c>
      <c r="V436" s="3" t="str">
        <f t="shared" si="40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9"/>
        <v/>
      </c>
      <c r="V437" s="3" t="str">
        <f t="shared" si="40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9"/>
        <v/>
      </c>
      <c r="V438" s="3" t="str">
        <f t="shared" si="40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9"/>
        <v/>
      </c>
      <c r="V439" s="3" t="str">
        <f t="shared" si="40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9"/>
        <v/>
      </c>
      <c r="V440" s="3" t="str">
        <f t="shared" si="40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9"/>
        <v/>
      </c>
      <c r="V441" s="3" t="str">
        <f t="shared" si="40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9"/>
        <v/>
      </c>
      <c r="V442" s="3" t="str">
        <f t="shared" si="40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9"/>
        <v/>
      </c>
      <c r="V443" s="3" t="str">
        <f t="shared" si="40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9"/>
        <v/>
      </c>
      <c r="V444" s="3" t="str">
        <f t="shared" si="40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9"/>
        <v/>
      </c>
      <c r="V445" s="3" t="str">
        <f t="shared" si="40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9"/>
        <v/>
      </c>
      <c r="V446" s="3" t="str">
        <f t="shared" si="40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9"/>
        <v/>
      </c>
      <c r="V447" s="3" t="str">
        <f t="shared" si="40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9"/>
        <v/>
      </c>
      <c r="V448" s="3" t="str">
        <f t="shared" si="40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9"/>
        <v/>
      </c>
      <c r="V449" s="3" t="str">
        <f t="shared" si="40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9"/>
        <v/>
      </c>
      <c r="V450" s="3" t="str">
        <f t="shared" si="40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9"/>
        <v/>
      </c>
      <c r="V451" s="3" t="str">
        <f t="shared" si="40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42"/>
        <v/>
      </c>
      <c r="V453" s="3" t="str">
        <f t="shared" si="43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42"/>
        <v/>
      </c>
      <c r="V454" s="3" t="str">
        <f t="shared" si="43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42"/>
        <v/>
      </c>
      <c r="V455" s="3" t="str">
        <f t="shared" si="43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42"/>
        <v/>
      </c>
      <c r="V456" s="3" t="str">
        <f t="shared" si="43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42"/>
        <v/>
      </c>
      <c r="V457" s="3" t="str">
        <f t="shared" si="43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42"/>
        <v/>
      </c>
      <c r="V458" s="3" t="str">
        <f t="shared" si="43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42"/>
        <v/>
      </c>
      <c r="V459" s="3" t="str">
        <f t="shared" si="43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42"/>
        <v/>
      </c>
      <c r="V460" s="3" t="str">
        <f t="shared" si="43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42"/>
        <v/>
      </c>
      <c r="V461" s="3" t="str">
        <f t="shared" si="43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42"/>
        <v/>
      </c>
      <c r="V462" s="3" t="str">
        <f t="shared" si="43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42"/>
        <v/>
      </c>
      <c r="V463" s="3" t="str">
        <f t="shared" si="43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42"/>
        <v/>
      </c>
      <c r="V464" s="3" t="str">
        <f t="shared" si="43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42"/>
        <v/>
      </c>
      <c r="V465" s="3" t="str">
        <f t="shared" si="43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42"/>
        <v/>
      </c>
      <c r="V466" s="3" t="str">
        <f t="shared" si="43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42"/>
        <v/>
      </c>
      <c r="V467" s="3" t="str">
        <f t="shared" si="43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42"/>
        <v/>
      </c>
      <c r="V468" s="3" t="str">
        <f t="shared" si="43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42"/>
        <v/>
      </c>
      <c r="V469" s="3" t="str">
        <f t="shared" si="43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42"/>
        <v/>
      </c>
      <c r="V470" s="3" t="str">
        <f t="shared" si="43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42"/>
        <v/>
      </c>
      <c r="V471" s="3" t="str">
        <f t="shared" si="43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42"/>
        <v/>
      </c>
      <c r="V472" s="3" t="str">
        <f t="shared" si="43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42"/>
        <v/>
      </c>
      <c r="V473" s="3" t="str">
        <f t="shared" si="43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42"/>
        <v/>
      </c>
      <c r="V474" s="3" t="str">
        <f t="shared" si="43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42"/>
        <v/>
      </c>
      <c r="V475" s="3" t="str">
        <f t="shared" si="43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42"/>
        <v/>
      </c>
      <c r="V476" s="3" t="str">
        <f t="shared" si="43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42"/>
        <v/>
      </c>
      <c r="V477" s="3" t="str">
        <f t="shared" si="43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42"/>
        <v/>
      </c>
      <c r="V478" s="3" t="str">
        <f t="shared" si="43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42"/>
        <v/>
      </c>
      <c r="V479" s="3" t="str">
        <f t="shared" si="43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42"/>
        <v/>
      </c>
      <c r="V480" s="3" t="str">
        <f t="shared" si="43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42"/>
        <v/>
      </c>
      <c r="V481" s="3" t="str">
        <f t="shared" si="43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42"/>
        <v/>
      </c>
      <c r="V482" s="3" t="str">
        <f t="shared" si="43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42"/>
        <v/>
      </c>
      <c r="V483" s="3" t="str">
        <f t="shared" si="43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42"/>
        <v/>
      </c>
      <c r="V484" s="3" t="str">
        <f t="shared" si="43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42"/>
        <v/>
      </c>
      <c r="V485" s="3" t="str">
        <f t="shared" si="43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42"/>
        <v/>
      </c>
      <c r="V486" s="3" t="str">
        <f t="shared" si="43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42"/>
        <v/>
      </c>
      <c r="V487" s="3" t="str">
        <f t="shared" si="43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42"/>
        <v/>
      </c>
      <c r="V488" s="3" t="str">
        <f t="shared" si="43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42"/>
        <v/>
      </c>
      <c r="V489" s="3" t="str">
        <f t="shared" si="43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42"/>
        <v/>
      </c>
      <c r="V490" s="3" t="str">
        <f t="shared" si="43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42"/>
        <v/>
      </c>
      <c r="V491" s="3" t="str">
        <f t="shared" si="43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42"/>
        <v/>
      </c>
      <c r="V492" s="3" t="str">
        <f t="shared" si="43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42"/>
        <v/>
      </c>
      <c r="V493" s="3" t="str">
        <f t="shared" si="43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42"/>
        <v/>
      </c>
      <c r="V494" s="3" t="str">
        <f t="shared" si="43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42"/>
        <v/>
      </c>
      <c r="V495" s="3" t="str">
        <f t="shared" si="43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42"/>
        <v/>
      </c>
      <c r="V496" s="3" t="str">
        <f t="shared" si="43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42"/>
        <v/>
      </c>
      <c r="V497" s="3" t="str">
        <f t="shared" si="43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42"/>
        <v/>
      </c>
      <c r="V498" s="3" t="str">
        <f t="shared" si="43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42"/>
        <v/>
      </c>
      <c r="V499" s="3" t="str">
        <f t="shared" si="43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42"/>
        <v/>
      </c>
      <c r="V500" s="3" t="str">
        <f t="shared" si="43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42"/>
        <v/>
      </c>
      <c r="V501" s="3" t="str">
        <f t="shared" si="43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42"/>
        <v/>
      </c>
      <c r="V502" s="3" t="str">
        <f t="shared" si="43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42"/>
        <v/>
      </c>
      <c r="V503" s="3" t="str">
        <f t="shared" si="43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42"/>
        <v/>
      </c>
      <c r="V504" s="3" t="str">
        <f t="shared" si="43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42"/>
        <v/>
      </c>
      <c r="V505" s="3" t="str">
        <f t="shared" si="43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42"/>
        <v/>
      </c>
      <c r="V506" s="3" t="str">
        <f t="shared" si="43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42"/>
        <v/>
      </c>
      <c r="V507" s="3" t="str">
        <f t="shared" si="43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42"/>
        <v/>
      </c>
      <c r="V508" s="3" t="str">
        <f t="shared" si="43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42"/>
        <v/>
      </c>
      <c r="V509" s="3" t="str">
        <f t="shared" si="43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42"/>
        <v/>
      </c>
      <c r="V510" s="3" t="str">
        <f t="shared" si="43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42"/>
        <v/>
      </c>
      <c r="V511" s="3" t="str">
        <f t="shared" si="43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42"/>
        <v/>
      </c>
      <c r="V512" s="3" t="str">
        <f t="shared" si="43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42"/>
        <v/>
      </c>
      <c r="V513" s="3" t="str">
        <f t="shared" si="43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42"/>
        <v/>
      </c>
      <c r="V514" s="3" t="str">
        <f t="shared" si="43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42"/>
        <v/>
      </c>
      <c r="V515" s="3" t="str">
        <f t="shared" si="43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4"/>
        <v/>
      </c>
      <c r="V517" s="3" t="str">
        <f t="shared" si="45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4"/>
        <v/>
      </c>
      <c r="V518" s="3" t="str">
        <f t="shared" si="45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4"/>
        <v/>
      </c>
      <c r="V519" s="3" t="str">
        <f t="shared" si="45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4"/>
        <v/>
      </c>
      <c r="V520" s="3" t="str">
        <f t="shared" si="45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4"/>
        <v/>
      </c>
      <c r="V521" s="3" t="str">
        <f t="shared" si="45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4"/>
        <v/>
      </c>
      <c r="V522" s="3" t="str">
        <f t="shared" si="45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4"/>
        <v/>
      </c>
      <c r="V523" s="3" t="str">
        <f t="shared" si="45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4"/>
        <v/>
      </c>
      <c r="V524" s="3" t="str">
        <f t="shared" si="45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4"/>
        <v/>
      </c>
      <c r="V525" s="3" t="str">
        <f t="shared" si="45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4"/>
        <v/>
      </c>
      <c r="V526" s="3" t="str">
        <f t="shared" si="45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4"/>
        <v/>
      </c>
      <c r="V527" s="3" t="str">
        <f t="shared" si="45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4"/>
        <v/>
      </c>
      <c r="V528" s="3" t="str">
        <f t="shared" si="45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4"/>
        <v/>
      </c>
      <c r="V529" s="3" t="str">
        <f t="shared" si="45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4"/>
        <v/>
      </c>
      <c r="V530" s="3" t="str">
        <f t="shared" si="45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4"/>
        <v/>
      </c>
      <c r="V531" s="3" t="str">
        <f t="shared" si="45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4"/>
        <v/>
      </c>
      <c r="V532" s="3" t="str">
        <f t="shared" si="45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4"/>
        <v/>
      </c>
      <c r="V533" s="3" t="str">
        <f t="shared" si="45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4"/>
        <v/>
      </c>
      <c r="V534" s="3" t="str">
        <f t="shared" si="45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4"/>
        <v/>
      </c>
      <c r="V535" s="3" t="str">
        <f t="shared" si="45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4"/>
        <v/>
      </c>
      <c r="V536" s="3" t="str">
        <f t="shared" si="45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4"/>
        <v/>
      </c>
      <c r="V537" s="3" t="str">
        <f t="shared" si="45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4"/>
        <v/>
      </c>
      <c r="V538" s="3" t="str">
        <f t="shared" si="45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4"/>
        <v/>
      </c>
      <c r="V539" s="3" t="str">
        <f t="shared" si="45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4"/>
        <v/>
      </c>
      <c r="V540" s="3" t="str">
        <f t="shared" si="45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4"/>
        <v/>
      </c>
      <c r="V541" s="3" t="str">
        <f t="shared" si="45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4"/>
        <v/>
      </c>
      <c r="V542" s="3" t="str">
        <f t="shared" si="45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4"/>
        <v/>
      </c>
      <c r="V543" s="3" t="str">
        <f t="shared" si="45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4"/>
        <v/>
      </c>
      <c r="V544" s="3" t="str">
        <f t="shared" si="45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4"/>
        <v/>
      </c>
      <c r="V545" s="3" t="str">
        <f t="shared" si="45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4"/>
        <v/>
      </c>
      <c r="V546" s="3" t="str">
        <f t="shared" si="45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4"/>
        <v/>
      </c>
      <c r="V547" s="3" t="str">
        <f t="shared" si="45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4"/>
        <v/>
      </c>
      <c r="V548" s="3" t="str">
        <f t="shared" si="45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4"/>
        <v/>
      </c>
      <c r="V549" s="3" t="str">
        <f t="shared" si="45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4"/>
        <v/>
      </c>
      <c r="V550" s="3" t="str">
        <f t="shared" si="45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4"/>
        <v/>
      </c>
      <c r="V551" s="3" t="str">
        <f t="shared" si="45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4"/>
        <v/>
      </c>
      <c r="V552" s="3" t="str">
        <f t="shared" si="45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4"/>
        <v/>
      </c>
      <c r="V553" s="3" t="str">
        <f t="shared" si="45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4"/>
        <v/>
      </c>
      <c r="V554" s="3" t="str">
        <f t="shared" si="45"/>
        <v/>
      </c>
    </row>
    <row r="555" spans="1:22" x14ac:dyDescent="0.25">
      <c r="A555" s="39"/>
      <c r="B555" s="40"/>
      <c r="C555" s="2"/>
      <c r="D555" s="43"/>
      <c r="E555" s="40"/>
      <c r="F555" s="2"/>
      <c r="G555" s="43"/>
      <c r="H555" s="40"/>
      <c r="I555" s="41"/>
      <c r="J555" s="41"/>
      <c r="K555" s="43"/>
      <c r="L555" s="43"/>
      <c r="M555" s="44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0" priority="1" operator="lessThan">
      <formula>0</formula>
    </cfRule>
  </conditionalFormatting>
  <hyperlinks>
    <hyperlink ref="C4" r:id="rId1" xr:uid="{0C91FBDB-91A0-42D1-BF99-8207951E015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Dividends</vt:lpstr>
      <vt:lpstr>13a</vt:lpstr>
      <vt:lpstr>13</vt:lpstr>
      <vt:lpstr>13a (2)</vt:lpstr>
      <vt:lpstr>13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2026-06-25T22:46:10Z</dcterms:modified>
</cp:coreProperties>
</file>