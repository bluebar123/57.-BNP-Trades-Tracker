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J:\All Data\57. BNP Trades Tracker\"/>
    </mc:Choice>
  </mc:AlternateContent>
  <xr:revisionPtr revIDLastSave="0" documentId="13_ncr:1_{96F2ED5A-C540-47C6-88AE-722CB25520A2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IHYG vs AHW" sheetId="7" r:id="rId1"/>
    <sheet name="Dividends" sheetId="6" r:id="rId2"/>
    <sheet name="13a" sheetId="3" r:id="rId3"/>
    <sheet name="13" sheetId="2" r:id="rId4"/>
    <sheet name="13a (2)" sheetId="4" r:id="rId5"/>
    <sheet name="13 (2)" sheetId="5" r:id="rId6"/>
    <sheet name="Combined" sheetId="8" r:id="rId7"/>
    <sheet name="Combined (2)" sheetId="9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8" l="1"/>
  <c r="E5" i="9"/>
  <c r="D5" i="9"/>
  <c r="C5" i="9"/>
  <c r="B5" i="9"/>
  <c r="AG55" i="9" a="1"/>
  <c r="C9" i="9" a="1"/>
  <c r="AN3" i="9" a="1"/>
  <c r="B9" i="9" a="1"/>
  <c r="AC3" i="9" a="1"/>
  <c r="AG3" i="9" a="1"/>
  <c r="AE3" i="9" a="1"/>
  <c r="C7" i="9" a="1"/>
  <c r="W2" i="9" a="1"/>
  <c r="E9" i="9" a="1"/>
  <c r="D9" i="9" a="1"/>
  <c r="U2" i="9" a="1"/>
  <c r="B7" i="9" a="1"/>
  <c r="AL4" i="9" a="1"/>
  <c r="AP3" i="9" a="1"/>
  <c r="AA3" i="9" a="1"/>
  <c r="E9" i="8" a="1"/>
  <c r="AA3" i="9" l="1"/>
  <c r="AI84" i="9"/>
  <c r="AJ84" i="9" s="1"/>
  <c r="AI31" i="9"/>
  <c r="AJ31" i="9" s="1"/>
  <c r="AI95" i="9"/>
  <c r="AJ95" i="9" s="1"/>
  <c r="AI42" i="9"/>
  <c r="AJ42" i="9" s="1"/>
  <c r="AI98" i="9"/>
  <c r="AJ98" i="9" s="1"/>
  <c r="AI90" i="9"/>
  <c r="AJ90" i="9" s="1"/>
  <c r="AI43" i="9"/>
  <c r="AJ43" i="9" s="1"/>
  <c r="AI36" i="9"/>
  <c r="AJ36" i="9" s="1"/>
  <c r="AI32" i="9"/>
  <c r="AJ32" i="9" s="1"/>
  <c r="AI46" i="9"/>
  <c r="AJ46" i="9" s="1"/>
  <c r="AI19" i="9"/>
  <c r="AJ19" i="9" s="1"/>
  <c r="AI64" i="9"/>
  <c r="AJ64" i="9" s="1"/>
  <c r="AI102" i="9"/>
  <c r="AJ102" i="9" s="1"/>
  <c r="AI23" i="9"/>
  <c r="AJ23" i="9" s="1"/>
  <c r="AI70" i="9"/>
  <c r="AJ70" i="9" s="1"/>
  <c r="AI11" i="9"/>
  <c r="AJ11" i="9" s="1"/>
  <c r="AI55" i="9"/>
  <c r="AJ55" i="9" s="1"/>
  <c r="AI4" i="9"/>
  <c r="AJ4" i="9" s="1"/>
  <c r="AP3" i="9"/>
  <c r="AL4" i="9"/>
  <c r="B7" i="9"/>
  <c r="U2" i="9"/>
  <c r="D9" i="9"/>
  <c r="E9" i="9"/>
  <c r="W2" i="9"/>
  <c r="C7" i="9"/>
  <c r="AE3" i="9"/>
  <c r="AI27" i="9" s="1"/>
  <c r="AJ27" i="9" s="1"/>
  <c r="AG3" i="9"/>
  <c r="AC3" i="9"/>
  <c r="AI14" i="9" s="1"/>
  <c r="AJ14" i="9" s="1"/>
  <c r="B9" i="9"/>
  <c r="AR285" i="9"/>
  <c r="AR253" i="9"/>
  <c r="AR221" i="9"/>
  <c r="AR178" i="9"/>
  <c r="AR147" i="9"/>
  <c r="AR274" i="9"/>
  <c r="AR263" i="9"/>
  <c r="AR252" i="9"/>
  <c r="AR241" i="9"/>
  <c r="AR230" i="9"/>
  <c r="AR219" i="9"/>
  <c r="AR208" i="9"/>
  <c r="AR180" i="9"/>
  <c r="AR149" i="9"/>
  <c r="AR116" i="9"/>
  <c r="AR251" i="9"/>
  <c r="AR240" i="9"/>
  <c r="AR229" i="9"/>
  <c r="AR218" i="9"/>
  <c r="AR207" i="9"/>
  <c r="AR186" i="9"/>
  <c r="AR290" i="9"/>
  <c r="AR239" i="9"/>
  <c r="AR142" i="9"/>
  <c r="AR53" i="9"/>
  <c r="AR265" i="9"/>
  <c r="AR289" i="9"/>
  <c r="AR238" i="9"/>
  <c r="AR144" i="9"/>
  <c r="AR131" i="9"/>
  <c r="AR114" i="9"/>
  <c r="AR99" i="9"/>
  <c r="AR264" i="9"/>
  <c r="AR270" i="9"/>
  <c r="AR243" i="9"/>
  <c r="AR228" i="9"/>
  <c r="AR152" i="9"/>
  <c r="AR145" i="9"/>
  <c r="AR283" i="9"/>
  <c r="AR242" i="9"/>
  <c r="AR115" i="9"/>
  <c r="AR106" i="9"/>
  <c r="AR75" i="9"/>
  <c r="AR166" i="9"/>
  <c r="AR124" i="9"/>
  <c r="AR31" i="9"/>
  <c r="AR255" i="9"/>
  <c r="AR226" i="9"/>
  <c r="AR198" i="9"/>
  <c r="AR183" i="9"/>
  <c r="AR161" i="9"/>
  <c r="AR140" i="9"/>
  <c r="AR133" i="9"/>
  <c r="AR268" i="9"/>
  <c r="AR286" i="9"/>
  <c r="AR204" i="9"/>
  <c r="AR181" i="9"/>
  <c r="AR167" i="9"/>
  <c r="AR91" i="9"/>
  <c r="AR9" i="9"/>
  <c r="AR4" i="9"/>
  <c r="AR267" i="9"/>
  <c r="AR249" i="9"/>
  <c r="AR156" i="9"/>
  <c r="AR148" i="9"/>
  <c r="AR127" i="9"/>
  <c r="AR119" i="9"/>
  <c r="AR72" i="9"/>
  <c r="AR234" i="9"/>
  <c r="AR201" i="9"/>
  <c r="AR175" i="9"/>
  <c r="AR132" i="9"/>
  <c r="AR195" i="9"/>
  <c r="AR266" i="9"/>
  <c r="AR248" i="9"/>
  <c r="AR217" i="9"/>
  <c r="AR192" i="9"/>
  <c r="AR281" i="9"/>
  <c r="AR233" i="9"/>
  <c r="AR164" i="9"/>
  <c r="AR153" i="9"/>
  <c r="AR111" i="9"/>
  <c r="AR103" i="9"/>
  <c r="AR98" i="9"/>
  <c r="AR291" i="9"/>
  <c r="AR194" i="9"/>
  <c r="AR184" i="9"/>
  <c r="AR177" i="9"/>
  <c r="AR87" i="9"/>
  <c r="AR49" i="9"/>
  <c r="AN3" i="9"/>
  <c r="AR3" i="9" s="1"/>
  <c r="AR71" i="9"/>
  <c r="AR58" i="9"/>
  <c r="AR40" i="9"/>
  <c r="AR110" i="9"/>
  <c r="AR33" i="9"/>
  <c r="AR18" i="9"/>
  <c r="AR246" i="9"/>
  <c r="AR225" i="9"/>
  <c r="AR174" i="9"/>
  <c r="AR123" i="9"/>
  <c r="AR129" i="9"/>
  <c r="AR173" i="9"/>
  <c r="AR151" i="9"/>
  <c r="AR8" i="9"/>
  <c r="AR92" i="9"/>
  <c r="AR68" i="9"/>
  <c r="AR138" i="9"/>
  <c r="AR60" i="9"/>
  <c r="AR16" i="9"/>
  <c r="AR245" i="9"/>
  <c r="AR224" i="9"/>
  <c r="AR206" i="9"/>
  <c r="AR187" i="9"/>
  <c r="AR154" i="9"/>
  <c r="AR135" i="9"/>
  <c r="AR84" i="9"/>
  <c r="AR81" i="9"/>
  <c r="AR42" i="9"/>
  <c r="AR157" i="9"/>
  <c r="AR141" i="9"/>
  <c r="AR288" i="9"/>
  <c r="AR101" i="9"/>
  <c r="AR95" i="9"/>
  <c r="AR51" i="9"/>
  <c r="AR7" i="9"/>
  <c r="AR197" i="9"/>
  <c r="AR190" i="9"/>
  <c r="AR244" i="9"/>
  <c r="AR223" i="9"/>
  <c r="AR44" i="9"/>
  <c r="AR14" i="9"/>
  <c r="AR287" i="9"/>
  <c r="AR261" i="9"/>
  <c r="AR200" i="9"/>
  <c r="AR170" i="9"/>
  <c r="AR160" i="9"/>
  <c r="AR113" i="9"/>
  <c r="AR78" i="9"/>
  <c r="AR73" i="9"/>
  <c r="AR65" i="9"/>
  <c r="AR260" i="9"/>
  <c r="AR216" i="9"/>
  <c r="AR80" i="9"/>
  <c r="AR67" i="9"/>
  <c r="AR39" i="9"/>
  <c r="AR30" i="9"/>
  <c r="AR12" i="9"/>
  <c r="AR236" i="9"/>
  <c r="AR172" i="9"/>
  <c r="AR277" i="9"/>
  <c r="AR215" i="9"/>
  <c r="AR159" i="9"/>
  <c r="AR121" i="9"/>
  <c r="AR118" i="9"/>
  <c r="AR112" i="9"/>
  <c r="AR109" i="9"/>
  <c r="AR41" i="9"/>
  <c r="AR32" i="9"/>
  <c r="AR11" i="9"/>
  <c r="AR185" i="9"/>
  <c r="AR126" i="9"/>
  <c r="AR54" i="9"/>
  <c r="AR50" i="9"/>
  <c r="AR125" i="9"/>
  <c r="AR28" i="9"/>
  <c r="AR6" i="9"/>
  <c r="AR256" i="9"/>
  <c r="AR104" i="9"/>
  <c r="AR5" i="9"/>
  <c r="AR150" i="9"/>
  <c r="AR271" i="9"/>
  <c r="AR231" i="9"/>
  <c r="AR43" i="9"/>
  <c r="AR36" i="9"/>
  <c r="AR22" i="9"/>
  <c r="AR19" i="9"/>
  <c r="AR202" i="9"/>
  <c r="AR196" i="9"/>
  <c r="AR90" i="9"/>
  <c r="AR77" i="9"/>
  <c r="AR61" i="9"/>
  <c r="AR96" i="9"/>
  <c r="AR46" i="9"/>
  <c r="AR162" i="9"/>
  <c r="AR130" i="9"/>
  <c r="AR69" i="9"/>
  <c r="AR25" i="9"/>
  <c r="AR220" i="9"/>
  <c r="AR191" i="9"/>
  <c r="AR179" i="9"/>
  <c r="AR168" i="9"/>
  <c r="AR136" i="9"/>
  <c r="AR57" i="9"/>
  <c r="AR146" i="9"/>
  <c r="AR105" i="9"/>
  <c r="AR100" i="9"/>
  <c r="AR82" i="9"/>
  <c r="AR259" i="9"/>
  <c r="AR222" i="9"/>
  <c r="AR258" i="9"/>
  <c r="AR35" i="9"/>
  <c r="AR15" i="9"/>
  <c r="AR257" i="9"/>
  <c r="AR189" i="9"/>
  <c r="AR250" i="9"/>
  <c r="AR212" i="9"/>
  <c r="AR128" i="9"/>
  <c r="AR45" i="9"/>
  <c r="AR108" i="9"/>
  <c r="AR48" i="9"/>
  <c r="AR280" i="9"/>
  <c r="AR247" i="9"/>
  <c r="AR211" i="9"/>
  <c r="AR165" i="9"/>
  <c r="AR210" i="9"/>
  <c r="AR27" i="9"/>
  <c r="AR17" i="9"/>
  <c r="AR279" i="9"/>
  <c r="AR199" i="9"/>
  <c r="AR176" i="9"/>
  <c r="AR88" i="9"/>
  <c r="AR59" i="9"/>
  <c r="AR55" i="9"/>
  <c r="AR155" i="9"/>
  <c r="AR275" i="9"/>
  <c r="AR203" i="9"/>
  <c r="AR93" i="9"/>
  <c r="AR20" i="9"/>
  <c r="AR143" i="9"/>
  <c r="AR122" i="9"/>
  <c r="AR83" i="9"/>
  <c r="AR26" i="9"/>
  <c r="AR235" i="9"/>
  <c r="AR38" i="9"/>
  <c r="AR89" i="9"/>
  <c r="AR56" i="9"/>
  <c r="AR272" i="9"/>
  <c r="AR13" i="9"/>
  <c r="AR10" i="9"/>
  <c r="AR102" i="9"/>
  <c r="AR254" i="9"/>
  <c r="AR139" i="9"/>
  <c r="AR37" i="9"/>
  <c r="AR74" i="9"/>
  <c r="AR66" i="9"/>
  <c r="AR64" i="9"/>
  <c r="AR24" i="9"/>
  <c r="AR237" i="9"/>
  <c r="AR97" i="9"/>
  <c r="AR137" i="9"/>
  <c r="AR232" i="9"/>
  <c r="AR171" i="9"/>
  <c r="AR117" i="9"/>
  <c r="AR62" i="9"/>
  <c r="AR34" i="9"/>
  <c r="AR23" i="9"/>
  <c r="AR214" i="9"/>
  <c r="AR193" i="9"/>
  <c r="AR79" i="9"/>
  <c r="AR70" i="9"/>
  <c r="AR293" i="9"/>
  <c r="AR47" i="9"/>
  <c r="AR209" i="9"/>
  <c r="AR278" i="9"/>
  <c r="AR52" i="9"/>
  <c r="AR21" i="9"/>
  <c r="AR276" i="9"/>
  <c r="AR292" i="9"/>
  <c r="AR169" i="9"/>
  <c r="AR134" i="9"/>
  <c r="AR85" i="9"/>
  <c r="AR158" i="9"/>
  <c r="AR94" i="9"/>
  <c r="C9" i="9"/>
  <c r="AG55" i="9"/>
  <c r="H5" i="9"/>
  <c r="E9" i="8"/>
  <c r="E5" i="8"/>
  <c r="V2" i="8" a="1"/>
  <c r="AF55" i="8" a="1"/>
  <c r="T2" i="8" a="1"/>
  <c r="AF3" i="8" a="1"/>
  <c r="AI37" i="9" l="1"/>
  <c r="AJ37" i="9" s="1"/>
  <c r="AI22" i="9"/>
  <c r="AJ22" i="9" s="1"/>
  <c r="AI7" i="9"/>
  <c r="AJ7" i="9" s="1"/>
  <c r="AI80" i="9"/>
  <c r="AJ80" i="9" s="1"/>
  <c r="AI65" i="9"/>
  <c r="AJ65" i="9" s="1"/>
  <c r="AI81" i="9"/>
  <c r="AJ81" i="9" s="1"/>
  <c r="AI12" i="9"/>
  <c r="AJ12" i="9" s="1"/>
  <c r="AI15" i="9"/>
  <c r="AJ15" i="9" s="1"/>
  <c r="AI29" i="9"/>
  <c r="AJ29" i="9" s="1"/>
  <c r="AI25" i="9"/>
  <c r="AJ25" i="9" s="1"/>
  <c r="AI6" i="9"/>
  <c r="AJ6" i="9" s="1"/>
  <c r="AI40" i="9"/>
  <c r="AJ40" i="9" s="1"/>
  <c r="AI54" i="9"/>
  <c r="AJ54" i="9" s="1"/>
  <c r="AI58" i="9"/>
  <c r="AJ58" i="9" s="1"/>
  <c r="AI48" i="9"/>
  <c r="AJ48" i="9" s="1"/>
  <c r="AI77" i="9"/>
  <c r="AJ77" i="9" s="1"/>
  <c r="AI71" i="9"/>
  <c r="AJ71" i="9" s="1"/>
  <c r="AI10" i="9"/>
  <c r="AJ10" i="9" s="1"/>
  <c r="AI28" i="9"/>
  <c r="AJ28" i="9" s="1"/>
  <c r="AI76" i="9"/>
  <c r="AJ76" i="9" s="1"/>
  <c r="AI30" i="9"/>
  <c r="AJ30" i="9" s="1"/>
  <c r="AI100" i="9"/>
  <c r="AJ100" i="9" s="1"/>
  <c r="AI3" i="9"/>
  <c r="AJ3" i="9" s="1"/>
  <c r="AI26" i="9"/>
  <c r="AJ26" i="9" s="1"/>
  <c r="AI47" i="9"/>
  <c r="AJ47" i="9" s="1"/>
  <c r="AI33" i="9"/>
  <c r="AJ33" i="9" s="1"/>
  <c r="AI38" i="9"/>
  <c r="AJ38" i="9" s="1"/>
  <c r="AI50" i="9"/>
  <c r="AJ50" i="9" s="1"/>
  <c r="AI403" i="9"/>
  <c r="AJ403" i="9" s="1"/>
  <c r="AI371" i="9"/>
  <c r="AJ371" i="9" s="1"/>
  <c r="AI339" i="9"/>
  <c r="AJ339" i="9" s="1"/>
  <c r="AI307" i="9"/>
  <c r="AJ307" i="9" s="1"/>
  <c r="AI275" i="9"/>
  <c r="AJ275" i="9" s="1"/>
  <c r="AI243" i="9"/>
  <c r="AJ243" i="9" s="1"/>
  <c r="AI211" i="9"/>
  <c r="AJ211" i="9" s="1"/>
  <c r="AI569" i="9"/>
  <c r="AJ569" i="9" s="1"/>
  <c r="AI553" i="9"/>
  <c r="AJ553" i="9" s="1"/>
  <c r="AI537" i="9"/>
  <c r="AJ537" i="9" s="1"/>
  <c r="AI521" i="9"/>
  <c r="AJ521" i="9" s="1"/>
  <c r="AI568" i="9"/>
  <c r="AJ568" i="9" s="1"/>
  <c r="AI552" i="9"/>
  <c r="AJ552" i="9" s="1"/>
  <c r="AI536" i="9"/>
  <c r="AJ536" i="9" s="1"/>
  <c r="AI520" i="9"/>
  <c r="AJ520" i="9" s="1"/>
  <c r="AI504" i="9"/>
  <c r="AJ504" i="9" s="1"/>
  <c r="AI488" i="9"/>
  <c r="AJ488" i="9" s="1"/>
  <c r="AI472" i="9"/>
  <c r="AJ472" i="9" s="1"/>
  <c r="AI456" i="9"/>
  <c r="AJ456" i="9" s="1"/>
  <c r="AI440" i="9"/>
  <c r="AJ440" i="9" s="1"/>
  <c r="AI424" i="9"/>
  <c r="AJ424" i="9" s="1"/>
  <c r="AI402" i="9"/>
  <c r="AJ402" i="9" s="1"/>
  <c r="AI370" i="9"/>
  <c r="AJ370" i="9" s="1"/>
  <c r="AI391" i="9"/>
  <c r="AJ391" i="9" s="1"/>
  <c r="AI359" i="9"/>
  <c r="AJ359" i="9" s="1"/>
  <c r="AI327" i="9"/>
  <c r="AJ327" i="9" s="1"/>
  <c r="AI567" i="9"/>
  <c r="AJ567" i="9" s="1"/>
  <c r="AI551" i="9"/>
  <c r="AJ551" i="9" s="1"/>
  <c r="AI535" i="9"/>
  <c r="AJ535" i="9" s="1"/>
  <c r="AI519" i="9"/>
  <c r="AJ519" i="9" s="1"/>
  <c r="AI503" i="9"/>
  <c r="AJ503" i="9" s="1"/>
  <c r="AI401" i="9"/>
  <c r="AJ401" i="9" s="1"/>
  <c r="AI369" i="9"/>
  <c r="AJ369" i="9" s="1"/>
  <c r="AI566" i="9"/>
  <c r="AJ566" i="9" s="1"/>
  <c r="AI550" i="9"/>
  <c r="AJ550" i="9" s="1"/>
  <c r="AI534" i="9"/>
  <c r="AJ534" i="9" s="1"/>
  <c r="AI518" i="9"/>
  <c r="AJ518" i="9" s="1"/>
  <c r="AI502" i="9"/>
  <c r="AJ502" i="9" s="1"/>
  <c r="AI486" i="9"/>
  <c r="AJ486" i="9" s="1"/>
  <c r="AI411" i="9"/>
  <c r="AJ411" i="9" s="1"/>
  <c r="AI379" i="9"/>
  <c r="AJ379" i="9" s="1"/>
  <c r="AI565" i="9"/>
  <c r="AJ565" i="9" s="1"/>
  <c r="AI549" i="9"/>
  <c r="AJ549" i="9" s="1"/>
  <c r="AI533" i="9"/>
  <c r="AJ533" i="9" s="1"/>
  <c r="AI517" i="9"/>
  <c r="AJ517" i="9" s="1"/>
  <c r="AI501" i="9"/>
  <c r="AJ501" i="9" s="1"/>
  <c r="AI485" i="9"/>
  <c r="AJ485" i="9" s="1"/>
  <c r="AI561" i="9"/>
  <c r="AJ561" i="9" s="1"/>
  <c r="AI397" i="9"/>
  <c r="AJ397" i="9" s="1"/>
  <c r="AI365" i="9"/>
  <c r="AJ365" i="9" s="1"/>
  <c r="AI543" i="9"/>
  <c r="AJ543" i="9" s="1"/>
  <c r="AI522" i="9"/>
  <c r="AJ522" i="9" s="1"/>
  <c r="AI497" i="9"/>
  <c r="AJ497" i="9" s="1"/>
  <c r="AI457" i="9"/>
  <c r="AJ457" i="9" s="1"/>
  <c r="AI436" i="9"/>
  <c r="AJ436" i="9" s="1"/>
  <c r="AI393" i="9"/>
  <c r="AJ393" i="9" s="1"/>
  <c r="AI354" i="9"/>
  <c r="AJ354" i="9" s="1"/>
  <c r="AI342" i="9"/>
  <c r="AJ342" i="9" s="1"/>
  <c r="AI264" i="9"/>
  <c r="AJ264" i="9" s="1"/>
  <c r="AI253" i="9"/>
  <c r="AJ253" i="9" s="1"/>
  <c r="AI242" i="9"/>
  <c r="AJ242" i="9" s="1"/>
  <c r="AI231" i="9"/>
  <c r="AJ231" i="9" s="1"/>
  <c r="AI220" i="9"/>
  <c r="AJ220" i="9" s="1"/>
  <c r="AI209" i="9"/>
  <c r="AJ209" i="9" s="1"/>
  <c r="AI174" i="9"/>
  <c r="AJ174" i="9" s="1"/>
  <c r="AI143" i="9"/>
  <c r="AJ143" i="9" s="1"/>
  <c r="AI496" i="9"/>
  <c r="AJ496" i="9" s="1"/>
  <c r="AI476" i="9"/>
  <c r="AJ476" i="9" s="1"/>
  <c r="AI418" i="9"/>
  <c r="AJ418" i="9" s="1"/>
  <c r="AI366" i="9"/>
  <c r="AJ366" i="9" s="1"/>
  <c r="AI319" i="9"/>
  <c r="AJ319" i="9" s="1"/>
  <c r="AI308" i="9"/>
  <c r="AJ308" i="9" s="1"/>
  <c r="AI297" i="9"/>
  <c r="AJ297" i="9" s="1"/>
  <c r="AI286" i="9"/>
  <c r="AJ286" i="9" s="1"/>
  <c r="AI176" i="9"/>
  <c r="AJ176" i="9" s="1"/>
  <c r="AI145" i="9"/>
  <c r="AJ145" i="9" s="1"/>
  <c r="AI112" i="9"/>
  <c r="AJ112" i="9" s="1"/>
  <c r="AI564" i="9"/>
  <c r="AJ564" i="9" s="1"/>
  <c r="AI542" i="9"/>
  <c r="AJ542" i="9" s="1"/>
  <c r="AI455" i="9"/>
  <c r="AJ455" i="9" s="1"/>
  <c r="AI435" i="9"/>
  <c r="AJ435" i="9" s="1"/>
  <c r="AI405" i="9"/>
  <c r="AJ405" i="9" s="1"/>
  <c r="AI392" i="9"/>
  <c r="AJ392" i="9" s="1"/>
  <c r="AI378" i="9"/>
  <c r="AJ378" i="9" s="1"/>
  <c r="AI330" i="9"/>
  <c r="AJ330" i="9" s="1"/>
  <c r="AI178" i="9"/>
  <c r="AJ178" i="9" s="1"/>
  <c r="AI563" i="9"/>
  <c r="AJ563" i="9" s="1"/>
  <c r="AI541" i="9"/>
  <c r="AJ541" i="9" s="1"/>
  <c r="AI453" i="9"/>
  <c r="AJ453" i="9" s="1"/>
  <c r="AI434" i="9"/>
  <c r="AJ434" i="9" s="1"/>
  <c r="AI417" i="9"/>
  <c r="AJ417" i="9" s="1"/>
  <c r="AI318" i="9"/>
  <c r="AJ318" i="9" s="1"/>
  <c r="AI182" i="9"/>
  <c r="AJ182" i="9" s="1"/>
  <c r="AI515" i="9"/>
  <c r="AJ515" i="9" s="1"/>
  <c r="AI494" i="9"/>
  <c r="AJ494" i="9" s="1"/>
  <c r="AI474" i="9"/>
  <c r="AJ474" i="9" s="1"/>
  <c r="AI404" i="9"/>
  <c r="AJ404" i="9" s="1"/>
  <c r="AI562" i="9"/>
  <c r="AJ562" i="9" s="1"/>
  <c r="AI540" i="9"/>
  <c r="AJ540" i="9" s="1"/>
  <c r="AI473" i="9"/>
  <c r="AJ473" i="9" s="1"/>
  <c r="AI452" i="9"/>
  <c r="AJ452" i="9" s="1"/>
  <c r="AI433" i="9"/>
  <c r="AJ433" i="9" s="1"/>
  <c r="AI514" i="9"/>
  <c r="AJ514" i="9" s="1"/>
  <c r="AI493" i="9"/>
  <c r="AJ493" i="9" s="1"/>
  <c r="AI432" i="9"/>
  <c r="AJ432" i="9" s="1"/>
  <c r="AI416" i="9"/>
  <c r="AJ416" i="9" s="1"/>
  <c r="AI389" i="9"/>
  <c r="AJ389" i="9" s="1"/>
  <c r="AI560" i="9"/>
  <c r="AJ560" i="9" s="1"/>
  <c r="AI539" i="9"/>
  <c r="AJ539" i="9" s="1"/>
  <c r="AI471" i="9"/>
  <c r="AJ471" i="9" s="1"/>
  <c r="AI451" i="9"/>
  <c r="AJ451" i="9" s="1"/>
  <c r="AI513" i="9"/>
  <c r="AJ513" i="9" s="1"/>
  <c r="AI492" i="9"/>
  <c r="AJ492" i="9" s="1"/>
  <c r="AI470" i="9"/>
  <c r="AJ470" i="9" s="1"/>
  <c r="AI431" i="9"/>
  <c r="AJ431" i="9" s="1"/>
  <c r="AI559" i="9"/>
  <c r="AJ559" i="9" s="1"/>
  <c r="AI528" i="9"/>
  <c r="AJ528" i="9" s="1"/>
  <c r="AI356" i="9"/>
  <c r="AJ356" i="9" s="1"/>
  <c r="AI328" i="9"/>
  <c r="AJ328" i="9" s="1"/>
  <c r="AI303" i="9"/>
  <c r="AJ303" i="9" s="1"/>
  <c r="AI266" i="9"/>
  <c r="AJ266" i="9" s="1"/>
  <c r="AI215" i="9"/>
  <c r="AJ215" i="9" s="1"/>
  <c r="AI171" i="9"/>
  <c r="AJ171" i="9" s="1"/>
  <c r="AI162" i="9"/>
  <c r="AJ162" i="9" s="1"/>
  <c r="AI558" i="9"/>
  <c r="AJ558" i="9" s="1"/>
  <c r="AI498" i="9"/>
  <c r="AJ498" i="9" s="1"/>
  <c r="AI466" i="9"/>
  <c r="AJ466" i="9" s="1"/>
  <c r="AI442" i="9"/>
  <c r="AJ442" i="9" s="1"/>
  <c r="AI399" i="9"/>
  <c r="AJ399" i="9" s="1"/>
  <c r="AI341" i="9"/>
  <c r="AJ341" i="9" s="1"/>
  <c r="AI315" i="9"/>
  <c r="AJ315" i="9" s="1"/>
  <c r="AI278" i="9"/>
  <c r="AJ278" i="9" s="1"/>
  <c r="AI252" i="9"/>
  <c r="AJ252" i="9" s="1"/>
  <c r="AI227" i="9"/>
  <c r="AJ227" i="9" s="1"/>
  <c r="AI557" i="9"/>
  <c r="AJ557" i="9" s="1"/>
  <c r="AI495" i="9"/>
  <c r="AJ495" i="9" s="1"/>
  <c r="AI465" i="9"/>
  <c r="AJ465" i="9" s="1"/>
  <c r="AI355" i="9"/>
  <c r="AJ355" i="9" s="1"/>
  <c r="AI340" i="9"/>
  <c r="AJ340" i="9" s="1"/>
  <c r="AI302" i="9"/>
  <c r="AJ302" i="9" s="1"/>
  <c r="AI265" i="9"/>
  <c r="AJ265" i="9" s="1"/>
  <c r="AI251" i="9"/>
  <c r="AJ251" i="9" s="1"/>
  <c r="AI214" i="9"/>
  <c r="AJ214" i="9" s="1"/>
  <c r="AI194" i="9"/>
  <c r="AJ194" i="9" s="1"/>
  <c r="AI187" i="9"/>
  <c r="AJ187" i="9" s="1"/>
  <c r="AI129" i="9"/>
  <c r="AJ129" i="9" s="1"/>
  <c r="AI526" i="9"/>
  <c r="AJ526" i="9" s="1"/>
  <c r="AI464" i="9"/>
  <c r="AJ464" i="9" s="1"/>
  <c r="AI439" i="9"/>
  <c r="AJ439" i="9" s="1"/>
  <c r="AI398" i="9"/>
  <c r="AJ398" i="9" s="1"/>
  <c r="AI368" i="9"/>
  <c r="AJ368" i="9" s="1"/>
  <c r="AI314" i="9"/>
  <c r="AJ314" i="9" s="1"/>
  <c r="AI277" i="9"/>
  <c r="AJ277" i="9" s="1"/>
  <c r="AI525" i="9"/>
  <c r="AJ525" i="9" s="1"/>
  <c r="AI463" i="9"/>
  <c r="AJ463" i="9" s="1"/>
  <c r="AI437" i="9"/>
  <c r="AJ437" i="9" s="1"/>
  <c r="AI555" i="9"/>
  <c r="AJ555" i="9" s="1"/>
  <c r="AI490" i="9"/>
  <c r="AJ490" i="9" s="1"/>
  <c r="AI413" i="9"/>
  <c r="AJ413" i="9" s="1"/>
  <c r="AI367" i="9"/>
  <c r="AJ367" i="9" s="1"/>
  <c r="AI352" i="9"/>
  <c r="AJ352" i="9" s="1"/>
  <c r="AI524" i="9"/>
  <c r="AJ524" i="9" s="1"/>
  <c r="AI489" i="9"/>
  <c r="AJ489" i="9" s="1"/>
  <c r="AI462" i="9"/>
  <c r="AJ462" i="9" s="1"/>
  <c r="AI412" i="9"/>
  <c r="AJ412" i="9" s="1"/>
  <c r="AI382" i="9"/>
  <c r="AJ382" i="9" s="1"/>
  <c r="AI554" i="9"/>
  <c r="AJ554" i="9" s="1"/>
  <c r="AI396" i="9"/>
  <c r="AJ396" i="9" s="1"/>
  <c r="AI510" i="9"/>
  <c r="AJ510" i="9" s="1"/>
  <c r="AI454" i="9"/>
  <c r="AJ454" i="9" s="1"/>
  <c r="AI507" i="9"/>
  <c r="AJ507" i="9" s="1"/>
  <c r="AI509" i="9"/>
  <c r="AJ509" i="9" s="1"/>
  <c r="AI468" i="9"/>
  <c r="AJ468" i="9" s="1"/>
  <c r="AI428" i="9"/>
  <c r="AJ428" i="9" s="1"/>
  <c r="AI363" i="9"/>
  <c r="AJ363" i="9" s="1"/>
  <c r="AI257" i="9"/>
  <c r="AJ257" i="9" s="1"/>
  <c r="AI191" i="9"/>
  <c r="AJ191" i="9" s="1"/>
  <c r="AI113" i="9"/>
  <c r="AJ113" i="9" s="1"/>
  <c r="AI508" i="9"/>
  <c r="AJ508" i="9" s="1"/>
  <c r="AI467" i="9"/>
  <c r="AJ467" i="9" s="1"/>
  <c r="AI427" i="9"/>
  <c r="AJ427" i="9" s="1"/>
  <c r="AI384" i="9"/>
  <c r="AJ384" i="9" s="1"/>
  <c r="AI313" i="9"/>
  <c r="AJ313" i="9" s="1"/>
  <c r="AI299" i="9"/>
  <c r="AJ299" i="9" s="1"/>
  <c r="AI270" i="9"/>
  <c r="AJ270" i="9" s="1"/>
  <c r="AI228" i="9"/>
  <c r="AJ228" i="9" s="1"/>
  <c r="AI152" i="9"/>
  <c r="AJ152" i="9" s="1"/>
  <c r="AI131" i="9"/>
  <c r="AJ131" i="9" s="1"/>
  <c r="AI383" i="9"/>
  <c r="AJ383" i="9" s="1"/>
  <c r="AI362" i="9"/>
  <c r="AJ362" i="9" s="1"/>
  <c r="AI329" i="9"/>
  <c r="AJ329" i="9" s="1"/>
  <c r="AI256" i="9"/>
  <c r="AJ256" i="9" s="1"/>
  <c r="AI548" i="9"/>
  <c r="AJ548" i="9" s="1"/>
  <c r="AI426" i="9"/>
  <c r="AJ426" i="9" s="1"/>
  <c r="AI381" i="9"/>
  <c r="AJ381" i="9" s="1"/>
  <c r="AI345" i="9"/>
  <c r="AJ345" i="9" s="1"/>
  <c r="AI312" i="9"/>
  <c r="AJ312" i="9" s="1"/>
  <c r="AI283" i="9"/>
  <c r="AJ283" i="9" s="1"/>
  <c r="AI241" i="9"/>
  <c r="AJ241" i="9" s="1"/>
  <c r="AI115" i="9"/>
  <c r="AJ115" i="9" s="1"/>
  <c r="AI106" i="9"/>
  <c r="AJ106" i="9" s="1"/>
  <c r="AI547" i="9"/>
  <c r="AJ547" i="9" s="1"/>
  <c r="AI505" i="9"/>
  <c r="AJ505" i="9" s="1"/>
  <c r="AI361" i="9"/>
  <c r="AJ361" i="9" s="1"/>
  <c r="AI326" i="9"/>
  <c r="AJ326" i="9" s="1"/>
  <c r="AI255" i="9"/>
  <c r="AJ255" i="9" s="1"/>
  <c r="AI460" i="9"/>
  <c r="AJ460" i="9" s="1"/>
  <c r="AI423" i="9"/>
  <c r="AJ423" i="9" s="1"/>
  <c r="AI344" i="9"/>
  <c r="AJ344" i="9" s="1"/>
  <c r="AI546" i="9"/>
  <c r="AJ546" i="9" s="1"/>
  <c r="AI422" i="9"/>
  <c r="AJ422" i="9" s="1"/>
  <c r="AI400" i="9"/>
  <c r="AJ400" i="9" s="1"/>
  <c r="AI377" i="9"/>
  <c r="AJ377" i="9" s="1"/>
  <c r="AI360" i="9"/>
  <c r="AJ360" i="9" s="1"/>
  <c r="AI325" i="9"/>
  <c r="AJ325" i="9" s="1"/>
  <c r="AI545" i="9"/>
  <c r="AJ545" i="9" s="1"/>
  <c r="AI500" i="9"/>
  <c r="AJ500" i="9" s="1"/>
  <c r="AI459" i="9"/>
  <c r="AJ459" i="9" s="1"/>
  <c r="AI544" i="9"/>
  <c r="AJ544" i="9" s="1"/>
  <c r="AI421" i="9"/>
  <c r="AJ421" i="9" s="1"/>
  <c r="AI450" i="9"/>
  <c r="AJ450" i="9" s="1"/>
  <c r="AI482" i="9"/>
  <c r="AJ482" i="9" s="1"/>
  <c r="AI556" i="9"/>
  <c r="AJ556" i="9" s="1"/>
  <c r="AI480" i="9"/>
  <c r="AJ480" i="9" s="1"/>
  <c r="AI364" i="9"/>
  <c r="AJ364" i="9" s="1"/>
  <c r="AI268" i="9"/>
  <c r="AJ268" i="9" s="1"/>
  <c r="AI250" i="9"/>
  <c r="AJ250" i="9" s="1"/>
  <c r="AI170" i="9"/>
  <c r="AJ170" i="9" s="1"/>
  <c r="AI114" i="9"/>
  <c r="AJ114" i="9" s="1"/>
  <c r="AI425" i="9"/>
  <c r="AJ425" i="9" s="1"/>
  <c r="AI390" i="9"/>
  <c r="AJ390" i="9" s="1"/>
  <c r="AI338" i="9"/>
  <c r="AJ338" i="9" s="1"/>
  <c r="AI285" i="9"/>
  <c r="AJ285" i="9" s="1"/>
  <c r="AI235" i="9"/>
  <c r="AJ235" i="9" s="1"/>
  <c r="AI219" i="9"/>
  <c r="AJ219" i="9" s="1"/>
  <c r="AI198" i="9"/>
  <c r="AJ198" i="9" s="1"/>
  <c r="AI140" i="9"/>
  <c r="AJ140" i="9" s="1"/>
  <c r="AI479" i="9"/>
  <c r="AJ479" i="9" s="1"/>
  <c r="AI337" i="9"/>
  <c r="AJ337" i="9" s="1"/>
  <c r="AI320" i="9"/>
  <c r="AJ320" i="9" s="1"/>
  <c r="AI284" i="9"/>
  <c r="AJ284" i="9" s="1"/>
  <c r="AI204" i="9"/>
  <c r="AJ204" i="9" s="1"/>
  <c r="AI181" i="9"/>
  <c r="AJ181" i="9" s="1"/>
  <c r="AI167" i="9"/>
  <c r="AJ167" i="9" s="1"/>
  <c r="AI127" i="9"/>
  <c r="AJ127" i="9" s="1"/>
  <c r="AI538" i="9"/>
  <c r="AJ538" i="9" s="1"/>
  <c r="AI420" i="9"/>
  <c r="AJ420" i="9" s="1"/>
  <c r="AI301" i="9"/>
  <c r="AJ301" i="9" s="1"/>
  <c r="AI267" i="9"/>
  <c r="AJ267" i="9" s="1"/>
  <c r="AI249" i="9"/>
  <c r="AJ249" i="9" s="1"/>
  <c r="AI218" i="9"/>
  <c r="AJ218" i="9" s="1"/>
  <c r="AI201" i="9"/>
  <c r="AJ201" i="9" s="1"/>
  <c r="AI478" i="9"/>
  <c r="AJ478" i="9" s="1"/>
  <c r="AI282" i="9"/>
  <c r="AJ282" i="9" s="1"/>
  <c r="AI234" i="9"/>
  <c r="AJ234" i="9" s="1"/>
  <c r="AI175" i="9"/>
  <c r="AJ175" i="9" s="1"/>
  <c r="AI132" i="9"/>
  <c r="AJ132" i="9" s="1"/>
  <c r="AI124" i="9"/>
  <c r="AJ124" i="9" s="1"/>
  <c r="AI532" i="9"/>
  <c r="AJ532" i="9" s="1"/>
  <c r="AI388" i="9"/>
  <c r="AJ388" i="9" s="1"/>
  <c r="AI336" i="9"/>
  <c r="AJ336" i="9" s="1"/>
  <c r="AI195" i="9"/>
  <c r="AJ195" i="9" s="1"/>
  <c r="AI161" i="9"/>
  <c r="AJ161" i="9" s="1"/>
  <c r="AI137" i="9"/>
  <c r="AJ137" i="9" s="1"/>
  <c r="AI477" i="9"/>
  <c r="AJ477" i="9" s="1"/>
  <c r="AI419" i="9"/>
  <c r="AJ419" i="9" s="1"/>
  <c r="AI317" i="9"/>
  <c r="AJ317" i="9" s="1"/>
  <c r="AI469" i="9"/>
  <c r="AJ469" i="9" s="1"/>
  <c r="AI415" i="9"/>
  <c r="AJ415" i="9" s="1"/>
  <c r="AI387" i="9"/>
  <c r="AJ387" i="9" s="1"/>
  <c r="AI530" i="9"/>
  <c r="AJ530" i="9" s="1"/>
  <c r="AI414" i="9"/>
  <c r="AJ414" i="9" s="1"/>
  <c r="AI529" i="9"/>
  <c r="AJ529" i="9" s="1"/>
  <c r="AI386" i="9"/>
  <c r="AJ386" i="9" s="1"/>
  <c r="AI357" i="9"/>
  <c r="AJ357" i="9" s="1"/>
  <c r="AI527" i="9"/>
  <c r="AJ527" i="9" s="1"/>
  <c r="AI461" i="9"/>
  <c r="AJ461" i="9" s="1"/>
  <c r="AI447" i="9"/>
  <c r="AJ447" i="9" s="1"/>
  <c r="AI332" i="9"/>
  <c r="AJ332" i="9" s="1"/>
  <c r="AI310" i="9"/>
  <c r="AJ310" i="9" s="1"/>
  <c r="AI293" i="9"/>
  <c r="AJ293" i="9" s="1"/>
  <c r="AI531" i="9"/>
  <c r="AJ531" i="9" s="1"/>
  <c r="AI441" i="9"/>
  <c r="AJ441" i="9" s="1"/>
  <c r="AI343" i="9"/>
  <c r="AJ343" i="9" s="1"/>
  <c r="AI271" i="9"/>
  <c r="AJ271" i="9" s="1"/>
  <c r="AI247" i="9"/>
  <c r="AJ247" i="9" s="1"/>
  <c r="AI226" i="9"/>
  <c r="AJ226" i="9" s="1"/>
  <c r="AI190" i="9"/>
  <c r="AJ190" i="9" s="1"/>
  <c r="AI438" i="9"/>
  <c r="AJ438" i="9" s="1"/>
  <c r="AI374" i="9"/>
  <c r="AJ374" i="9" s="1"/>
  <c r="AI311" i="9"/>
  <c r="AJ311" i="9" s="1"/>
  <c r="AI208" i="9"/>
  <c r="AJ208" i="9" s="1"/>
  <c r="AI184" i="9"/>
  <c r="AJ184" i="9" s="1"/>
  <c r="AI164" i="9"/>
  <c r="AJ164" i="9" s="1"/>
  <c r="AI126" i="9"/>
  <c r="AJ126" i="9" s="1"/>
  <c r="AI117" i="9"/>
  <c r="AJ117" i="9" s="1"/>
  <c r="AI523" i="9"/>
  <c r="AJ523" i="9" s="1"/>
  <c r="AI430" i="9"/>
  <c r="AJ430" i="9" s="1"/>
  <c r="AI291" i="9"/>
  <c r="AJ291" i="9" s="1"/>
  <c r="AI269" i="9"/>
  <c r="AJ269" i="9" s="1"/>
  <c r="AI177" i="9"/>
  <c r="AJ177" i="9" s="1"/>
  <c r="AI148" i="9"/>
  <c r="AJ148" i="9" s="1"/>
  <c r="AI290" i="9"/>
  <c r="AJ290" i="9" s="1"/>
  <c r="AI246" i="9"/>
  <c r="AJ246" i="9" s="1"/>
  <c r="AI225" i="9"/>
  <c r="AJ225" i="9" s="1"/>
  <c r="AI207" i="9"/>
  <c r="AJ207" i="9" s="1"/>
  <c r="AI180" i="9"/>
  <c r="AJ180" i="9" s="1"/>
  <c r="AI123" i="9"/>
  <c r="AJ123" i="9" s="1"/>
  <c r="AI120" i="9"/>
  <c r="AJ120" i="9" s="1"/>
  <c r="AI135" i="9"/>
  <c r="AJ135" i="9" s="1"/>
  <c r="AI516" i="9"/>
  <c r="AJ516" i="9" s="1"/>
  <c r="AI429" i="9"/>
  <c r="AJ429" i="9" s="1"/>
  <c r="AI373" i="9"/>
  <c r="AJ373" i="9" s="1"/>
  <c r="AI335" i="9"/>
  <c r="AJ335" i="9" s="1"/>
  <c r="AI289" i="9"/>
  <c r="AJ289" i="9" s="1"/>
  <c r="AI244" i="9"/>
  <c r="AJ244" i="9" s="1"/>
  <c r="AI512" i="9"/>
  <c r="AJ512" i="9" s="1"/>
  <c r="AI263" i="9"/>
  <c r="AJ263" i="9" s="1"/>
  <c r="AI151" i="9"/>
  <c r="AJ151" i="9" s="1"/>
  <c r="AI511" i="9"/>
  <c r="AJ511" i="9" s="1"/>
  <c r="AI334" i="9"/>
  <c r="AJ334" i="9" s="1"/>
  <c r="AI309" i="9"/>
  <c r="AJ309" i="9" s="1"/>
  <c r="AI245" i="9"/>
  <c r="AJ245" i="9" s="1"/>
  <c r="AI224" i="9"/>
  <c r="AJ224" i="9" s="1"/>
  <c r="AI206" i="9"/>
  <c r="AJ206" i="9" s="1"/>
  <c r="AI154" i="9"/>
  <c r="AJ154" i="9" s="1"/>
  <c r="AI410" i="9"/>
  <c r="AJ410" i="9" s="1"/>
  <c r="AI372" i="9"/>
  <c r="AJ372" i="9" s="1"/>
  <c r="AI288" i="9"/>
  <c r="AJ288" i="9" s="1"/>
  <c r="AI262" i="9"/>
  <c r="AJ262" i="9" s="1"/>
  <c r="AI183" i="9"/>
  <c r="AJ183" i="9" s="1"/>
  <c r="AI197" i="9"/>
  <c r="AJ197" i="9" s="1"/>
  <c r="AI157" i="9"/>
  <c r="AJ157" i="9" s="1"/>
  <c r="AI506" i="9"/>
  <c r="AJ506" i="9" s="1"/>
  <c r="AI333" i="9"/>
  <c r="AJ333" i="9" s="1"/>
  <c r="AI223" i="9"/>
  <c r="AJ223" i="9" s="1"/>
  <c r="AI205" i="9"/>
  <c r="AJ205" i="9" s="1"/>
  <c r="AI173" i="9"/>
  <c r="AJ173" i="9" s="1"/>
  <c r="AI163" i="9"/>
  <c r="AJ163" i="9" s="1"/>
  <c r="AI147" i="9"/>
  <c r="AJ147" i="9" s="1"/>
  <c r="AI144" i="9"/>
  <c r="AJ144" i="9" s="1"/>
  <c r="AI138" i="9"/>
  <c r="AJ138" i="9" s="1"/>
  <c r="AI116" i="9"/>
  <c r="AJ116" i="9" s="1"/>
  <c r="AI110" i="9"/>
  <c r="AJ110" i="9" s="1"/>
  <c r="AI107" i="9"/>
  <c r="AJ107" i="9" s="1"/>
  <c r="AI499" i="9"/>
  <c r="AJ499" i="9" s="1"/>
  <c r="AI409" i="9"/>
  <c r="AJ409" i="9" s="1"/>
  <c r="AI306" i="9"/>
  <c r="AJ306" i="9" s="1"/>
  <c r="AI287" i="9"/>
  <c r="AJ287" i="9" s="1"/>
  <c r="AI491" i="9"/>
  <c r="AJ491" i="9" s="1"/>
  <c r="AI240" i="9"/>
  <c r="AJ240" i="9" s="1"/>
  <c r="AI487" i="9"/>
  <c r="AJ487" i="9" s="1"/>
  <c r="AI408" i="9"/>
  <c r="AJ408" i="9" s="1"/>
  <c r="AI484" i="9"/>
  <c r="AJ484" i="9" s="1"/>
  <c r="AI237" i="9"/>
  <c r="AJ237" i="9" s="1"/>
  <c r="AI179" i="9"/>
  <c r="AJ179" i="9" s="1"/>
  <c r="AI169" i="9"/>
  <c r="AJ169" i="9" s="1"/>
  <c r="AI156" i="9"/>
  <c r="AJ156" i="9" s="1"/>
  <c r="AI481" i="9"/>
  <c r="AJ481" i="9" s="1"/>
  <c r="AI353" i="9"/>
  <c r="AJ353" i="9" s="1"/>
  <c r="AI300" i="9"/>
  <c r="AJ300" i="9" s="1"/>
  <c r="AI279" i="9"/>
  <c r="AJ279" i="9" s="1"/>
  <c r="AI258" i="9"/>
  <c r="AJ258" i="9" s="1"/>
  <c r="AI196" i="9"/>
  <c r="AJ196" i="9" s="1"/>
  <c r="AI458" i="9"/>
  <c r="AJ458" i="9" s="1"/>
  <c r="AI395" i="9"/>
  <c r="AJ395" i="9" s="1"/>
  <c r="AI351" i="9"/>
  <c r="AJ351" i="9" s="1"/>
  <c r="AI298" i="9"/>
  <c r="AJ298" i="9" s="1"/>
  <c r="AI236" i="9"/>
  <c r="AJ236" i="9" s="1"/>
  <c r="AI172" i="9"/>
  <c r="AJ172" i="9" s="1"/>
  <c r="AI272" i="9"/>
  <c r="AJ272" i="9" s="1"/>
  <c r="AI232" i="9"/>
  <c r="AJ232" i="9" s="1"/>
  <c r="AI158" i="9"/>
  <c r="AJ158" i="9" s="1"/>
  <c r="AI111" i="9"/>
  <c r="AJ111" i="9" s="1"/>
  <c r="AI449" i="9"/>
  <c r="AJ449" i="9" s="1"/>
  <c r="AI358" i="9"/>
  <c r="AJ358" i="9" s="1"/>
  <c r="AI296" i="9"/>
  <c r="AJ296" i="9" s="1"/>
  <c r="AI125" i="9"/>
  <c r="AJ125" i="9" s="1"/>
  <c r="AI348" i="9"/>
  <c r="AJ348" i="9" s="1"/>
  <c r="AI483" i="9"/>
  <c r="AJ483" i="9" s="1"/>
  <c r="AI305" i="9"/>
  <c r="AJ305" i="9" s="1"/>
  <c r="AI185" i="9"/>
  <c r="AJ185" i="9" s="1"/>
  <c r="AI141" i="9"/>
  <c r="AJ141" i="9" s="1"/>
  <c r="AI304" i="9"/>
  <c r="AJ304" i="9" s="1"/>
  <c r="AI136" i="9"/>
  <c r="AJ136" i="9" s="1"/>
  <c r="AI259" i="9"/>
  <c r="AJ259" i="9" s="1"/>
  <c r="AI475" i="9"/>
  <c r="AJ475" i="9" s="1"/>
  <c r="AI261" i="9"/>
  <c r="AJ261" i="9" s="1"/>
  <c r="AI230" i="9"/>
  <c r="AJ230" i="9" s="1"/>
  <c r="AI260" i="9"/>
  <c r="AJ260" i="9" s="1"/>
  <c r="AI229" i="9"/>
  <c r="AJ229" i="9" s="1"/>
  <c r="AI168" i="9"/>
  <c r="AJ168" i="9" s="1"/>
  <c r="AI202" i="9"/>
  <c r="AJ202" i="9" s="1"/>
  <c r="AI221" i="9"/>
  <c r="AJ221" i="9" s="1"/>
  <c r="AI448" i="9"/>
  <c r="AJ448" i="9" s="1"/>
  <c r="AI350" i="9"/>
  <c r="AJ350" i="9" s="1"/>
  <c r="AI146" i="9"/>
  <c r="AJ146" i="9" s="1"/>
  <c r="AI105" i="9"/>
  <c r="AJ105" i="9" s="1"/>
  <c r="AI445" i="9"/>
  <c r="AJ445" i="9" s="1"/>
  <c r="AI349" i="9"/>
  <c r="AJ349" i="9" s="1"/>
  <c r="AI222" i="9"/>
  <c r="AJ222" i="9" s="1"/>
  <c r="AI119" i="9"/>
  <c r="AJ119" i="9" s="1"/>
  <c r="AI446" i="9"/>
  <c r="AJ446" i="9" s="1"/>
  <c r="AI295" i="9"/>
  <c r="AJ295" i="9" s="1"/>
  <c r="AI130" i="9"/>
  <c r="AJ130" i="9" s="1"/>
  <c r="AI189" i="9"/>
  <c r="AJ189" i="9" s="1"/>
  <c r="AI444" i="9"/>
  <c r="AJ444" i="9" s="1"/>
  <c r="AI347" i="9"/>
  <c r="AJ347" i="9" s="1"/>
  <c r="AI407" i="9"/>
  <c r="AJ407" i="9" s="1"/>
  <c r="AI188" i="9"/>
  <c r="AJ188" i="9" s="1"/>
  <c r="AI155" i="9"/>
  <c r="AJ155" i="9" s="1"/>
  <c r="AI331" i="9"/>
  <c r="AJ331" i="9" s="1"/>
  <c r="AI292" i="9"/>
  <c r="AJ292" i="9" s="1"/>
  <c r="AI160" i="9"/>
  <c r="AJ160" i="9" s="1"/>
  <c r="AI139" i="9"/>
  <c r="AJ139" i="9" s="1"/>
  <c r="AI118" i="9"/>
  <c r="AJ118" i="9" s="1"/>
  <c r="AI406" i="9"/>
  <c r="AJ406" i="9" s="1"/>
  <c r="AI149" i="9"/>
  <c r="AJ149" i="9" s="1"/>
  <c r="AI324" i="9"/>
  <c r="AJ324" i="9" s="1"/>
  <c r="AI323" i="9"/>
  <c r="AJ323" i="9" s="1"/>
  <c r="AI280" i="9"/>
  <c r="AJ280" i="9" s="1"/>
  <c r="AI165" i="9"/>
  <c r="AJ165" i="9" s="1"/>
  <c r="AI394" i="9"/>
  <c r="AJ394" i="9" s="1"/>
  <c r="AI239" i="9"/>
  <c r="AJ239" i="9" s="1"/>
  <c r="AI276" i="9"/>
  <c r="AJ276" i="9" s="1"/>
  <c r="AI443" i="9"/>
  <c r="AJ443" i="9" s="1"/>
  <c r="AI133" i="9"/>
  <c r="AJ133" i="9" s="1"/>
  <c r="AI274" i="9"/>
  <c r="AJ274" i="9" s="1"/>
  <c r="AI128" i="9"/>
  <c r="AJ128" i="9" s="1"/>
  <c r="AI203" i="9"/>
  <c r="AJ203" i="9" s="1"/>
  <c r="AI273" i="9"/>
  <c r="AJ273" i="9" s="1"/>
  <c r="AI122" i="9"/>
  <c r="AJ122" i="9" s="1"/>
  <c r="AI200" i="9"/>
  <c r="AJ200" i="9" s="1"/>
  <c r="AI153" i="9"/>
  <c r="AJ153" i="9" s="1"/>
  <c r="AI385" i="9"/>
  <c r="AJ385" i="9" s="1"/>
  <c r="AI380" i="9"/>
  <c r="AJ380" i="9" s="1"/>
  <c r="AI376" i="9"/>
  <c r="AJ376" i="9" s="1"/>
  <c r="AI254" i="9"/>
  <c r="AJ254" i="9" s="1"/>
  <c r="AI142" i="9"/>
  <c r="AJ142" i="9" s="1"/>
  <c r="AI121" i="9"/>
  <c r="AJ121" i="9" s="1"/>
  <c r="AI109" i="9"/>
  <c r="AJ109" i="9" s="1"/>
  <c r="AI186" i="9"/>
  <c r="AJ186" i="9" s="1"/>
  <c r="AI375" i="9"/>
  <c r="AJ375" i="9" s="1"/>
  <c r="AI248" i="9"/>
  <c r="AJ248" i="9" s="1"/>
  <c r="AI199" i="9"/>
  <c r="AJ199" i="9" s="1"/>
  <c r="AI150" i="9"/>
  <c r="AJ150" i="9" s="1"/>
  <c r="AI108" i="9"/>
  <c r="AJ108" i="9" s="1"/>
  <c r="AI321" i="9"/>
  <c r="AJ321" i="9" s="1"/>
  <c r="AI238" i="9"/>
  <c r="AJ238" i="9" s="1"/>
  <c r="AI346" i="9"/>
  <c r="AJ346" i="9" s="1"/>
  <c r="AI322" i="9"/>
  <c r="AJ322" i="9" s="1"/>
  <c r="AI212" i="9"/>
  <c r="AJ212" i="9" s="1"/>
  <c r="AI233" i="9"/>
  <c r="AJ233" i="9" s="1"/>
  <c r="AI316" i="9"/>
  <c r="AJ316" i="9" s="1"/>
  <c r="AI159" i="9"/>
  <c r="AJ159" i="9" s="1"/>
  <c r="AI217" i="9"/>
  <c r="AJ217" i="9" s="1"/>
  <c r="AI216" i="9"/>
  <c r="AJ216" i="9" s="1"/>
  <c r="AI294" i="9"/>
  <c r="AJ294" i="9" s="1"/>
  <c r="AI193" i="9"/>
  <c r="AJ193" i="9" s="1"/>
  <c r="AI213" i="9"/>
  <c r="AJ213" i="9" s="1"/>
  <c r="AI281" i="9"/>
  <c r="AJ281" i="9" s="1"/>
  <c r="AI210" i="9"/>
  <c r="AJ210" i="9" s="1"/>
  <c r="AI192" i="9"/>
  <c r="AJ192" i="9" s="1"/>
  <c r="AI134" i="9"/>
  <c r="AJ134" i="9" s="1"/>
  <c r="AI166" i="9"/>
  <c r="AJ166" i="9" s="1"/>
  <c r="AI83" i="9"/>
  <c r="AJ83" i="9" s="1"/>
  <c r="AI66" i="9"/>
  <c r="AJ66" i="9" s="1"/>
  <c r="AI49" i="9"/>
  <c r="AJ49" i="9" s="1"/>
  <c r="AI9" i="9"/>
  <c r="AJ9" i="9" s="1"/>
  <c r="AI74" i="9"/>
  <c r="AJ74" i="9" s="1"/>
  <c r="AI87" i="9"/>
  <c r="AJ87" i="9" s="1"/>
  <c r="AI13" i="9"/>
  <c r="AJ13" i="9" s="1"/>
  <c r="AI60" i="9"/>
  <c r="AJ60" i="9" s="1"/>
  <c r="AI63" i="9"/>
  <c r="AJ63" i="9" s="1"/>
  <c r="AI78" i="9"/>
  <c r="AJ78" i="9" s="1"/>
  <c r="AI18" i="9"/>
  <c r="AJ18" i="9" s="1"/>
  <c r="AI91" i="9"/>
  <c r="AJ91" i="9" s="1"/>
  <c r="AI34" i="9"/>
  <c r="AJ34" i="9" s="1"/>
  <c r="AI69" i="9"/>
  <c r="AJ69" i="9" s="1"/>
  <c r="AI61" i="9"/>
  <c r="AJ61" i="9" s="1"/>
  <c r="AI20" i="9"/>
  <c r="AJ20" i="9" s="1"/>
  <c r="AI82" i="9"/>
  <c r="AJ82" i="9" s="1"/>
  <c r="AI79" i="9"/>
  <c r="AJ79" i="9" s="1"/>
  <c r="H4" i="9"/>
  <c r="I3" i="9" s="1"/>
  <c r="J3" i="9" s="1"/>
  <c r="E14" i="9"/>
  <c r="G14" i="9" s="1"/>
  <c r="AI59" i="9"/>
  <c r="AJ59" i="9" s="1"/>
  <c r="AI57" i="9"/>
  <c r="AJ57" i="9" s="1"/>
  <c r="AI96" i="9"/>
  <c r="AJ96" i="9" s="1"/>
  <c r="AI45" i="9"/>
  <c r="AJ45" i="9" s="1"/>
  <c r="AI72" i="9"/>
  <c r="AJ72" i="9" s="1"/>
  <c r="AI99" i="9"/>
  <c r="AJ99" i="9" s="1"/>
  <c r="AI67" i="9"/>
  <c r="AJ67" i="9" s="1"/>
  <c r="AI5" i="9"/>
  <c r="AJ5" i="9" s="1"/>
  <c r="AI8" i="9"/>
  <c r="AJ8" i="9" s="1"/>
  <c r="AR413" i="9"/>
  <c r="AR381" i="9"/>
  <c r="AR349" i="9"/>
  <c r="AR317" i="9"/>
  <c r="AR412" i="9"/>
  <c r="AR380" i="9"/>
  <c r="AR401" i="9"/>
  <c r="AR369" i="9"/>
  <c r="AR337" i="9"/>
  <c r="AR411" i="9"/>
  <c r="AR379" i="9"/>
  <c r="AR347" i="9"/>
  <c r="AR421" i="9"/>
  <c r="AR389" i="9"/>
  <c r="AR407" i="9"/>
  <c r="AR375" i="9"/>
  <c r="AR343" i="9"/>
  <c r="AR418" i="9"/>
  <c r="AR405" i="9"/>
  <c r="AR378" i="9"/>
  <c r="AR330" i="9"/>
  <c r="AR392" i="9"/>
  <c r="AR353" i="9"/>
  <c r="AR341" i="9"/>
  <c r="AR417" i="9"/>
  <c r="AR365" i="9"/>
  <c r="AR318" i="9"/>
  <c r="AR307" i="9"/>
  <c r="AR296" i="9"/>
  <c r="AR390" i="9"/>
  <c r="AR364" i="9"/>
  <c r="AR352" i="9"/>
  <c r="AR340" i="9"/>
  <c r="AR306" i="9"/>
  <c r="AR295" i="9"/>
  <c r="AR416" i="9"/>
  <c r="AR415" i="9"/>
  <c r="AR384" i="9"/>
  <c r="AR355" i="9"/>
  <c r="AR327" i="9"/>
  <c r="AR302" i="9"/>
  <c r="AR414" i="9"/>
  <c r="AR383" i="9"/>
  <c r="AR326" i="9"/>
  <c r="AR354" i="9"/>
  <c r="AR339" i="9"/>
  <c r="AR301" i="9"/>
  <c r="AR382" i="9"/>
  <c r="AR338" i="9"/>
  <c r="AR325" i="9"/>
  <c r="AR396" i="9"/>
  <c r="AR366" i="9"/>
  <c r="AR324" i="9"/>
  <c r="AR313" i="9"/>
  <c r="AR299" i="9"/>
  <c r="AR404" i="9"/>
  <c r="AR345" i="9"/>
  <c r="AR329" i="9"/>
  <c r="AR403" i="9"/>
  <c r="AR312" i="9"/>
  <c r="AR298" i="9"/>
  <c r="AR402" i="9"/>
  <c r="AR361" i="9"/>
  <c r="AR328" i="9"/>
  <c r="AR297" i="9"/>
  <c r="AR400" i="9"/>
  <c r="AR377" i="9"/>
  <c r="AR360" i="9"/>
  <c r="AR399" i="9"/>
  <c r="AR376" i="9"/>
  <c r="AR398" i="9"/>
  <c r="AR342" i="9"/>
  <c r="AR395" i="9"/>
  <c r="AR391" i="9"/>
  <c r="AR320" i="9"/>
  <c r="AR363" i="9"/>
  <c r="AR420" i="9"/>
  <c r="AR388" i="9"/>
  <c r="AR362" i="9"/>
  <c r="AR336" i="9"/>
  <c r="AR319" i="9"/>
  <c r="AR419" i="9"/>
  <c r="AR300" i="9"/>
  <c r="AR359" i="9"/>
  <c r="AR387" i="9"/>
  <c r="AT1" i="9" s="1" a="1"/>
  <c r="AT1" i="9" s="1"/>
  <c r="AR358" i="9"/>
  <c r="AR335" i="9"/>
  <c r="AR357" i="9"/>
  <c r="AR386" i="9"/>
  <c r="AR334" i="9"/>
  <c r="AR410" i="9"/>
  <c r="AR385" i="9"/>
  <c r="AR374" i="9"/>
  <c r="AR350" i="9"/>
  <c r="AR311" i="9"/>
  <c r="AR373" i="9"/>
  <c r="AR310" i="9"/>
  <c r="AR309" i="9"/>
  <c r="AR372" i="9"/>
  <c r="AR333" i="9"/>
  <c r="AR308" i="9"/>
  <c r="AR409" i="9"/>
  <c r="AR371" i="9"/>
  <c r="AR370" i="9"/>
  <c r="AR332" i="9"/>
  <c r="AR408" i="9"/>
  <c r="AR368" i="9"/>
  <c r="AR305" i="9"/>
  <c r="AR323" i="9"/>
  <c r="AR303" i="9"/>
  <c r="AR397" i="9"/>
  <c r="AR322" i="9"/>
  <c r="AR356" i="9"/>
  <c r="AR294" i="9"/>
  <c r="AR304" i="9"/>
  <c r="AR351" i="9"/>
  <c r="AR348" i="9"/>
  <c r="AR331" i="9"/>
  <c r="AR406" i="9"/>
  <c r="AR394" i="9"/>
  <c r="AR393" i="9"/>
  <c r="AR346" i="9"/>
  <c r="AR321" i="9"/>
  <c r="AR367" i="9"/>
  <c r="AR344" i="9"/>
  <c r="AR316" i="9"/>
  <c r="AR315" i="9"/>
  <c r="AR314" i="9"/>
  <c r="AI41" i="9"/>
  <c r="AJ41" i="9" s="1"/>
  <c r="AI62" i="9"/>
  <c r="AJ62" i="9" s="1"/>
  <c r="AI35" i="9"/>
  <c r="AJ35" i="9" s="1"/>
  <c r="AI21" i="9"/>
  <c r="AJ21" i="9" s="1"/>
  <c r="AI52" i="9"/>
  <c r="AJ52" i="9" s="1"/>
  <c r="AI75" i="9"/>
  <c r="AJ75" i="9" s="1"/>
  <c r="AI88" i="9"/>
  <c r="AJ88" i="9" s="1"/>
  <c r="AR107" i="9"/>
  <c r="AR29" i="9"/>
  <c r="AR282" i="9"/>
  <c r="AR188" i="9"/>
  <c r="AR262" i="9"/>
  <c r="AI16" i="9"/>
  <c r="AJ16" i="9" s="1"/>
  <c r="AI56" i="9"/>
  <c r="AJ56" i="9" s="1"/>
  <c r="AI44" i="9"/>
  <c r="AJ44" i="9" s="1"/>
  <c r="AI73" i="9"/>
  <c r="AJ73" i="9" s="1"/>
  <c r="AR163" i="9"/>
  <c r="AR76" i="9"/>
  <c r="AR63" i="9"/>
  <c r="AR213" i="9"/>
  <c r="AR273" i="9"/>
  <c r="AI103" i="9"/>
  <c r="AJ103" i="9" s="1"/>
  <c r="AI24" i="9"/>
  <c r="AJ24" i="9" s="1"/>
  <c r="AI51" i="9"/>
  <c r="AJ51" i="9" s="1"/>
  <c r="AI86" i="9"/>
  <c r="AJ86" i="9" s="1"/>
  <c r="AR205" i="9"/>
  <c r="AR120" i="9"/>
  <c r="AR86" i="9"/>
  <c r="AR227" i="9"/>
  <c r="AR284" i="9"/>
  <c r="AI85" i="9"/>
  <c r="AJ85" i="9" s="1"/>
  <c r="AI89" i="9"/>
  <c r="AJ89" i="9" s="1"/>
  <c r="AI68" i="9"/>
  <c r="AJ68" i="9" s="1"/>
  <c r="AI104" i="9"/>
  <c r="AJ104" i="9" s="1"/>
  <c r="AR269" i="9"/>
  <c r="AR182" i="9"/>
  <c r="AI94" i="9"/>
  <c r="AJ94" i="9" s="1"/>
  <c r="AI53" i="9"/>
  <c r="AJ53" i="9" s="1"/>
  <c r="AI92" i="9"/>
  <c r="AJ92" i="9" s="1"/>
  <c r="AI97" i="9"/>
  <c r="AJ97" i="9" s="1"/>
  <c r="AI17" i="9"/>
  <c r="AJ17" i="9" s="1"/>
  <c r="AI39" i="9"/>
  <c r="AJ39" i="9" s="1"/>
  <c r="AI101" i="9"/>
  <c r="AJ101" i="9" s="1"/>
  <c r="AI93" i="9"/>
  <c r="AJ93" i="9" s="1"/>
  <c r="H5" i="8"/>
  <c r="V2" i="8"/>
  <c r="AF55" i="8"/>
  <c r="T2" i="8"/>
  <c r="AF3" i="8"/>
  <c r="AD3" i="8" a="1"/>
  <c r="D9" i="8" a="1"/>
  <c r="AT2" i="9" l="1"/>
  <c r="AT4" i="9"/>
  <c r="AT3" i="9"/>
  <c r="AK2" i="9" a="1"/>
  <c r="H4" i="8"/>
  <c r="I3" i="8" s="1"/>
  <c r="AD3" i="8"/>
  <c r="D9" i="8"/>
  <c r="AK1" i="9" l="1" a="1"/>
  <c r="AK1" i="9" s="1"/>
  <c r="A15" i="9" s="1"/>
  <c r="AK2" i="9"/>
  <c r="D5" i="8"/>
  <c r="C5" i="8"/>
  <c r="J3" i="8" s="1"/>
  <c r="B5" i="8"/>
  <c r="Z3" i="8" a="1"/>
  <c r="B7" i="8" a="1"/>
  <c r="AK4" i="8" a="1"/>
  <c r="AO3" i="8" a="1"/>
  <c r="C7" i="8" a="1"/>
  <c r="C9" i="8" a="1"/>
  <c r="AB3" i="8" a="1"/>
  <c r="B9" i="8" a="1"/>
  <c r="AM3" i="8" a="1"/>
  <c r="Q3" i="3" a="1"/>
  <c r="Q3" i="2" a="1"/>
  <c r="Q3" i="5" a="1"/>
  <c r="Q3" i="4" a="1"/>
  <c r="AI3" i="4" a="1"/>
  <c r="S3" i="3" a="1"/>
  <c r="O3" i="4" a="1"/>
  <c r="S3" i="4" a="1"/>
  <c r="S3" i="5" a="1"/>
  <c r="O3" i="3" a="1"/>
  <c r="S3" i="2" a="1"/>
  <c r="O3" i="2" a="1"/>
  <c r="O3" i="5" a="1"/>
  <c r="Z3" i="3" a="1"/>
  <c r="Z3" i="5" a="1"/>
  <c r="Z3" i="4" a="1"/>
  <c r="Z3" i="2" a="1"/>
  <c r="C7" i="3" a="1"/>
  <c r="N15" i="9" l="1"/>
  <c r="E15" i="9"/>
  <c r="G15" i="9" s="1"/>
  <c r="B15" i="9"/>
  <c r="I15" i="9"/>
  <c r="L15" i="9"/>
  <c r="M15" i="9" s="1"/>
  <c r="A16" i="9"/>
  <c r="L14" i="9"/>
  <c r="I14" i="9"/>
  <c r="B14" i="9"/>
  <c r="R2" i="9" s="1"/>
  <c r="AH95" i="8"/>
  <c r="AI95" i="8" s="1"/>
  <c r="AM3" i="8"/>
  <c r="B9" i="8"/>
  <c r="AB3" i="8"/>
  <c r="AH76" i="8" s="1"/>
  <c r="AI76" i="8" s="1"/>
  <c r="C9" i="8"/>
  <c r="C7" i="8"/>
  <c r="AO3" i="8"/>
  <c r="AQ27" i="8" s="1"/>
  <c r="AK4" i="8"/>
  <c r="B7" i="8"/>
  <c r="Z3" i="8"/>
  <c r="Q3" i="4"/>
  <c r="Q3" i="5"/>
  <c r="Q3" i="2"/>
  <c r="Q3" i="3"/>
  <c r="S3" i="2"/>
  <c r="O3" i="3"/>
  <c r="S3" i="5"/>
  <c r="S3" i="4"/>
  <c r="O3" i="4"/>
  <c r="S3" i="3"/>
  <c r="AI3" i="4"/>
  <c r="O3" i="5"/>
  <c r="O3" i="2"/>
  <c r="Z3" i="2"/>
  <c r="Z3" i="4"/>
  <c r="Z3" i="5"/>
  <c r="Z3" i="3"/>
  <c r="C7" i="3"/>
  <c r="C7" i="4" a="1"/>
  <c r="B16" i="9" l="1"/>
  <c r="I16" i="9"/>
  <c r="E16" i="9"/>
  <c r="G16" i="9" s="1"/>
  <c r="N16" i="9"/>
  <c r="L16" i="9"/>
  <c r="M16" i="9" s="1"/>
  <c r="A17" i="9"/>
  <c r="H15" i="9"/>
  <c r="D15" i="9"/>
  <c r="C15" i="9"/>
  <c r="K15" i="9"/>
  <c r="J15" i="9"/>
  <c r="AH74" i="8"/>
  <c r="AI74" i="8" s="1"/>
  <c r="AH42" i="8"/>
  <c r="AI42" i="8" s="1"/>
  <c r="AH10" i="8"/>
  <c r="AI10" i="8" s="1"/>
  <c r="AH23" i="8"/>
  <c r="AI23" i="8" s="1"/>
  <c r="AH64" i="8"/>
  <c r="AI64" i="8" s="1"/>
  <c r="AH12" i="8"/>
  <c r="AI12" i="8" s="1"/>
  <c r="AH8" i="8"/>
  <c r="AI8" i="8" s="1"/>
  <c r="AH96" i="8"/>
  <c r="AI96" i="8" s="1"/>
  <c r="AH82" i="8"/>
  <c r="AI82" i="8" s="1"/>
  <c r="AH81" i="8"/>
  <c r="AI81" i="8" s="1"/>
  <c r="AH58" i="8"/>
  <c r="AI58" i="8" s="1"/>
  <c r="AH103" i="8"/>
  <c r="AI103" i="8" s="1"/>
  <c r="AH22" i="8"/>
  <c r="AI22" i="8" s="1"/>
  <c r="AH40" i="8"/>
  <c r="AI40" i="8" s="1"/>
  <c r="AH98" i="8"/>
  <c r="AI98" i="8" s="1"/>
  <c r="AH21" i="8"/>
  <c r="AI21" i="8" s="1"/>
  <c r="AH20" i="8"/>
  <c r="AI20" i="8" s="1"/>
  <c r="AH62" i="8"/>
  <c r="AI62" i="8" s="1"/>
  <c r="AH53" i="8"/>
  <c r="AI53" i="8" s="1"/>
  <c r="AH26" i="8"/>
  <c r="AI26" i="8" s="1"/>
  <c r="AH102" i="8"/>
  <c r="AI102" i="8" s="1"/>
  <c r="AH31" i="8"/>
  <c r="AI31" i="8" s="1"/>
  <c r="AH29" i="8"/>
  <c r="AI29" i="8" s="1"/>
  <c r="AH50" i="8"/>
  <c r="AI50" i="8" s="1"/>
  <c r="AH38" i="8"/>
  <c r="AI38" i="8" s="1"/>
  <c r="AH77" i="8"/>
  <c r="AI77" i="8" s="1"/>
  <c r="AH15" i="8"/>
  <c r="AI15" i="8" s="1"/>
  <c r="AH45" i="8"/>
  <c r="AI45" i="8" s="1"/>
  <c r="AH44" i="8"/>
  <c r="AI44" i="8" s="1"/>
  <c r="AH80" i="8"/>
  <c r="AI80" i="8" s="1"/>
  <c r="AH84" i="8"/>
  <c r="AI84" i="8" s="1"/>
  <c r="AH13" i="8"/>
  <c r="AI13" i="8" s="1"/>
  <c r="AH101" i="8"/>
  <c r="AI101" i="8" s="1"/>
  <c r="AH87" i="8"/>
  <c r="AI87" i="8" s="1"/>
  <c r="AH6" i="8"/>
  <c r="AI6" i="8" s="1"/>
  <c r="AH33" i="8"/>
  <c r="AI33" i="8" s="1"/>
  <c r="AH69" i="8"/>
  <c r="AI69" i="8" s="1"/>
  <c r="AH79" i="8"/>
  <c r="AI79" i="8" s="1"/>
  <c r="AH85" i="8"/>
  <c r="AI85" i="8" s="1"/>
  <c r="AH60" i="8"/>
  <c r="AI60" i="8" s="1"/>
  <c r="AH37" i="8"/>
  <c r="AI37" i="8" s="1"/>
  <c r="AH16" i="8"/>
  <c r="AI16" i="8" s="1"/>
  <c r="AH25" i="8"/>
  <c r="AI25" i="8" s="1"/>
  <c r="AH47" i="8"/>
  <c r="AI47" i="8" s="1"/>
  <c r="AH70" i="8"/>
  <c r="AI70" i="8" s="1"/>
  <c r="AH52" i="8"/>
  <c r="AI52" i="8" s="1"/>
  <c r="AH28" i="8"/>
  <c r="AI28" i="8" s="1"/>
  <c r="AH66" i="8"/>
  <c r="AI66" i="8" s="1"/>
  <c r="AH24" i="8"/>
  <c r="AI24" i="8" s="1"/>
  <c r="AH5" i="8"/>
  <c r="AI5" i="8" s="1"/>
  <c r="AH73" i="8"/>
  <c r="AI73" i="8" s="1"/>
  <c r="AH41" i="8"/>
  <c r="AI41" i="8" s="1"/>
  <c r="AH61" i="8"/>
  <c r="AI61" i="8" s="1"/>
  <c r="AH99" i="8"/>
  <c r="AI99" i="8" s="1"/>
  <c r="AH9" i="8"/>
  <c r="AI9" i="8" s="1"/>
  <c r="AH92" i="8"/>
  <c r="AI92" i="8" s="1"/>
  <c r="AH89" i="8"/>
  <c r="AI89" i="8" s="1"/>
  <c r="AH86" i="8"/>
  <c r="AI86" i="8" s="1"/>
  <c r="AH46" i="8"/>
  <c r="AI46" i="8" s="1"/>
  <c r="AH88" i="8"/>
  <c r="AI88" i="8" s="1"/>
  <c r="AH90" i="8"/>
  <c r="AI90" i="8" s="1"/>
  <c r="AH54" i="8"/>
  <c r="AI54" i="8" s="1"/>
  <c r="AH104" i="8"/>
  <c r="AI104" i="8" s="1"/>
  <c r="AH18" i="8"/>
  <c r="AI18" i="8" s="1"/>
  <c r="AH72" i="8"/>
  <c r="AI72" i="8" s="1"/>
  <c r="AH49" i="8"/>
  <c r="AI49" i="8" s="1"/>
  <c r="AH51" i="8"/>
  <c r="AI51" i="8" s="1"/>
  <c r="AH7" i="8"/>
  <c r="AI7" i="8" s="1"/>
  <c r="AH55" i="8"/>
  <c r="AI55" i="8" s="1"/>
  <c r="AH67" i="8"/>
  <c r="AI67" i="8" s="1"/>
  <c r="AH48" i="8"/>
  <c r="AI48" i="8" s="1"/>
  <c r="AH78" i="8"/>
  <c r="AI78" i="8" s="1"/>
  <c r="AH57" i="8"/>
  <c r="AI57" i="8" s="1"/>
  <c r="AH97" i="8"/>
  <c r="AI97" i="8" s="1"/>
  <c r="AH91" i="8"/>
  <c r="AI91" i="8" s="1"/>
  <c r="AH43" i="8"/>
  <c r="AI43" i="8" s="1"/>
  <c r="AH94" i="8"/>
  <c r="AI94" i="8" s="1"/>
  <c r="AH132" i="8"/>
  <c r="AI132" i="8" s="1"/>
  <c r="AH164" i="8"/>
  <c r="AI164" i="8" s="1"/>
  <c r="AH196" i="8"/>
  <c r="AI196" i="8" s="1"/>
  <c r="AH228" i="8"/>
  <c r="AI228" i="8" s="1"/>
  <c r="AH260" i="8"/>
  <c r="AI260" i="8" s="1"/>
  <c r="AH292" i="8"/>
  <c r="AI292" i="8" s="1"/>
  <c r="AH324" i="8"/>
  <c r="AI324" i="8" s="1"/>
  <c r="AH356" i="8"/>
  <c r="AI356" i="8" s="1"/>
  <c r="AH388" i="8"/>
  <c r="AI388" i="8" s="1"/>
  <c r="AH420" i="8"/>
  <c r="AI420" i="8" s="1"/>
  <c r="AH452" i="8"/>
  <c r="AI452" i="8" s="1"/>
  <c r="AH484" i="8"/>
  <c r="AI484" i="8" s="1"/>
  <c r="AH516" i="8"/>
  <c r="AI516" i="8" s="1"/>
  <c r="AH548" i="8"/>
  <c r="AI548" i="8" s="1"/>
  <c r="AH360" i="8"/>
  <c r="AI360" i="8" s="1"/>
  <c r="AH488" i="8"/>
  <c r="AI488" i="8" s="1"/>
  <c r="AH425" i="8"/>
  <c r="AI425" i="8" s="1"/>
  <c r="AH489" i="8"/>
  <c r="AI489" i="8" s="1"/>
  <c r="AH395" i="8"/>
  <c r="AI395" i="8" s="1"/>
  <c r="AH204" i="8"/>
  <c r="AI204" i="8" s="1"/>
  <c r="AH396" i="8"/>
  <c r="AI396" i="8" s="1"/>
  <c r="AH524" i="8"/>
  <c r="AI524" i="8" s="1"/>
  <c r="AH365" i="8"/>
  <c r="AI365" i="8" s="1"/>
  <c r="AH174" i="8"/>
  <c r="AI174" i="8" s="1"/>
  <c r="AH366" i="8"/>
  <c r="AI366" i="8" s="1"/>
  <c r="AH111" i="8"/>
  <c r="AI111" i="8" s="1"/>
  <c r="AH335" i="8"/>
  <c r="AI335" i="8" s="1"/>
  <c r="AH144" i="8"/>
  <c r="AI144" i="8" s="1"/>
  <c r="AH400" i="8"/>
  <c r="AI400" i="8" s="1"/>
  <c r="AH177" i="8"/>
  <c r="AI177" i="8" s="1"/>
  <c r="AH433" i="8"/>
  <c r="AI433" i="8" s="1"/>
  <c r="AH146" i="8"/>
  <c r="AI146" i="8" s="1"/>
  <c r="AH434" i="8"/>
  <c r="AI434" i="8" s="1"/>
  <c r="AH147" i="8"/>
  <c r="AI147" i="8" s="1"/>
  <c r="AH403" i="8"/>
  <c r="AI403" i="8" s="1"/>
  <c r="AH563" i="8"/>
  <c r="AI563" i="8" s="1"/>
  <c r="AH502" i="8"/>
  <c r="AI502" i="8" s="1"/>
  <c r="AH183" i="8"/>
  <c r="AI183" i="8" s="1"/>
  <c r="AH184" i="8"/>
  <c r="AI184" i="8" s="1"/>
  <c r="AH408" i="8"/>
  <c r="AI408" i="8" s="1"/>
  <c r="AH249" i="8"/>
  <c r="AI249" i="8" s="1"/>
  <c r="AH537" i="8"/>
  <c r="AI537" i="8" s="1"/>
  <c r="AH186" i="8"/>
  <c r="AI186" i="8" s="1"/>
  <c r="AH379" i="8"/>
  <c r="AI379" i="8" s="1"/>
  <c r="AH252" i="8"/>
  <c r="AI252" i="8" s="1"/>
  <c r="AH221" i="8"/>
  <c r="AI221" i="8" s="1"/>
  <c r="AH190" i="8"/>
  <c r="AI190" i="8" s="1"/>
  <c r="AH478" i="8"/>
  <c r="AI478" i="8" s="1"/>
  <c r="AH223" i="8"/>
  <c r="AI223" i="8" s="1"/>
  <c r="AH543" i="8"/>
  <c r="AI543" i="8" s="1"/>
  <c r="AH160" i="8"/>
  <c r="AI160" i="8" s="1"/>
  <c r="AH512" i="8"/>
  <c r="AI512" i="8" s="1"/>
  <c r="AH321" i="8"/>
  <c r="AI321" i="8" s="1"/>
  <c r="AH545" i="8"/>
  <c r="AI545" i="8" s="1"/>
  <c r="AH290" i="8"/>
  <c r="AI290" i="8" s="1"/>
  <c r="AH227" i="8"/>
  <c r="AI227" i="8" s="1"/>
  <c r="AH451" i="8"/>
  <c r="AI451" i="8" s="1"/>
  <c r="AH133" i="8"/>
  <c r="AI133" i="8" s="1"/>
  <c r="AH165" i="8"/>
  <c r="AI165" i="8" s="1"/>
  <c r="AH197" i="8"/>
  <c r="AI197" i="8" s="1"/>
  <c r="AH229" i="8"/>
  <c r="AI229" i="8" s="1"/>
  <c r="AH261" i="8"/>
  <c r="AI261" i="8" s="1"/>
  <c r="AH293" i="8"/>
  <c r="AI293" i="8" s="1"/>
  <c r="AH325" i="8"/>
  <c r="AI325" i="8" s="1"/>
  <c r="AH357" i="8"/>
  <c r="AI357" i="8" s="1"/>
  <c r="AH389" i="8"/>
  <c r="AI389" i="8" s="1"/>
  <c r="AH421" i="8"/>
  <c r="AI421" i="8" s="1"/>
  <c r="AH453" i="8"/>
  <c r="AI453" i="8" s="1"/>
  <c r="AH485" i="8"/>
  <c r="AI485" i="8" s="1"/>
  <c r="AH517" i="8"/>
  <c r="AI517" i="8" s="1"/>
  <c r="AH549" i="8"/>
  <c r="AI549" i="8" s="1"/>
  <c r="AH456" i="8"/>
  <c r="AI456" i="8" s="1"/>
  <c r="AH393" i="8"/>
  <c r="AI393" i="8" s="1"/>
  <c r="AH553" i="8"/>
  <c r="AI553" i="8" s="1"/>
  <c r="AH426" i="8"/>
  <c r="AI426" i="8" s="1"/>
  <c r="AH554" i="8"/>
  <c r="AI554" i="8" s="1"/>
  <c r="AH427" i="8"/>
  <c r="AI427" i="8" s="1"/>
  <c r="AH236" i="8"/>
  <c r="AI236" i="8" s="1"/>
  <c r="AH364" i="8"/>
  <c r="AI364" i="8" s="1"/>
  <c r="AH492" i="8"/>
  <c r="AI492" i="8" s="1"/>
  <c r="AH429" i="8"/>
  <c r="AI429" i="8" s="1"/>
  <c r="AH557" i="8"/>
  <c r="AI557" i="8" s="1"/>
  <c r="AH238" i="8"/>
  <c r="AI238" i="8" s="1"/>
  <c r="AH494" i="8"/>
  <c r="AI494" i="8" s="1"/>
  <c r="AH558" i="8"/>
  <c r="AI558" i="8" s="1"/>
  <c r="AH239" i="8"/>
  <c r="AI239" i="8" s="1"/>
  <c r="AH399" i="8"/>
  <c r="AI399" i="8" s="1"/>
  <c r="AH559" i="8"/>
  <c r="AI559" i="8" s="1"/>
  <c r="AH240" i="8"/>
  <c r="AI240" i="8" s="1"/>
  <c r="AH528" i="8"/>
  <c r="AI528" i="8" s="1"/>
  <c r="AH209" i="8"/>
  <c r="AI209" i="8" s="1"/>
  <c r="AH369" i="8"/>
  <c r="AI369" i="8" s="1"/>
  <c r="AH114" i="8"/>
  <c r="AI114" i="8" s="1"/>
  <c r="AH406" i="8"/>
  <c r="AI406" i="8" s="1"/>
  <c r="AH151" i="8"/>
  <c r="AI151" i="8" s="1"/>
  <c r="AH503" i="8"/>
  <c r="AI503" i="8" s="1"/>
  <c r="AH120" i="8"/>
  <c r="AI120" i="8" s="1"/>
  <c r="AH504" i="8"/>
  <c r="AI504" i="8" s="1"/>
  <c r="AH217" i="8"/>
  <c r="AI217" i="8" s="1"/>
  <c r="AH441" i="8"/>
  <c r="AI441" i="8" s="1"/>
  <c r="AH282" i="8"/>
  <c r="AI282" i="8" s="1"/>
  <c r="AH507" i="8"/>
  <c r="AI507" i="8" s="1"/>
  <c r="AH220" i="8"/>
  <c r="AI220" i="8" s="1"/>
  <c r="AH253" i="8"/>
  <c r="AI253" i="8" s="1"/>
  <c r="AH349" i="8"/>
  <c r="AI349" i="8" s="1"/>
  <c r="AH222" i="8"/>
  <c r="AI222" i="8" s="1"/>
  <c r="AH510" i="8"/>
  <c r="AI510" i="8" s="1"/>
  <c r="AH255" i="8"/>
  <c r="AI255" i="8" s="1"/>
  <c r="AH479" i="8"/>
  <c r="AI479" i="8" s="1"/>
  <c r="AH224" i="8"/>
  <c r="AI224" i="8" s="1"/>
  <c r="AH544" i="8"/>
  <c r="AI544" i="8" s="1"/>
  <c r="AH257" i="8"/>
  <c r="AI257" i="8" s="1"/>
  <c r="AH481" i="8"/>
  <c r="AI481" i="8" s="1"/>
  <c r="AH354" i="8"/>
  <c r="AI354" i="8" s="1"/>
  <c r="AH163" i="8"/>
  <c r="AI163" i="8" s="1"/>
  <c r="AH419" i="8"/>
  <c r="AI419" i="8" s="1"/>
  <c r="AH134" i="8"/>
  <c r="AI134" i="8" s="1"/>
  <c r="AH166" i="8"/>
  <c r="AI166" i="8" s="1"/>
  <c r="AH198" i="8"/>
  <c r="AI198" i="8" s="1"/>
  <c r="AH230" i="8"/>
  <c r="AI230" i="8" s="1"/>
  <c r="AH262" i="8"/>
  <c r="AI262" i="8" s="1"/>
  <c r="AH294" i="8"/>
  <c r="AI294" i="8" s="1"/>
  <c r="AH326" i="8"/>
  <c r="AI326" i="8" s="1"/>
  <c r="AH358" i="8"/>
  <c r="AI358" i="8" s="1"/>
  <c r="AH390" i="8"/>
  <c r="AI390" i="8" s="1"/>
  <c r="AH422" i="8"/>
  <c r="AI422" i="8" s="1"/>
  <c r="AH454" i="8"/>
  <c r="AI454" i="8" s="1"/>
  <c r="AH486" i="8"/>
  <c r="AI486" i="8" s="1"/>
  <c r="AH518" i="8"/>
  <c r="AI518" i="8" s="1"/>
  <c r="AH550" i="8"/>
  <c r="AI550" i="8" s="1"/>
  <c r="AH328" i="8"/>
  <c r="AI328" i="8" s="1"/>
  <c r="AH424" i="8"/>
  <c r="AI424" i="8" s="1"/>
  <c r="AH552" i="8"/>
  <c r="AI552" i="8" s="1"/>
  <c r="AH457" i="8"/>
  <c r="AI457" i="8" s="1"/>
  <c r="AH521" i="8"/>
  <c r="AI521" i="8" s="1"/>
  <c r="AH458" i="8"/>
  <c r="AI458" i="8" s="1"/>
  <c r="AH331" i="8"/>
  <c r="AI331" i="8" s="1"/>
  <c r="AH491" i="8"/>
  <c r="AI491" i="8" s="1"/>
  <c r="AH108" i="8"/>
  <c r="AI108" i="8" s="1"/>
  <c r="AH428" i="8"/>
  <c r="AI428" i="8" s="1"/>
  <c r="AH301" i="8"/>
  <c r="AI301" i="8" s="1"/>
  <c r="AH461" i="8"/>
  <c r="AI461" i="8" s="1"/>
  <c r="AH110" i="8"/>
  <c r="AI110" i="8" s="1"/>
  <c r="AH334" i="8"/>
  <c r="AI334" i="8" s="1"/>
  <c r="AH462" i="8"/>
  <c r="AI462" i="8" s="1"/>
  <c r="AH175" i="8"/>
  <c r="AI175" i="8" s="1"/>
  <c r="AH303" i="8"/>
  <c r="AI303" i="8" s="1"/>
  <c r="AH495" i="8"/>
  <c r="AI495" i="8" s="1"/>
  <c r="AH272" i="8"/>
  <c r="AI272" i="8" s="1"/>
  <c r="AH113" i="8"/>
  <c r="AI113" i="8" s="1"/>
  <c r="AH337" i="8"/>
  <c r="AI337" i="8" s="1"/>
  <c r="AH529" i="8"/>
  <c r="AI529" i="8" s="1"/>
  <c r="AH178" i="8"/>
  <c r="AI178" i="8" s="1"/>
  <c r="AH370" i="8"/>
  <c r="AI370" i="8" s="1"/>
  <c r="AH498" i="8"/>
  <c r="AI498" i="8" s="1"/>
  <c r="AH211" i="8"/>
  <c r="AI211" i="8" s="1"/>
  <c r="AH467" i="8"/>
  <c r="AI467" i="8" s="1"/>
  <c r="AH501" i="8"/>
  <c r="AI501" i="8" s="1"/>
  <c r="AH534" i="8"/>
  <c r="AI534" i="8" s="1"/>
  <c r="AH247" i="8"/>
  <c r="AI247" i="8" s="1"/>
  <c r="AH152" i="8"/>
  <c r="AI152" i="8" s="1"/>
  <c r="AH344" i="8"/>
  <c r="AI344" i="8" s="1"/>
  <c r="AH121" i="8"/>
  <c r="AI121" i="8" s="1"/>
  <c r="AH505" i="8"/>
  <c r="AI505" i="8" s="1"/>
  <c r="AH122" i="8"/>
  <c r="AI122" i="8" s="1"/>
  <c r="AH538" i="8"/>
  <c r="AI538" i="8" s="1"/>
  <c r="AH539" i="8"/>
  <c r="AI539" i="8" s="1"/>
  <c r="AH156" i="8"/>
  <c r="AI156" i="8" s="1"/>
  <c r="AH189" i="8"/>
  <c r="AI189" i="8" s="1"/>
  <c r="AH445" i="8"/>
  <c r="AI445" i="8" s="1"/>
  <c r="AH286" i="8"/>
  <c r="AI286" i="8" s="1"/>
  <c r="AH127" i="8"/>
  <c r="AI127" i="8" s="1"/>
  <c r="AH447" i="8"/>
  <c r="AI447" i="8" s="1"/>
  <c r="AH161" i="8"/>
  <c r="AI161" i="8" s="1"/>
  <c r="AH450" i="8"/>
  <c r="AI450" i="8" s="1"/>
  <c r="AH291" i="8"/>
  <c r="AI291" i="8" s="1"/>
  <c r="AH135" i="8"/>
  <c r="AI135" i="8" s="1"/>
  <c r="AH167" i="8"/>
  <c r="AI167" i="8" s="1"/>
  <c r="AH199" i="8"/>
  <c r="AI199" i="8" s="1"/>
  <c r="AH231" i="8"/>
  <c r="AI231" i="8" s="1"/>
  <c r="AH263" i="8"/>
  <c r="AI263" i="8" s="1"/>
  <c r="AH295" i="8"/>
  <c r="AI295" i="8" s="1"/>
  <c r="AH327" i="8"/>
  <c r="AI327" i="8" s="1"/>
  <c r="AH359" i="8"/>
  <c r="AI359" i="8" s="1"/>
  <c r="AH391" i="8"/>
  <c r="AI391" i="8" s="1"/>
  <c r="AH423" i="8"/>
  <c r="AI423" i="8" s="1"/>
  <c r="AH455" i="8"/>
  <c r="AI455" i="8" s="1"/>
  <c r="AH487" i="8"/>
  <c r="AI487" i="8" s="1"/>
  <c r="AH519" i="8"/>
  <c r="AI519" i="8" s="1"/>
  <c r="AH551" i="8"/>
  <c r="AI551" i="8" s="1"/>
  <c r="AH392" i="8"/>
  <c r="AI392" i="8" s="1"/>
  <c r="AH361" i="8"/>
  <c r="AI361" i="8" s="1"/>
  <c r="AH490" i="8"/>
  <c r="AI490" i="8" s="1"/>
  <c r="AH363" i="8"/>
  <c r="AI363" i="8" s="1"/>
  <c r="AH523" i="8"/>
  <c r="AI523" i="8" s="1"/>
  <c r="AH172" i="8"/>
  <c r="AI172" i="8" s="1"/>
  <c r="AH460" i="8"/>
  <c r="AI460" i="8" s="1"/>
  <c r="AH333" i="8"/>
  <c r="AI333" i="8" s="1"/>
  <c r="AH525" i="8"/>
  <c r="AI525" i="8" s="1"/>
  <c r="AH142" i="8"/>
  <c r="AI142" i="8" s="1"/>
  <c r="AH398" i="8"/>
  <c r="AI398" i="8" s="1"/>
  <c r="AH207" i="8"/>
  <c r="AI207" i="8" s="1"/>
  <c r="AH431" i="8"/>
  <c r="AI431" i="8" s="1"/>
  <c r="AH176" i="8"/>
  <c r="AI176" i="8" s="1"/>
  <c r="AH336" i="8"/>
  <c r="AI336" i="8" s="1"/>
  <c r="AH145" i="8"/>
  <c r="AI145" i="8" s="1"/>
  <c r="AH465" i="8"/>
  <c r="AI465" i="8" s="1"/>
  <c r="AH242" i="8"/>
  <c r="AI242" i="8" s="1"/>
  <c r="AH306" i="8"/>
  <c r="AI306" i="8" s="1"/>
  <c r="AH530" i="8"/>
  <c r="AI530" i="8" s="1"/>
  <c r="AH179" i="8"/>
  <c r="AI179" i="8" s="1"/>
  <c r="AH499" i="8"/>
  <c r="AI499" i="8" s="1"/>
  <c r="AH533" i="8"/>
  <c r="AI533" i="8" s="1"/>
  <c r="AH119" i="8"/>
  <c r="AI119" i="8" s="1"/>
  <c r="AH535" i="8"/>
  <c r="AI535" i="8" s="1"/>
  <c r="AH248" i="8"/>
  <c r="AI248" i="8" s="1"/>
  <c r="AH536" i="8"/>
  <c r="AI536" i="8" s="1"/>
  <c r="AH377" i="8"/>
  <c r="AI377" i="8" s="1"/>
  <c r="AH154" i="8"/>
  <c r="AI154" i="8" s="1"/>
  <c r="AH411" i="8"/>
  <c r="AI411" i="8" s="1"/>
  <c r="AH348" i="8"/>
  <c r="AI348" i="8" s="1"/>
  <c r="AH125" i="8"/>
  <c r="AI125" i="8" s="1"/>
  <c r="AH541" i="8"/>
  <c r="AI541" i="8" s="1"/>
  <c r="AH414" i="8"/>
  <c r="AI414" i="8" s="1"/>
  <c r="AH159" i="8"/>
  <c r="AI159" i="8" s="1"/>
  <c r="AH384" i="8"/>
  <c r="AI384" i="8" s="1"/>
  <c r="AH193" i="8"/>
  <c r="AI193" i="8" s="1"/>
  <c r="AH449" i="8"/>
  <c r="AI449" i="8" s="1"/>
  <c r="AH226" i="8"/>
  <c r="AI226" i="8" s="1"/>
  <c r="AH131" i="8"/>
  <c r="AI131" i="8" s="1"/>
  <c r="AH515" i="8"/>
  <c r="AI515" i="8" s="1"/>
  <c r="AH136" i="8"/>
  <c r="AI136" i="8" s="1"/>
  <c r="AH168" i="8"/>
  <c r="AI168" i="8" s="1"/>
  <c r="AH200" i="8"/>
  <c r="AI200" i="8" s="1"/>
  <c r="AH232" i="8"/>
  <c r="AI232" i="8" s="1"/>
  <c r="AH264" i="8"/>
  <c r="AI264" i="8" s="1"/>
  <c r="AH296" i="8"/>
  <c r="AI296" i="8" s="1"/>
  <c r="AH520" i="8"/>
  <c r="AI520" i="8" s="1"/>
  <c r="AH522" i="8"/>
  <c r="AI522" i="8" s="1"/>
  <c r="AH555" i="8"/>
  <c r="AI555" i="8" s="1"/>
  <c r="AH332" i="8"/>
  <c r="AI332" i="8" s="1"/>
  <c r="AH270" i="8"/>
  <c r="AI270" i="8" s="1"/>
  <c r="AH367" i="8"/>
  <c r="AI367" i="8" s="1"/>
  <c r="AH464" i="8"/>
  <c r="AI464" i="8" s="1"/>
  <c r="AH401" i="8"/>
  <c r="AI401" i="8" s="1"/>
  <c r="AH338" i="8"/>
  <c r="AI338" i="8" s="1"/>
  <c r="AH115" i="8"/>
  <c r="AI115" i="8" s="1"/>
  <c r="AH531" i="8"/>
  <c r="AI531" i="8" s="1"/>
  <c r="AH311" i="8"/>
  <c r="AI311" i="8" s="1"/>
  <c r="AH185" i="8"/>
  <c r="AI185" i="8" s="1"/>
  <c r="AH250" i="8"/>
  <c r="AI250" i="8" s="1"/>
  <c r="AH124" i="8"/>
  <c r="AI124" i="8" s="1"/>
  <c r="AH317" i="8"/>
  <c r="AI317" i="8" s="1"/>
  <c r="AH126" i="8"/>
  <c r="AI126" i="8" s="1"/>
  <c r="AH383" i="8"/>
  <c r="AI383" i="8" s="1"/>
  <c r="AH448" i="8"/>
  <c r="AI448" i="8" s="1"/>
  <c r="AH130" i="8"/>
  <c r="AI130" i="8" s="1"/>
  <c r="AH105" i="8"/>
  <c r="AI105" i="8" s="1"/>
  <c r="AH137" i="8"/>
  <c r="AI137" i="8" s="1"/>
  <c r="AH169" i="8"/>
  <c r="AI169" i="8" s="1"/>
  <c r="AH201" i="8"/>
  <c r="AI201" i="8" s="1"/>
  <c r="AH233" i="8"/>
  <c r="AI233" i="8" s="1"/>
  <c r="AH265" i="8"/>
  <c r="AI265" i="8" s="1"/>
  <c r="AH297" i="8"/>
  <c r="AI297" i="8" s="1"/>
  <c r="AH329" i="8"/>
  <c r="AI329" i="8" s="1"/>
  <c r="AH268" i="8"/>
  <c r="AI268" i="8" s="1"/>
  <c r="AH493" i="8"/>
  <c r="AI493" i="8" s="1"/>
  <c r="AH430" i="8"/>
  <c r="AI430" i="8" s="1"/>
  <c r="AH271" i="8"/>
  <c r="AI271" i="8" s="1"/>
  <c r="AH368" i="8"/>
  <c r="AI368" i="8" s="1"/>
  <c r="AH305" i="8"/>
  <c r="AI305" i="8" s="1"/>
  <c r="AH274" i="8"/>
  <c r="AI274" i="8" s="1"/>
  <c r="AH466" i="8"/>
  <c r="AI466" i="8" s="1"/>
  <c r="AH339" i="8"/>
  <c r="AI339" i="8" s="1"/>
  <c r="AH343" i="8"/>
  <c r="AI343" i="8" s="1"/>
  <c r="AH472" i="8"/>
  <c r="AI472" i="8" s="1"/>
  <c r="AH442" i="8"/>
  <c r="AI442" i="8" s="1"/>
  <c r="AH476" i="8"/>
  <c r="AI476" i="8" s="1"/>
  <c r="AH350" i="8"/>
  <c r="AI350" i="8" s="1"/>
  <c r="AH352" i="8"/>
  <c r="AI352" i="8" s="1"/>
  <c r="AH513" i="8"/>
  <c r="AI513" i="8" s="1"/>
  <c r="AH514" i="8"/>
  <c r="AI514" i="8" s="1"/>
  <c r="AH106" i="8"/>
  <c r="AI106" i="8" s="1"/>
  <c r="AH138" i="8"/>
  <c r="AI138" i="8" s="1"/>
  <c r="AH170" i="8"/>
  <c r="AI170" i="8" s="1"/>
  <c r="AH202" i="8"/>
  <c r="AI202" i="8" s="1"/>
  <c r="AH234" i="8"/>
  <c r="AI234" i="8" s="1"/>
  <c r="AH266" i="8"/>
  <c r="AI266" i="8" s="1"/>
  <c r="AH298" i="8"/>
  <c r="AI298" i="8" s="1"/>
  <c r="AH330" i="8"/>
  <c r="AI330" i="8" s="1"/>
  <c r="AH362" i="8"/>
  <c r="AI362" i="8" s="1"/>
  <c r="AH394" i="8"/>
  <c r="AI394" i="8" s="1"/>
  <c r="AH459" i="8"/>
  <c r="AI459" i="8" s="1"/>
  <c r="AH300" i="8"/>
  <c r="AI300" i="8" s="1"/>
  <c r="AH302" i="8"/>
  <c r="AI302" i="8" s="1"/>
  <c r="AH143" i="8"/>
  <c r="AI143" i="8" s="1"/>
  <c r="AH112" i="8"/>
  <c r="AI112" i="8" s="1"/>
  <c r="AH273" i="8"/>
  <c r="AI273" i="8" s="1"/>
  <c r="AH561" i="8"/>
  <c r="AI561" i="8" s="1"/>
  <c r="AH470" i="8"/>
  <c r="AI470" i="8" s="1"/>
  <c r="AH567" i="8"/>
  <c r="AI567" i="8" s="1"/>
  <c r="AH568" i="8"/>
  <c r="AI568" i="8" s="1"/>
  <c r="AH569" i="8"/>
  <c r="AI569" i="8" s="1"/>
  <c r="AH378" i="8"/>
  <c r="AI378" i="8" s="1"/>
  <c r="AH188" i="8"/>
  <c r="AI188" i="8" s="1"/>
  <c r="AH509" i="8"/>
  <c r="AI509" i="8" s="1"/>
  <c r="AH319" i="8"/>
  <c r="AI319" i="8" s="1"/>
  <c r="AH225" i="8"/>
  <c r="AI225" i="8" s="1"/>
  <c r="AH418" i="8"/>
  <c r="AI418" i="8" s="1"/>
  <c r="AH483" i="8"/>
  <c r="AI483" i="8" s="1"/>
  <c r="AH107" i="8"/>
  <c r="AI107" i="8" s="1"/>
  <c r="AH139" i="8"/>
  <c r="AI139" i="8" s="1"/>
  <c r="AH171" i="8"/>
  <c r="AI171" i="8" s="1"/>
  <c r="AH203" i="8"/>
  <c r="AI203" i="8" s="1"/>
  <c r="AH235" i="8"/>
  <c r="AI235" i="8" s="1"/>
  <c r="AH267" i="8"/>
  <c r="AI267" i="8" s="1"/>
  <c r="AH299" i="8"/>
  <c r="AI299" i="8" s="1"/>
  <c r="AH140" i="8"/>
  <c r="AI140" i="8" s="1"/>
  <c r="AH556" i="8"/>
  <c r="AI556" i="8" s="1"/>
  <c r="AH206" i="8"/>
  <c r="AI206" i="8" s="1"/>
  <c r="AH463" i="8"/>
  <c r="AI463" i="8" s="1"/>
  <c r="AH432" i="8"/>
  <c r="AI432" i="8" s="1"/>
  <c r="AH241" i="8"/>
  <c r="AI241" i="8" s="1"/>
  <c r="AH210" i="8"/>
  <c r="AI210" i="8" s="1"/>
  <c r="AH371" i="8"/>
  <c r="AI371" i="8" s="1"/>
  <c r="AH375" i="8"/>
  <c r="AI375" i="8" s="1"/>
  <c r="AH313" i="8"/>
  <c r="AI313" i="8" s="1"/>
  <c r="AH506" i="8"/>
  <c r="AI506" i="8" s="1"/>
  <c r="AH444" i="8"/>
  <c r="AI444" i="8" s="1"/>
  <c r="AH446" i="8"/>
  <c r="AI446" i="8" s="1"/>
  <c r="AH256" i="8"/>
  <c r="AI256" i="8" s="1"/>
  <c r="AH259" i="8"/>
  <c r="AI259" i="8" s="1"/>
  <c r="AH208" i="8"/>
  <c r="AI208" i="8" s="1"/>
  <c r="AH243" i="8"/>
  <c r="AI243" i="8" s="1"/>
  <c r="AH566" i="8"/>
  <c r="AI566" i="8" s="1"/>
  <c r="AH216" i="8"/>
  <c r="AI216" i="8" s="1"/>
  <c r="AH409" i="8"/>
  <c r="AI409" i="8" s="1"/>
  <c r="AH474" i="8"/>
  <c r="AI474" i="8" s="1"/>
  <c r="AH540" i="8"/>
  <c r="AI540" i="8" s="1"/>
  <c r="AH413" i="8"/>
  <c r="AI413" i="8" s="1"/>
  <c r="AH542" i="8"/>
  <c r="AI542" i="8" s="1"/>
  <c r="AH415" i="8"/>
  <c r="AI415" i="8" s="1"/>
  <c r="AH289" i="8"/>
  <c r="AI289" i="8" s="1"/>
  <c r="AH194" i="8"/>
  <c r="AI194" i="8" s="1"/>
  <c r="AH387" i="8"/>
  <c r="AI387" i="8" s="1"/>
  <c r="AH109" i="8"/>
  <c r="AI109" i="8" s="1"/>
  <c r="AH141" i="8"/>
  <c r="AI141" i="8" s="1"/>
  <c r="AH173" i="8"/>
  <c r="AI173" i="8" s="1"/>
  <c r="AH205" i="8"/>
  <c r="AI205" i="8" s="1"/>
  <c r="AH237" i="8"/>
  <c r="AI237" i="8" s="1"/>
  <c r="AH269" i="8"/>
  <c r="AI269" i="8" s="1"/>
  <c r="AH397" i="8"/>
  <c r="AI397" i="8" s="1"/>
  <c r="AH526" i="8"/>
  <c r="AI526" i="8" s="1"/>
  <c r="AH527" i="8"/>
  <c r="AI527" i="8" s="1"/>
  <c r="AH496" i="8"/>
  <c r="AI496" i="8" s="1"/>
  <c r="AH497" i="8"/>
  <c r="AI497" i="8" s="1"/>
  <c r="AH402" i="8"/>
  <c r="AI402" i="8" s="1"/>
  <c r="AH275" i="8"/>
  <c r="AI275" i="8" s="1"/>
  <c r="AH438" i="8"/>
  <c r="AI438" i="8" s="1"/>
  <c r="AH471" i="8"/>
  <c r="AI471" i="8" s="1"/>
  <c r="AH153" i="8"/>
  <c r="AI153" i="8" s="1"/>
  <c r="AH410" i="8"/>
  <c r="AI410" i="8" s="1"/>
  <c r="AH284" i="8"/>
  <c r="AI284" i="8" s="1"/>
  <c r="AH382" i="8"/>
  <c r="AI382" i="8" s="1"/>
  <c r="AH128" i="8"/>
  <c r="AI128" i="8" s="1"/>
  <c r="AH195" i="8"/>
  <c r="AI195" i="8" s="1"/>
  <c r="AH560" i="8"/>
  <c r="AI560" i="8" s="1"/>
  <c r="AH307" i="8"/>
  <c r="AI307" i="8" s="1"/>
  <c r="AH279" i="8"/>
  <c r="AI279" i="8" s="1"/>
  <c r="AH376" i="8"/>
  <c r="AI376" i="8" s="1"/>
  <c r="AH346" i="8"/>
  <c r="AI346" i="8" s="1"/>
  <c r="AH285" i="8"/>
  <c r="AI285" i="8" s="1"/>
  <c r="AH351" i="8"/>
  <c r="AI351" i="8" s="1"/>
  <c r="AH288" i="8"/>
  <c r="AI288" i="8" s="1"/>
  <c r="AH322" i="8"/>
  <c r="AI322" i="8" s="1"/>
  <c r="AH547" i="8"/>
  <c r="AI547" i="8" s="1"/>
  <c r="AH304" i="8"/>
  <c r="AI304" i="8" s="1"/>
  <c r="AH562" i="8"/>
  <c r="AI562" i="8" s="1"/>
  <c r="AH435" i="8"/>
  <c r="AI435" i="8" s="1"/>
  <c r="AH407" i="8"/>
  <c r="AI407" i="8" s="1"/>
  <c r="AH440" i="8"/>
  <c r="AI440" i="8" s="1"/>
  <c r="AH473" i="8"/>
  <c r="AI473" i="8" s="1"/>
  <c r="AH475" i="8"/>
  <c r="AI475" i="8" s="1"/>
  <c r="AH508" i="8"/>
  <c r="AI508" i="8" s="1"/>
  <c r="AH477" i="8"/>
  <c r="AI477" i="8" s="1"/>
  <c r="AH287" i="8"/>
  <c r="AI287" i="8" s="1"/>
  <c r="AH320" i="8"/>
  <c r="AI320" i="8" s="1"/>
  <c r="AH353" i="8"/>
  <c r="AI353" i="8" s="1"/>
  <c r="AH258" i="8"/>
  <c r="AI258" i="8" s="1"/>
  <c r="AH116" i="8"/>
  <c r="AI116" i="8" s="1"/>
  <c r="AH148" i="8"/>
  <c r="AI148" i="8" s="1"/>
  <c r="AH180" i="8"/>
  <c r="AI180" i="8" s="1"/>
  <c r="AH212" i="8"/>
  <c r="AI212" i="8" s="1"/>
  <c r="AH244" i="8"/>
  <c r="AI244" i="8" s="1"/>
  <c r="AH276" i="8"/>
  <c r="AI276" i="8" s="1"/>
  <c r="AH308" i="8"/>
  <c r="AI308" i="8" s="1"/>
  <c r="AH340" i="8"/>
  <c r="AI340" i="8" s="1"/>
  <c r="AH372" i="8"/>
  <c r="AI372" i="8" s="1"/>
  <c r="AH404" i="8"/>
  <c r="AI404" i="8" s="1"/>
  <c r="AH436" i="8"/>
  <c r="AI436" i="8" s="1"/>
  <c r="AH468" i="8"/>
  <c r="AI468" i="8" s="1"/>
  <c r="AH500" i="8"/>
  <c r="AI500" i="8" s="1"/>
  <c r="AH532" i="8"/>
  <c r="AI532" i="8" s="1"/>
  <c r="AH564" i="8"/>
  <c r="AI564" i="8" s="1"/>
  <c r="AH117" i="8"/>
  <c r="AI117" i="8" s="1"/>
  <c r="AH149" i="8"/>
  <c r="AI149" i="8" s="1"/>
  <c r="AH181" i="8"/>
  <c r="AI181" i="8" s="1"/>
  <c r="AH213" i="8"/>
  <c r="AI213" i="8" s="1"/>
  <c r="AH245" i="8"/>
  <c r="AI245" i="8" s="1"/>
  <c r="AH277" i="8"/>
  <c r="AI277" i="8" s="1"/>
  <c r="AH309" i="8"/>
  <c r="AI309" i="8" s="1"/>
  <c r="AH341" i="8"/>
  <c r="AI341" i="8" s="1"/>
  <c r="AH373" i="8"/>
  <c r="AI373" i="8" s="1"/>
  <c r="AH405" i="8"/>
  <c r="AI405" i="8" s="1"/>
  <c r="AH437" i="8"/>
  <c r="AI437" i="8" s="1"/>
  <c r="AH469" i="8"/>
  <c r="AI469" i="8" s="1"/>
  <c r="AH565" i="8"/>
  <c r="AI565" i="8" s="1"/>
  <c r="AH439" i="8"/>
  <c r="AI439" i="8" s="1"/>
  <c r="AH280" i="8"/>
  <c r="AI280" i="8" s="1"/>
  <c r="AH345" i="8"/>
  <c r="AI345" i="8" s="1"/>
  <c r="AH314" i="8"/>
  <c r="AI314" i="8" s="1"/>
  <c r="AH443" i="8"/>
  <c r="AI443" i="8" s="1"/>
  <c r="AH412" i="8"/>
  <c r="AI412" i="8" s="1"/>
  <c r="AH157" i="8"/>
  <c r="AI157" i="8" s="1"/>
  <c r="AH381" i="8"/>
  <c r="AI381" i="8" s="1"/>
  <c r="AH158" i="8"/>
  <c r="AI158" i="8" s="1"/>
  <c r="AH191" i="8"/>
  <c r="AI191" i="8" s="1"/>
  <c r="AH416" i="8"/>
  <c r="AI416" i="8" s="1"/>
  <c r="AH129" i="8"/>
  <c r="AI129" i="8" s="1"/>
  <c r="AH417" i="8"/>
  <c r="AI417" i="8" s="1"/>
  <c r="AH162" i="8"/>
  <c r="AI162" i="8" s="1"/>
  <c r="AH546" i="8"/>
  <c r="AI546" i="8" s="1"/>
  <c r="AH323" i="8"/>
  <c r="AI323" i="8" s="1"/>
  <c r="AH118" i="8"/>
  <c r="AI118" i="8" s="1"/>
  <c r="AH150" i="8"/>
  <c r="AI150" i="8" s="1"/>
  <c r="AH182" i="8"/>
  <c r="AI182" i="8" s="1"/>
  <c r="AH214" i="8"/>
  <c r="AI214" i="8" s="1"/>
  <c r="AH246" i="8"/>
  <c r="AI246" i="8" s="1"/>
  <c r="AH278" i="8"/>
  <c r="AI278" i="8" s="1"/>
  <c r="AH310" i="8"/>
  <c r="AI310" i="8" s="1"/>
  <c r="AH342" i="8"/>
  <c r="AI342" i="8" s="1"/>
  <c r="AH374" i="8"/>
  <c r="AI374" i="8" s="1"/>
  <c r="AH215" i="8"/>
  <c r="AI215" i="8" s="1"/>
  <c r="AH312" i="8"/>
  <c r="AI312" i="8" s="1"/>
  <c r="AH281" i="8"/>
  <c r="AI281" i="8" s="1"/>
  <c r="AH218" i="8"/>
  <c r="AI218" i="8" s="1"/>
  <c r="AH316" i="8"/>
  <c r="AI316" i="8" s="1"/>
  <c r="AH318" i="8"/>
  <c r="AI318" i="8" s="1"/>
  <c r="AH511" i="8"/>
  <c r="AI511" i="8" s="1"/>
  <c r="AH480" i="8"/>
  <c r="AI480" i="8" s="1"/>
  <c r="AH482" i="8"/>
  <c r="AI482" i="8" s="1"/>
  <c r="AH123" i="8"/>
  <c r="AI123" i="8" s="1"/>
  <c r="AH155" i="8"/>
  <c r="AI155" i="8" s="1"/>
  <c r="AH187" i="8"/>
  <c r="AI187" i="8" s="1"/>
  <c r="AH219" i="8"/>
  <c r="AI219" i="8" s="1"/>
  <c r="AH251" i="8"/>
  <c r="AI251" i="8" s="1"/>
  <c r="AH283" i="8"/>
  <c r="AI283" i="8" s="1"/>
  <c r="AH315" i="8"/>
  <c r="AI315" i="8" s="1"/>
  <c r="AH347" i="8"/>
  <c r="AI347" i="8" s="1"/>
  <c r="AH380" i="8"/>
  <c r="AI380" i="8" s="1"/>
  <c r="AH254" i="8"/>
  <c r="AI254" i="8" s="1"/>
  <c r="AH192" i="8"/>
  <c r="AI192" i="8" s="1"/>
  <c r="AH385" i="8"/>
  <c r="AI385" i="8" s="1"/>
  <c r="AH386" i="8"/>
  <c r="AI386" i="8" s="1"/>
  <c r="AH355" i="8"/>
  <c r="AI355" i="8" s="1"/>
  <c r="AH71" i="8"/>
  <c r="AI71" i="8" s="1"/>
  <c r="AH75" i="8"/>
  <c r="AI75" i="8" s="1"/>
  <c r="AH59" i="8"/>
  <c r="AI59" i="8" s="1"/>
  <c r="AH11" i="8"/>
  <c r="AI11" i="8" s="1"/>
  <c r="AH93" i="8"/>
  <c r="AI93" i="8" s="1"/>
  <c r="AH100" i="8"/>
  <c r="AI100" i="8" s="1"/>
  <c r="AH35" i="8"/>
  <c r="AI35" i="8" s="1"/>
  <c r="AH27" i="8"/>
  <c r="AI27" i="8" s="1"/>
  <c r="AH56" i="8"/>
  <c r="AI56" i="8" s="1"/>
  <c r="AH68" i="8"/>
  <c r="AI68" i="8" s="1"/>
  <c r="AH32" i="8"/>
  <c r="AI32" i="8" s="1"/>
  <c r="AH3" i="8"/>
  <c r="AI3" i="8" s="1"/>
  <c r="AH65" i="8"/>
  <c r="AI65" i="8" s="1"/>
  <c r="AH34" i="8"/>
  <c r="AI34" i="8" s="1"/>
  <c r="AH63" i="8"/>
  <c r="AI63" i="8" s="1"/>
  <c r="AH19" i="8"/>
  <c r="AI19" i="8" s="1"/>
  <c r="AH36" i="8"/>
  <c r="AI36" i="8" s="1"/>
  <c r="AH83" i="8"/>
  <c r="AI83" i="8" s="1"/>
  <c r="AH39" i="8"/>
  <c r="AI39" i="8" s="1"/>
  <c r="AH30" i="8"/>
  <c r="AI30" i="8" s="1"/>
  <c r="AH14" i="8"/>
  <c r="AI14" i="8" s="1"/>
  <c r="AH17" i="8"/>
  <c r="AI17" i="8" s="1"/>
  <c r="AH4" i="8"/>
  <c r="AI4" i="8" s="1"/>
  <c r="AQ150" i="8"/>
  <c r="AQ69" i="8"/>
  <c r="AQ53" i="8"/>
  <c r="AQ201" i="8"/>
  <c r="AQ145" i="8"/>
  <c r="AQ162" i="8"/>
  <c r="AQ272" i="8"/>
  <c r="AQ170" i="8"/>
  <c r="AQ292" i="8"/>
  <c r="AQ143" i="8"/>
  <c r="AQ114" i="8"/>
  <c r="AQ115" i="8"/>
  <c r="AQ216" i="8"/>
  <c r="AQ121" i="8"/>
  <c r="AQ235" i="8"/>
  <c r="AQ100" i="8"/>
  <c r="AQ147" i="8"/>
  <c r="AQ283" i="8"/>
  <c r="AQ66" i="8"/>
  <c r="AQ139" i="8"/>
  <c r="AQ152" i="8"/>
  <c r="AQ82" i="8"/>
  <c r="AQ205" i="8"/>
  <c r="AQ26" i="8"/>
  <c r="AQ228" i="8"/>
  <c r="AQ98" i="8"/>
  <c r="AQ172" i="8"/>
  <c r="AQ284" i="8"/>
  <c r="AQ277" i="8"/>
  <c r="AQ142" i="8"/>
  <c r="AQ8" i="8"/>
  <c r="AQ146" i="8"/>
  <c r="AQ36" i="8"/>
  <c r="AQ213" i="8"/>
  <c r="AQ265" i="8"/>
  <c r="AQ287" i="8"/>
  <c r="AQ126" i="8"/>
  <c r="AQ11" i="8"/>
  <c r="AQ166" i="8"/>
  <c r="AQ168" i="8"/>
  <c r="AQ171" i="8"/>
  <c r="AQ219" i="8"/>
  <c r="AQ65" i="8"/>
  <c r="AQ85" i="8"/>
  <c r="AQ38" i="8"/>
  <c r="AQ187" i="8"/>
  <c r="AQ250" i="8"/>
  <c r="AQ59" i="8"/>
  <c r="AQ271" i="8"/>
  <c r="AQ87" i="8"/>
  <c r="AQ263" i="8"/>
  <c r="AQ282" i="8"/>
  <c r="AQ13" i="8"/>
  <c r="AQ286" i="8"/>
  <c r="AQ217" i="8"/>
  <c r="AQ185" i="8"/>
  <c r="AQ215" i="8"/>
  <c r="AQ259" i="8"/>
  <c r="AQ127" i="8"/>
  <c r="AQ77" i="8"/>
  <c r="AQ193" i="8"/>
  <c r="AQ181" i="8"/>
  <c r="AQ117" i="8"/>
  <c r="AQ133" i="8"/>
  <c r="AQ264" i="8"/>
  <c r="AQ54" i="8"/>
  <c r="AQ49" i="8"/>
  <c r="AQ192" i="8"/>
  <c r="AQ180" i="8"/>
  <c r="AQ140" i="8"/>
  <c r="AQ124" i="8"/>
  <c r="AQ84" i="8"/>
  <c r="AQ55" i="8"/>
  <c r="AQ56" i="8"/>
  <c r="AQ60" i="8"/>
  <c r="AQ199" i="8"/>
  <c r="AQ226" i="8"/>
  <c r="AQ183" i="8"/>
  <c r="AQ176" i="8"/>
  <c r="AQ206" i="8"/>
  <c r="AQ174" i="8"/>
  <c r="AQ260" i="8"/>
  <c r="AQ207" i="8"/>
  <c r="AQ83" i="8"/>
  <c r="AQ268" i="8"/>
  <c r="AQ212" i="8"/>
  <c r="AQ231" i="8"/>
  <c r="AQ129" i="8"/>
  <c r="AQ191" i="8"/>
  <c r="AQ290" i="8"/>
  <c r="AQ94" i="8"/>
  <c r="AQ113" i="8"/>
  <c r="AQ293" i="8"/>
  <c r="AQ227" i="8"/>
  <c r="AQ105" i="8"/>
  <c r="AQ104" i="8"/>
  <c r="AQ275" i="8"/>
  <c r="AQ248" i="8"/>
  <c r="AQ90" i="8"/>
  <c r="AQ136" i="8"/>
  <c r="AQ79" i="8"/>
  <c r="AQ130" i="8"/>
  <c r="AQ144" i="8"/>
  <c r="AQ32" i="8"/>
  <c r="AQ280" i="8"/>
  <c r="AQ169" i="8"/>
  <c r="AQ40" i="8"/>
  <c r="AQ3" i="8"/>
  <c r="AQ110" i="8"/>
  <c r="AQ75" i="8"/>
  <c r="AQ102" i="8"/>
  <c r="AQ232" i="8"/>
  <c r="AQ137" i="8"/>
  <c r="AQ51" i="8"/>
  <c r="AQ184" i="8"/>
  <c r="AQ96" i="8"/>
  <c r="AQ194" i="8"/>
  <c r="AQ134" i="8"/>
  <c r="AQ195" i="8"/>
  <c r="AQ62" i="8"/>
  <c r="AQ149" i="8"/>
  <c r="AQ204" i="8"/>
  <c r="AQ4" i="8"/>
  <c r="AQ167" i="8"/>
  <c r="AQ44" i="8"/>
  <c r="AQ230" i="8"/>
  <c r="AQ157" i="8"/>
  <c r="AQ30" i="8"/>
  <c r="AQ10" i="8"/>
  <c r="AQ208" i="8"/>
  <c r="AQ89" i="8"/>
  <c r="AQ233" i="8"/>
  <c r="AQ214" i="8"/>
  <c r="AQ108" i="8"/>
  <c r="AQ15" i="8"/>
  <c r="AQ220" i="8"/>
  <c r="AQ81" i="8"/>
  <c r="AQ101" i="8"/>
  <c r="AQ179" i="8"/>
  <c r="AQ155" i="8"/>
  <c r="AQ17" i="8"/>
  <c r="AQ244" i="8"/>
  <c r="AQ20" i="8"/>
  <c r="AQ119" i="8"/>
  <c r="AQ34" i="8"/>
  <c r="AQ189" i="8"/>
  <c r="AQ33" i="8"/>
  <c r="AQ279" i="8"/>
  <c r="AQ154" i="8"/>
  <c r="AQ252" i="8"/>
  <c r="AQ258" i="8"/>
  <c r="AQ153" i="8"/>
  <c r="AQ270" i="8"/>
  <c r="AQ37" i="8"/>
  <c r="AQ274" i="8"/>
  <c r="AQ52" i="8"/>
  <c r="AQ91" i="8"/>
  <c r="AQ24" i="8"/>
  <c r="AQ262" i="8"/>
  <c r="AQ175" i="8"/>
  <c r="AQ5" i="8"/>
  <c r="AQ43" i="8"/>
  <c r="AQ253" i="8"/>
  <c r="AQ223" i="8"/>
  <c r="AQ106" i="8"/>
  <c r="AQ72" i="8"/>
  <c r="AQ76" i="8"/>
  <c r="AQ190" i="8"/>
  <c r="AQ50" i="8"/>
  <c r="AQ45" i="8"/>
  <c r="AQ122" i="8"/>
  <c r="AQ61" i="8"/>
  <c r="AQ57" i="8"/>
  <c r="AQ238" i="8"/>
  <c r="AQ251" i="8"/>
  <c r="AQ249" i="8"/>
  <c r="AQ151" i="8"/>
  <c r="AQ186" i="8"/>
  <c r="AQ255" i="8"/>
  <c r="AQ78" i="8"/>
  <c r="AQ197" i="8"/>
  <c r="AQ95" i="8"/>
  <c r="AQ281" i="8"/>
  <c r="AQ247" i="8"/>
  <c r="AQ158" i="8"/>
  <c r="AQ246" i="8"/>
  <c r="AQ188" i="8"/>
  <c r="AQ267" i="8"/>
  <c r="AQ71" i="8"/>
  <c r="AQ222" i="8"/>
  <c r="AQ131" i="8"/>
  <c r="AQ239" i="8"/>
  <c r="AQ266" i="8"/>
  <c r="AQ225" i="8"/>
  <c r="AQ261" i="8"/>
  <c r="AQ245" i="8"/>
  <c r="AQ103" i="8"/>
  <c r="AQ28" i="8"/>
  <c r="AQ47" i="8"/>
  <c r="AQ159" i="8"/>
  <c r="AQ196" i="8"/>
  <c r="AQ132" i="8"/>
  <c r="AQ165" i="8"/>
  <c r="AQ68" i="8"/>
  <c r="AQ257" i="8"/>
  <c r="AQ135" i="8"/>
  <c r="AQ42" i="8"/>
  <c r="AQ123" i="8"/>
  <c r="AQ240" i="8"/>
  <c r="AQ19" i="8"/>
  <c r="AQ229" i="8"/>
  <c r="AQ256" i="8"/>
  <c r="AQ111" i="8"/>
  <c r="AQ70" i="8"/>
  <c r="AQ160" i="8"/>
  <c r="AQ7" i="8"/>
  <c r="AQ148" i="8"/>
  <c r="AQ92" i="8"/>
  <c r="AQ21" i="8"/>
  <c r="AQ288" i="8"/>
  <c r="AQ291" i="8"/>
  <c r="AQ224" i="8"/>
  <c r="AQ109" i="8"/>
  <c r="AQ23" i="8"/>
  <c r="AQ218" i="8"/>
  <c r="AQ209" i="8"/>
  <c r="AQ269" i="8"/>
  <c r="AQ25" i="8"/>
  <c r="AQ254" i="8"/>
  <c r="AQ241" i="8"/>
  <c r="AQ413" i="8"/>
  <c r="AQ381" i="8"/>
  <c r="AQ349" i="8"/>
  <c r="AQ317" i="8"/>
  <c r="AQ402" i="8"/>
  <c r="AQ370" i="8"/>
  <c r="AQ338" i="8"/>
  <c r="AQ306" i="8"/>
  <c r="AQ391" i="8"/>
  <c r="AQ359" i="8"/>
  <c r="AQ327" i="8"/>
  <c r="AQ412" i="8"/>
  <c r="AQ401" i="8"/>
  <c r="AQ369" i="8"/>
  <c r="AQ337" i="8"/>
  <c r="AQ305" i="8"/>
  <c r="AQ411" i="8"/>
  <c r="AQ399" i="8"/>
  <c r="AQ367" i="8"/>
  <c r="AQ335" i="8"/>
  <c r="AQ303" i="8"/>
  <c r="AQ409" i="8"/>
  <c r="AQ377" i="8"/>
  <c r="AQ345" i="8"/>
  <c r="AQ417" i="8"/>
  <c r="AQ385" i="8"/>
  <c r="AQ353" i="8"/>
  <c r="AQ395" i="8"/>
  <c r="AQ405" i="8"/>
  <c r="AQ373" i="8"/>
  <c r="AQ414" i="8"/>
  <c r="AQ383" i="8"/>
  <c r="AQ329" i="8"/>
  <c r="AQ397" i="8"/>
  <c r="AQ368" i="8"/>
  <c r="AQ315" i="8"/>
  <c r="AQ354" i="8"/>
  <c r="AQ341" i="8"/>
  <c r="AQ382" i="8"/>
  <c r="AQ328" i="8"/>
  <c r="AQ302" i="8"/>
  <c r="AQ396" i="8"/>
  <c r="AQ314" i="8"/>
  <c r="AQ366" i="8"/>
  <c r="AQ340" i="8"/>
  <c r="AQ326" i="8"/>
  <c r="AQ410" i="8"/>
  <c r="AQ380" i="8"/>
  <c r="AQ313" i="8"/>
  <c r="AQ301" i="8"/>
  <c r="AQ394" i="8"/>
  <c r="AQ352" i="8"/>
  <c r="AQ379" i="8"/>
  <c r="AQ365" i="8"/>
  <c r="AQ339" i="8"/>
  <c r="AQ325" i="8"/>
  <c r="AQ312" i="8"/>
  <c r="AQ300" i="8"/>
  <c r="AQ408" i="8"/>
  <c r="AQ393" i="8"/>
  <c r="AQ351" i="8"/>
  <c r="AQ324" i="8"/>
  <c r="AQ346" i="8"/>
  <c r="AQ386" i="8"/>
  <c r="AQ362" i="8"/>
  <c r="AQ407" i="8"/>
  <c r="AQ342" i="8"/>
  <c r="AQ321" i="8"/>
  <c r="AQ406" i="8"/>
  <c r="AQ361" i="8"/>
  <c r="AQ304" i="8"/>
  <c r="AQ384" i="8"/>
  <c r="AQ360" i="8"/>
  <c r="AQ320" i="8"/>
  <c r="AQ336" i="8"/>
  <c r="AQ404" i="8"/>
  <c r="AQ378" i="8"/>
  <c r="AQ403" i="8"/>
  <c r="AQ319" i="8"/>
  <c r="AQ372" i="8"/>
  <c r="AQ297" i="8"/>
  <c r="AQ344" i="8"/>
  <c r="AQ400" i="8"/>
  <c r="AQ318" i="8"/>
  <c r="AQ371" i="8"/>
  <c r="AQ296" i="8"/>
  <c r="AQ343" i="8"/>
  <c r="AQ295" i="8"/>
  <c r="AQ316" i="8"/>
  <c r="AQ421" i="8"/>
  <c r="AQ389" i="8"/>
  <c r="AQ420" i="8"/>
  <c r="AQ418" i="8"/>
  <c r="AQ364" i="8"/>
  <c r="AQ363" i="8"/>
  <c r="AQ330" i="8"/>
  <c r="AQ298" i="8"/>
  <c r="AQ294" i="8"/>
  <c r="AQ416" i="8"/>
  <c r="AQ358" i="8"/>
  <c r="AQ415" i="8"/>
  <c r="AQ357" i="8"/>
  <c r="AQ356" i="8"/>
  <c r="AQ323" i="8"/>
  <c r="AQ331" i="8"/>
  <c r="AQ322" i="8"/>
  <c r="AQ376" i="8"/>
  <c r="AQ375" i="8"/>
  <c r="AQ311" i="8"/>
  <c r="AQ374" i="8"/>
  <c r="AQ310" i="8"/>
  <c r="AQ355" i="8"/>
  <c r="AQ309" i="8"/>
  <c r="AQ350" i="8"/>
  <c r="AQ308" i="8"/>
  <c r="AQ348" i="8"/>
  <c r="AQ307" i="8"/>
  <c r="AQ419" i="8"/>
  <c r="AQ347" i="8"/>
  <c r="AQ398" i="8"/>
  <c r="AQ299" i="8"/>
  <c r="AQ334" i="8"/>
  <c r="AQ392" i="8"/>
  <c r="AQ390" i="8"/>
  <c r="AQ333" i="8"/>
  <c r="AQ388" i="8"/>
  <c r="AQ387" i="8"/>
  <c r="AQ332" i="8"/>
  <c r="AQ120" i="8"/>
  <c r="AQ182" i="8"/>
  <c r="AQ22" i="8"/>
  <c r="AQ177" i="8"/>
  <c r="AQ236" i="8"/>
  <c r="AQ18" i="8"/>
  <c r="AQ237" i="8"/>
  <c r="AQ93" i="8"/>
  <c r="AQ12" i="8"/>
  <c r="AQ202" i="8"/>
  <c r="AQ289" i="8"/>
  <c r="AQ273" i="8"/>
  <c r="AQ67" i="8"/>
  <c r="AQ46" i="8"/>
  <c r="AQ6" i="8"/>
  <c r="AQ118" i="8"/>
  <c r="AQ161" i="8"/>
  <c r="AQ211" i="8"/>
  <c r="AQ29" i="8"/>
  <c r="AQ173" i="8"/>
  <c r="AQ210" i="8"/>
  <c r="AQ97" i="8"/>
  <c r="AQ73" i="8"/>
  <c r="AQ14" i="8"/>
  <c r="AQ141" i="8"/>
  <c r="AQ200" i="8"/>
  <c r="AQ276" i="8"/>
  <c r="AQ31" i="8"/>
  <c r="AQ198" i="8"/>
  <c r="AQ242" i="8"/>
  <c r="AQ9" i="8"/>
  <c r="AQ178" i="8"/>
  <c r="AQ163" i="8"/>
  <c r="AQ86" i="8"/>
  <c r="AQ58" i="8"/>
  <c r="AQ80" i="8"/>
  <c r="AQ112" i="8"/>
  <c r="AQ35" i="8"/>
  <c r="AQ243" i="8"/>
  <c r="AQ221" i="8"/>
  <c r="AQ39" i="8"/>
  <c r="AQ278" i="8"/>
  <c r="AQ48" i="8"/>
  <c r="AQ63" i="8"/>
  <c r="AQ203" i="8"/>
  <c r="AQ128" i="8"/>
  <c r="AQ64" i="8"/>
  <c r="AQ88" i="8"/>
  <c r="AQ156" i="8"/>
  <c r="AQ107" i="8"/>
  <c r="AQ285" i="8"/>
  <c r="AQ116" i="8"/>
  <c r="AQ16" i="8"/>
  <c r="AQ234" i="8"/>
  <c r="AQ74" i="8"/>
  <c r="AQ125" i="8"/>
  <c r="AQ99" i="8"/>
  <c r="AQ164" i="8"/>
  <c r="AQ41" i="8"/>
  <c r="AQ138" i="8"/>
  <c r="C7" i="4"/>
  <c r="C7" i="2" a="1"/>
  <c r="O15" i="9" l="1"/>
  <c r="H16" i="9"/>
  <c r="D16" i="9"/>
  <c r="K16" i="9"/>
  <c r="J16" i="9"/>
  <c r="C16" i="9"/>
  <c r="L17" i="9"/>
  <c r="M17" i="9" s="1"/>
  <c r="I17" i="9"/>
  <c r="E17" i="9"/>
  <c r="G17" i="9" s="1"/>
  <c r="B17" i="9"/>
  <c r="N17" i="9"/>
  <c r="A18" i="9"/>
  <c r="AJ2" i="8" a="1"/>
  <c r="AJ2" i="8" s="1"/>
  <c r="AS1" i="8" a="1"/>
  <c r="AS1" i="8" s="1"/>
  <c r="C7" i="2"/>
  <c r="B7" i="2" a="1"/>
  <c r="E14" i="8" l="1"/>
  <c r="F14" i="8" s="1"/>
  <c r="B14" i="8"/>
  <c r="Q2" i="8" s="1"/>
  <c r="O16" i="9"/>
  <c r="H17" i="9"/>
  <c r="D17" i="9"/>
  <c r="C17" i="9"/>
  <c r="J17" i="9"/>
  <c r="K17" i="9"/>
  <c r="I18" i="9"/>
  <c r="E18" i="9"/>
  <c r="G18" i="9" s="1"/>
  <c r="N18" i="9"/>
  <c r="L18" i="9"/>
  <c r="M18" i="9" s="1"/>
  <c r="B18" i="9"/>
  <c r="A19" i="9"/>
  <c r="AJ1" i="8" a="1"/>
  <c r="AJ1" i="8" s="1"/>
  <c r="A15" i="8" s="1"/>
  <c r="AS2" i="8"/>
  <c r="AS4" i="8"/>
  <c r="D10" i="8" s="1"/>
  <c r="AS3" i="8"/>
  <c r="H14" i="8"/>
  <c r="B7" i="2"/>
  <c r="C7" i="5" a="1"/>
  <c r="E15" i="8" l="1"/>
  <c r="F15" i="8" s="1"/>
  <c r="K15" i="8"/>
  <c r="L15" i="8" s="1"/>
  <c r="O17" i="9"/>
  <c r="L19" i="9"/>
  <c r="M19" i="9" s="1"/>
  <c r="I19" i="9"/>
  <c r="B19" i="9"/>
  <c r="E19" i="9"/>
  <c r="G19" i="9" s="1"/>
  <c r="N19" i="9"/>
  <c r="A20" i="9"/>
  <c r="K18" i="9"/>
  <c r="J18" i="9"/>
  <c r="D18" i="9"/>
  <c r="C18" i="9"/>
  <c r="H18" i="9"/>
  <c r="A16" i="8"/>
  <c r="H15" i="8"/>
  <c r="B15" i="8"/>
  <c r="M15" i="8"/>
  <c r="C7" i="5"/>
  <c r="B7" i="5" a="1"/>
  <c r="E16" i="8" l="1"/>
  <c r="F16" i="8" s="1"/>
  <c r="K16" i="8"/>
  <c r="L16" i="8" s="1"/>
  <c r="O18" i="9"/>
  <c r="B20" i="9"/>
  <c r="N20" i="9"/>
  <c r="L20" i="9"/>
  <c r="M20" i="9" s="1"/>
  <c r="I20" i="9"/>
  <c r="E20" i="9"/>
  <c r="G20" i="9" s="1"/>
  <c r="A21" i="9"/>
  <c r="K19" i="9"/>
  <c r="J19" i="9"/>
  <c r="H19" i="9"/>
  <c r="D19" i="9"/>
  <c r="C19" i="9"/>
  <c r="J15" i="8"/>
  <c r="G15" i="8"/>
  <c r="A17" i="8"/>
  <c r="B16" i="8"/>
  <c r="M16" i="8"/>
  <c r="H16" i="8"/>
  <c r="D15" i="8"/>
  <c r="I15" i="8"/>
  <c r="C15" i="8"/>
  <c r="B7" i="5"/>
  <c r="X4" i="3" a="1"/>
  <c r="X4" i="2" a="1"/>
  <c r="X4" i="4" a="1"/>
  <c r="X4" i="5" a="1"/>
  <c r="B9" i="3" a="1"/>
  <c r="G16" i="8" l="1"/>
  <c r="N15" i="8"/>
  <c r="O15" i="8"/>
  <c r="E17" i="8"/>
  <c r="F17" i="8" s="1"/>
  <c r="K17" i="8"/>
  <c r="O19" i="9"/>
  <c r="L21" i="9"/>
  <c r="M21" i="9" s="1"/>
  <c r="I21" i="9"/>
  <c r="B21" i="9"/>
  <c r="E21" i="9"/>
  <c r="G21" i="9" s="1"/>
  <c r="N21" i="9"/>
  <c r="A22" i="9"/>
  <c r="K20" i="9"/>
  <c r="J20" i="9"/>
  <c r="H20" i="9"/>
  <c r="D20" i="9"/>
  <c r="C20" i="9"/>
  <c r="J16" i="8"/>
  <c r="L17" i="8"/>
  <c r="B17" i="8"/>
  <c r="H17" i="8"/>
  <c r="M17" i="8"/>
  <c r="A18" i="8"/>
  <c r="D16" i="8"/>
  <c r="I16" i="8"/>
  <c r="O16" i="8" s="1"/>
  <c r="C16" i="8"/>
  <c r="X4" i="5"/>
  <c r="X4" i="4"/>
  <c r="X4" i="2"/>
  <c r="X4" i="3"/>
  <c r="B9" i="3"/>
  <c r="B9" i="4" a="1"/>
  <c r="G17" i="8" l="1"/>
  <c r="E18" i="8"/>
  <c r="F18" i="8" s="1"/>
  <c r="K18" i="8"/>
  <c r="L18" i="8" s="1"/>
  <c r="O20" i="9"/>
  <c r="I22" i="9"/>
  <c r="L22" i="9"/>
  <c r="M22" i="9" s="1"/>
  <c r="N22" i="9"/>
  <c r="E22" i="9"/>
  <c r="G22" i="9" s="1"/>
  <c r="B22" i="9"/>
  <c r="A23" i="9"/>
  <c r="K21" i="9"/>
  <c r="J21" i="9"/>
  <c r="H21" i="9"/>
  <c r="D21" i="9"/>
  <c r="C21" i="9"/>
  <c r="J17" i="8"/>
  <c r="H18" i="8"/>
  <c r="I17" i="8"/>
  <c r="O17" i="8" s="1"/>
  <c r="C17" i="8"/>
  <c r="D17" i="8"/>
  <c r="M18" i="8"/>
  <c r="B18" i="8"/>
  <c r="A19" i="8"/>
  <c r="N16" i="8"/>
  <c r="B9" i="4"/>
  <c r="C9" i="3" a="1"/>
  <c r="G18" i="8" l="1"/>
  <c r="E19" i="8"/>
  <c r="F19" i="8" s="1"/>
  <c r="K19" i="8"/>
  <c r="L19" i="8" s="1"/>
  <c r="O21" i="9"/>
  <c r="I23" i="9"/>
  <c r="N23" i="9"/>
  <c r="L23" i="9"/>
  <c r="M23" i="9" s="1"/>
  <c r="E23" i="9"/>
  <c r="G23" i="9" s="1"/>
  <c r="B23" i="9"/>
  <c r="A24" i="9"/>
  <c r="H22" i="9"/>
  <c r="K22" i="9"/>
  <c r="D22" i="9"/>
  <c r="J22" i="9"/>
  <c r="C22" i="9"/>
  <c r="J18" i="8"/>
  <c r="M19" i="8"/>
  <c r="N17" i="8"/>
  <c r="A20" i="8"/>
  <c r="B19" i="8"/>
  <c r="H19" i="8"/>
  <c r="D18" i="8"/>
  <c r="I18" i="8"/>
  <c r="C18" i="8"/>
  <c r="C9" i="3"/>
  <c r="C9" i="4" a="1"/>
  <c r="O18" i="8" l="1"/>
  <c r="G19" i="8"/>
  <c r="E20" i="8"/>
  <c r="F20" i="8" s="1"/>
  <c r="K20" i="8"/>
  <c r="O22" i="9"/>
  <c r="I24" i="9"/>
  <c r="E24" i="9"/>
  <c r="G24" i="9" s="1"/>
  <c r="N24" i="9"/>
  <c r="L24" i="9"/>
  <c r="M24" i="9" s="1"/>
  <c r="B24" i="9"/>
  <c r="A25" i="9"/>
  <c r="J23" i="9"/>
  <c r="C23" i="9"/>
  <c r="K23" i="9"/>
  <c r="D23" i="9"/>
  <c r="H23" i="9"/>
  <c r="J19" i="8"/>
  <c r="L20" i="8"/>
  <c r="A21" i="8"/>
  <c r="M20" i="8"/>
  <c r="C19" i="8"/>
  <c r="B20" i="8"/>
  <c r="H20" i="8"/>
  <c r="I19" i="8"/>
  <c r="D19" i="8"/>
  <c r="N18" i="8"/>
  <c r="C9" i="4"/>
  <c r="C9" i="2" a="1"/>
  <c r="O19" i="8" l="1"/>
  <c r="G20" i="8"/>
  <c r="E21" i="8"/>
  <c r="F21" i="8" s="1"/>
  <c r="K21" i="8"/>
  <c r="O23" i="9"/>
  <c r="J24" i="9"/>
  <c r="K24" i="9"/>
  <c r="H24" i="9"/>
  <c r="D24" i="9"/>
  <c r="C24" i="9"/>
  <c r="I25" i="9"/>
  <c r="N25" i="9"/>
  <c r="L25" i="9"/>
  <c r="M25" i="9" s="1"/>
  <c r="E25" i="9"/>
  <c r="G25" i="9" s="1"/>
  <c r="B25" i="9"/>
  <c r="A26" i="9"/>
  <c r="C20" i="8"/>
  <c r="L21" i="8"/>
  <c r="D20" i="8"/>
  <c r="I20" i="8"/>
  <c r="A22" i="8"/>
  <c r="B21" i="8"/>
  <c r="H21" i="8"/>
  <c r="M21" i="8"/>
  <c r="N19" i="8"/>
  <c r="J20" i="8"/>
  <c r="C9" i="2"/>
  <c r="C9" i="5" a="1"/>
  <c r="O20" i="8" l="1"/>
  <c r="G21" i="8"/>
  <c r="E22" i="8"/>
  <c r="F22" i="8" s="1"/>
  <c r="K22" i="8"/>
  <c r="L22" i="8" s="1"/>
  <c r="O24" i="9"/>
  <c r="H25" i="9"/>
  <c r="C25" i="9"/>
  <c r="J25" i="9"/>
  <c r="D25" i="9"/>
  <c r="K25" i="9"/>
  <c r="N26" i="9"/>
  <c r="L26" i="9"/>
  <c r="M26" i="9" s="1"/>
  <c r="E26" i="9"/>
  <c r="G26" i="9" s="1"/>
  <c r="I26" i="9"/>
  <c r="B26" i="9"/>
  <c r="A27" i="9"/>
  <c r="J21" i="8"/>
  <c r="B22" i="8"/>
  <c r="A23" i="8"/>
  <c r="H22" i="8"/>
  <c r="M22" i="8"/>
  <c r="C21" i="8"/>
  <c r="D21" i="8"/>
  <c r="I21" i="8"/>
  <c r="N20" i="8"/>
  <c r="C9" i="5"/>
  <c r="D9" i="3" a="1"/>
  <c r="O21" i="8" l="1"/>
  <c r="E23" i="8"/>
  <c r="F23" i="8" s="1"/>
  <c r="K23" i="8"/>
  <c r="L23" i="8" s="1"/>
  <c r="G22" i="8"/>
  <c r="O25" i="9"/>
  <c r="N27" i="9"/>
  <c r="I27" i="9"/>
  <c r="L27" i="9"/>
  <c r="M27" i="9" s="1"/>
  <c r="B27" i="9"/>
  <c r="E27" i="9"/>
  <c r="G27" i="9" s="1"/>
  <c r="A28" i="9"/>
  <c r="D26" i="9"/>
  <c r="K26" i="9"/>
  <c r="J26" i="9"/>
  <c r="C26" i="9"/>
  <c r="H26" i="9"/>
  <c r="J22" i="8"/>
  <c r="H23" i="8"/>
  <c r="C22" i="8"/>
  <c r="D22" i="8"/>
  <c r="I22" i="8"/>
  <c r="B23" i="8"/>
  <c r="M23" i="8"/>
  <c r="A24" i="8"/>
  <c r="N21" i="8"/>
  <c r="D9" i="3"/>
  <c r="D9" i="4" a="1"/>
  <c r="O22" i="8" l="1"/>
  <c r="G23" i="8"/>
  <c r="E24" i="8"/>
  <c r="F24" i="8" s="1"/>
  <c r="K24" i="8"/>
  <c r="O26" i="9"/>
  <c r="B28" i="9"/>
  <c r="L28" i="9"/>
  <c r="M28" i="9" s="1"/>
  <c r="N28" i="9"/>
  <c r="E28" i="9"/>
  <c r="G28" i="9" s="1"/>
  <c r="I28" i="9"/>
  <c r="A29" i="9"/>
  <c r="H27" i="9"/>
  <c r="D27" i="9"/>
  <c r="K27" i="9"/>
  <c r="J27" i="9"/>
  <c r="C27" i="9"/>
  <c r="D23" i="8"/>
  <c r="M24" i="8"/>
  <c r="L24" i="8"/>
  <c r="N22" i="8"/>
  <c r="A25" i="8"/>
  <c r="H24" i="8"/>
  <c r="B24" i="8"/>
  <c r="J23" i="8"/>
  <c r="C23" i="8"/>
  <c r="I23" i="8"/>
  <c r="D9" i="4"/>
  <c r="D9" i="2" a="1"/>
  <c r="O23" i="8" l="1"/>
  <c r="G24" i="8"/>
  <c r="E25" i="8"/>
  <c r="F25" i="8" s="1"/>
  <c r="K25" i="8"/>
  <c r="L25" i="8" s="1"/>
  <c r="O27" i="9"/>
  <c r="E29" i="9"/>
  <c r="G29" i="9" s="1"/>
  <c r="B29" i="9"/>
  <c r="N29" i="9"/>
  <c r="L29" i="9"/>
  <c r="M29" i="9" s="1"/>
  <c r="I29" i="9"/>
  <c r="A30" i="9"/>
  <c r="H28" i="9"/>
  <c r="K28" i="9"/>
  <c r="J28" i="9"/>
  <c r="C28" i="9"/>
  <c r="D28" i="9"/>
  <c r="H25" i="8"/>
  <c r="I24" i="8"/>
  <c r="D24" i="8"/>
  <c r="C24" i="8"/>
  <c r="J24" i="8"/>
  <c r="A26" i="8"/>
  <c r="B25" i="8"/>
  <c r="M25" i="8"/>
  <c r="N23" i="8"/>
  <c r="D9" i="2"/>
  <c r="D9" i="5" a="1"/>
  <c r="O24" i="8" l="1"/>
  <c r="E26" i="8"/>
  <c r="F26" i="8" s="1"/>
  <c r="K26" i="8"/>
  <c r="L26" i="8" s="1"/>
  <c r="G25" i="8"/>
  <c r="O28" i="9"/>
  <c r="B30" i="9"/>
  <c r="E30" i="9"/>
  <c r="G30" i="9" s="1"/>
  <c r="N30" i="9"/>
  <c r="L30" i="9"/>
  <c r="M30" i="9" s="1"/>
  <c r="I30" i="9"/>
  <c r="A31" i="9"/>
  <c r="J29" i="9"/>
  <c r="K29" i="9"/>
  <c r="C29" i="9"/>
  <c r="H29" i="9"/>
  <c r="D29" i="9"/>
  <c r="J25" i="8"/>
  <c r="H26" i="8"/>
  <c r="A27" i="8"/>
  <c r="B26" i="8"/>
  <c r="M26" i="8"/>
  <c r="N24" i="8"/>
  <c r="I25" i="8"/>
  <c r="D25" i="8"/>
  <c r="C25" i="8"/>
  <c r="D9" i="5"/>
  <c r="B9" i="2" a="1"/>
  <c r="O25" i="8" l="1"/>
  <c r="G26" i="8"/>
  <c r="E27" i="8"/>
  <c r="F27" i="8" s="1"/>
  <c r="K27" i="8"/>
  <c r="L27" i="8" s="1"/>
  <c r="O29" i="9"/>
  <c r="E31" i="9"/>
  <c r="G31" i="9" s="1"/>
  <c r="B31" i="9"/>
  <c r="N31" i="9"/>
  <c r="L31" i="9"/>
  <c r="M31" i="9" s="1"/>
  <c r="I31" i="9"/>
  <c r="A32" i="9"/>
  <c r="D30" i="9"/>
  <c r="C30" i="9"/>
  <c r="J30" i="9"/>
  <c r="K30" i="9"/>
  <c r="H30" i="9"/>
  <c r="J26" i="8"/>
  <c r="A28" i="8"/>
  <c r="C26" i="8"/>
  <c r="D26" i="8"/>
  <c r="I26" i="8"/>
  <c r="H27" i="8"/>
  <c r="B27" i="8"/>
  <c r="M27" i="8"/>
  <c r="N25" i="8"/>
  <c r="B9" i="2"/>
  <c r="B9" i="5" a="1"/>
  <c r="O26" i="8" l="1"/>
  <c r="E28" i="8"/>
  <c r="F28" i="8" s="1"/>
  <c r="K28" i="8"/>
  <c r="L28" i="8" s="1"/>
  <c r="G27" i="8"/>
  <c r="O30" i="9"/>
  <c r="E32" i="9"/>
  <c r="G32" i="9" s="1"/>
  <c r="B32" i="9"/>
  <c r="N32" i="9"/>
  <c r="L32" i="9"/>
  <c r="M32" i="9" s="1"/>
  <c r="I32" i="9"/>
  <c r="A33" i="9"/>
  <c r="H31" i="9"/>
  <c r="K31" i="9"/>
  <c r="J31" i="9"/>
  <c r="C31" i="9"/>
  <c r="D31" i="9"/>
  <c r="D27" i="8"/>
  <c r="M28" i="8"/>
  <c r="N26" i="8"/>
  <c r="A29" i="8"/>
  <c r="H28" i="8"/>
  <c r="B28" i="8"/>
  <c r="J27" i="8"/>
  <c r="I27" i="8"/>
  <c r="C27" i="8"/>
  <c r="B9" i="5"/>
  <c r="AB3" i="4" a="1"/>
  <c r="AB3" i="3" a="1"/>
  <c r="AB3" i="5" a="1"/>
  <c r="AB3" i="2" a="1"/>
  <c r="O27" i="8" l="1"/>
  <c r="E29" i="8"/>
  <c r="F29" i="8" s="1"/>
  <c r="K29" i="8"/>
  <c r="L29" i="8" s="1"/>
  <c r="G28" i="8"/>
  <c r="O31" i="9"/>
  <c r="E33" i="9"/>
  <c r="G33" i="9" s="1"/>
  <c r="B33" i="9"/>
  <c r="I33" i="9"/>
  <c r="N33" i="9"/>
  <c r="L33" i="9"/>
  <c r="M33" i="9" s="1"/>
  <c r="A34" i="9"/>
  <c r="D32" i="9"/>
  <c r="C32" i="9"/>
  <c r="K32" i="9"/>
  <c r="J32" i="9"/>
  <c r="H32" i="9"/>
  <c r="J28" i="8"/>
  <c r="C28" i="8"/>
  <c r="D28" i="8"/>
  <c r="I28" i="8"/>
  <c r="M29" i="8"/>
  <c r="B29" i="8"/>
  <c r="H29" i="8"/>
  <c r="A30" i="8"/>
  <c r="N27" i="8"/>
  <c r="AB3" i="2"/>
  <c r="AB3" i="5"/>
  <c r="AB3" i="3"/>
  <c r="AB3" i="4"/>
  <c r="D5" i="5"/>
  <c r="C5" i="5"/>
  <c r="B5" i="5"/>
  <c r="D5" i="4"/>
  <c r="C5" i="4"/>
  <c r="B5" i="4"/>
  <c r="J14" i="3"/>
  <c r="D5" i="3"/>
  <c r="C5" i="3"/>
  <c r="B5" i="3"/>
  <c r="H3" i="3"/>
  <c r="I3" i="3" s="1"/>
  <c r="J14" i="2"/>
  <c r="D5" i="2"/>
  <c r="C5" i="2"/>
  <c r="B5" i="2"/>
  <c r="H2" i="2"/>
  <c r="G6" i="6" a="1"/>
  <c r="A6" i="6" a="1"/>
  <c r="D6" i="6" a="1"/>
  <c r="O28" i="8" l="1"/>
  <c r="G29" i="8"/>
  <c r="E30" i="8"/>
  <c r="F30" i="8" s="1"/>
  <c r="K30" i="8"/>
  <c r="O32" i="9"/>
  <c r="I34" i="9"/>
  <c r="E34" i="9"/>
  <c r="G34" i="9" s="1"/>
  <c r="B34" i="9"/>
  <c r="N34" i="9"/>
  <c r="L34" i="9"/>
  <c r="M34" i="9" s="1"/>
  <c r="A35" i="9"/>
  <c r="H33" i="9"/>
  <c r="D33" i="9"/>
  <c r="J33" i="9"/>
  <c r="C33" i="9"/>
  <c r="K33" i="9"/>
  <c r="C29" i="8"/>
  <c r="A31" i="8"/>
  <c r="K31" i="8" s="1"/>
  <c r="N28" i="8"/>
  <c r="H30" i="8"/>
  <c r="I29" i="8"/>
  <c r="J29" i="8"/>
  <c r="D29" i="8"/>
  <c r="M30" i="8"/>
  <c r="B30" i="8"/>
  <c r="L30" i="8"/>
  <c r="AD3" i="4"/>
  <c r="U20" i="2"/>
  <c r="V20" i="2" s="1"/>
  <c r="U3" i="5"/>
  <c r="V3" i="5" s="1"/>
  <c r="U4" i="5"/>
  <c r="V4" i="5" s="1"/>
  <c r="U49" i="4"/>
  <c r="V49" i="4" s="1"/>
  <c r="AD263" i="5"/>
  <c r="D6" i="6"/>
  <c r="A6" i="6"/>
  <c r="G6" i="6"/>
  <c r="U55" i="5"/>
  <c r="V55" i="5" s="1"/>
  <c r="U97" i="5"/>
  <c r="V97" i="5" s="1"/>
  <c r="U79" i="5"/>
  <c r="V79" i="5" s="1"/>
  <c r="U45" i="5"/>
  <c r="V45" i="5" s="1"/>
  <c r="U81" i="5"/>
  <c r="V81" i="5" s="1"/>
  <c r="U49" i="5"/>
  <c r="V49" i="5" s="1"/>
  <c r="U51" i="5"/>
  <c r="V51" i="5" s="1"/>
  <c r="U94" i="5"/>
  <c r="V94" i="5" s="1"/>
  <c r="U61" i="5"/>
  <c r="V61" i="5" s="1"/>
  <c r="U85" i="5"/>
  <c r="V85" i="5" s="1"/>
  <c r="U71" i="5"/>
  <c r="V71" i="5" s="1"/>
  <c r="U20" i="5"/>
  <c r="V20" i="5" s="1"/>
  <c r="U76" i="5"/>
  <c r="V76" i="5" s="1"/>
  <c r="U32" i="5"/>
  <c r="V32" i="5" s="1"/>
  <c r="U25" i="5"/>
  <c r="V25" i="5" s="1"/>
  <c r="U15" i="5"/>
  <c r="V15" i="5" s="1"/>
  <c r="U74" i="5"/>
  <c r="V74" i="5" s="1"/>
  <c r="U14" i="5"/>
  <c r="V14" i="5" s="1"/>
  <c r="U29" i="5"/>
  <c r="V29" i="5" s="1"/>
  <c r="U59" i="5"/>
  <c r="V59" i="5" s="1"/>
  <c r="U53" i="5"/>
  <c r="V53" i="5" s="1"/>
  <c r="U86" i="5"/>
  <c r="V86" i="5" s="1"/>
  <c r="U62" i="5"/>
  <c r="V62" i="5" s="1"/>
  <c r="U77" i="5"/>
  <c r="V77" i="5" s="1"/>
  <c r="U7" i="5"/>
  <c r="V7" i="5" s="1"/>
  <c r="U6" i="5"/>
  <c r="V6" i="5" s="1"/>
  <c r="AD144" i="4"/>
  <c r="AD285" i="4"/>
  <c r="AD253" i="4"/>
  <c r="AD221" i="4"/>
  <c r="AD189" i="4"/>
  <c r="AD142" i="4"/>
  <c r="AD126" i="4"/>
  <c r="AD110" i="4"/>
  <c r="AD78" i="4"/>
  <c r="AD274" i="4"/>
  <c r="AD242" i="4"/>
  <c r="AD178" i="4"/>
  <c r="AD167" i="4"/>
  <c r="AD151" i="4"/>
  <c r="AD135" i="4"/>
  <c r="AD273" i="4"/>
  <c r="AD241" i="4"/>
  <c r="AD209" i="4"/>
  <c r="AD177" i="4"/>
  <c r="AD160" i="4"/>
  <c r="AD128" i="4"/>
  <c r="AD153" i="4"/>
  <c r="AD137" i="4"/>
  <c r="AD121" i="4"/>
  <c r="AD272" i="4"/>
  <c r="AD240" i="4"/>
  <c r="AD208" i="4"/>
  <c r="AD176" i="4"/>
  <c r="AD293" i="4"/>
  <c r="AD229" i="4"/>
  <c r="AD197" i="4"/>
  <c r="AD162" i="4"/>
  <c r="AD146" i="4"/>
  <c r="AD114" i="4"/>
  <c r="AD282" i="4"/>
  <c r="AD218" i="4"/>
  <c r="AD186" i="4"/>
  <c r="AD271" i="4"/>
  <c r="AD239" i="4"/>
  <c r="AD207" i="4"/>
  <c r="AD175" i="4"/>
  <c r="AD155" i="4"/>
  <c r="AD139" i="4"/>
  <c r="AD107" i="4"/>
  <c r="AD196" i="4"/>
  <c r="AD281" i="4"/>
  <c r="AD249" i="4"/>
  <c r="AD217" i="4"/>
  <c r="AD185" i="4"/>
  <c r="AD164" i="4"/>
  <c r="AD148" i="4"/>
  <c r="AD132" i="4"/>
  <c r="AD116" i="4"/>
  <c r="AD291" i="4"/>
  <c r="AD259" i="4"/>
  <c r="AD227" i="4"/>
  <c r="AD195" i="4"/>
  <c r="AD269" i="4"/>
  <c r="AD237" i="4"/>
  <c r="AD205" i="4"/>
  <c r="AD166" i="4"/>
  <c r="AD247" i="4"/>
  <c r="AD215" i="4"/>
  <c r="AD183" i="4"/>
  <c r="AD278" i="4"/>
  <c r="AD267" i="4"/>
  <c r="AD235" i="4"/>
  <c r="AD203" i="4"/>
  <c r="AD171" i="4"/>
  <c r="AD145" i="4"/>
  <c r="AD211" i="4"/>
  <c r="AD290" i="4"/>
  <c r="AD248" i="4"/>
  <c r="AD230" i="4"/>
  <c r="AD190" i="4"/>
  <c r="AD170" i="4"/>
  <c r="AD92" i="4"/>
  <c r="AD82" i="4"/>
  <c r="AD65" i="4"/>
  <c r="AD37" i="4"/>
  <c r="AD21" i="4"/>
  <c r="AD268" i="4"/>
  <c r="AD105" i="4"/>
  <c r="AD97" i="4"/>
  <c r="AD53" i="4"/>
  <c r="AD30" i="4"/>
  <c r="AD14" i="4"/>
  <c r="AD77" i="4"/>
  <c r="AD46" i="4"/>
  <c r="AD288" i="4"/>
  <c r="AD226" i="4"/>
  <c r="AD206" i="4"/>
  <c r="AD188" i="4"/>
  <c r="AD169" i="4"/>
  <c r="AD102" i="4"/>
  <c r="AD60" i="4"/>
  <c r="AD224" i="4"/>
  <c r="AD265" i="4"/>
  <c r="AD149" i="4"/>
  <c r="AD286" i="4"/>
  <c r="AD163" i="4"/>
  <c r="AD99" i="4"/>
  <c r="AD223" i="4"/>
  <c r="AD264" i="4"/>
  <c r="AD202" i="4"/>
  <c r="AD138" i="4"/>
  <c r="AD91" i="4"/>
  <c r="AD57" i="4"/>
  <c r="AD284" i="4"/>
  <c r="AD243" i="4"/>
  <c r="AD181" i="4"/>
  <c r="AD262" i="4"/>
  <c r="AD222" i="4"/>
  <c r="AD141" i="4"/>
  <c r="AD118" i="4"/>
  <c r="AD96" i="4"/>
  <c r="AD201" i="4"/>
  <c r="AD280" i="4"/>
  <c r="AD180" i="4"/>
  <c r="AD258" i="4"/>
  <c r="AD238" i="4"/>
  <c r="AD220" i="4"/>
  <c r="AD200" i="4"/>
  <c r="AD255" i="4"/>
  <c r="AD214" i="4"/>
  <c r="AD125" i="4"/>
  <c r="AD79" i="4"/>
  <c r="AD18" i="4"/>
  <c r="AD56" i="4"/>
  <c r="AD23" i="4"/>
  <c r="AD140" i="4"/>
  <c r="AD134" i="4"/>
  <c r="AD115" i="4"/>
  <c r="AD111" i="4"/>
  <c r="AD100" i="4"/>
  <c r="AD59" i="4"/>
  <c r="AD45" i="4"/>
  <c r="AD26" i="4"/>
  <c r="AD212" i="4"/>
  <c r="AD213" i="4"/>
  <c r="AD174" i="4"/>
  <c r="AD89" i="4"/>
  <c r="AD72" i="4"/>
  <c r="AD34" i="4"/>
  <c r="AD254" i="4"/>
  <c r="AD120" i="4"/>
  <c r="AD252" i="4"/>
  <c r="AD172" i="4"/>
  <c r="AD42" i="4"/>
  <c r="AD39" i="4"/>
  <c r="AD150" i="4"/>
  <c r="AD124" i="4"/>
  <c r="AD103" i="4"/>
  <c r="AD31" i="4"/>
  <c r="AD74" i="4"/>
  <c r="AD58" i="4"/>
  <c r="AD41" i="4"/>
  <c r="AD246" i="4"/>
  <c r="AD75" i="4"/>
  <c r="AD20" i="4"/>
  <c r="AD8" i="4"/>
  <c r="AD17" i="4"/>
  <c r="AD44" i="4"/>
  <c r="AD119" i="4"/>
  <c r="AD68" i="4"/>
  <c r="AD52" i="4"/>
  <c r="AD287" i="4"/>
  <c r="AD245" i="4"/>
  <c r="AD204" i="4"/>
  <c r="AD85" i="4"/>
  <c r="AD71" i="4"/>
  <c r="AD47" i="4"/>
  <c r="AD88" i="4"/>
  <c r="AD55" i="4"/>
  <c r="AD36" i="4"/>
  <c r="AD236" i="4"/>
  <c r="AD198" i="4"/>
  <c r="AD168" i="4"/>
  <c r="AD81" i="4"/>
  <c r="AD64" i="4"/>
  <c r="AD28" i="4"/>
  <c r="AD25" i="4"/>
  <c r="AD6" i="4"/>
  <c r="AD277" i="4"/>
  <c r="AD106" i="4"/>
  <c r="AD95" i="4"/>
  <c r="AD61" i="4"/>
  <c r="AD194" i="4"/>
  <c r="AD276" i="4"/>
  <c r="AD154" i="4"/>
  <c r="AD234" i="4"/>
  <c r="AD193" i="4"/>
  <c r="AD109" i="4"/>
  <c r="AD84" i="4"/>
  <c r="AD22" i="4"/>
  <c r="AD159" i="4"/>
  <c r="AD143" i="4"/>
  <c r="AD133" i="4"/>
  <c r="AD67" i="4"/>
  <c r="AD49" i="4"/>
  <c r="AD275" i="4"/>
  <c r="AD192" i="4"/>
  <c r="AD127" i="4"/>
  <c r="AD233" i="4"/>
  <c r="AD122" i="4"/>
  <c r="AD113" i="4"/>
  <c r="AD27" i="4"/>
  <c r="AD257" i="4"/>
  <c r="AD83" i="4"/>
  <c r="AD50" i="4"/>
  <c r="AD43" i="4"/>
  <c r="AD9" i="4"/>
  <c r="AD256" i="4"/>
  <c r="AD12" i="4"/>
  <c r="AD76" i="4"/>
  <c r="AD73" i="4"/>
  <c r="AD24" i="4"/>
  <c r="AD5" i="4"/>
  <c r="AD266" i="4"/>
  <c r="AD101" i="4"/>
  <c r="AD32" i="4"/>
  <c r="AD117" i="4"/>
  <c r="AD11" i="4"/>
  <c r="AD232" i="4"/>
  <c r="AD112" i="4"/>
  <c r="AD63" i="4"/>
  <c r="AD29" i="4"/>
  <c r="AD48" i="4"/>
  <c r="AD108" i="4"/>
  <c r="AD66" i="4"/>
  <c r="AD4" i="4"/>
  <c r="AD16" i="4"/>
  <c r="AD225" i="4"/>
  <c r="AD80" i="4"/>
  <c r="AD19" i="4"/>
  <c r="AD270" i="4"/>
  <c r="AD90" i="4"/>
  <c r="AD35" i="4"/>
  <c r="AD216" i="4"/>
  <c r="AD33" i="4"/>
  <c r="AD131" i="4"/>
  <c r="AD157" i="4"/>
  <c r="AD70" i="4"/>
  <c r="AD54" i="4"/>
  <c r="AD191" i="4"/>
  <c r="AD86" i="4"/>
  <c r="AD15" i="4"/>
  <c r="AD147" i="4"/>
  <c r="AD51" i="4"/>
  <c r="AD152" i="4"/>
  <c r="AD87" i="4"/>
  <c r="AD38" i="4"/>
  <c r="AD69" i="4"/>
  <c r="AD40" i="4"/>
  <c r="AD182" i="4"/>
  <c r="AD93" i="4"/>
  <c r="AD184" i="4"/>
  <c r="AD136" i="4"/>
  <c r="AD165" i="4"/>
  <c r="AD13" i="4"/>
  <c r="AD104" i="4"/>
  <c r="AD10" i="4"/>
  <c r="AD179" i="4"/>
  <c r="U42" i="4"/>
  <c r="V42" i="4" s="1"/>
  <c r="U39" i="4"/>
  <c r="V39" i="4" s="1"/>
  <c r="U47" i="4"/>
  <c r="V47" i="4" s="1"/>
  <c r="U55" i="4"/>
  <c r="V55" i="4" s="1"/>
  <c r="U36" i="4"/>
  <c r="V36" i="4" s="1"/>
  <c r="U6" i="4"/>
  <c r="V6" i="4" s="1"/>
  <c r="U52" i="4"/>
  <c r="V52" i="4" s="1"/>
  <c r="U5" i="4"/>
  <c r="V5" i="4" s="1"/>
  <c r="U30" i="4"/>
  <c r="V30" i="4" s="1"/>
  <c r="U33" i="4"/>
  <c r="V33" i="4" s="1"/>
  <c r="U26" i="4"/>
  <c r="V26" i="4" s="1"/>
  <c r="U14" i="4"/>
  <c r="V14" i="4" s="1"/>
  <c r="U40" i="4"/>
  <c r="V40" i="4" s="1"/>
  <c r="AD271" i="3"/>
  <c r="AD275" i="3"/>
  <c r="AD55" i="3"/>
  <c r="AD97" i="3"/>
  <c r="AD206" i="3"/>
  <c r="AD53" i="3"/>
  <c r="AD138" i="3"/>
  <c r="AD178" i="3"/>
  <c r="U17" i="3"/>
  <c r="V17" i="3" s="1"/>
  <c r="AD146" i="3"/>
  <c r="AD126" i="2"/>
  <c r="AD239" i="2"/>
  <c r="AD260" i="2"/>
  <c r="AD214" i="2"/>
  <c r="AD30" i="2"/>
  <c r="AD92" i="2"/>
  <c r="AD57" i="2"/>
  <c r="AD46" i="2"/>
  <c r="AD190" i="2"/>
  <c r="AD94" i="2"/>
  <c r="AD133" i="2"/>
  <c r="AD97" i="2"/>
  <c r="AD113" i="2"/>
  <c r="U8" i="2"/>
  <c r="V8" i="2" s="1"/>
  <c r="U52" i="2"/>
  <c r="V52" i="2" s="1"/>
  <c r="U23" i="2"/>
  <c r="V23" i="2" s="1"/>
  <c r="U36" i="2"/>
  <c r="V36" i="2" s="1"/>
  <c r="U95" i="2"/>
  <c r="V95" i="2" s="1"/>
  <c r="AD10" i="2"/>
  <c r="O29" i="8" l="1"/>
  <c r="G30" i="8"/>
  <c r="O33" i="9"/>
  <c r="L31" i="8"/>
  <c r="E31" i="8"/>
  <c r="F31" i="8" s="1"/>
  <c r="B35" i="9"/>
  <c r="E35" i="9"/>
  <c r="G35" i="9" s="1"/>
  <c r="N35" i="9"/>
  <c r="L35" i="9"/>
  <c r="M35" i="9" s="1"/>
  <c r="I35" i="9"/>
  <c r="A36" i="9"/>
  <c r="H34" i="9"/>
  <c r="C34" i="9"/>
  <c r="D34" i="9"/>
  <c r="K34" i="9"/>
  <c r="J34" i="9"/>
  <c r="D30" i="8"/>
  <c r="H31" i="8"/>
  <c r="B31" i="8"/>
  <c r="A32" i="8"/>
  <c r="K32" i="8" s="1"/>
  <c r="M31" i="8"/>
  <c r="N29" i="8"/>
  <c r="I30" i="8"/>
  <c r="J30" i="8"/>
  <c r="O30" i="8" s="1"/>
  <c r="C30" i="8"/>
  <c r="U91" i="2"/>
  <c r="V91" i="2" s="1"/>
  <c r="U17" i="2"/>
  <c r="V17" i="2" s="1"/>
  <c r="U101" i="2"/>
  <c r="V101" i="2" s="1"/>
  <c r="U61" i="2"/>
  <c r="V61" i="2" s="1"/>
  <c r="U43" i="2"/>
  <c r="V43" i="2" s="1"/>
  <c r="U103" i="2"/>
  <c r="V103" i="2" s="1"/>
  <c r="U94" i="2"/>
  <c r="V94" i="2" s="1"/>
  <c r="U19" i="2"/>
  <c r="V19" i="2" s="1"/>
  <c r="U75" i="2"/>
  <c r="V75" i="2" s="1"/>
  <c r="U6" i="2"/>
  <c r="V6" i="2" s="1"/>
  <c r="U53" i="2"/>
  <c r="V53" i="2" s="1"/>
  <c r="U58" i="2"/>
  <c r="V58" i="2" s="1"/>
  <c r="U78" i="2"/>
  <c r="V78" i="2" s="1"/>
  <c r="U30" i="2"/>
  <c r="V30" i="2" s="1"/>
  <c r="U14" i="2"/>
  <c r="V14" i="2" s="1"/>
  <c r="U80" i="2"/>
  <c r="V80" i="2" s="1"/>
  <c r="U89" i="2"/>
  <c r="V89" i="2" s="1"/>
  <c r="U41" i="4"/>
  <c r="V41" i="4" s="1"/>
  <c r="U25" i="4"/>
  <c r="V25" i="4" s="1"/>
  <c r="U11" i="4"/>
  <c r="V11" i="4" s="1"/>
  <c r="U8" i="4"/>
  <c r="V8" i="4" s="1"/>
  <c r="U40" i="5"/>
  <c r="V40" i="5" s="1"/>
  <c r="U90" i="5"/>
  <c r="V90" i="5" s="1"/>
  <c r="U32" i="4"/>
  <c r="V32" i="4" s="1"/>
  <c r="U19" i="4"/>
  <c r="V19" i="4" s="1"/>
  <c r="U20" i="4"/>
  <c r="V20" i="4" s="1"/>
  <c r="U48" i="5"/>
  <c r="V48" i="5" s="1"/>
  <c r="U70" i="5"/>
  <c r="V70" i="5" s="1"/>
  <c r="U15" i="4"/>
  <c r="V15" i="4" s="1"/>
  <c r="U18" i="4"/>
  <c r="V18" i="4" s="1"/>
  <c r="U27" i="4"/>
  <c r="V27" i="4" s="1"/>
  <c r="U22" i="4"/>
  <c r="V22" i="4" s="1"/>
  <c r="U4" i="4"/>
  <c r="V4" i="4" s="1"/>
  <c r="U9" i="4"/>
  <c r="V9" i="4" s="1"/>
  <c r="U36" i="5"/>
  <c r="V36" i="5" s="1"/>
  <c r="U23" i="4"/>
  <c r="V23" i="4" s="1"/>
  <c r="U29" i="4"/>
  <c r="V29" i="4" s="1"/>
  <c r="U63" i="5"/>
  <c r="V63" i="5" s="1"/>
  <c r="U12" i="4"/>
  <c r="V12" i="4" s="1"/>
  <c r="U21" i="4"/>
  <c r="V21" i="4" s="1"/>
  <c r="U38" i="5"/>
  <c r="V38" i="5" s="1"/>
  <c r="U35" i="4"/>
  <c r="V35" i="4" s="1"/>
  <c r="U37" i="4"/>
  <c r="V37" i="4" s="1"/>
  <c r="U99" i="5"/>
  <c r="V99" i="5" s="1"/>
  <c r="U34" i="4"/>
  <c r="V34" i="4" s="1"/>
  <c r="U16" i="4"/>
  <c r="V16" i="4" s="1"/>
  <c r="U7" i="4"/>
  <c r="V7" i="4" s="1"/>
  <c r="U27" i="5"/>
  <c r="V27" i="5" s="1"/>
  <c r="U10" i="4"/>
  <c r="V10" i="4" s="1"/>
  <c r="U28" i="4"/>
  <c r="V28" i="4" s="1"/>
  <c r="U10" i="5"/>
  <c r="V10" i="5" s="1"/>
  <c r="U54" i="4"/>
  <c r="V54" i="4" s="1"/>
  <c r="U17" i="4"/>
  <c r="V17" i="4" s="1"/>
  <c r="U44" i="4"/>
  <c r="V44" i="4" s="1"/>
  <c r="U34" i="5"/>
  <c r="V34" i="5" s="1"/>
  <c r="U24" i="4"/>
  <c r="V24" i="4" s="1"/>
  <c r="U3" i="4"/>
  <c r="V3" i="4" s="1"/>
  <c r="U73" i="5"/>
  <c r="V73" i="5" s="1"/>
  <c r="U31" i="4"/>
  <c r="V31" i="4" s="1"/>
  <c r="U43" i="4"/>
  <c r="V43" i="4" s="1"/>
  <c r="U51" i="4"/>
  <c r="V51" i="4" s="1"/>
  <c r="U87" i="5"/>
  <c r="V87" i="5" s="1"/>
  <c r="U13" i="4"/>
  <c r="V13" i="4" s="1"/>
  <c r="U53" i="4"/>
  <c r="V53" i="4" s="1"/>
  <c r="U93" i="5"/>
  <c r="V93" i="5" s="1"/>
  <c r="U50" i="4"/>
  <c r="V50" i="4" s="1"/>
  <c r="U45" i="4"/>
  <c r="V45" i="4" s="1"/>
  <c r="U48" i="4"/>
  <c r="V48" i="4" s="1"/>
  <c r="U46" i="4"/>
  <c r="V46" i="4" s="1"/>
  <c r="U96" i="5"/>
  <c r="V96" i="5" s="1"/>
  <c r="U38" i="4"/>
  <c r="V38" i="4" s="1"/>
  <c r="U19" i="5"/>
  <c r="V19" i="5" s="1"/>
  <c r="U52" i="5"/>
  <c r="V52" i="5" s="1"/>
  <c r="U47" i="5"/>
  <c r="V47" i="5" s="1"/>
  <c r="U41" i="5"/>
  <c r="V41" i="5" s="1"/>
  <c r="U57" i="5"/>
  <c r="V57" i="5" s="1"/>
  <c r="U68" i="5"/>
  <c r="V68" i="5" s="1"/>
  <c r="U104" i="5"/>
  <c r="V104" i="5" s="1"/>
  <c r="U84" i="5"/>
  <c r="V84" i="5" s="1"/>
  <c r="U12" i="5"/>
  <c r="V12" i="5" s="1"/>
  <c r="U102" i="5"/>
  <c r="V102" i="5" s="1"/>
  <c r="U33" i="5"/>
  <c r="V33" i="5" s="1"/>
  <c r="U24" i="5"/>
  <c r="V24" i="5" s="1"/>
  <c r="U60" i="5"/>
  <c r="V60" i="5" s="1"/>
  <c r="U100" i="5"/>
  <c r="V100" i="5" s="1"/>
  <c r="U54" i="5"/>
  <c r="V54" i="5" s="1"/>
  <c r="U17" i="5"/>
  <c r="V17" i="5" s="1"/>
  <c r="U82" i="5"/>
  <c r="V82" i="5" s="1"/>
  <c r="U89" i="5"/>
  <c r="V89" i="5" s="1"/>
  <c r="U66" i="5"/>
  <c r="V66" i="5" s="1"/>
  <c r="U72" i="5"/>
  <c r="V72" i="5" s="1"/>
  <c r="U88" i="5"/>
  <c r="V88" i="5" s="1"/>
  <c r="U101" i="5"/>
  <c r="V101" i="5" s="1"/>
  <c r="U83" i="5"/>
  <c r="V83" i="5" s="1"/>
  <c r="U80" i="5"/>
  <c r="V80" i="5" s="1"/>
  <c r="U11" i="5"/>
  <c r="V11" i="5" s="1"/>
  <c r="U28" i="5"/>
  <c r="V28" i="5" s="1"/>
  <c r="U5" i="5"/>
  <c r="V5" i="5" s="1"/>
  <c r="U103" i="5"/>
  <c r="V103" i="5" s="1"/>
  <c r="U64" i="5"/>
  <c r="V64" i="5" s="1"/>
  <c r="U58" i="5"/>
  <c r="V58" i="5" s="1"/>
  <c r="U13" i="5"/>
  <c r="V13" i="5" s="1"/>
  <c r="U9" i="5"/>
  <c r="V9" i="5" s="1"/>
  <c r="U75" i="5"/>
  <c r="V75" i="5" s="1"/>
  <c r="U16" i="5"/>
  <c r="V16" i="5" s="1"/>
  <c r="U91" i="5"/>
  <c r="V91" i="5" s="1"/>
  <c r="U26" i="5"/>
  <c r="V26" i="5" s="1"/>
  <c r="U23" i="5"/>
  <c r="V23" i="5" s="1"/>
  <c r="U39" i="5"/>
  <c r="V39" i="5" s="1"/>
  <c r="U31" i="5"/>
  <c r="V31" i="5" s="1"/>
  <c r="U37" i="5"/>
  <c r="V37" i="5" s="1"/>
  <c r="U43" i="5"/>
  <c r="V43" i="5" s="1"/>
  <c r="U56" i="5"/>
  <c r="V56" i="5" s="1"/>
  <c r="U18" i="5"/>
  <c r="V18" i="5" s="1"/>
  <c r="U95" i="5"/>
  <c r="V95" i="5" s="1"/>
  <c r="U65" i="5"/>
  <c r="V65" i="5" s="1"/>
  <c r="U21" i="5"/>
  <c r="V21" i="5" s="1"/>
  <c r="U92" i="5"/>
  <c r="V92" i="5" s="1"/>
  <c r="U42" i="5"/>
  <c r="V42" i="5" s="1"/>
  <c r="U67" i="5"/>
  <c r="V67" i="5" s="1"/>
  <c r="U8" i="5"/>
  <c r="V8" i="5" s="1"/>
  <c r="U30" i="5"/>
  <c r="V30" i="5" s="1"/>
  <c r="U22" i="5"/>
  <c r="V22" i="5" s="1"/>
  <c r="U46" i="5"/>
  <c r="V46" i="5" s="1"/>
  <c r="U35" i="5"/>
  <c r="V35" i="5" s="1"/>
  <c r="U69" i="5"/>
  <c r="V69" i="5" s="1"/>
  <c r="U78" i="5"/>
  <c r="V78" i="5" s="1"/>
  <c r="U50" i="5"/>
  <c r="V50" i="5" s="1"/>
  <c r="U98" i="5"/>
  <c r="V98" i="5" s="1"/>
  <c r="U44" i="5"/>
  <c r="V44" i="5" s="1"/>
  <c r="U21" i="2"/>
  <c r="V21" i="2" s="1"/>
  <c r="AD68" i="2"/>
  <c r="U39" i="3"/>
  <c r="V39" i="3" s="1"/>
  <c r="U7" i="3"/>
  <c r="V7" i="3" s="1"/>
  <c r="AD181" i="5"/>
  <c r="AD54" i="5"/>
  <c r="U37" i="2"/>
  <c r="V37" i="2" s="1"/>
  <c r="AD24" i="2"/>
  <c r="AD49" i="2"/>
  <c r="U33" i="3"/>
  <c r="V33" i="3" s="1"/>
  <c r="AD279" i="4"/>
  <c r="AD250" i="4"/>
  <c r="AD199" i="4"/>
  <c r="AD33" i="5"/>
  <c r="U85" i="2"/>
  <c r="V85" i="2" s="1"/>
  <c r="AD84" i="2"/>
  <c r="AD63" i="2"/>
  <c r="U22" i="3"/>
  <c r="V22" i="3" s="1"/>
  <c r="AD231" i="4"/>
  <c r="AD56" i="5"/>
  <c r="U20" i="3"/>
  <c r="V20" i="3" s="1"/>
  <c r="AD93" i="2"/>
  <c r="AD99" i="2"/>
  <c r="U25" i="3"/>
  <c r="V25" i="3" s="1"/>
  <c r="AD289" i="4"/>
  <c r="AD173" i="4"/>
  <c r="AD98" i="4"/>
  <c r="AD263" i="4"/>
  <c r="AD35" i="5"/>
  <c r="AD118" i="2"/>
  <c r="U44" i="3"/>
  <c r="V44" i="3" s="1"/>
  <c r="AD19" i="5"/>
  <c r="U30" i="3"/>
  <c r="V30" i="3" s="1"/>
  <c r="AD162" i="2"/>
  <c r="U13" i="2"/>
  <c r="V13" i="2" s="1"/>
  <c r="AD271" i="2"/>
  <c r="AD185" i="2"/>
  <c r="U3" i="3"/>
  <c r="V3" i="3" s="1"/>
  <c r="AD130" i="4"/>
  <c r="AD210" i="4"/>
  <c r="AD15" i="5"/>
  <c r="AD143" i="2"/>
  <c r="U42" i="3"/>
  <c r="V42" i="3" s="1"/>
  <c r="AD131" i="5"/>
  <c r="U64" i="2"/>
  <c r="V64" i="2" s="1"/>
  <c r="AD123" i="2"/>
  <c r="U53" i="3"/>
  <c r="V53" i="3" s="1"/>
  <c r="AD62" i="4"/>
  <c r="AD195" i="5"/>
  <c r="AD152" i="2"/>
  <c r="U68" i="2"/>
  <c r="V68" i="2" s="1"/>
  <c r="AD148" i="2"/>
  <c r="AD266" i="2"/>
  <c r="U24" i="3"/>
  <c r="V24" i="3" s="1"/>
  <c r="AD120" i="5"/>
  <c r="AD156" i="5"/>
  <c r="U29" i="3"/>
  <c r="V29" i="3" s="1"/>
  <c r="AD24" i="5"/>
  <c r="U42" i="2"/>
  <c r="V42" i="2" s="1"/>
  <c r="U77" i="2"/>
  <c r="V77" i="2" s="1"/>
  <c r="AD19" i="2"/>
  <c r="AD218" i="2"/>
  <c r="U11" i="3"/>
  <c r="V11" i="3" s="1"/>
  <c r="AD261" i="4"/>
  <c r="AD94" i="4"/>
  <c r="AD160" i="5"/>
  <c r="U23" i="3"/>
  <c r="V23" i="3" s="1"/>
  <c r="AD193" i="2"/>
  <c r="AD145" i="2"/>
  <c r="AD10" i="5"/>
  <c r="AD39" i="2"/>
  <c r="AD269" i="2"/>
  <c r="U83" i="2"/>
  <c r="V83" i="2" s="1"/>
  <c r="AD160" i="2"/>
  <c r="AD265" i="2"/>
  <c r="AD158" i="4"/>
  <c r="U98" i="2"/>
  <c r="V98" i="2" s="1"/>
  <c r="AD62" i="2"/>
  <c r="AD142" i="2"/>
  <c r="AD106" i="2"/>
  <c r="AD138" i="2"/>
  <c r="AD187" i="4"/>
  <c r="U49" i="2"/>
  <c r="V49" i="2" s="1"/>
  <c r="U33" i="2"/>
  <c r="V33" i="2" s="1"/>
  <c r="U10" i="2"/>
  <c r="V10" i="2" s="1"/>
  <c r="AD53" i="2"/>
  <c r="AD32" i="3"/>
  <c r="AD244" i="4"/>
  <c r="AD7" i="4"/>
  <c r="AD228" i="4"/>
  <c r="AD219" i="4"/>
  <c r="AD50" i="2"/>
  <c r="AD45" i="3"/>
  <c r="AD260" i="4"/>
  <c r="AD251" i="4"/>
  <c r="U60" i="2"/>
  <c r="V60" i="2" s="1"/>
  <c r="AD116" i="2"/>
  <c r="U3" i="2"/>
  <c r="V3" i="2" s="1"/>
  <c r="AD136" i="2"/>
  <c r="AD129" i="4"/>
  <c r="AD292" i="4"/>
  <c r="AD283" i="4"/>
  <c r="AD242" i="5"/>
  <c r="AD11" i="2"/>
  <c r="AD252" i="3"/>
  <c r="U45" i="2"/>
  <c r="V45" i="2" s="1"/>
  <c r="AD257" i="2"/>
  <c r="AD156" i="4"/>
  <c r="AD161" i="4"/>
  <c r="AD123" i="4"/>
  <c r="U59" i="2"/>
  <c r="V59" i="2" s="1"/>
  <c r="AD183" i="2"/>
  <c r="AD247" i="5"/>
  <c r="AD249" i="5"/>
  <c r="AD239" i="5"/>
  <c r="AD81" i="5"/>
  <c r="AD45" i="5"/>
  <c r="AD230" i="5"/>
  <c r="AD8" i="5"/>
  <c r="AD91" i="5"/>
  <c r="AD275" i="5"/>
  <c r="AD142" i="5"/>
  <c r="AD266" i="5"/>
  <c r="AD257" i="5"/>
  <c r="AD135" i="5"/>
  <c r="AD47" i="5"/>
  <c r="AD268" i="5"/>
  <c r="AD17" i="5"/>
  <c r="AD36" i="5"/>
  <c r="AD116" i="5"/>
  <c r="AD18" i="5"/>
  <c r="AD173" i="5"/>
  <c r="AD277" i="5"/>
  <c r="AD164" i="5"/>
  <c r="AD49" i="5"/>
  <c r="AD276" i="5"/>
  <c r="AD66" i="5"/>
  <c r="AD65" i="5"/>
  <c r="AD286" i="5"/>
  <c r="AD180" i="5"/>
  <c r="AD262" i="5"/>
  <c r="AD53" i="5"/>
  <c r="AD210" i="5"/>
  <c r="AD216" i="5"/>
  <c r="AD155" i="5"/>
  <c r="AD176" i="5"/>
  <c r="AD188" i="5"/>
  <c r="AD92" i="5"/>
  <c r="AD55" i="5"/>
  <c r="AD233" i="5"/>
  <c r="AD105" i="5"/>
  <c r="AD196" i="5"/>
  <c r="AD237" i="5"/>
  <c r="AD264" i="5"/>
  <c r="AD174" i="5"/>
  <c r="AD292" i="5"/>
  <c r="AD103" i="5"/>
  <c r="AD187" i="5"/>
  <c r="AD209" i="5"/>
  <c r="AD122" i="5"/>
  <c r="AD57" i="5"/>
  <c r="AD279" i="5"/>
  <c r="AD227" i="5"/>
  <c r="AD94" i="5"/>
  <c r="AD100" i="5"/>
  <c r="AD14" i="5"/>
  <c r="AD199" i="5"/>
  <c r="AD9" i="5"/>
  <c r="AD138" i="5"/>
  <c r="AD250" i="5"/>
  <c r="AD225" i="5"/>
  <c r="AD127" i="5"/>
  <c r="AD109" i="5"/>
  <c r="AD154" i="5"/>
  <c r="AD30" i="5"/>
  <c r="AD26" i="5"/>
  <c r="AD214" i="5"/>
  <c r="AD22" i="5"/>
  <c r="AD152" i="5"/>
  <c r="AD269" i="5"/>
  <c r="AD169" i="5"/>
  <c r="AD90" i="5"/>
  <c r="AD148" i="5"/>
  <c r="AD171" i="5"/>
  <c r="AD128" i="5"/>
  <c r="AD29" i="5"/>
  <c r="AD61" i="5"/>
  <c r="AD255" i="5"/>
  <c r="AD62" i="5"/>
  <c r="AD248" i="5"/>
  <c r="AD235" i="5"/>
  <c r="AD194" i="5"/>
  <c r="AD117" i="5"/>
  <c r="AD261" i="5"/>
  <c r="AD186" i="5"/>
  <c r="AD5" i="5"/>
  <c r="AD84" i="5"/>
  <c r="AD93" i="5"/>
  <c r="AD203" i="5"/>
  <c r="AD158" i="5"/>
  <c r="AD115" i="5"/>
  <c r="AD37" i="5"/>
  <c r="AD157" i="5"/>
  <c r="AD136" i="5"/>
  <c r="AD163" i="5"/>
  <c r="AD151" i="5"/>
  <c r="AD129" i="5"/>
  <c r="AD165" i="5"/>
  <c r="AD278" i="5"/>
  <c r="AD189" i="5"/>
  <c r="AD110" i="5"/>
  <c r="AD222" i="5"/>
  <c r="AD32" i="5"/>
  <c r="AD134" i="5"/>
  <c r="AD240" i="5"/>
  <c r="AD85" i="5"/>
  <c r="AD265" i="5"/>
  <c r="AD44" i="5"/>
  <c r="AD12" i="5"/>
  <c r="AD201" i="5"/>
  <c r="AD211" i="5"/>
  <c r="AD245" i="5"/>
  <c r="AD132" i="5"/>
  <c r="AD256" i="5"/>
  <c r="AD51" i="5"/>
  <c r="AD175" i="5"/>
  <c r="AD283" i="5"/>
  <c r="AD119" i="5"/>
  <c r="AD113" i="5"/>
  <c r="AD42" i="5"/>
  <c r="AD219" i="5"/>
  <c r="AD259" i="5"/>
  <c r="AD282" i="5"/>
  <c r="AD205" i="5"/>
  <c r="AD291" i="5"/>
  <c r="AD60" i="5"/>
  <c r="AD251" i="5"/>
  <c r="AD83" i="5"/>
  <c r="AD244" i="5"/>
  <c r="AD217" i="5"/>
  <c r="AD231" i="5"/>
  <c r="AD223" i="5"/>
  <c r="AD34" i="5"/>
  <c r="AD114" i="5"/>
  <c r="AD270" i="5"/>
  <c r="AD145" i="5"/>
  <c r="AD258" i="5"/>
  <c r="AD229" i="5"/>
  <c r="AD413" i="5"/>
  <c r="AD381" i="5"/>
  <c r="AD349" i="5"/>
  <c r="AD317" i="5"/>
  <c r="AD402" i="5"/>
  <c r="AD370" i="5"/>
  <c r="AD338" i="5"/>
  <c r="AD306" i="5"/>
  <c r="AD391" i="5"/>
  <c r="AD359" i="5"/>
  <c r="AD327" i="5"/>
  <c r="AD295" i="5"/>
  <c r="AD401" i="5"/>
  <c r="AD369" i="5"/>
  <c r="AD337" i="5"/>
  <c r="AD305" i="5"/>
  <c r="AD411" i="5"/>
  <c r="AD379" i="5"/>
  <c r="AD421" i="5"/>
  <c r="AD389" i="5"/>
  <c r="AD357" i="5"/>
  <c r="AD399" i="5"/>
  <c r="AD367" i="5"/>
  <c r="AD409" i="5"/>
  <c r="AD419" i="5"/>
  <c r="AD397" i="5"/>
  <c r="AD407" i="5"/>
  <c r="AD365" i="5"/>
  <c r="AD315" i="5"/>
  <c r="AD303" i="5"/>
  <c r="AD393" i="5"/>
  <c r="AD378" i="5"/>
  <c r="AD352" i="5"/>
  <c r="AD340" i="5"/>
  <c r="AD328" i="5"/>
  <c r="AD406" i="5"/>
  <c r="AD377" i="5"/>
  <c r="AD364" i="5"/>
  <c r="AD392" i="5"/>
  <c r="AD405" i="5"/>
  <c r="AD404" i="5"/>
  <c r="AD420" i="5"/>
  <c r="AD388" i="5"/>
  <c r="AD348" i="5"/>
  <c r="AD403" i="5"/>
  <c r="AD398" i="5"/>
  <c r="AD382" i="5"/>
  <c r="AD321" i="5"/>
  <c r="AD363" i="5"/>
  <c r="AD334" i="5"/>
  <c r="AD347" i="5"/>
  <c r="AD307" i="5"/>
  <c r="AD380" i="5"/>
  <c r="AD320" i="5"/>
  <c r="AD362" i="5"/>
  <c r="AD418" i="5"/>
  <c r="AD396" i="5"/>
  <c r="AD346" i="5"/>
  <c r="AD361" i="5"/>
  <c r="AD417" i="5"/>
  <c r="AD376" i="5"/>
  <c r="AD395" i="5"/>
  <c r="AD345" i="5"/>
  <c r="AD416" i="5"/>
  <c r="AD375" i="5"/>
  <c r="AD360" i="5"/>
  <c r="AD412" i="5"/>
  <c r="AD385" i="5"/>
  <c r="AD323" i="5"/>
  <c r="AD308" i="5"/>
  <c r="AD341" i="5"/>
  <c r="AD415" i="5"/>
  <c r="AD384" i="5"/>
  <c r="AD356" i="5"/>
  <c r="AD322" i="5"/>
  <c r="AD339" i="5"/>
  <c r="AD304" i="5"/>
  <c r="AD414" i="5"/>
  <c r="AD383" i="5"/>
  <c r="AD355" i="5"/>
  <c r="AD410" i="5"/>
  <c r="AD319" i="5"/>
  <c r="AD374" i="5"/>
  <c r="AD354" i="5"/>
  <c r="AD336" i="5"/>
  <c r="AD400" i="5"/>
  <c r="AD386" i="5"/>
  <c r="AD325" i="5"/>
  <c r="AD300" i="5"/>
  <c r="AD350" i="5"/>
  <c r="AD299" i="5"/>
  <c r="AD324" i="5"/>
  <c r="AD373" i="5"/>
  <c r="AD318" i="5"/>
  <c r="AD298" i="5"/>
  <c r="AD344" i="5"/>
  <c r="AD372" i="5"/>
  <c r="AD316" i="5"/>
  <c r="AD297" i="5"/>
  <c r="AD335" i="5"/>
  <c r="AD312" i="5"/>
  <c r="AD408" i="5"/>
  <c r="AD333" i="5"/>
  <c r="AD311" i="5"/>
  <c r="AD366" i="5"/>
  <c r="AD332" i="5"/>
  <c r="AD331" i="5"/>
  <c r="AD310" i="5"/>
  <c r="AD394" i="5"/>
  <c r="AD358" i="5"/>
  <c r="AD330" i="5"/>
  <c r="AD309" i="5"/>
  <c r="AD390" i="5"/>
  <c r="AD302" i="5"/>
  <c r="AD301" i="5"/>
  <c r="AD387" i="5"/>
  <c r="AD296" i="5"/>
  <c r="AD294" i="5"/>
  <c r="AD371" i="5"/>
  <c r="AD353" i="5"/>
  <c r="AD351" i="5"/>
  <c r="AD343" i="5"/>
  <c r="AD342" i="5"/>
  <c r="AD313" i="5"/>
  <c r="AD368" i="5"/>
  <c r="AD326" i="5"/>
  <c r="AD329" i="5"/>
  <c r="AD314" i="5"/>
  <c r="AD67" i="5"/>
  <c r="AD271" i="5"/>
  <c r="AD73" i="5"/>
  <c r="AD146" i="5"/>
  <c r="AD182" i="5"/>
  <c r="AD153" i="5"/>
  <c r="AD272" i="5"/>
  <c r="AD241" i="5"/>
  <c r="AD274" i="5"/>
  <c r="AD133" i="5"/>
  <c r="AD11" i="5"/>
  <c r="AD190" i="5"/>
  <c r="AD161" i="5"/>
  <c r="AD287" i="5"/>
  <c r="AD202" i="5"/>
  <c r="AD221" i="5"/>
  <c r="AD86" i="5"/>
  <c r="AD167" i="5"/>
  <c r="AD25" i="5"/>
  <c r="AD220" i="5"/>
  <c r="AD226" i="5"/>
  <c r="AD288" i="5"/>
  <c r="AD254" i="5"/>
  <c r="AD253" i="5"/>
  <c r="AD69" i="5"/>
  <c r="AD31" i="5"/>
  <c r="AD16" i="5"/>
  <c r="AD58" i="5"/>
  <c r="AD98" i="5"/>
  <c r="AD238" i="5"/>
  <c r="AD68" i="5"/>
  <c r="AD236" i="5"/>
  <c r="AD260" i="5"/>
  <c r="AD111" i="5"/>
  <c r="AD280" i="5"/>
  <c r="AD285" i="5"/>
  <c r="AD6" i="5"/>
  <c r="AD28" i="5"/>
  <c r="AD74" i="5"/>
  <c r="AD112" i="5"/>
  <c r="AD27" i="5"/>
  <c r="AD76" i="5"/>
  <c r="AD126" i="5"/>
  <c r="AD243" i="5"/>
  <c r="AD170" i="5"/>
  <c r="AD108" i="5"/>
  <c r="AD20" i="5"/>
  <c r="AD159" i="5"/>
  <c r="AD96" i="5"/>
  <c r="AD143" i="5"/>
  <c r="AD204" i="5"/>
  <c r="AD72" i="5"/>
  <c r="AD183" i="5"/>
  <c r="AD267" i="5"/>
  <c r="AD139" i="5"/>
  <c r="AD48" i="5"/>
  <c r="AD46" i="5"/>
  <c r="AD89" i="5"/>
  <c r="AD125" i="5"/>
  <c r="AD213" i="5"/>
  <c r="AD63" i="5"/>
  <c r="AD104" i="5"/>
  <c r="AD191" i="5"/>
  <c r="AD293" i="5"/>
  <c r="AD107" i="5"/>
  <c r="AD178" i="5"/>
  <c r="AD59" i="5"/>
  <c r="AD80" i="5"/>
  <c r="AD95" i="5"/>
  <c r="AD79" i="5"/>
  <c r="AD252" i="5"/>
  <c r="AD101" i="5"/>
  <c r="AD172" i="5"/>
  <c r="AD232" i="5"/>
  <c r="AD87" i="5"/>
  <c r="AD144" i="5"/>
  <c r="AD118" i="5"/>
  <c r="AD64" i="5"/>
  <c r="AD121" i="5"/>
  <c r="AD52" i="5"/>
  <c r="AD106" i="5"/>
  <c r="AD197" i="5"/>
  <c r="AD246" i="5"/>
  <c r="AD130" i="5"/>
  <c r="AD77" i="5"/>
  <c r="AD149" i="5"/>
  <c r="AD7" i="5"/>
  <c r="AD78" i="5"/>
  <c r="AD75" i="5"/>
  <c r="AD179" i="5"/>
  <c r="AD4" i="5"/>
  <c r="AD124" i="5"/>
  <c r="AD200" i="5"/>
  <c r="AD289" i="5"/>
  <c r="AD168" i="5"/>
  <c r="AD185" i="5"/>
  <c r="AD82" i="5"/>
  <c r="AD166" i="5"/>
  <c r="AD212" i="5"/>
  <c r="AD234" i="5"/>
  <c r="AD177" i="5"/>
  <c r="AD23" i="5"/>
  <c r="AD38" i="5"/>
  <c r="AD13" i="5"/>
  <c r="AD228" i="5"/>
  <c r="AD162" i="5"/>
  <c r="AD88" i="5"/>
  <c r="AD208" i="5"/>
  <c r="AD99" i="5"/>
  <c r="AD290" i="5"/>
  <c r="AD184" i="5"/>
  <c r="U403" i="5"/>
  <c r="V403" i="5" s="1"/>
  <c r="U371" i="5"/>
  <c r="V371" i="5" s="1"/>
  <c r="U339" i="5"/>
  <c r="V339" i="5" s="1"/>
  <c r="U307" i="5"/>
  <c r="V307" i="5" s="1"/>
  <c r="U275" i="5"/>
  <c r="V275" i="5" s="1"/>
  <c r="U243" i="5"/>
  <c r="V243" i="5" s="1"/>
  <c r="U211" i="5"/>
  <c r="V211" i="5" s="1"/>
  <c r="U569" i="5"/>
  <c r="V569" i="5" s="1"/>
  <c r="U553" i="5"/>
  <c r="V553" i="5" s="1"/>
  <c r="U537" i="5"/>
  <c r="V537" i="5" s="1"/>
  <c r="U521" i="5"/>
  <c r="V521" i="5" s="1"/>
  <c r="U505" i="5"/>
  <c r="V505" i="5" s="1"/>
  <c r="U489" i="5"/>
  <c r="V489" i="5" s="1"/>
  <c r="U473" i="5"/>
  <c r="V473" i="5" s="1"/>
  <c r="U457" i="5"/>
  <c r="V457" i="5" s="1"/>
  <c r="U441" i="5"/>
  <c r="V441" i="5" s="1"/>
  <c r="U425" i="5"/>
  <c r="V425" i="5" s="1"/>
  <c r="U392" i="5"/>
  <c r="V392" i="5" s="1"/>
  <c r="U360" i="5"/>
  <c r="V360" i="5" s="1"/>
  <c r="U328" i="5"/>
  <c r="V328" i="5" s="1"/>
  <c r="U296" i="5"/>
  <c r="V296" i="5" s="1"/>
  <c r="U264" i="5"/>
  <c r="V264" i="5" s="1"/>
  <c r="U413" i="5"/>
  <c r="V413" i="5" s="1"/>
  <c r="U381" i="5"/>
  <c r="V381" i="5" s="1"/>
  <c r="U349" i="5"/>
  <c r="V349" i="5" s="1"/>
  <c r="U317" i="5"/>
  <c r="V317" i="5" s="1"/>
  <c r="U285" i="5"/>
  <c r="V285" i="5" s="1"/>
  <c r="U253" i="5"/>
  <c r="V253" i="5" s="1"/>
  <c r="U221" i="5"/>
  <c r="V221" i="5" s="1"/>
  <c r="U568" i="5"/>
  <c r="V568" i="5" s="1"/>
  <c r="U552" i="5"/>
  <c r="V552" i="5" s="1"/>
  <c r="U536" i="5"/>
  <c r="V536" i="5" s="1"/>
  <c r="U520" i="5"/>
  <c r="V520" i="5" s="1"/>
  <c r="U504" i="5"/>
  <c r="V504" i="5" s="1"/>
  <c r="U488" i="5"/>
  <c r="V488" i="5" s="1"/>
  <c r="U472" i="5"/>
  <c r="V472" i="5" s="1"/>
  <c r="U456" i="5"/>
  <c r="V456" i="5" s="1"/>
  <c r="U391" i="5"/>
  <c r="V391" i="5" s="1"/>
  <c r="U359" i="5"/>
  <c r="V359" i="5" s="1"/>
  <c r="U327" i="5"/>
  <c r="V327" i="5" s="1"/>
  <c r="U295" i="5"/>
  <c r="V295" i="5" s="1"/>
  <c r="U567" i="5"/>
  <c r="V567" i="5" s="1"/>
  <c r="U551" i="5"/>
  <c r="V551" i="5" s="1"/>
  <c r="U535" i="5"/>
  <c r="V535" i="5" s="1"/>
  <c r="U519" i="5"/>
  <c r="V519" i="5" s="1"/>
  <c r="U503" i="5"/>
  <c r="V503" i="5" s="1"/>
  <c r="U487" i="5"/>
  <c r="V487" i="5" s="1"/>
  <c r="U471" i="5"/>
  <c r="V471" i="5" s="1"/>
  <c r="U455" i="5"/>
  <c r="V455" i="5" s="1"/>
  <c r="U439" i="5"/>
  <c r="V439" i="5" s="1"/>
  <c r="U423" i="5"/>
  <c r="V423" i="5" s="1"/>
  <c r="U412" i="5"/>
  <c r="V412" i="5" s="1"/>
  <c r="U401" i="5"/>
  <c r="V401" i="5" s="1"/>
  <c r="U369" i="5"/>
  <c r="V369" i="5" s="1"/>
  <c r="U566" i="5"/>
  <c r="V566" i="5" s="1"/>
  <c r="U550" i="5"/>
  <c r="V550" i="5" s="1"/>
  <c r="U534" i="5"/>
  <c r="V534" i="5" s="1"/>
  <c r="U518" i="5"/>
  <c r="V518" i="5" s="1"/>
  <c r="U502" i="5"/>
  <c r="V502" i="5" s="1"/>
  <c r="U486" i="5"/>
  <c r="V486" i="5" s="1"/>
  <c r="U470" i="5"/>
  <c r="V470" i="5" s="1"/>
  <c r="U411" i="5"/>
  <c r="V411" i="5" s="1"/>
  <c r="U379" i="5"/>
  <c r="V379" i="5" s="1"/>
  <c r="U565" i="5"/>
  <c r="V565" i="5" s="1"/>
  <c r="U549" i="5"/>
  <c r="V549" i="5" s="1"/>
  <c r="U533" i="5"/>
  <c r="V533" i="5" s="1"/>
  <c r="U517" i="5"/>
  <c r="V517" i="5" s="1"/>
  <c r="U501" i="5"/>
  <c r="V501" i="5" s="1"/>
  <c r="U485" i="5"/>
  <c r="V485" i="5" s="1"/>
  <c r="U469" i="5"/>
  <c r="V469" i="5" s="1"/>
  <c r="U421" i="5"/>
  <c r="V421" i="5" s="1"/>
  <c r="U389" i="5"/>
  <c r="V389" i="5" s="1"/>
  <c r="U357" i="5"/>
  <c r="V357" i="5" s="1"/>
  <c r="U564" i="5"/>
  <c r="V564" i="5" s="1"/>
  <c r="U548" i="5"/>
  <c r="V548" i="5" s="1"/>
  <c r="U532" i="5"/>
  <c r="V532" i="5" s="1"/>
  <c r="U516" i="5"/>
  <c r="V516" i="5" s="1"/>
  <c r="U500" i="5"/>
  <c r="V500" i="5" s="1"/>
  <c r="U409" i="5"/>
  <c r="V409" i="5" s="1"/>
  <c r="U562" i="5"/>
  <c r="V562" i="5" s="1"/>
  <c r="U546" i="5"/>
  <c r="V546" i="5" s="1"/>
  <c r="U530" i="5"/>
  <c r="V530" i="5" s="1"/>
  <c r="U514" i="5"/>
  <c r="V514" i="5" s="1"/>
  <c r="U419" i="5"/>
  <c r="V419" i="5" s="1"/>
  <c r="U561" i="5"/>
  <c r="V561" i="5" s="1"/>
  <c r="U545" i="5"/>
  <c r="V545" i="5" s="1"/>
  <c r="U529" i="5"/>
  <c r="V529" i="5" s="1"/>
  <c r="U560" i="5"/>
  <c r="V560" i="5" s="1"/>
  <c r="U559" i="5"/>
  <c r="V559" i="5" s="1"/>
  <c r="U417" i="5"/>
  <c r="V417" i="5" s="1"/>
  <c r="U558" i="5"/>
  <c r="V558" i="5" s="1"/>
  <c r="U563" i="5"/>
  <c r="V563" i="5" s="1"/>
  <c r="U490" i="5"/>
  <c r="V490" i="5" s="1"/>
  <c r="U458" i="5"/>
  <c r="V458" i="5" s="1"/>
  <c r="U394" i="5"/>
  <c r="V394" i="5" s="1"/>
  <c r="U353" i="5"/>
  <c r="V353" i="5" s="1"/>
  <c r="U341" i="5"/>
  <c r="V341" i="5" s="1"/>
  <c r="U329" i="5"/>
  <c r="V329" i="5" s="1"/>
  <c r="U280" i="5"/>
  <c r="V280" i="5" s="1"/>
  <c r="U234" i="5"/>
  <c r="V234" i="5" s="1"/>
  <c r="U201" i="5"/>
  <c r="V201" i="5" s="1"/>
  <c r="U184" i="5"/>
  <c r="V184" i="5" s="1"/>
  <c r="U169" i="5"/>
  <c r="V169" i="5" s="1"/>
  <c r="U152" i="5"/>
  <c r="V152" i="5" s="1"/>
  <c r="U523" i="5"/>
  <c r="V523" i="5" s="1"/>
  <c r="U484" i="5"/>
  <c r="V484" i="5" s="1"/>
  <c r="U454" i="5"/>
  <c r="V454" i="5" s="1"/>
  <c r="U428" i="5"/>
  <c r="V428" i="5" s="1"/>
  <c r="U407" i="5"/>
  <c r="V407" i="5" s="1"/>
  <c r="U268" i="5"/>
  <c r="V268" i="5" s="1"/>
  <c r="U245" i="5"/>
  <c r="V245" i="5" s="1"/>
  <c r="U483" i="5"/>
  <c r="V483" i="5" s="1"/>
  <c r="U453" i="5"/>
  <c r="V453" i="5" s="1"/>
  <c r="U378" i="5"/>
  <c r="V378" i="5" s="1"/>
  <c r="U365" i="5"/>
  <c r="V365" i="5" s="1"/>
  <c r="U315" i="5"/>
  <c r="V315" i="5" s="1"/>
  <c r="U557" i="5"/>
  <c r="V557" i="5" s="1"/>
  <c r="U522" i="5"/>
  <c r="V522" i="5" s="1"/>
  <c r="U482" i="5"/>
  <c r="V482" i="5" s="1"/>
  <c r="U452" i="5"/>
  <c r="V452" i="5" s="1"/>
  <c r="U427" i="5"/>
  <c r="V427" i="5" s="1"/>
  <c r="U393" i="5"/>
  <c r="V393" i="5" s="1"/>
  <c r="U515" i="5"/>
  <c r="V515" i="5" s="1"/>
  <c r="U481" i="5"/>
  <c r="V481" i="5" s="1"/>
  <c r="U451" i="5"/>
  <c r="V451" i="5" s="1"/>
  <c r="U406" i="5"/>
  <c r="V406" i="5" s="1"/>
  <c r="U556" i="5"/>
  <c r="V556" i="5" s="1"/>
  <c r="U513" i="5"/>
  <c r="V513" i="5" s="1"/>
  <c r="U480" i="5"/>
  <c r="V480" i="5" s="1"/>
  <c r="U450" i="5"/>
  <c r="V450" i="5" s="1"/>
  <c r="U426" i="5"/>
  <c r="V426" i="5" s="1"/>
  <c r="U512" i="5"/>
  <c r="V512" i="5" s="1"/>
  <c r="U449" i="5"/>
  <c r="V449" i="5" s="1"/>
  <c r="U424" i="5"/>
  <c r="V424" i="5" s="1"/>
  <c r="U555" i="5"/>
  <c r="V555" i="5" s="1"/>
  <c r="U479" i="5"/>
  <c r="V479" i="5" s="1"/>
  <c r="U448" i="5"/>
  <c r="V448" i="5" s="1"/>
  <c r="U422" i="5"/>
  <c r="V422" i="5" s="1"/>
  <c r="U405" i="5"/>
  <c r="V405" i="5" s="1"/>
  <c r="U511" i="5"/>
  <c r="V511" i="5" s="1"/>
  <c r="U478" i="5"/>
  <c r="V478" i="5" s="1"/>
  <c r="U376" i="5"/>
  <c r="V376" i="5" s="1"/>
  <c r="U554" i="5"/>
  <c r="V554" i="5" s="1"/>
  <c r="U510" i="5"/>
  <c r="V510" i="5" s="1"/>
  <c r="U447" i="5"/>
  <c r="V447" i="5" s="1"/>
  <c r="U547" i="5"/>
  <c r="V547" i="5" s="1"/>
  <c r="U477" i="5"/>
  <c r="V477" i="5" s="1"/>
  <c r="U446" i="5"/>
  <c r="V446" i="5" s="1"/>
  <c r="U420" i="5"/>
  <c r="V420" i="5" s="1"/>
  <c r="U404" i="5"/>
  <c r="V404" i="5" s="1"/>
  <c r="U265" i="5"/>
  <c r="V265" i="5" s="1"/>
  <c r="U544" i="5"/>
  <c r="V544" i="5" s="1"/>
  <c r="U509" i="5"/>
  <c r="V509" i="5" s="1"/>
  <c r="U476" i="5"/>
  <c r="V476" i="5" s="1"/>
  <c r="U445" i="5"/>
  <c r="V445" i="5" s="1"/>
  <c r="U506" i="5"/>
  <c r="V506" i="5" s="1"/>
  <c r="U498" i="5"/>
  <c r="V498" i="5" s="1"/>
  <c r="U539" i="5"/>
  <c r="V539" i="5" s="1"/>
  <c r="U496" i="5"/>
  <c r="V496" i="5" s="1"/>
  <c r="U543" i="5"/>
  <c r="V543" i="5" s="1"/>
  <c r="U475" i="5"/>
  <c r="V475" i="5" s="1"/>
  <c r="U364" i="5"/>
  <c r="V364" i="5" s="1"/>
  <c r="U350" i="5"/>
  <c r="V350" i="5" s="1"/>
  <c r="U335" i="5"/>
  <c r="V335" i="5" s="1"/>
  <c r="U294" i="5"/>
  <c r="V294" i="5" s="1"/>
  <c r="U200" i="5"/>
  <c r="V200" i="5" s="1"/>
  <c r="U159" i="5"/>
  <c r="V159" i="5" s="1"/>
  <c r="U150" i="5"/>
  <c r="V150" i="5" s="1"/>
  <c r="U542" i="5"/>
  <c r="V542" i="5" s="1"/>
  <c r="U431" i="5"/>
  <c r="V431" i="5" s="1"/>
  <c r="U348" i="5"/>
  <c r="V348" i="5" s="1"/>
  <c r="U308" i="5"/>
  <c r="V308" i="5" s="1"/>
  <c r="U281" i="5"/>
  <c r="V281" i="5" s="1"/>
  <c r="U255" i="5"/>
  <c r="V255" i="5" s="1"/>
  <c r="U141" i="5"/>
  <c r="V141" i="5" s="1"/>
  <c r="U119" i="5"/>
  <c r="V119" i="5" s="1"/>
  <c r="U106" i="5"/>
  <c r="V106" i="5" s="1"/>
  <c r="U474" i="5"/>
  <c r="V474" i="5" s="1"/>
  <c r="U430" i="5"/>
  <c r="V430" i="5" s="1"/>
  <c r="U398" i="5"/>
  <c r="V398" i="5" s="1"/>
  <c r="U382" i="5"/>
  <c r="V382" i="5" s="1"/>
  <c r="U321" i="5"/>
  <c r="V321" i="5" s="1"/>
  <c r="U242" i="5"/>
  <c r="V242" i="5" s="1"/>
  <c r="U230" i="5"/>
  <c r="V230" i="5" s="1"/>
  <c r="U218" i="5"/>
  <c r="V218" i="5" s="1"/>
  <c r="U206" i="5"/>
  <c r="V206" i="5" s="1"/>
  <c r="U193" i="5"/>
  <c r="V193" i="5" s="1"/>
  <c r="U177" i="5"/>
  <c r="V177" i="5" s="1"/>
  <c r="U168" i="5"/>
  <c r="V168" i="5" s="1"/>
  <c r="U541" i="5"/>
  <c r="V541" i="5" s="1"/>
  <c r="U468" i="5"/>
  <c r="V468" i="5" s="1"/>
  <c r="U363" i="5"/>
  <c r="V363" i="5" s="1"/>
  <c r="U334" i="5"/>
  <c r="V334" i="5" s="1"/>
  <c r="U293" i="5"/>
  <c r="V293" i="5" s="1"/>
  <c r="U267" i="5"/>
  <c r="V267" i="5" s="1"/>
  <c r="U108" i="5"/>
  <c r="V108" i="5" s="1"/>
  <c r="U540" i="5"/>
  <c r="V540" i="5" s="1"/>
  <c r="U467" i="5"/>
  <c r="V467" i="5" s="1"/>
  <c r="U429" i="5"/>
  <c r="V429" i="5" s="1"/>
  <c r="U397" i="5"/>
  <c r="V397" i="5" s="1"/>
  <c r="U380" i="5"/>
  <c r="V380" i="5" s="1"/>
  <c r="U538" i="5"/>
  <c r="V538" i="5" s="1"/>
  <c r="U466" i="5"/>
  <c r="V466" i="5" s="1"/>
  <c r="U362" i="5"/>
  <c r="V362" i="5" s="1"/>
  <c r="U531" i="5"/>
  <c r="V531" i="5" s="1"/>
  <c r="U465" i="5"/>
  <c r="V465" i="5" s="1"/>
  <c r="U418" i="5"/>
  <c r="V418" i="5" s="1"/>
  <c r="U377" i="5"/>
  <c r="V377" i="5" s="1"/>
  <c r="U333" i="5"/>
  <c r="V333" i="5" s="1"/>
  <c r="U528" i="5"/>
  <c r="V528" i="5" s="1"/>
  <c r="U464" i="5"/>
  <c r="V464" i="5" s="1"/>
  <c r="U396" i="5"/>
  <c r="V396" i="5" s="1"/>
  <c r="U361" i="5"/>
  <c r="V361" i="5" s="1"/>
  <c r="U319" i="5"/>
  <c r="V319" i="5" s="1"/>
  <c r="U527" i="5"/>
  <c r="V527" i="5" s="1"/>
  <c r="U463" i="5"/>
  <c r="V463" i="5" s="1"/>
  <c r="U526" i="5"/>
  <c r="V526" i="5" s="1"/>
  <c r="U462" i="5"/>
  <c r="V462" i="5" s="1"/>
  <c r="U395" i="5"/>
  <c r="V395" i="5" s="1"/>
  <c r="U375" i="5"/>
  <c r="V375" i="5" s="1"/>
  <c r="U416" i="5"/>
  <c r="V416" i="5" s="1"/>
  <c r="U507" i="5"/>
  <c r="V507" i="5" s="1"/>
  <c r="U414" i="5"/>
  <c r="V414" i="5" s="1"/>
  <c r="U497" i="5"/>
  <c r="V497" i="5" s="1"/>
  <c r="U495" i="5"/>
  <c r="V495" i="5" s="1"/>
  <c r="U525" i="5"/>
  <c r="V525" i="5" s="1"/>
  <c r="U433" i="5"/>
  <c r="V433" i="5" s="1"/>
  <c r="U342" i="5"/>
  <c r="V342" i="5" s="1"/>
  <c r="U291" i="5"/>
  <c r="V291" i="5" s="1"/>
  <c r="U277" i="5"/>
  <c r="V277" i="5" s="1"/>
  <c r="U235" i="5"/>
  <c r="V235" i="5" s="1"/>
  <c r="U207" i="5"/>
  <c r="V207" i="5" s="1"/>
  <c r="U143" i="5"/>
  <c r="V143" i="5" s="1"/>
  <c r="U131" i="5"/>
  <c r="V131" i="5" s="1"/>
  <c r="U114" i="5"/>
  <c r="V114" i="5" s="1"/>
  <c r="U432" i="5"/>
  <c r="V432" i="5" s="1"/>
  <c r="U358" i="5"/>
  <c r="V358" i="5" s="1"/>
  <c r="U306" i="5"/>
  <c r="V306" i="5" s="1"/>
  <c r="U248" i="5"/>
  <c r="V248" i="5" s="1"/>
  <c r="U220" i="5"/>
  <c r="V220" i="5" s="1"/>
  <c r="U524" i="5"/>
  <c r="V524" i="5" s="1"/>
  <c r="U385" i="5"/>
  <c r="V385" i="5" s="1"/>
  <c r="U323" i="5"/>
  <c r="V323" i="5" s="1"/>
  <c r="U276" i="5"/>
  <c r="V276" i="5" s="1"/>
  <c r="U261" i="5"/>
  <c r="V261" i="5" s="1"/>
  <c r="U508" i="5"/>
  <c r="V508" i="5" s="1"/>
  <c r="U340" i="5"/>
  <c r="V340" i="5" s="1"/>
  <c r="U305" i="5"/>
  <c r="V305" i="5" s="1"/>
  <c r="U415" i="5"/>
  <c r="V415" i="5" s="1"/>
  <c r="U247" i="5"/>
  <c r="V247" i="5" s="1"/>
  <c r="U499" i="5"/>
  <c r="V499" i="5" s="1"/>
  <c r="U384" i="5"/>
  <c r="V384" i="5" s="1"/>
  <c r="U356" i="5"/>
  <c r="V356" i="5" s="1"/>
  <c r="U322" i="5"/>
  <c r="V322" i="5" s="1"/>
  <c r="U274" i="5"/>
  <c r="V274" i="5" s="1"/>
  <c r="U260" i="5"/>
  <c r="V260" i="5" s="1"/>
  <c r="U204" i="5"/>
  <c r="V204" i="5" s="1"/>
  <c r="U338" i="5"/>
  <c r="V338" i="5" s="1"/>
  <c r="U304" i="5"/>
  <c r="V304" i="5" s="1"/>
  <c r="U289" i="5"/>
  <c r="V289" i="5" s="1"/>
  <c r="U494" i="5"/>
  <c r="V494" i="5" s="1"/>
  <c r="U320" i="5"/>
  <c r="V320" i="5" s="1"/>
  <c r="U303" i="5"/>
  <c r="V303" i="5" s="1"/>
  <c r="U246" i="5"/>
  <c r="V246" i="5" s="1"/>
  <c r="U383" i="5"/>
  <c r="V383" i="5" s="1"/>
  <c r="U355" i="5"/>
  <c r="V355" i="5" s="1"/>
  <c r="U337" i="5"/>
  <c r="V337" i="5" s="1"/>
  <c r="U493" i="5"/>
  <c r="V493" i="5" s="1"/>
  <c r="U410" i="5"/>
  <c r="V410" i="5" s="1"/>
  <c r="U216" i="5"/>
  <c r="V216" i="5" s="1"/>
  <c r="U461" i="5"/>
  <c r="V461" i="5" s="1"/>
  <c r="U400" i="5"/>
  <c r="V400" i="5" s="1"/>
  <c r="U399" i="5"/>
  <c r="V399" i="5" s="1"/>
  <c r="U459" i="5"/>
  <c r="V459" i="5" s="1"/>
  <c r="U444" i="5"/>
  <c r="V444" i="5" s="1"/>
  <c r="U387" i="5"/>
  <c r="V387" i="5" s="1"/>
  <c r="U326" i="5"/>
  <c r="V326" i="5" s="1"/>
  <c r="U301" i="5"/>
  <c r="V301" i="5" s="1"/>
  <c r="U263" i="5"/>
  <c r="V263" i="5" s="1"/>
  <c r="U228" i="5"/>
  <c r="V228" i="5" s="1"/>
  <c r="U178" i="5"/>
  <c r="V178" i="5" s="1"/>
  <c r="U130" i="5"/>
  <c r="V130" i="5" s="1"/>
  <c r="U492" i="5"/>
  <c r="V492" i="5" s="1"/>
  <c r="U351" i="5"/>
  <c r="V351" i="5" s="1"/>
  <c r="U213" i="5"/>
  <c r="V213" i="5" s="1"/>
  <c r="U186" i="5"/>
  <c r="V186" i="5" s="1"/>
  <c r="U156" i="5"/>
  <c r="V156" i="5" s="1"/>
  <c r="U135" i="5"/>
  <c r="V135" i="5" s="1"/>
  <c r="U300" i="5"/>
  <c r="V300" i="5" s="1"/>
  <c r="U282" i="5"/>
  <c r="V282" i="5" s="1"/>
  <c r="U244" i="5"/>
  <c r="V244" i="5" s="1"/>
  <c r="U189" i="5"/>
  <c r="V189" i="5" s="1"/>
  <c r="U175" i="5"/>
  <c r="V175" i="5" s="1"/>
  <c r="U117" i="5"/>
  <c r="V117" i="5" s="1"/>
  <c r="U109" i="5"/>
  <c r="V109" i="5" s="1"/>
  <c r="U491" i="5"/>
  <c r="V491" i="5" s="1"/>
  <c r="U386" i="5"/>
  <c r="V386" i="5" s="1"/>
  <c r="U325" i="5"/>
  <c r="V325" i="5" s="1"/>
  <c r="U262" i="5"/>
  <c r="V262" i="5" s="1"/>
  <c r="U227" i="5"/>
  <c r="V227" i="5" s="1"/>
  <c r="U164" i="5"/>
  <c r="V164" i="5" s="1"/>
  <c r="U347" i="5"/>
  <c r="V347" i="5" s="1"/>
  <c r="U212" i="5"/>
  <c r="V212" i="5" s="1"/>
  <c r="U197" i="5"/>
  <c r="V197" i="5" s="1"/>
  <c r="U183" i="5"/>
  <c r="V183" i="5" s="1"/>
  <c r="U172" i="5"/>
  <c r="V172" i="5" s="1"/>
  <c r="U148" i="5"/>
  <c r="V148" i="5" s="1"/>
  <c r="U122" i="5"/>
  <c r="V122" i="5" s="1"/>
  <c r="U374" i="5"/>
  <c r="V374" i="5" s="1"/>
  <c r="U346" i="5"/>
  <c r="V346" i="5" s="1"/>
  <c r="U324" i="5"/>
  <c r="V324" i="5" s="1"/>
  <c r="U299" i="5"/>
  <c r="V299" i="5" s="1"/>
  <c r="U279" i="5"/>
  <c r="V279" i="5" s="1"/>
  <c r="U241" i="5"/>
  <c r="V241" i="5" s="1"/>
  <c r="U161" i="5"/>
  <c r="V161" i="5" s="1"/>
  <c r="U145" i="5"/>
  <c r="V145" i="5" s="1"/>
  <c r="U140" i="5"/>
  <c r="V140" i="5" s="1"/>
  <c r="U460" i="5"/>
  <c r="V460" i="5" s="1"/>
  <c r="U259" i="5"/>
  <c r="V259" i="5" s="1"/>
  <c r="U226" i="5"/>
  <c r="V226" i="5" s="1"/>
  <c r="U210" i="5"/>
  <c r="V210" i="5" s="1"/>
  <c r="U153" i="5"/>
  <c r="V153" i="5" s="1"/>
  <c r="U345" i="5"/>
  <c r="V345" i="5" s="1"/>
  <c r="U194" i="5"/>
  <c r="V194" i="5" s="1"/>
  <c r="U132" i="5"/>
  <c r="V132" i="5" s="1"/>
  <c r="U443" i="5"/>
  <c r="V443" i="5" s="1"/>
  <c r="U373" i="5"/>
  <c r="V373" i="5" s="1"/>
  <c r="U318" i="5"/>
  <c r="V318" i="5" s="1"/>
  <c r="U298" i="5"/>
  <c r="V298" i="5" s="1"/>
  <c r="U278" i="5"/>
  <c r="V278" i="5" s="1"/>
  <c r="U258" i="5"/>
  <c r="V258" i="5" s="1"/>
  <c r="U240" i="5"/>
  <c r="V240" i="5" s="1"/>
  <c r="U225" i="5"/>
  <c r="V225" i="5" s="1"/>
  <c r="U209" i="5"/>
  <c r="V209" i="5" s="1"/>
  <c r="U442" i="5"/>
  <c r="V442" i="5" s="1"/>
  <c r="U344" i="5"/>
  <c r="V344" i="5" s="1"/>
  <c r="U316" i="5"/>
  <c r="V316" i="5" s="1"/>
  <c r="U202" i="5"/>
  <c r="V202" i="5" s="1"/>
  <c r="U191" i="5"/>
  <c r="V191" i="5" s="1"/>
  <c r="U188" i="5"/>
  <c r="V188" i="5" s="1"/>
  <c r="U180" i="5"/>
  <c r="V180" i="5" s="1"/>
  <c r="U158" i="5"/>
  <c r="V158" i="5" s="1"/>
  <c r="U111" i="5"/>
  <c r="V111" i="5" s="1"/>
  <c r="U368" i="5"/>
  <c r="V368" i="5" s="1"/>
  <c r="U237" i="5"/>
  <c r="V237" i="5" s="1"/>
  <c r="U160" i="5"/>
  <c r="V160" i="5" s="1"/>
  <c r="U312" i="5"/>
  <c r="V312" i="5" s="1"/>
  <c r="U292" i="5"/>
  <c r="V292" i="5" s="1"/>
  <c r="U271" i="5"/>
  <c r="V271" i="5" s="1"/>
  <c r="U252" i="5"/>
  <c r="V252" i="5" s="1"/>
  <c r="U179" i="5"/>
  <c r="V179" i="5" s="1"/>
  <c r="U139" i="5"/>
  <c r="V139" i="5" s="1"/>
  <c r="U408" i="5"/>
  <c r="V408" i="5" s="1"/>
  <c r="U367" i="5"/>
  <c r="V367" i="5" s="1"/>
  <c r="U290" i="5"/>
  <c r="V290" i="5" s="1"/>
  <c r="U288" i="5"/>
  <c r="V288" i="5" s="1"/>
  <c r="U236" i="5"/>
  <c r="V236" i="5" s="1"/>
  <c r="U190" i="5"/>
  <c r="V190" i="5" s="1"/>
  <c r="U182" i="5"/>
  <c r="V182" i="5" s="1"/>
  <c r="U402" i="5"/>
  <c r="V402" i="5" s="1"/>
  <c r="U332" i="5"/>
  <c r="V332" i="5" s="1"/>
  <c r="U311" i="5"/>
  <c r="V311" i="5" s="1"/>
  <c r="U270" i="5"/>
  <c r="V270" i="5" s="1"/>
  <c r="U251" i="5"/>
  <c r="V251" i="5" s="1"/>
  <c r="U219" i="5"/>
  <c r="V219" i="5" s="1"/>
  <c r="U165" i="5"/>
  <c r="V165" i="5" s="1"/>
  <c r="U366" i="5"/>
  <c r="V366" i="5" s="1"/>
  <c r="U287" i="5"/>
  <c r="V287" i="5" s="1"/>
  <c r="U217" i="5"/>
  <c r="V217" i="5" s="1"/>
  <c r="U136" i="5"/>
  <c r="V136" i="5" s="1"/>
  <c r="U331" i="5"/>
  <c r="V331" i="5" s="1"/>
  <c r="U310" i="5"/>
  <c r="V310" i="5" s="1"/>
  <c r="U269" i="5"/>
  <c r="V269" i="5" s="1"/>
  <c r="U250" i="5"/>
  <c r="V250" i="5" s="1"/>
  <c r="U286" i="5"/>
  <c r="V286" i="5" s="1"/>
  <c r="U232" i="5"/>
  <c r="V232" i="5" s="1"/>
  <c r="U354" i="5"/>
  <c r="V354" i="5" s="1"/>
  <c r="U388" i="5"/>
  <c r="V388" i="5" s="1"/>
  <c r="U302" i="5"/>
  <c r="V302" i="5" s="1"/>
  <c r="U440" i="5"/>
  <c r="V440" i="5" s="1"/>
  <c r="U214" i="5"/>
  <c r="V214" i="5" s="1"/>
  <c r="U199" i="5"/>
  <c r="V199" i="5" s="1"/>
  <c r="U174" i="5"/>
  <c r="V174" i="5" s="1"/>
  <c r="U126" i="5"/>
  <c r="V126" i="5" s="1"/>
  <c r="U438" i="5"/>
  <c r="V438" i="5" s="1"/>
  <c r="U313" i="5"/>
  <c r="V313" i="5" s="1"/>
  <c r="U118" i="5"/>
  <c r="V118" i="5" s="1"/>
  <c r="U437" i="5"/>
  <c r="V437" i="5" s="1"/>
  <c r="U309" i="5"/>
  <c r="V309" i="5" s="1"/>
  <c r="U249" i="5"/>
  <c r="V249" i="5" s="1"/>
  <c r="U147" i="5"/>
  <c r="V147" i="5" s="1"/>
  <c r="U436" i="5"/>
  <c r="V436" i="5" s="1"/>
  <c r="U208" i="5"/>
  <c r="V208" i="5" s="1"/>
  <c r="U107" i="5"/>
  <c r="V107" i="5" s="1"/>
  <c r="U435" i="5"/>
  <c r="V435" i="5" s="1"/>
  <c r="U157" i="5"/>
  <c r="V157" i="5" s="1"/>
  <c r="U434" i="5"/>
  <c r="V434" i="5" s="1"/>
  <c r="U173" i="5"/>
  <c r="V173" i="5" s="1"/>
  <c r="U138" i="5"/>
  <c r="V138" i="5" s="1"/>
  <c r="U110" i="5"/>
  <c r="V110" i="5" s="1"/>
  <c r="U390" i="5"/>
  <c r="V390" i="5" s="1"/>
  <c r="U297" i="5"/>
  <c r="V297" i="5" s="1"/>
  <c r="U198" i="5"/>
  <c r="V198" i="5" s="1"/>
  <c r="U192" i="5"/>
  <c r="V192" i="5" s="1"/>
  <c r="U162" i="5"/>
  <c r="V162" i="5" s="1"/>
  <c r="U142" i="5"/>
  <c r="V142" i="5" s="1"/>
  <c r="U129" i="5"/>
  <c r="V129" i="5" s="1"/>
  <c r="U121" i="5"/>
  <c r="V121" i="5" s="1"/>
  <c r="U239" i="5"/>
  <c r="V239" i="5" s="1"/>
  <c r="U205" i="5"/>
  <c r="V205" i="5" s="1"/>
  <c r="U185" i="5"/>
  <c r="V185" i="5" s="1"/>
  <c r="U137" i="5"/>
  <c r="V137" i="5" s="1"/>
  <c r="U372" i="5"/>
  <c r="V372" i="5" s="1"/>
  <c r="U133" i="5"/>
  <c r="V133" i="5" s="1"/>
  <c r="U125" i="5"/>
  <c r="V125" i="5" s="1"/>
  <c r="U238" i="5"/>
  <c r="V238" i="5" s="1"/>
  <c r="U167" i="5"/>
  <c r="V167" i="5" s="1"/>
  <c r="U113" i="5"/>
  <c r="V113" i="5" s="1"/>
  <c r="U370" i="5"/>
  <c r="V370" i="5" s="1"/>
  <c r="U151" i="5"/>
  <c r="V151" i="5" s="1"/>
  <c r="U155" i="5"/>
  <c r="V155" i="5" s="1"/>
  <c r="U124" i="5"/>
  <c r="V124" i="5" s="1"/>
  <c r="U352" i="5"/>
  <c r="V352" i="5" s="1"/>
  <c r="U283" i="5"/>
  <c r="V283" i="5" s="1"/>
  <c r="U231" i="5"/>
  <c r="V231" i="5" s="1"/>
  <c r="U229" i="5"/>
  <c r="V229" i="5" s="1"/>
  <c r="U196" i="5"/>
  <c r="V196" i="5" s="1"/>
  <c r="U171" i="5"/>
  <c r="V171" i="5" s="1"/>
  <c r="U128" i="5"/>
  <c r="V128" i="5" s="1"/>
  <c r="U120" i="5"/>
  <c r="V120" i="5" s="1"/>
  <c r="U273" i="5"/>
  <c r="V273" i="5" s="1"/>
  <c r="U105" i="5"/>
  <c r="V105" i="5" s="1"/>
  <c r="U272" i="5"/>
  <c r="V272" i="5" s="1"/>
  <c r="U224" i="5"/>
  <c r="V224" i="5" s="1"/>
  <c r="U176" i="5"/>
  <c r="V176" i="5" s="1"/>
  <c r="U170" i="5"/>
  <c r="V170" i="5" s="1"/>
  <c r="U154" i="5"/>
  <c r="V154" i="5" s="1"/>
  <c r="U149" i="5"/>
  <c r="V149" i="5" s="1"/>
  <c r="U123" i="5"/>
  <c r="V123" i="5" s="1"/>
  <c r="U336" i="5"/>
  <c r="V336" i="5" s="1"/>
  <c r="U266" i="5"/>
  <c r="V266" i="5" s="1"/>
  <c r="U127" i="5"/>
  <c r="V127" i="5" s="1"/>
  <c r="U112" i="5"/>
  <c r="V112" i="5" s="1"/>
  <c r="U330" i="5"/>
  <c r="V330" i="5" s="1"/>
  <c r="U223" i="5"/>
  <c r="V223" i="5" s="1"/>
  <c r="U256" i="5"/>
  <c r="V256" i="5" s="1"/>
  <c r="U215" i="5"/>
  <c r="V215" i="5" s="1"/>
  <c r="U314" i="5"/>
  <c r="V314" i="5" s="1"/>
  <c r="U254" i="5"/>
  <c r="V254" i="5" s="1"/>
  <c r="U343" i="5"/>
  <c r="V343" i="5" s="1"/>
  <c r="U195" i="5"/>
  <c r="V195" i="5" s="1"/>
  <c r="U115" i="5"/>
  <c r="V115" i="5" s="1"/>
  <c r="U116" i="5"/>
  <c r="V116" i="5" s="1"/>
  <c r="U284" i="5"/>
  <c r="V284" i="5" s="1"/>
  <c r="U166" i="5"/>
  <c r="V166" i="5" s="1"/>
  <c r="U257" i="5"/>
  <c r="V257" i="5" s="1"/>
  <c r="U187" i="5"/>
  <c r="V187" i="5" s="1"/>
  <c r="U233" i="5"/>
  <c r="V233" i="5" s="1"/>
  <c r="U163" i="5"/>
  <c r="V163" i="5" s="1"/>
  <c r="U134" i="5"/>
  <c r="V134" i="5" s="1"/>
  <c r="U222" i="5"/>
  <c r="V222" i="5" s="1"/>
  <c r="U146" i="5"/>
  <c r="V146" i="5" s="1"/>
  <c r="U181" i="5"/>
  <c r="V181" i="5" s="1"/>
  <c r="U144" i="5"/>
  <c r="V144" i="5" s="1"/>
  <c r="U203" i="5"/>
  <c r="V203" i="5" s="1"/>
  <c r="AD281" i="5"/>
  <c r="AD273" i="5"/>
  <c r="AD192" i="5"/>
  <c r="AD97" i="5"/>
  <c r="AD224" i="5"/>
  <c r="AD140" i="5"/>
  <c r="AD39" i="5"/>
  <c r="AD193" i="5"/>
  <c r="AD141" i="5"/>
  <c r="AD123" i="5"/>
  <c r="AD21" i="5"/>
  <c r="AD215" i="5"/>
  <c r="AD50" i="5"/>
  <c r="AD71" i="5"/>
  <c r="AD40" i="5"/>
  <c r="AD102" i="5"/>
  <c r="AD198" i="5"/>
  <c r="AD147" i="5"/>
  <c r="AD137" i="5"/>
  <c r="AD3" i="5"/>
  <c r="AD41" i="5"/>
  <c r="AD206" i="5"/>
  <c r="AD207" i="5"/>
  <c r="AD284" i="5"/>
  <c r="AD150" i="5"/>
  <c r="AD70" i="5"/>
  <c r="AD43" i="5"/>
  <c r="AD218" i="5"/>
  <c r="U403" i="4"/>
  <c r="V403" i="4" s="1"/>
  <c r="U371" i="4"/>
  <c r="V371" i="4" s="1"/>
  <c r="U339" i="4"/>
  <c r="V339" i="4" s="1"/>
  <c r="U307" i="4"/>
  <c r="V307" i="4" s="1"/>
  <c r="U275" i="4"/>
  <c r="V275" i="4" s="1"/>
  <c r="U243" i="4"/>
  <c r="V243" i="4" s="1"/>
  <c r="U211" i="4"/>
  <c r="V211" i="4" s="1"/>
  <c r="U179" i="4"/>
  <c r="V179" i="4" s="1"/>
  <c r="U165" i="4"/>
  <c r="V165" i="4" s="1"/>
  <c r="U149" i="4"/>
  <c r="V149" i="4" s="1"/>
  <c r="U133" i="4"/>
  <c r="V133" i="4" s="1"/>
  <c r="U117" i="4"/>
  <c r="V117" i="4" s="1"/>
  <c r="U101" i="4"/>
  <c r="V101" i="4" s="1"/>
  <c r="U85" i="4"/>
  <c r="V85" i="4" s="1"/>
  <c r="U69" i="4"/>
  <c r="V69" i="4" s="1"/>
  <c r="U569" i="4"/>
  <c r="V569" i="4" s="1"/>
  <c r="U553" i="4"/>
  <c r="V553" i="4" s="1"/>
  <c r="U537" i="4"/>
  <c r="V537" i="4" s="1"/>
  <c r="U521" i="4"/>
  <c r="V521" i="4" s="1"/>
  <c r="U505" i="4"/>
  <c r="V505" i="4" s="1"/>
  <c r="U489" i="4"/>
  <c r="V489" i="4" s="1"/>
  <c r="U473" i="4"/>
  <c r="V473" i="4" s="1"/>
  <c r="U457" i="4"/>
  <c r="V457" i="4" s="1"/>
  <c r="U441" i="4"/>
  <c r="V441" i="4" s="1"/>
  <c r="U425" i="4"/>
  <c r="V425" i="4" s="1"/>
  <c r="U392" i="4"/>
  <c r="V392" i="4" s="1"/>
  <c r="U360" i="4"/>
  <c r="V360" i="4" s="1"/>
  <c r="U328" i="4"/>
  <c r="V328" i="4" s="1"/>
  <c r="U296" i="4"/>
  <c r="V296" i="4" s="1"/>
  <c r="U264" i="4"/>
  <c r="V264" i="4" s="1"/>
  <c r="U232" i="4"/>
  <c r="V232" i="4" s="1"/>
  <c r="U200" i="4"/>
  <c r="V200" i="4" s="1"/>
  <c r="U168" i="4"/>
  <c r="V168" i="4" s="1"/>
  <c r="U413" i="4"/>
  <c r="V413" i="4" s="1"/>
  <c r="U381" i="4"/>
  <c r="V381" i="4" s="1"/>
  <c r="U349" i="4"/>
  <c r="V349" i="4" s="1"/>
  <c r="U317" i="4"/>
  <c r="V317" i="4" s="1"/>
  <c r="U285" i="4"/>
  <c r="V285" i="4" s="1"/>
  <c r="U253" i="4"/>
  <c r="V253" i="4" s="1"/>
  <c r="U221" i="4"/>
  <c r="V221" i="4" s="1"/>
  <c r="U189" i="4"/>
  <c r="V189" i="4" s="1"/>
  <c r="U158" i="4"/>
  <c r="V158" i="4" s="1"/>
  <c r="U142" i="4"/>
  <c r="V142" i="4" s="1"/>
  <c r="U126" i="4"/>
  <c r="V126" i="4" s="1"/>
  <c r="U568" i="4"/>
  <c r="V568" i="4" s="1"/>
  <c r="U552" i="4"/>
  <c r="V552" i="4" s="1"/>
  <c r="U536" i="4"/>
  <c r="V536" i="4" s="1"/>
  <c r="U520" i="4"/>
  <c r="V520" i="4" s="1"/>
  <c r="U504" i="4"/>
  <c r="V504" i="4" s="1"/>
  <c r="U488" i="4"/>
  <c r="V488" i="4" s="1"/>
  <c r="U472" i="4"/>
  <c r="V472" i="4" s="1"/>
  <c r="U456" i="4"/>
  <c r="V456" i="4" s="1"/>
  <c r="U440" i="4"/>
  <c r="V440" i="4" s="1"/>
  <c r="U424" i="4"/>
  <c r="V424" i="4" s="1"/>
  <c r="U402" i="4"/>
  <c r="V402" i="4" s="1"/>
  <c r="U391" i="4"/>
  <c r="V391" i="4" s="1"/>
  <c r="U359" i="4"/>
  <c r="V359" i="4" s="1"/>
  <c r="U327" i="4"/>
  <c r="V327" i="4" s="1"/>
  <c r="U295" i="4"/>
  <c r="V295" i="4" s="1"/>
  <c r="U263" i="4"/>
  <c r="V263" i="4" s="1"/>
  <c r="U231" i="4"/>
  <c r="V231" i="4" s="1"/>
  <c r="U199" i="4"/>
  <c r="V199" i="4" s="1"/>
  <c r="U167" i="4"/>
  <c r="V167" i="4" s="1"/>
  <c r="U151" i="4"/>
  <c r="V151" i="4" s="1"/>
  <c r="U135" i="4"/>
  <c r="V135" i="4" s="1"/>
  <c r="U119" i="4"/>
  <c r="V119" i="4" s="1"/>
  <c r="U567" i="4"/>
  <c r="V567" i="4" s="1"/>
  <c r="U551" i="4"/>
  <c r="V551" i="4" s="1"/>
  <c r="U535" i="4"/>
  <c r="V535" i="4" s="1"/>
  <c r="U519" i="4"/>
  <c r="V519" i="4" s="1"/>
  <c r="U503" i="4"/>
  <c r="V503" i="4" s="1"/>
  <c r="U487" i="4"/>
  <c r="V487" i="4" s="1"/>
  <c r="U471" i="4"/>
  <c r="V471" i="4" s="1"/>
  <c r="U455" i="4"/>
  <c r="V455" i="4" s="1"/>
  <c r="U439" i="4"/>
  <c r="V439" i="4" s="1"/>
  <c r="U423" i="4"/>
  <c r="V423" i="4" s="1"/>
  <c r="U401" i="4"/>
  <c r="V401" i="4" s="1"/>
  <c r="U369" i="4"/>
  <c r="V369" i="4" s="1"/>
  <c r="U337" i="4"/>
  <c r="V337" i="4" s="1"/>
  <c r="U305" i="4"/>
  <c r="V305" i="4" s="1"/>
  <c r="U273" i="4"/>
  <c r="V273" i="4" s="1"/>
  <c r="U241" i="4"/>
  <c r="V241" i="4" s="1"/>
  <c r="U209" i="4"/>
  <c r="V209" i="4" s="1"/>
  <c r="U177" i="4"/>
  <c r="V177" i="4" s="1"/>
  <c r="U160" i="4"/>
  <c r="V160" i="4" s="1"/>
  <c r="U144" i="4"/>
  <c r="V144" i="4" s="1"/>
  <c r="U128" i="4"/>
  <c r="V128" i="4" s="1"/>
  <c r="U112" i="4"/>
  <c r="V112" i="4" s="1"/>
  <c r="U566" i="4"/>
  <c r="V566" i="4" s="1"/>
  <c r="U550" i="4"/>
  <c r="V550" i="4" s="1"/>
  <c r="U534" i="4"/>
  <c r="V534" i="4" s="1"/>
  <c r="U518" i="4"/>
  <c r="V518" i="4" s="1"/>
  <c r="U502" i="4"/>
  <c r="V502" i="4" s="1"/>
  <c r="U486" i="4"/>
  <c r="V486" i="4" s="1"/>
  <c r="U470" i="4"/>
  <c r="V470" i="4" s="1"/>
  <c r="U454" i="4"/>
  <c r="V454" i="4" s="1"/>
  <c r="U438" i="4"/>
  <c r="V438" i="4" s="1"/>
  <c r="U422" i="4"/>
  <c r="V422" i="4" s="1"/>
  <c r="U390" i="4"/>
  <c r="V390" i="4" s="1"/>
  <c r="U358" i="4"/>
  <c r="V358" i="4" s="1"/>
  <c r="U326" i="4"/>
  <c r="V326" i="4" s="1"/>
  <c r="U294" i="4"/>
  <c r="V294" i="4" s="1"/>
  <c r="U262" i="4"/>
  <c r="V262" i="4" s="1"/>
  <c r="U230" i="4"/>
  <c r="V230" i="4" s="1"/>
  <c r="U198" i="4"/>
  <c r="V198" i="4" s="1"/>
  <c r="U411" i="4"/>
  <c r="V411" i="4" s="1"/>
  <c r="U379" i="4"/>
  <c r="V379" i="4" s="1"/>
  <c r="U347" i="4"/>
  <c r="V347" i="4" s="1"/>
  <c r="U315" i="4"/>
  <c r="V315" i="4" s="1"/>
  <c r="U283" i="4"/>
  <c r="V283" i="4" s="1"/>
  <c r="U251" i="4"/>
  <c r="V251" i="4" s="1"/>
  <c r="U219" i="4"/>
  <c r="V219" i="4" s="1"/>
  <c r="U187" i="4"/>
  <c r="V187" i="4" s="1"/>
  <c r="U153" i="4"/>
  <c r="V153" i="4" s="1"/>
  <c r="U137" i="4"/>
  <c r="V137" i="4" s="1"/>
  <c r="U121" i="4"/>
  <c r="V121" i="4" s="1"/>
  <c r="U105" i="4"/>
  <c r="V105" i="4" s="1"/>
  <c r="U565" i="4"/>
  <c r="V565" i="4" s="1"/>
  <c r="U549" i="4"/>
  <c r="V549" i="4" s="1"/>
  <c r="U533" i="4"/>
  <c r="V533" i="4" s="1"/>
  <c r="U517" i="4"/>
  <c r="V517" i="4" s="1"/>
  <c r="U501" i="4"/>
  <c r="V501" i="4" s="1"/>
  <c r="U485" i="4"/>
  <c r="V485" i="4" s="1"/>
  <c r="U469" i="4"/>
  <c r="V469" i="4" s="1"/>
  <c r="U453" i="4"/>
  <c r="V453" i="4" s="1"/>
  <c r="U437" i="4"/>
  <c r="V437" i="4" s="1"/>
  <c r="U400" i="4"/>
  <c r="V400" i="4" s="1"/>
  <c r="U368" i="4"/>
  <c r="V368" i="4" s="1"/>
  <c r="U336" i="4"/>
  <c r="V336" i="4" s="1"/>
  <c r="U304" i="4"/>
  <c r="V304" i="4" s="1"/>
  <c r="U272" i="4"/>
  <c r="V272" i="4" s="1"/>
  <c r="U240" i="4"/>
  <c r="V240" i="4" s="1"/>
  <c r="U208" i="4"/>
  <c r="V208" i="4" s="1"/>
  <c r="U176" i="4"/>
  <c r="V176" i="4" s="1"/>
  <c r="U421" i="4"/>
  <c r="V421" i="4" s="1"/>
  <c r="U389" i="4"/>
  <c r="V389" i="4" s="1"/>
  <c r="U357" i="4"/>
  <c r="V357" i="4" s="1"/>
  <c r="U325" i="4"/>
  <c r="V325" i="4" s="1"/>
  <c r="U293" i="4"/>
  <c r="V293" i="4" s="1"/>
  <c r="U261" i="4"/>
  <c r="V261" i="4" s="1"/>
  <c r="U229" i="4"/>
  <c r="V229" i="4" s="1"/>
  <c r="U197" i="4"/>
  <c r="V197" i="4" s="1"/>
  <c r="U162" i="4"/>
  <c r="V162" i="4" s="1"/>
  <c r="U146" i="4"/>
  <c r="V146" i="4" s="1"/>
  <c r="U130" i="4"/>
  <c r="V130" i="4" s="1"/>
  <c r="U114" i="4"/>
  <c r="V114" i="4" s="1"/>
  <c r="U564" i="4"/>
  <c r="V564" i="4" s="1"/>
  <c r="U548" i="4"/>
  <c r="V548" i="4" s="1"/>
  <c r="U532" i="4"/>
  <c r="V532" i="4" s="1"/>
  <c r="U516" i="4"/>
  <c r="V516" i="4" s="1"/>
  <c r="U500" i="4"/>
  <c r="V500" i="4" s="1"/>
  <c r="U484" i="4"/>
  <c r="V484" i="4" s="1"/>
  <c r="U468" i="4"/>
  <c r="V468" i="4" s="1"/>
  <c r="U452" i="4"/>
  <c r="V452" i="4" s="1"/>
  <c r="U436" i="4"/>
  <c r="V436" i="4" s="1"/>
  <c r="U410" i="4"/>
  <c r="V410" i="4" s="1"/>
  <c r="U378" i="4"/>
  <c r="V378" i="4" s="1"/>
  <c r="U346" i="4"/>
  <c r="V346" i="4" s="1"/>
  <c r="U314" i="4"/>
  <c r="V314" i="4" s="1"/>
  <c r="U282" i="4"/>
  <c r="V282" i="4" s="1"/>
  <c r="U250" i="4"/>
  <c r="V250" i="4" s="1"/>
  <c r="U218" i="4"/>
  <c r="V218" i="4" s="1"/>
  <c r="U186" i="4"/>
  <c r="V186" i="4" s="1"/>
  <c r="U399" i="4"/>
  <c r="V399" i="4" s="1"/>
  <c r="U367" i="4"/>
  <c r="V367" i="4" s="1"/>
  <c r="U335" i="4"/>
  <c r="V335" i="4" s="1"/>
  <c r="U303" i="4"/>
  <c r="V303" i="4" s="1"/>
  <c r="U271" i="4"/>
  <c r="V271" i="4" s="1"/>
  <c r="U239" i="4"/>
  <c r="V239" i="4" s="1"/>
  <c r="U207" i="4"/>
  <c r="V207" i="4" s="1"/>
  <c r="U175" i="4"/>
  <c r="V175" i="4" s="1"/>
  <c r="U155" i="4"/>
  <c r="V155" i="4" s="1"/>
  <c r="U139" i="4"/>
  <c r="V139" i="4" s="1"/>
  <c r="U123" i="4"/>
  <c r="V123" i="4" s="1"/>
  <c r="U563" i="4"/>
  <c r="V563" i="4" s="1"/>
  <c r="U547" i="4"/>
  <c r="V547" i="4" s="1"/>
  <c r="U531" i="4"/>
  <c r="V531" i="4" s="1"/>
  <c r="U515" i="4"/>
  <c r="V515" i="4" s="1"/>
  <c r="U499" i="4"/>
  <c r="V499" i="4" s="1"/>
  <c r="U483" i="4"/>
  <c r="V483" i="4" s="1"/>
  <c r="U467" i="4"/>
  <c r="V467" i="4" s="1"/>
  <c r="U451" i="4"/>
  <c r="V451" i="4" s="1"/>
  <c r="U435" i="4"/>
  <c r="V435" i="4" s="1"/>
  <c r="U420" i="4"/>
  <c r="V420" i="4" s="1"/>
  <c r="U388" i="4"/>
  <c r="V388" i="4" s="1"/>
  <c r="U409" i="4"/>
  <c r="V409" i="4" s="1"/>
  <c r="U377" i="4"/>
  <c r="V377" i="4" s="1"/>
  <c r="U345" i="4"/>
  <c r="V345" i="4" s="1"/>
  <c r="U313" i="4"/>
  <c r="V313" i="4" s="1"/>
  <c r="U281" i="4"/>
  <c r="V281" i="4" s="1"/>
  <c r="U249" i="4"/>
  <c r="V249" i="4" s="1"/>
  <c r="U217" i="4"/>
  <c r="V217" i="4" s="1"/>
  <c r="U185" i="4"/>
  <c r="V185" i="4" s="1"/>
  <c r="U562" i="4"/>
  <c r="V562" i="4" s="1"/>
  <c r="U546" i="4"/>
  <c r="V546" i="4" s="1"/>
  <c r="U530" i="4"/>
  <c r="V530" i="4" s="1"/>
  <c r="U514" i="4"/>
  <c r="V514" i="4" s="1"/>
  <c r="U498" i="4"/>
  <c r="V498" i="4" s="1"/>
  <c r="U482" i="4"/>
  <c r="V482" i="4" s="1"/>
  <c r="U466" i="4"/>
  <c r="V466" i="4" s="1"/>
  <c r="U450" i="4"/>
  <c r="V450" i="4" s="1"/>
  <c r="U434" i="4"/>
  <c r="V434" i="4" s="1"/>
  <c r="U398" i="4"/>
  <c r="V398" i="4" s="1"/>
  <c r="U419" i="4"/>
  <c r="V419" i="4" s="1"/>
  <c r="U387" i="4"/>
  <c r="V387" i="4" s="1"/>
  <c r="U355" i="4"/>
  <c r="V355" i="4" s="1"/>
  <c r="U323" i="4"/>
  <c r="V323" i="4" s="1"/>
  <c r="U291" i="4"/>
  <c r="V291" i="4" s="1"/>
  <c r="U259" i="4"/>
  <c r="V259" i="4" s="1"/>
  <c r="U227" i="4"/>
  <c r="V227" i="4" s="1"/>
  <c r="U195" i="4"/>
  <c r="V195" i="4" s="1"/>
  <c r="U157" i="4"/>
  <c r="V157" i="4" s="1"/>
  <c r="U561" i="4"/>
  <c r="V561" i="4" s="1"/>
  <c r="U545" i="4"/>
  <c r="V545" i="4" s="1"/>
  <c r="U529" i="4"/>
  <c r="V529" i="4" s="1"/>
  <c r="U513" i="4"/>
  <c r="V513" i="4" s="1"/>
  <c r="U497" i="4"/>
  <c r="V497" i="4" s="1"/>
  <c r="U481" i="4"/>
  <c r="V481" i="4" s="1"/>
  <c r="U465" i="4"/>
  <c r="V465" i="4" s="1"/>
  <c r="U449" i="4"/>
  <c r="V449" i="4" s="1"/>
  <c r="U433" i="4"/>
  <c r="V433" i="4" s="1"/>
  <c r="U408" i="4"/>
  <c r="V408" i="4" s="1"/>
  <c r="U376" i="4"/>
  <c r="V376" i="4" s="1"/>
  <c r="U344" i="4"/>
  <c r="V344" i="4" s="1"/>
  <c r="U397" i="4"/>
  <c r="V397" i="4" s="1"/>
  <c r="U365" i="4"/>
  <c r="V365" i="4" s="1"/>
  <c r="U333" i="4"/>
  <c r="V333" i="4" s="1"/>
  <c r="U301" i="4"/>
  <c r="V301" i="4" s="1"/>
  <c r="U269" i="4"/>
  <c r="V269" i="4" s="1"/>
  <c r="U237" i="4"/>
  <c r="V237" i="4" s="1"/>
  <c r="U205" i="4"/>
  <c r="V205" i="4" s="1"/>
  <c r="U173" i="4"/>
  <c r="V173" i="4" s="1"/>
  <c r="U560" i="4"/>
  <c r="V560" i="4" s="1"/>
  <c r="U544" i="4"/>
  <c r="V544" i="4" s="1"/>
  <c r="U528" i="4"/>
  <c r="V528" i="4" s="1"/>
  <c r="U512" i="4"/>
  <c r="V512" i="4" s="1"/>
  <c r="U496" i="4"/>
  <c r="V496" i="4" s="1"/>
  <c r="U480" i="4"/>
  <c r="V480" i="4" s="1"/>
  <c r="U464" i="4"/>
  <c r="V464" i="4" s="1"/>
  <c r="U448" i="4"/>
  <c r="V448" i="4" s="1"/>
  <c r="U432" i="4"/>
  <c r="V432" i="4" s="1"/>
  <c r="U418" i="4"/>
  <c r="V418" i="4" s="1"/>
  <c r="U386" i="4"/>
  <c r="V386" i="4" s="1"/>
  <c r="U407" i="4"/>
  <c r="V407" i="4" s="1"/>
  <c r="U375" i="4"/>
  <c r="V375" i="4" s="1"/>
  <c r="U559" i="4"/>
  <c r="V559" i="4" s="1"/>
  <c r="U543" i="4"/>
  <c r="V543" i="4" s="1"/>
  <c r="U527" i="4"/>
  <c r="V527" i="4" s="1"/>
  <c r="U511" i="4"/>
  <c r="V511" i="4" s="1"/>
  <c r="U495" i="4"/>
  <c r="V495" i="4" s="1"/>
  <c r="U479" i="4"/>
  <c r="V479" i="4" s="1"/>
  <c r="U463" i="4"/>
  <c r="V463" i="4" s="1"/>
  <c r="U447" i="4"/>
  <c r="V447" i="4" s="1"/>
  <c r="U431" i="4"/>
  <c r="V431" i="4" s="1"/>
  <c r="U396" i="4"/>
  <c r="V396" i="4" s="1"/>
  <c r="U364" i="4"/>
  <c r="V364" i="4" s="1"/>
  <c r="U332" i="4"/>
  <c r="V332" i="4" s="1"/>
  <c r="U300" i="4"/>
  <c r="V300" i="4" s="1"/>
  <c r="U268" i="4"/>
  <c r="V268" i="4" s="1"/>
  <c r="U417" i="4"/>
  <c r="V417" i="4" s="1"/>
  <c r="U385" i="4"/>
  <c r="V385" i="4" s="1"/>
  <c r="U353" i="4"/>
  <c r="V353" i="4" s="1"/>
  <c r="U321" i="4"/>
  <c r="V321" i="4" s="1"/>
  <c r="U289" i="4"/>
  <c r="V289" i="4" s="1"/>
  <c r="U257" i="4"/>
  <c r="V257" i="4" s="1"/>
  <c r="U225" i="4"/>
  <c r="V225" i="4" s="1"/>
  <c r="U193" i="4"/>
  <c r="V193" i="4" s="1"/>
  <c r="U152" i="4"/>
  <c r="V152" i="4" s="1"/>
  <c r="U136" i="4"/>
  <c r="V136" i="4" s="1"/>
  <c r="U120" i="4"/>
  <c r="V120" i="4" s="1"/>
  <c r="U558" i="4"/>
  <c r="V558" i="4" s="1"/>
  <c r="U542" i="4"/>
  <c r="V542" i="4" s="1"/>
  <c r="U526" i="4"/>
  <c r="V526" i="4" s="1"/>
  <c r="U510" i="4"/>
  <c r="V510" i="4" s="1"/>
  <c r="U494" i="4"/>
  <c r="V494" i="4" s="1"/>
  <c r="U478" i="4"/>
  <c r="V478" i="4" s="1"/>
  <c r="U462" i="4"/>
  <c r="V462" i="4" s="1"/>
  <c r="U446" i="4"/>
  <c r="V446" i="4" s="1"/>
  <c r="U430" i="4"/>
  <c r="V430" i="4" s="1"/>
  <c r="U406" i="4"/>
  <c r="V406" i="4" s="1"/>
  <c r="U374" i="4"/>
  <c r="V374" i="4" s="1"/>
  <c r="U393" i="4"/>
  <c r="V393" i="4" s="1"/>
  <c r="U334" i="4"/>
  <c r="V334" i="4" s="1"/>
  <c r="U270" i="4"/>
  <c r="V270" i="4" s="1"/>
  <c r="U191" i="4"/>
  <c r="V191" i="4" s="1"/>
  <c r="U171" i="4"/>
  <c r="V171" i="4" s="1"/>
  <c r="U164" i="4"/>
  <c r="V164" i="4" s="1"/>
  <c r="U557" i="4"/>
  <c r="V557" i="4" s="1"/>
  <c r="U493" i="4"/>
  <c r="V493" i="4" s="1"/>
  <c r="U429" i="4"/>
  <c r="V429" i="4" s="1"/>
  <c r="U312" i="4"/>
  <c r="V312" i="4" s="1"/>
  <c r="U108" i="4"/>
  <c r="V108" i="4" s="1"/>
  <c r="U87" i="4"/>
  <c r="V87" i="4" s="1"/>
  <c r="U70" i="4"/>
  <c r="V70" i="4" s="1"/>
  <c r="U58" i="4"/>
  <c r="V58" i="4" s="1"/>
  <c r="U290" i="4"/>
  <c r="V290" i="4" s="1"/>
  <c r="U248" i="4"/>
  <c r="V248" i="4" s="1"/>
  <c r="U228" i="4"/>
  <c r="V228" i="4" s="1"/>
  <c r="U210" i="4"/>
  <c r="V210" i="4" s="1"/>
  <c r="U556" i="4"/>
  <c r="V556" i="4" s="1"/>
  <c r="U492" i="4"/>
  <c r="V492" i="4" s="1"/>
  <c r="U428" i="4"/>
  <c r="V428" i="4" s="1"/>
  <c r="U356" i="4"/>
  <c r="V356" i="4" s="1"/>
  <c r="U311" i="4"/>
  <c r="V311" i="4" s="1"/>
  <c r="U190" i="4"/>
  <c r="V190" i="4" s="1"/>
  <c r="U170" i="4"/>
  <c r="V170" i="4" s="1"/>
  <c r="U92" i="4"/>
  <c r="V92" i="4" s="1"/>
  <c r="U82" i="4"/>
  <c r="V82" i="4" s="1"/>
  <c r="U65" i="4"/>
  <c r="V65" i="4" s="1"/>
  <c r="U310" i="4"/>
  <c r="V310" i="4" s="1"/>
  <c r="U247" i="4"/>
  <c r="V247" i="4" s="1"/>
  <c r="U129" i="4"/>
  <c r="V129" i="4" s="1"/>
  <c r="U97" i="4"/>
  <c r="V97" i="4" s="1"/>
  <c r="U555" i="4"/>
  <c r="V555" i="4" s="1"/>
  <c r="U491" i="4"/>
  <c r="V491" i="4" s="1"/>
  <c r="U383" i="4"/>
  <c r="V383" i="4" s="1"/>
  <c r="U330" i="4"/>
  <c r="V330" i="4" s="1"/>
  <c r="U266" i="4"/>
  <c r="V266" i="4" s="1"/>
  <c r="U184" i="4"/>
  <c r="V184" i="4" s="1"/>
  <c r="U113" i="4"/>
  <c r="V113" i="4" s="1"/>
  <c r="U94" i="4"/>
  <c r="V94" i="4" s="1"/>
  <c r="U541" i="4"/>
  <c r="V541" i="4" s="1"/>
  <c r="U477" i="4"/>
  <c r="V477" i="4" s="1"/>
  <c r="U416" i="4"/>
  <c r="V416" i="4" s="1"/>
  <c r="U287" i="4"/>
  <c r="V287" i="4" s="1"/>
  <c r="U245" i="4"/>
  <c r="V245" i="4" s="1"/>
  <c r="U204" i="4"/>
  <c r="V204" i="4" s="1"/>
  <c r="U125" i="4"/>
  <c r="V125" i="4" s="1"/>
  <c r="U122" i="4"/>
  <c r="V122" i="4" s="1"/>
  <c r="U110" i="4"/>
  <c r="V110" i="4" s="1"/>
  <c r="U351" i="4"/>
  <c r="V351" i="4" s="1"/>
  <c r="U308" i="4"/>
  <c r="V308" i="4" s="1"/>
  <c r="U224" i="4"/>
  <c r="V224" i="4" s="1"/>
  <c r="U183" i="4"/>
  <c r="V183" i="4" s="1"/>
  <c r="U156" i="4"/>
  <c r="V156" i="4" s="1"/>
  <c r="U107" i="4"/>
  <c r="V107" i="4" s="1"/>
  <c r="U62" i="4"/>
  <c r="V62" i="4" s="1"/>
  <c r="U540" i="4"/>
  <c r="V540" i="4" s="1"/>
  <c r="U476" i="4"/>
  <c r="V476" i="4" s="1"/>
  <c r="U382" i="4"/>
  <c r="V382" i="4" s="1"/>
  <c r="U329" i="4"/>
  <c r="V329" i="4" s="1"/>
  <c r="U265" i="4"/>
  <c r="V265" i="4" s="1"/>
  <c r="U203" i="4"/>
  <c r="V203" i="4" s="1"/>
  <c r="U415" i="4"/>
  <c r="V415" i="4" s="1"/>
  <c r="U286" i="4"/>
  <c r="V286" i="4" s="1"/>
  <c r="U244" i="4"/>
  <c r="V244" i="4" s="1"/>
  <c r="U182" i="4"/>
  <c r="V182" i="4" s="1"/>
  <c r="U163" i="4"/>
  <c r="V163" i="4" s="1"/>
  <c r="U99" i="4"/>
  <c r="V99" i="4" s="1"/>
  <c r="U539" i="4"/>
  <c r="V539" i="4" s="1"/>
  <c r="U475" i="4"/>
  <c r="V475" i="4" s="1"/>
  <c r="U380" i="4"/>
  <c r="V380" i="4" s="1"/>
  <c r="U350" i="4"/>
  <c r="V350" i="4" s="1"/>
  <c r="U306" i="4"/>
  <c r="V306" i="4" s="1"/>
  <c r="U223" i="4"/>
  <c r="V223" i="4" s="1"/>
  <c r="U159" i="4"/>
  <c r="V159" i="4" s="1"/>
  <c r="U145" i="4"/>
  <c r="V145" i="4" s="1"/>
  <c r="U284" i="4"/>
  <c r="V284" i="4" s="1"/>
  <c r="U202" i="4"/>
  <c r="V202" i="4" s="1"/>
  <c r="U138" i="4"/>
  <c r="V138" i="4" s="1"/>
  <c r="U91" i="4"/>
  <c r="V91" i="4" s="1"/>
  <c r="U538" i="4"/>
  <c r="V538" i="4" s="1"/>
  <c r="U474" i="4"/>
  <c r="V474" i="4" s="1"/>
  <c r="U414" i="4"/>
  <c r="V414" i="4" s="1"/>
  <c r="U348" i="4"/>
  <c r="V348" i="4" s="1"/>
  <c r="U324" i="4"/>
  <c r="V324" i="4" s="1"/>
  <c r="U260" i="4"/>
  <c r="V260" i="4" s="1"/>
  <c r="U242" i="4"/>
  <c r="V242" i="4" s="1"/>
  <c r="U181" i="4"/>
  <c r="V181" i="4" s="1"/>
  <c r="U166" i="4"/>
  <c r="V166" i="4" s="1"/>
  <c r="U412" i="4"/>
  <c r="V412" i="4" s="1"/>
  <c r="U373" i="4"/>
  <c r="V373" i="4" s="1"/>
  <c r="U302" i="4"/>
  <c r="V302" i="4" s="1"/>
  <c r="U222" i="4"/>
  <c r="V222" i="4" s="1"/>
  <c r="U525" i="4"/>
  <c r="V525" i="4" s="1"/>
  <c r="U461" i="4"/>
  <c r="V461" i="4" s="1"/>
  <c r="U280" i="4"/>
  <c r="V280" i="4" s="1"/>
  <c r="U201" i="4"/>
  <c r="V201" i="4" s="1"/>
  <c r="U322" i="4"/>
  <c r="V322" i="4" s="1"/>
  <c r="U258" i="4"/>
  <c r="V258" i="4" s="1"/>
  <c r="U238" i="4"/>
  <c r="V238" i="4" s="1"/>
  <c r="U220" i="4"/>
  <c r="V220" i="4" s="1"/>
  <c r="U180" i="4"/>
  <c r="V180" i="4" s="1"/>
  <c r="U554" i="4"/>
  <c r="V554" i="4" s="1"/>
  <c r="U341" i="4"/>
  <c r="V341" i="4" s="1"/>
  <c r="U298" i="4"/>
  <c r="V298" i="4" s="1"/>
  <c r="U340" i="4"/>
  <c r="V340" i="4" s="1"/>
  <c r="U96" i="4"/>
  <c r="V96" i="4" s="1"/>
  <c r="U213" i="4"/>
  <c r="V213" i="4" s="1"/>
  <c r="U72" i="4"/>
  <c r="V72" i="4" s="1"/>
  <c r="U524" i="4"/>
  <c r="V524" i="4" s="1"/>
  <c r="U404" i="4"/>
  <c r="V404" i="4" s="1"/>
  <c r="U214" i="4"/>
  <c r="V214" i="4" s="1"/>
  <c r="U79" i="4"/>
  <c r="V79" i="4" s="1"/>
  <c r="U297" i="4"/>
  <c r="V297" i="4" s="1"/>
  <c r="U89" i="4"/>
  <c r="V89" i="4" s="1"/>
  <c r="U59" i="4"/>
  <c r="V59" i="4" s="1"/>
  <c r="U174" i="4"/>
  <c r="V174" i="4" s="1"/>
  <c r="U255" i="4"/>
  <c r="V255" i="4" s="1"/>
  <c r="U523" i="4"/>
  <c r="V523" i="4" s="1"/>
  <c r="U100" i="4"/>
  <c r="V100" i="4" s="1"/>
  <c r="U395" i="4"/>
  <c r="V395" i="4" s="1"/>
  <c r="U254" i="4"/>
  <c r="V254" i="4" s="1"/>
  <c r="U522" i="4"/>
  <c r="V522" i="4" s="1"/>
  <c r="U338" i="4"/>
  <c r="V338" i="4" s="1"/>
  <c r="U61" i="4"/>
  <c r="V61" i="4" s="1"/>
  <c r="U509" i="4"/>
  <c r="V509" i="4" s="1"/>
  <c r="U292" i="4"/>
  <c r="V292" i="4" s="1"/>
  <c r="U252" i="4"/>
  <c r="V252" i="4" s="1"/>
  <c r="U212" i="4"/>
  <c r="V212" i="4" s="1"/>
  <c r="U140" i="4"/>
  <c r="V140" i="4" s="1"/>
  <c r="U134" i="4"/>
  <c r="V134" i="4" s="1"/>
  <c r="U115" i="4"/>
  <c r="V115" i="4" s="1"/>
  <c r="U111" i="4"/>
  <c r="V111" i="4" s="1"/>
  <c r="U394" i="4"/>
  <c r="V394" i="4" s="1"/>
  <c r="U206" i="4"/>
  <c r="V206" i="4" s="1"/>
  <c r="U172" i="4"/>
  <c r="V172" i="4" s="1"/>
  <c r="U288" i="4"/>
  <c r="V288" i="4" s="1"/>
  <c r="U150" i="4"/>
  <c r="V150" i="4" s="1"/>
  <c r="U124" i="4"/>
  <c r="V124" i="4" s="1"/>
  <c r="U103" i="4"/>
  <c r="V103" i="4" s="1"/>
  <c r="U508" i="4"/>
  <c r="V508" i="4" s="1"/>
  <c r="U331" i="4"/>
  <c r="V331" i="4" s="1"/>
  <c r="U246" i="4"/>
  <c r="V246" i="4" s="1"/>
  <c r="U75" i="4"/>
  <c r="V75" i="4" s="1"/>
  <c r="U507" i="4"/>
  <c r="V507" i="4" s="1"/>
  <c r="U384" i="4"/>
  <c r="V384" i="4" s="1"/>
  <c r="U279" i="4"/>
  <c r="V279" i="4" s="1"/>
  <c r="U169" i="4"/>
  <c r="V169" i="4" s="1"/>
  <c r="U161" i="4"/>
  <c r="V161" i="4" s="1"/>
  <c r="U78" i="4"/>
  <c r="V78" i="4" s="1"/>
  <c r="U68" i="4"/>
  <c r="V68" i="4" s="1"/>
  <c r="U278" i="4"/>
  <c r="V278" i="4" s="1"/>
  <c r="U71" i="4"/>
  <c r="V71" i="4" s="1"/>
  <c r="U506" i="4"/>
  <c r="V506" i="4" s="1"/>
  <c r="U372" i="4"/>
  <c r="V372" i="4" s="1"/>
  <c r="U196" i="4"/>
  <c r="V196" i="4" s="1"/>
  <c r="U88" i="4"/>
  <c r="V88" i="4" s="1"/>
  <c r="U81" i="4"/>
  <c r="V81" i="4" s="1"/>
  <c r="U64" i="4"/>
  <c r="V64" i="4" s="1"/>
  <c r="U106" i="4"/>
  <c r="V106" i="4" s="1"/>
  <c r="U490" i="4"/>
  <c r="V490" i="4" s="1"/>
  <c r="U320" i="4"/>
  <c r="V320" i="4" s="1"/>
  <c r="U236" i="4"/>
  <c r="V236" i="4" s="1"/>
  <c r="U118" i="4"/>
  <c r="V118" i="4" s="1"/>
  <c r="U95" i="4"/>
  <c r="V95" i="4" s="1"/>
  <c r="U460" i="4"/>
  <c r="V460" i="4" s="1"/>
  <c r="U277" i="4"/>
  <c r="V277" i="4" s="1"/>
  <c r="U148" i="4"/>
  <c r="V148" i="4" s="1"/>
  <c r="U102" i="4"/>
  <c r="V102" i="4" s="1"/>
  <c r="U370" i="4"/>
  <c r="V370" i="4" s="1"/>
  <c r="U235" i="4"/>
  <c r="V235" i="4" s="1"/>
  <c r="U194" i="4"/>
  <c r="V194" i="4" s="1"/>
  <c r="U459" i="4"/>
  <c r="V459" i="4" s="1"/>
  <c r="U319" i="4"/>
  <c r="V319" i="4" s="1"/>
  <c r="U84" i="4"/>
  <c r="V84" i="4" s="1"/>
  <c r="U366" i="4"/>
  <c r="V366" i="4" s="1"/>
  <c r="U276" i="4"/>
  <c r="V276" i="4" s="1"/>
  <c r="U154" i="4"/>
  <c r="V154" i="4" s="1"/>
  <c r="U98" i="4"/>
  <c r="V98" i="4" s="1"/>
  <c r="U458" i="4"/>
  <c r="V458" i="4" s="1"/>
  <c r="U363" i="4"/>
  <c r="V363" i="4" s="1"/>
  <c r="U234" i="4"/>
  <c r="V234" i="4" s="1"/>
  <c r="U109" i="4"/>
  <c r="V109" i="4" s="1"/>
  <c r="U67" i="4"/>
  <c r="V67" i="4" s="1"/>
  <c r="U318" i="4"/>
  <c r="V318" i="4" s="1"/>
  <c r="U143" i="4"/>
  <c r="V143" i="4" s="1"/>
  <c r="U132" i="4"/>
  <c r="V132" i="4" s="1"/>
  <c r="U77" i="4"/>
  <c r="V77" i="4" s="1"/>
  <c r="U445" i="4"/>
  <c r="V445" i="4" s="1"/>
  <c r="U274" i="4"/>
  <c r="V274" i="4" s="1"/>
  <c r="U192" i="4"/>
  <c r="V192" i="4" s="1"/>
  <c r="U127" i="4"/>
  <c r="V127" i="4" s="1"/>
  <c r="U362" i="4"/>
  <c r="V362" i="4" s="1"/>
  <c r="U316" i="4"/>
  <c r="V316" i="4" s="1"/>
  <c r="U444" i="4"/>
  <c r="V444" i="4" s="1"/>
  <c r="U83" i="4"/>
  <c r="V83" i="4" s="1"/>
  <c r="U93" i="4"/>
  <c r="V93" i="4" s="1"/>
  <c r="U443" i="4"/>
  <c r="V443" i="4" s="1"/>
  <c r="U74" i="4"/>
  <c r="V74" i="4" s="1"/>
  <c r="U73" i="4"/>
  <c r="V73" i="4" s="1"/>
  <c r="U178" i="4"/>
  <c r="V178" i="4" s="1"/>
  <c r="U66" i="4"/>
  <c r="V66" i="4" s="1"/>
  <c r="U442" i="4"/>
  <c r="V442" i="4" s="1"/>
  <c r="U256" i="4"/>
  <c r="V256" i="4" s="1"/>
  <c r="U427" i="4"/>
  <c r="V427" i="4" s="1"/>
  <c r="U233" i="4"/>
  <c r="V233" i="4" s="1"/>
  <c r="U141" i="4"/>
  <c r="V141" i="4" s="1"/>
  <c r="U86" i="4"/>
  <c r="V86" i="4" s="1"/>
  <c r="U104" i="4"/>
  <c r="V104" i="4" s="1"/>
  <c r="U426" i="4"/>
  <c r="V426" i="4" s="1"/>
  <c r="U56" i="4"/>
  <c r="V56" i="4" s="1"/>
  <c r="U405" i="4"/>
  <c r="V405" i="4" s="1"/>
  <c r="U226" i="4"/>
  <c r="V226" i="4" s="1"/>
  <c r="U116" i="4"/>
  <c r="V116" i="4" s="1"/>
  <c r="U63" i="4"/>
  <c r="V63" i="4" s="1"/>
  <c r="U147" i="4"/>
  <c r="V147" i="4" s="1"/>
  <c r="U80" i="4"/>
  <c r="V80" i="4" s="1"/>
  <c r="U361" i="4"/>
  <c r="V361" i="4" s="1"/>
  <c r="U90" i="4"/>
  <c r="V90" i="4" s="1"/>
  <c r="U267" i="4"/>
  <c r="V267" i="4" s="1"/>
  <c r="U354" i="4"/>
  <c r="V354" i="4" s="1"/>
  <c r="U216" i="4"/>
  <c r="V216" i="4" s="1"/>
  <c r="U352" i="4"/>
  <c r="V352" i="4" s="1"/>
  <c r="U343" i="4"/>
  <c r="V343" i="4" s="1"/>
  <c r="U215" i="4"/>
  <c r="V215" i="4" s="1"/>
  <c r="U342" i="4"/>
  <c r="V342" i="4" s="1"/>
  <c r="U60" i="4"/>
  <c r="V60" i="4" s="1"/>
  <c r="U131" i="4"/>
  <c r="V131" i="4" s="1"/>
  <c r="U188" i="4"/>
  <c r="V188" i="4" s="1"/>
  <c r="U299" i="4"/>
  <c r="V299" i="4" s="1"/>
  <c r="U57" i="4"/>
  <c r="V57" i="4" s="1"/>
  <c r="U309" i="4"/>
  <c r="V309" i="4" s="1"/>
  <c r="U76" i="4"/>
  <c r="V76" i="4" s="1"/>
  <c r="AD413" i="4"/>
  <c r="AD381" i="4"/>
  <c r="AD349" i="4"/>
  <c r="AD317" i="4"/>
  <c r="AD402" i="4"/>
  <c r="AD370" i="4"/>
  <c r="AD338" i="4"/>
  <c r="AD306" i="4"/>
  <c r="AD391" i="4"/>
  <c r="AD359" i="4"/>
  <c r="AD327" i="4"/>
  <c r="AD295" i="4"/>
  <c r="AD412" i="4"/>
  <c r="AD401" i="4"/>
  <c r="AD369" i="4"/>
  <c r="AD337" i="4"/>
  <c r="AD305" i="4"/>
  <c r="AD411" i="4"/>
  <c r="AD379" i="4"/>
  <c r="AD347" i="4"/>
  <c r="AD315" i="4"/>
  <c r="AD400" i="4"/>
  <c r="AD368" i="4"/>
  <c r="AD336" i="4"/>
  <c r="AD304" i="4"/>
  <c r="AD421" i="4"/>
  <c r="AD389" i="4"/>
  <c r="AD357" i="4"/>
  <c r="AD325" i="4"/>
  <c r="AD410" i="4"/>
  <c r="AD378" i="4"/>
  <c r="AD346" i="4"/>
  <c r="AD314" i="4"/>
  <c r="AD399" i="4"/>
  <c r="AD367" i="4"/>
  <c r="AD335" i="4"/>
  <c r="AD303" i="4"/>
  <c r="AD420" i="4"/>
  <c r="AD388" i="4"/>
  <c r="AD356" i="4"/>
  <c r="AD324" i="4"/>
  <c r="AD409" i="4"/>
  <c r="AD377" i="4"/>
  <c r="AD345" i="4"/>
  <c r="AD313" i="4"/>
  <c r="AD398" i="4"/>
  <c r="AD366" i="4"/>
  <c r="AD419" i="4"/>
  <c r="AD387" i="4"/>
  <c r="AD355" i="4"/>
  <c r="AD323" i="4"/>
  <c r="AD408" i="4"/>
  <c r="AD376" i="4"/>
  <c r="AD397" i="4"/>
  <c r="AD365" i="4"/>
  <c r="AD333" i="4"/>
  <c r="AD301" i="4"/>
  <c r="AD418" i="4"/>
  <c r="AD386" i="4"/>
  <c r="AD354" i="4"/>
  <c r="AD407" i="4"/>
  <c r="AD375" i="4"/>
  <c r="AD343" i="4"/>
  <c r="AD311" i="4"/>
  <c r="AD396" i="4"/>
  <c r="AD364" i="4"/>
  <c r="AD417" i="4"/>
  <c r="AD385" i="4"/>
  <c r="AD353" i="4"/>
  <c r="AD406" i="4"/>
  <c r="AD374" i="4"/>
  <c r="AD342" i="4"/>
  <c r="AD310" i="4"/>
  <c r="AD395" i="4"/>
  <c r="AD363" i="4"/>
  <c r="AD331" i="4"/>
  <c r="AD299" i="4"/>
  <c r="AD416" i="4"/>
  <c r="AD384" i="4"/>
  <c r="AD352" i="4"/>
  <c r="AD360" i="4"/>
  <c r="AD312" i="4"/>
  <c r="AD392" i="4"/>
  <c r="AD358" i="4"/>
  <c r="AD332" i="4"/>
  <c r="AD390" i="4"/>
  <c r="AD383" i="4"/>
  <c r="AD330" i="4"/>
  <c r="AD351" i="4"/>
  <c r="AD308" i="4"/>
  <c r="AD382" i="4"/>
  <c r="AD329" i="4"/>
  <c r="AD415" i="4"/>
  <c r="AD350" i="4"/>
  <c r="AD307" i="4"/>
  <c r="AD380" i="4"/>
  <c r="AD328" i="4"/>
  <c r="AD414" i="4"/>
  <c r="AD373" i="4"/>
  <c r="AD348" i="4"/>
  <c r="AD326" i="4"/>
  <c r="AD302" i="4"/>
  <c r="AD405" i="4"/>
  <c r="AD372" i="4"/>
  <c r="AD344" i="4"/>
  <c r="AD322" i="4"/>
  <c r="AD300" i="4"/>
  <c r="AD340" i="4"/>
  <c r="AD297" i="4"/>
  <c r="AD403" i="4"/>
  <c r="AD296" i="4"/>
  <c r="AD339" i="4"/>
  <c r="AD394" i="4"/>
  <c r="AD294" i="4"/>
  <c r="AD334" i="4"/>
  <c r="AD393" i="4"/>
  <c r="AD321" i="4"/>
  <c r="AD320" i="4"/>
  <c r="AD371" i="4"/>
  <c r="AD319" i="4"/>
  <c r="AD318" i="4"/>
  <c r="AD362" i="4"/>
  <c r="AD316" i="4"/>
  <c r="AD404" i="4"/>
  <c r="AD361" i="4"/>
  <c r="AD341" i="4"/>
  <c r="AD309" i="4"/>
  <c r="AD298" i="4"/>
  <c r="AD132" i="3"/>
  <c r="AD245" i="3"/>
  <c r="AD281" i="3"/>
  <c r="AD15" i="3"/>
  <c r="AD50" i="3"/>
  <c r="AD63" i="3"/>
  <c r="AD202" i="3"/>
  <c r="AD262" i="3"/>
  <c r="AD267" i="3"/>
  <c r="AD156" i="3"/>
  <c r="AD174" i="3"/>
  <c r="AD196" i="3"/>
  <c r="AD23" i="3"/>
  <c r="AD176" i="3"/>
  <c r="AD67" i="3"/>
  <c r="AD42" i="3"/>
  <c r="AD80" i="3"/>
  <c r="AD268" i="3"/>
  <c r="AD170" i="3"/>
  <c r="AD216" i="3"/>
  <c r="AD228" i="3"/>
  <c r="AD193" i="3"/>
  <c r="U403" i="3"/>
  <c r="V403" i="3" s="1"/>
  <c r="U371" i="3"/>
  <c r="V371" i="3" s="1"/>
  <c r="U339" i="3"/>
  <c r="V339" i="3" s="1"/>
  <c r="U307" i="3"/>
  <c r="V307" i="3" s="1"/>
  <c r="U275" i="3"/>
  <c r="V275" i="3" s="1"/>
  <c r="U243" i="3"/>
  <c r="V243" i="3" s="1"/>
  <c r="U211" i="3"/>
  <c r="V211" i="3" s="1"/>
  <c r="U179" i="3"/>
  <c r="V179" i="3" s="1"/>
  <c r="U165" i="3"/>
  <c r="V165" i="3" s="1"/>
  <c r="U149" i="3"/>
  <c r="V149" i="3" s="1"/>
  <c r="U569" i="3"/>
  <c r="V569" i="3" s="1"/>
  <c r="U553" i="3"/>
  <c r="V553" i="3" s="1"/>
  <c r="U537" i="3"/>
  <c r="V537" i="3" s="1"/>
  <c r="U521" i="3"/>
  <c r="V521" i="3" s="1"/>
  <c r="U505" i="3"/>
  <c r="V505" i="3" s="1"/>
  <c r="U489" i="3"/>
  <c r="V489" i="3" s="1"/>
  <c r="U473" i="3"/>
  <c r="V473" i="3" s="1"/>
  <c r="U457" i="3"/>
  <c r="V457" i="3" s="1"/>
  <c r="U441" i="3"/>
  <c r="V441" i="3" s="1"/>
  <c r="U425" i="3"/>
  <c r="V425" i="3" s="1"/>
  <c r="U413" i="3"/>
  <c r="V413" i="3" s="1"/>
  <c r="U381" i="3"/>
  <c r="V381" i="3" s="1"/>
  <c r="U349" i="3"/>
  <c r="V349" i="3" s="1"/>
  <c r="U317" i="3"/>
  <c r="V317" i="3" s="1"/>
  <c r="U285" i="3"/>
  <c r="V285" i="3" s="1"/>
  <c r="U253" i="3"/>
  <c r="V253" i="3" s="1"/>
  <c r="U221" i="3"/>
  <c r="V221" i="3" s="1"/>
  <c r="U189" i="3"/>
  <c r="V189" i="3" s="1"/>
  <c r="U568" i="3"/>
  <c r="V568" i="3" s="1"/>
  <c r="U552" i="3"/>
  <c r="V552" i="3" s="1"/>
  <c r="U536" i="3"/>
  <c r="V536" i="3" s="1"/>
  <c r="U520" i="3"/>
  <c r="V520" i="3" s="1"/>
  <c r="U504" i="3"/>
  <c r="V504" i="3" s="1"/>
  <c r="U488" i="3"/>
  <c r="V488" i="3" s="1"/>
  <c r="U472" i="3"/>
  <c r="V472" i="3" s="1"/>
  <c r="U456" i="3"/>
  <c r="V456" i="3" s="1"/>
  <c r="U440" i="3"/>
  <c r="V440" i="3" s="1"/>
  <c r="U424" i="3"/>
  <c r="V424" i="3" s="1"/>
  <c r="U391" i="3"/>
  <c r="V391" i="3" s="1"/>
  <c r="U359" i="3"/>
  <c r="V359" i="3" s="1"/>
  <c r="U567" i="3"/>
  <c r="V567" i="3" s="1"/>
  <c r="U551" i="3"/>
  <c r="V551" i="3" s="1"/>
  <c r="U535" i="3"/>
  <c r="V535" i="3" s="1"/>
  <c r="U519" i="3"/>
  <c r="V519" i="3" s="1"/>
  <c r="U503" i="3"/>
  <c r="V503" i="3" s="1"/>
  <c r="U487" i="3"/>
  <c r="V487" i="3" s="1"/>
  <c r="U471" i="3"/>
  <c r="V471" i="3" s="1"/>
  <c r="U455" i="3"/>
  <c r="V455" i="3" s="1"/>
  <c r="U439" i="3"/>
  <c r="V439" i="3" s="1"/>
  <c r="U423" i="3"/>
  <c r="V423" i="3" s="1"/>
  <c r="U401" i="3"/>
  <c r="V401" i="3" s="1"/>
  <c r="U369" i="3"/>
  <c r="V369" i="3" s="1"/>
  <c r="U337" i="3"/>
  <c r="V337" i="3" s="1"/>
  <c r="U305" i="3"/>
  <c r="V305" i="3" s="1"/>
  <c r="U273" i="3"/>
  <c r="V273" i="3" s="1"/>
  <c r="U566" i="3"/>
  <c r="V566" i="3" s="1"/>
  <c r="U550" i="3"/>
  <c r="V550" i="3" s="1"/>
  <c r="U534" i="3"/>
  <c r="V534" i="3" s="1"/>
  <c r="U518" i="3"/>
  <c r="V518" i="3" s="1"/>
  <c r="U502" i="3"/>
  <c r="V502" i="3" s="1"/>
  <c r="U486" i="3"/>
  <c r="V486" i="3" s="1"/>
  <c r="U470" i="3"/>
  <c r="V470" i="3" s="1"/>
  <c r="U454" i="3"/>
  <c r="V454" i="3" s="1"/>
  <c r="U438" i="3"/>
  <c r="V438" i="3" s="1"/>
  <c r="U422" i="3"/>
  <c r="V422" i="3" s="1"/>
  <c r="U411" i="3"/>
  <c r="V411" i="3" s="1"/>
  <c r="U379" i="3"/>
  <c r="V379" i="3" s="1"/>
  <c r="U347" i="3"/>
  <c r="V347" i="3" s="1"/>
  <c r="U315" i="3"/>
  <c r="V315" i="3" s="1"/>
  <c r="U283" i="3"/>
  <c r="V283" i="3" s="1"/>
  <c r="U251" i="3"/>
  <c r="V251" i="3" s="1"/>
  <c r="U219" i="3"/>
  <c r="V219" i="3" s="1"/>
  <c r="U187" i="3"/>
  <c r="V187" i="3" s="1"/>
  <c r="U153" i="3"/>
  <c r="V153" i="3" s="1"/>
  <c r="U137" i="3"/>
  <c r="V137" i="3" s="1"/>
  <c r="U121" i="3"/>
  <c r="V121" i="3" s="1"/>
  <c r="U565" i="3"/>
  <c r="V565" i="3" s="1"/>
  <c r="U549" i="3"/>
  <c r="V549" i="3" s="1"/>
  <c r="U533" i="3"/>
  <c r="V533" i="3" s="1"/>
  <c r="U517" i="3"/>
  <c r="V517" i="3" s="1"/>
  <c r="U501" i="3"/>
  <c r="V501" i="3" s="1"/>
  <c r="U485" i="3"/>
  <c r="V485" i="3" s="1"/>
  <c r="U469" i="3"/>
  <c r="V469" i="3" s="1"/>
  <c r="U453" i="3"/>
  <c r="V453" i="3" s="1"/>
  <c r="U437" i="3"/>
  <c r="V437" i="3" s="1"/>
  <c r="U421" i="3"/>
  <c r="V421" i="3" s="1"/>
  <c r="U389" i="3"/>
  <c r="V389" i="3" s="1"/>
  <c r="U357" i="3"/>
  <c r="V357" i="3" s="1"/>
  <c r="U325" i="3"/>
  <c r="V325" i="3" s="1"/>
  <c r="U293" i="3"/>
  <c r="V293" i="3" s="1"/>
  <c r="U261" i="3"/>
  <c r="V261" i="3" s="1"/>
  <c r="U229" i="3"/>
  <c r="V229" i="3" s="1"/>
  <c r="U197" i="3"/>
  <c r="V197" i="3" s="1"/>
  <c r="U162" i="3"/>
  <c r="V162" i="3" s="1"/>
  <c r="U146" i="3"/>
  <c r="V146" i="3" s="1"/>
  <c r="U130" i="3"/>
  <c r="V130" i="3" s="1"/>
  <c r="U114" i="3"/>
  <c r="V114" i="3" s="1"/>
  <c r="U98" i="3"/>
  <c r="V98" i="3" s="1"/>
  <c r="U82" i="3"/>
  <c r="V82" i="3" s="1"/>
  <c r="U564" i="3"/>
  <c r="V564" i="3" s="1"/>
  <c r="U548" i="3"/>
  <c r="V548" i="3" s="1"/>
  <c r="U532" i="3"/>
  <c r="V532" i="3" s="1"/>
  <c r="U516" i="3"/>
  <c r="V516" i="3" s="1"/>
  <c r="U500" i="3"/>
  <c r="V500" i="3" s="1"/>
  <c r="U484" i="3"/>
  <c r="V484" i="3" s="1"/>
  <c r="U468" i="3"/>
  <c r="V468" i="3" s="1"/>
  <c r="U452" i="3"/>
  <c r="V452" i="3" s="1"/>
  <c r="U436" i="3"/>
  <c r="V436" i="3" s="1"/>
  <c r="U410" i="3"/>
  <c r="V410" i="3" s="1"/>
  <c r="U378" i="3"/>
  <c r="V378" i="3" s="1"/>
  <c r="U346" i="3"/>
  <c r="V346" i="3" s="1"/>
  <c r="U314" i="3"/>
  <c r="V314" i="3" s="1"/>
  <c r="U282" i="3"/>
  <c r="V282" i="3" s="1"/>
  <c r="U250" i="3"/>
  <c r="V250" i="3" s="1"/>
  <c r="U218" i="3"/>
  <c r="V218" i="3" s="1"/>
  <c r="U186" i="3"/>
  <c r="V186" i="3" s="1"/>
  <c r="U399" i="3"/>
  <c r="V399" i="3" s="1"/>
  <c r="U367" i="3"/>
  <c r="V367" i="3" s="1"/>
  <c r="U335" i="3"/>
  <c r="V335" i="3" s="1"/>
  <c r="U303" i="3"/>
  <c r="V303" i="3" s="1"/>
  <c r="U271" i="3"/>
  <c r="V271" i="3" s="1"/>
  <c r="U239" i="3"/>
  <c r="V239" i="3" s="1"/>
  <c r="U207" i="3"/>
  <c r="V207" i="3" s="1"/>
  <c r="U175" i="3"/>
  <c r="V175" i="3" s="1"/>
  <c r="U155" i="3"/>
  <c r="V155" i="3" s="1"/>
  <c r="U563" i="3"/>
  <c r="V563" i="3" s="1"/>
  <c r="U547" i="3"/>
  <c r="V547" i="3" s="1"/>
  <c r="U531" i="3"/>
  <c r="V531" i="3" s="1"/>
  <c r="U515" i="3"/>
  <c r="V515" i="3" s="1"/>
  <c r="U499" i="3"/>
  <c r="V499" i="3" s="1"/>
  <c r="U483" i="3"/>
  <c r="V483" i="3" s="1"/>
  <c r="U467" i="3"/>
  <c r="V467" i="3" s="1"/>
  <c r="U451" i="3"/>
  <c r="V451" i="3" s="1"/>
  <c r="U435" i="3"/>
  <c r="V435" i="3" s="1"/>
  <c r="U409" i="3"/>
  <c r="V409" i="3" s="1"/>
  <c r="U377" i="3"/>
  <c r="V377" i="3" s="1"/>
  <c r="U345" i="3"/>
  <c r="V345" i="3" s="1"/>
  <c r="U313" i="3"/>
  <c r="V313" i="3" s="1"/>
  <c r="U281" i="3"/>
  <c r="V281" i="3" s="1"/>
  <c r="U249" i="3"/>
  <c r="V249" i="3" s="1"/>
  <c r="U217" i="3"/>
  <c r="V217" i="3" s="1"/>
  <c r="U185" i="3"/>
  <c r="V185" i="3" s="1"/>
  <c r="U164" i="3"/>
  <c r="V164" i="3" s="1"/>
  <c r="U562" i="3"/>
  <c r="V562" i="3" s="1"/>
  <c r="U546" i="3"/>
  <c r="V546" i="3" s="1"/>
  <c r="U530" i="3"/>
  <c r="V530" i="3" s="1"/>
  <c r="U514" i="3"/>
  <c r="V514" i="3" s="1"/>
  <c r="U498" i="3"/>
  <c r="V498" i="3" s="1"/>
  <c r="U482" i="3"/>
  <c r="V482" i="3" s="1"/>
  <c r="U466" i="3"/>
  <c r="V466" i="3" s="1"/>
  <c r="U450" i="3"/>
  <c r="V450" i="3" s="1"/>
  <c r="U434" i="3"/>
  <c r="V434" i="3" s="1"/>
  <c r="U398" i="3"/>
  <c r="V398" i="3" s="1"/>
  <c r="U419" i="3"/>
  <c r="V419" i="3" s="1"/>
  <c r="U387" i="3"/>
  <c r="V387" i="3" s="1"/>
  <c r="U355" i="3"/>
  <c r="V355" i="3" s="1"/>
  <c r="U323" i="3"/>
  <c r="V323" i="3" s="1"/>
  <c r="U291" i="3"/>
  <c r="V291" i="3" s="1"/>
  <c r="U259" i="3"/>
  <c r="V259" i="3" s="1"/>
  <c r="U227" i="3"/>
  <c r="V227" i="3" s="1"/>
  <c r="U561" i="3"/>
  <c r="V561" i="3" s="1"/>
  <c r="U545" i="3"/>
  <c r="V545" i="3" s="1"/>
  <c r="U529" i="3"/>
  <c r="V529" i="3" s="1"/>
  <c r="U513" i="3"/>
  <c r="V513" i="3" s="1"/>
  <c r="U497" i="3"/>
  <c r="V497" i="3" s="1"/>
  <c r="U481" i="3"/>
  <c r="V481" i="3" s="1"/>
  <c r="U465" i="3"/>
  <c r="V465" i="3" s="1"/>
  <c r="U449" i="3"/>
  <c r="V449" i="3" s="1"/>
  <c r="U433" i="3"/>
  <c r="V433" i="3" s="1"/>
  <c r="U397" i="3"/>
  <c r="V397" i="3" s="1"/>
  <c r="U365" i="3"/>
  <c r="V365" i="3" s="1"/>
  <c r="U333" i="3"/>
  <c r="V333" i="3" s="1"/>
  <c r="U301" i="3"/>
  <c r="V301" i="3" s="1"/>
  <c r="U269" i="3"/>
  <c r="V269" i="3" s="1"/>
  <c r="U237" i="3"/>
  <c r="V237" i="3" s="1"/>
  <c r="U205" i="3"/>
  <c r="V205" i="3" s="1"/>
  <c r="U173" i="3"/>
  <c r="V173" i="3" s="1"/>
  <c r="U166" i="3"/>
  <c r="V166" i="3" s="1"/>
  <c r="U150" i="3"/>
  <c r="V150" i="3" s="1"/>
  <c r="U134" i="3"/>
  <c r="V134" i="3" s="1"/>
  <c r="U560" i="3"/>
  <c r="V560" i="3" s="1"/>
  <c r="U544" i="3"/>
  <c r="V544" i="3" s="1"/>
  <c r="U528" i="3"/>
  <c r="V528" i="3" s="1"/>
  <c r="U512" i="3"/>
  <c r="V512" i="3" s="1"/>
  <c r="U496" i="3"/>
  <c r="V496" i="3" s="1"/>
  <c r="U480" i="3"/>
  <c r="V480" i="3" s="1"/>
  <c r="U464" i="3"/>
  <c r="V464" i="3" s="1"/>
  <c r="U448" i="3"/>
  <c r="V448" i="3" s="1"/>
  <c r="U407" i="3"/>
  <c r="V407" i="3" s="1"/>
  <c r="U375" i="3"/>
  <c r="V375" i="3" s="1"/>
  <c r="U343" i="3"/>
  <c r="V343" i="3" s="1"/>
  <c r="U311" i="3"/>
  <c r="V311" i="3" s="1"/>
  <c r="U279" i="3"/>
  <c r="V279" i="3" s="1"/>
  <c r="U247" i="3"/>
  <c r="V247" i="3" s="1"/>
  <c r="U559" i="3"/>
  <c r="V559" i="3" s="1"/>
  <c r="U543" i="3"/>
  <c r="V543" i="3" s="1"/>
  <c r="U527" i="3"/>
  <c r="V527" i="3" s="1"/>
  <c r="U511" i="3"/>
  <c r="V511" i="3" s="1"/>
  <c r="U495" i="3"/>
  <c r="V495" i="3" s="1"/>
  <c r="U479" i="3"/>
  <c r="V479" i="3" s="1"/>
  <c r="U463" i="3"/>
  <c r="V463" i="3" s="1"/>
  <c r="U447" i="3"/>
  <c r="V447" i="3" s="1"/>
  <c r="U431" i="3"/>
  <c r="V431" i="3" s="1"/>
  <c r="U396" i="3"/>
  <c r="V396" i="3" s="1"/>
  <c r="U364" i="3"/>
  <c r="V364" i="3" s="1"/>
  <c r="U417" i="3"/>
  <c r="V417" i="3" s="1"/>
  <c r="U385" i="3"/>
  <c r="V385" i="3" s="1"/>
  <c r="U558" i="3"/>
  <c r="V558" i="3" s="1"/>
  <c r="U542" i="3"/>
  <c r="V542" i="3" s="1"/>
  <c r="U526" i="3"/>
  <c r="V526" i="3" s="1"/>
  <c r="U510" i="3"/>
  <c r="V510" i="3" s="1"/>
  <c r="U494" i="3"/>
  <c r="V494" i="3" s="1"/>
  <c r="U395" i="3"/>
  <c r="V395" i="3" s="1"/>
  <c r="U555" i="3"/>
  <c r="V555" i="3" s="1"/>
  <c r="U539" i="3"/>
  <c r="V539" i="3" s="1"/>
  <c r="U523" i="3"/>
  <c r="V523" i="3" s="1"/>
  <c r="U507" i="3"/>
  <c r="V507" i="3" s="1"/>
  <c r="U491" i="3"/>
  <c r="V491" i="3" s="1"/>
  <c r="U475" i="3"/>
  <c r="V475" i="3" s="1"/>
  <c r="U459" i="3"/>
  <c r="V459" i="3" s="1"/>
  <c r="U393" i="3"/>
  <c r="V393" i="3" s="1"/>
  <c r="U361" i="3"/>
  <c r="V361" i="3" s="1"/>
  <c r="U329" i="3"/>
  <c r="V329" i="3" s="1"/>
  <c r="U297" i="3"/>
  <c r="V297" i="3" s="1"/>
  <c r="U265" i="3"/>
  <c r="V265" i="3" s="1"/>
  <c r="U554" i="3"/>
  <c r="V554" i="3" s="1"/>
  <c r="U538" i="3"/>
  <c r="V538" i="3" s="1"/>
  <c r="U557" i="3"/>
  <c r="V557" i="3" s="1"/>
  <c r="U460" i="3"/>
  <c r="V460" i="3" s="1"/>
  <c r="U388" i="3"/>
  <c r="V388" i="3" s="1"/>
  <c r="U368" i="3"/>
  <c r="V368" i="3" s="1"/>
  <c r="U350" i="3"/>
  <c r="V350" i="3" s="1"/>
  <c r="U331" i="3"/>
  <c r="V331" i="3" s="1"/>
  <c r="U233" i="3"/>
  <c r="V233" i="3" s="1"/>
  <c r="U190" i="3"/>
  <c r="V190" i="3" s="1"/>
  <c r="U176" i="3"/>
  <c r="V176" i="3" s="1"/>
  <c r="U163" i="3"/>
  <c r="V163" i="3" s="1"/>
  <c r="U157" i="3"/>
  <c r="V157" i="3" s="1"/>
  <c r="U118" i="3"/>
  <c r="V118" i="3" s="1"/>
  <c r="U101" i="3"/>
  <c r="V101" i="3" s="1"/>
  <c r="U79" i="3"/>
  <c r="V79" i="3" s="1"/>
  <c r="U60" i="3"/>
  <c r="V60" i="3" s="1"/>
  <c r="U263" i="3"/>
  <c r="V263" i="3" s="1"/>
  <c r="U203" i="3"/>
  <c r="V203" i="3" s="1"/>
  <c r="U556" i="3"/>
  <c r="V556" i="3" s="1"/>
  <c r="U458" i="3"/>
  <c r="V458" i="3" s="1"/>
  <c r="U386" i="3"/>
  <c r="V386" i="3" s="1"/>
  <c r="U366" i="3"/>
  <c r="V366" i="3" s="1"/>
  <c r="U446" i="3"/>
  <c r="V446" i="3" s="1"/>
  <c r="U408" i="3"/>
  <c r="V408" i="3" s="1"/>
  <c r="U348" i="3"/>
  <c r="V348" i="3" s="1"/>
  <c r="U330" i="3"/>
  <c r="V330" i="3" s="1"/>
  <c r="U312" i="3"/>
  <c r="V312" i="3" s="1"/>
  <c r="U296" i="3"/>
  <c r="V296" i="3" s="1"/>
  <c r="U278" i="3"/>
  <c r="V278" i="3" s="1"/>
  <c r="U216" i="3"/>
  <c r="V216" i="3" s="1"/>
  <c r="U154" i="3"/>
  <c r="V154" i="3" s="1"/>
  <c r="U541" i="3"/>
  <c r="V541" i="3" s="1"/>
  <c r="U445" i="3"/>
  <c r="V445" i="3" s="1"/>
  <c r="U262" i="3"/>
  <c r="V262" i="3" s="1"/>
  <c r="U231" i="3"/>
  <c r="V231" i="3" s="1"/>
  <c r="U202" i="3"/>
  <c r="V202" i="3" s="1"/>
  <c r="U188" i="3"/>
  <c r="V188" i="3" s="1"/>
  <c r="U138" i="3"/>
  <c r="V138" i="3" s="1"/>
  <c r="U108" i="3"/>
  <c r="V108" i="3" s="1"/>
  <c r="U86" i="3"/>
  <c r="V86" i="3" s="1"/>
  <c r="U406" i="3"/>
  <c r="V406" i="3" s="1"/>
  <c r="U384" i="3"/>
  <c r="V384" i="3" s="1"/>
  <c r="U540" i="3"/>
  <c r="V540" i="3" s="1"/>
  <c r="U444" i="3"/>
  <c r="V444" i="3" s="1"/>
  <c r="U405" i="3"/>
  <c r="V405" i="3" s="1"/>
  <c r="U363" i="3"/>
  <c r="V363" i="3" s="1"/>
  <c r="U525" i="3"/>
  <c r="V525" i="3" s="1"/>
  <c r="U443" i="3"/>
  <c r="V443" i="3" s="1"/>
  <c r="U383" i="3"/>
  <c r="V383" i="3" s="1"/>
  <c r="U344" i="3"/>
  <c r="V344" i="3" s="1"/>
  <c r="U244" i="3"/>
  <c r="V244" i="3" s="1"/>
  <c r="U214" i="3"/>
  <c r="V214" i="3" s="1"/>
  <c r="U115" i="3"/>
  <c r="V115" i="3" s="1"/>
  <c r="U93" i="3"/>
  <c r="V93" i="3" s="1"/>
  <c r="U442" i="3"/>
  <c r="V442" i="3" s="1"/>
  <c r="U327" i="3"/>
  <c r="V327" i="3" s="1"/>
  <c r="U292" i="3"/>
  <c r="V292" i="3" s="1"/>
  <c r="U276" i="3"/>
  <c r="V276" i="3" s="1"/>
  <c r="U258" i="3"/>
  <c r="V258" i="3" s="1"/>
  <c r="U228" i="3"/>
  <c r="V228" i="3" s="1"/>
  <c r="U200" i="3"/>
  <c r="V200" i="3" s="1"/>
  <c r="U148" i="3"/>
  <c r="V148" i="3" s="1"/>
  <c r="U57" i="3"/>
  <c r="V57" i="3" s="1"/>
  <c r="U524" i="3"/>
  <c r="V524" i="3" s="1"/>
  <c r="U432" i="3"/>
  <c r="V432" i="3" s="1"/>
  <c r="U404" i="3"/>
  <c r="V404" i="3" s="1"/>
  <c r="U382" i="3"/>
  <c r="V382" i="3" s="1"/>
  <c r="U362" i="3"/>
  <c r="V362" i="3" s="1"/>
  <c r="U309" i="3"/>
  <c r="V309" i="3" s="1"/>
  <c r="U171" i="3"/>
  <c r="V171" i="3" s="1"/>
  <c r="U159" i="3"/>
  <c r="V159" i="3" s="1"/>
  <c r="U135" i="3"/>
  <c r="V135" i="3" s="1"/>
  <c r="U110" i="3"/>
  <c r="V110" i="3" s="1"/>
  <c r="U88" i="3"/>
  <c r="V88" i="3" s="1"/>
  <c r="U64" i="3"/>
  <c r="V64" i="3" s="1"/>
  <c r="U71" i="3"/>
  <c r="V71" i="3" s="1"/>
  <c r="U430" i="3"/>
  <c r="V430" i="3" s="1"/>
  <c r="U326" i="3"/>
  <c r="V326" i="3" s="1"/>
  <c r="U257" i="3"/>
  <c r="V257" i="3" s="1"/>
  <c r="U213" i="3"/>
  <c r="V213" i="3" s="1"/>
  <c r="U199" i="3"/>
  <c r="V199" i="3" s="1"/>
  <c r="U184" i="3"/>
  <c r="V184" i="3" s="1"/>
  <c r="U522" i="3"/>
  <c r="V522" i="3" s="1"/>
  <c r="U429" i="3"/>
  <c r="V429" i="3" s="1"/>
  <c r="U342" i="3"/>
  <c r="V342" i="3" s="1"/>
  <c r="U290" i="3"/>
  <c r="V290" i="3" s="1"/>
  <c r="U274" i="3"/>
  <c r="V274" i="3" s="1"/>
  <c r="U509" i="3"/>
  <c r="V509" i="3" s="1"/>
  <c r="U402" i="3"/>
  <c r="V402" i="3" s="1"/>
  <c r="U380" i="3"/>
  <c r="V380" i="3" s="1"/>
  <c r="U324" i="3"/>
  <c r="V324" i="3" s="1"/>
  <c r="U308" i="3"/>
  <c r="V308" i="3" s="1"/>
  <c r="U183" i="3"/>
  <c r="V183" i="3" s="1"/>
  <c r="U170" i="3"/>
  <c r="V170" i="3" s="1"/>
  <c r="U156" i="3"/>
  <c r="V156" i="3" s="1"/>
  <c r="U428" i="3"/>
  <c r="V428" i="3" s="1"/>
  <c r="U360" i="3"/>
  <c r="V360" i="3" s="1"/>
  <c r="U289" i="3"/>
  <c r="V289" i="3" s="1"/>
  <c r="U256" i="3"/>
  <c r="V256" i="3" s="1"/>
  <c r="U212" i="3"/>
  <c r="V212" i="3" s="1"/>
  <c r="U198" i="3"/>
  <c r="V198" i="3" s="1"/>
  <c r="U145" i="3"/>
  <c r="V145" i="3" s="1"/>
  <c r="U117" i="3"/>
  <c r="V117" i="3" s="1"/>
  <c r="U508" i="3"/>
  <c r="V508" i="3" s="1"/>
  <c r="U341" i="3"/>
  <c r="V341" i="3" s="1"/>
  <c r="U241" i="3"/>
  <c r="V241" i="3" s="1"/>
  <c r="U225" i="3"/>
  <c r="V225" i="3" s="1"/>
  <c r="U506" i="3"/>
  <c r="V506" i="3" s="1"/>
  <c r="U426" i="3"/>
  <c r="V426" i="3" s="1"/>
  <c r="U376" i="3"/>
  <c r="V376" i="3" s="1"/>
  <c r="U358" i="3"/>
  <c r="V358" i="3" s="1"/>
  <c r="U288" i="3"/>
  <c r="V288" i="3" s="1"/>
  <c r="U255" i="3"/>
  <c r="V255" i="3" s="1"/>
  <c r="U240" i="3"/>
  <c r="V240" i="3" s="1"/>
  <c r="U493" i="3"/>
  <c r="V493" i="3" s="1"/>
  <c r="U340" i="3"/>
  <c r="V340" i="3" s="1"/>
  <c r="U321" i="3"/>
  <c r="V321" i="3" s="1"/>
  <c r="U270" i="3"/>
  <c r="V270" i="3" s="1"/>
  <c r="U224" i="3"/>
  <c r="V224" i="3" s="1"/>
  <c r="U210" i="3"/>
  <c r="V210" i="3" s="1"/>
  <c r="U195" i="3"/>
  <c r="V195" i="3" s="1"/>
  <c r="U168" i="3"/>
  <c r="V168" i="3" s="1"/>
  <c r="U420" i="3"/>
  <c r="V420" i="3" s="1"/>
  <c r="U356" i="3"/>
  <c r="V356" i="3" s="1"/>
  <c r="U238" i="3"/>
  <c r="V238" i="3" s="1"/>
  <c r="U181" i="3"/>
  <c r="V181" i="3" s="1"/>
  <c r="U492" i="3"/>
  <c r="V492" i="3" s="1"/>
  <c r="U374" i="3"/>
  <c r="V374" i="3" s="1"/>
  <c r="U304" i="3"/>
  <c r="V304" i="3" s="1"/>
  <c r="U287" i="3"/>
  <c r="V287" i="3" s="1"/>
  <c r="U254" i="3"/>
  <c r="V254" i="3" s="1"/>
  <c r="U194" i="3"/>
  <c r="V194" i="3" s="1"/>
  <c r="U418" i="3"/>
  <c r="V418" i="3" s="1"/>
  <c r="U338" i="3"/>
  <c r="V338" i="3" s="1"/>
  <c r="U320" i="3"/>
  <c r="V320" i="3" s="1"/>
  <c r="U490" i="3"/>
  <c r="V490" i="3" s="1"/>
  <c r="U354" i="3"/>
  <c r="V354" i="3" s="1"/>
  <c r="U302" i="3"/>
  <c r="V302" i="3" s="1"/>
  <c r="U286" i="3"/>
  <c r="V286" i="3" s="1"/>
  <c r="U478" i="3"/>
  <c r="V478" i="3" s="1"/>
  <c r="U416" i="3"/>
  <c r="V416" i="3" s="1"/>
  <c r="U394" i="3"/>
  <c r="V394" i="3" s="1"/>
  <c r="U373" i="3"/>
  <c r="V373" i="3" s="1"/>
  <c r="U236" i="3"/>
  <c r="V236" i="3" s="1"/>
  <c r="U208" i="3"/>
  <c r="V208" i="3" s="1"/>
  <c r="U193" i="3"/>
  <c r="V193" i="3" s="1"/>
  <c r="U477" i="3"/>
  <c r="V477" i="3" s="1"/>
  <c r="U353" i="3"/>
  <c r="V353" i="3" s="1"/>
  <c r="U336" i="3"/>
  <c r="V336" i="3" s="1"/>
  <c r="U300" i="3"/>
  <c r="V300" i="3" s="1"/>
  <c r="U206" i="3"/>
  <c r="V206" i="3" s="1"/>
  <c r="U476" i="3"/>
  <c r="V476" i="3" s="1"/>
  <c r="U415" i="3"/>
  <c r="V415" i="3" s="1"/>
  <c r="U372" i="3"/>
  <c r="V372" i="3" s="1"/>
  <c r="U334" i="3"/>
  <c r="V334" i="3" s="1"/>
  <c r="U392" i="3"/>
  <c r="V392" i="3" s="1"/>
  <c r="U352" i="3"/>
  <c r="V352" i="3" s="1"/>
  <c r="U474" i="3"/>
  <c r="V474" i="3" s="1"/>
  <c r="U414" i="3"/>
  <c r="V414" i="3" s="1"/>
  <c r="U316" i="3"/>
  <c r="V316" i="3" s="1"/>
  <c r="U266" i="3"/>
  <c r="V266" i="3" s="1"/>
  <c r="U174" i="3"/>
  <c r="V174" i="3" s="1"/>
  <c r="U158" i="3"/>
  <c r="V158" i="3" s="1"/>
  <c r="U103" i="3"/>
  <c r="V103" i="3" s="1"/>
  <c r="U462" i="3"/>
  <c r="V462" i="3" s="1"/>
  <c r="U232" i="3"/>
  <c r="V232" i="3" s="1"/>
  <c r="U59" i="3"/>
  <c r="V59" i="3" s="1"/>
  <c r="U68" i="3"/>
  <c r="V68" i="3" s="1"/>
  <c r="U56" i="3"/>
  <c r="V56" i="3" s="1"/>
  <c r="U109" i="3"/>
  <c r="V109" i="3" s="1"/>
  <c r="U461" i="3"/>
  <c r="V461" i="3" s="1"/>
  <c r="U201" i="3"/>
  <c r="V201" i="3" s="1"/>
  <c r="U119" i="3"/>
  <c r="V119" i="3" s="1"/>
  <c r="U172" i="3"/>
  <c r="V172" i="3" s="1"/>
  <c r="U427" i="3"/>
  <c r="V427" i="3" s="1"/>
  <c r="U310" i="3"/>
  <c r="V310" i="3" s="1"/>
  <c r="U264" i="3"/>
  <c r="V264" i="3" s="1"/>
  <c r="U230" i="3"/>
  <c r="V230" i="3" s="1"/>
  <c r="U196" i="3"/>
  <c r="V196" i="3" s="1"/>
  <c r="U126" i="3"/>
  <c r="V126" i="3" s="1"/>
  <c r="U65" i="3"/>
  <c r="V65" i="3" s="1"/>
  <c r="U306" i="3"/>
  <c r="V306" i="3" s="1"/>
  <c r="U226" i="3"/>
  <c r="V226" i="3" s="1"/>
  <c r="U169" i="3"/>
  <c r="V169" i="3" s="1"/>
  <c r="U141" i="3"/>
  <c r="V141" i="3" s="1"/>
  <c r="U77" i="3"/>
  <c r="V77" i="3" s="1"/>
  <c r="U74" i="3"/>
  <c r="V74" i="3" s="1"/>
  <c r="U122" i="3"/>
  <c r="V122" i="3" s="1"/>
  <c r="U96" i="3"/>
  <c r="V96" i="3" s="1"/>
  <c r="U83" i="3"/>
  <c r="V83" i="3" s="1"/>
  <c r="U129" i="3"/>
  <c r="V129" i="3" s="1"/>
  <c r="U112" i="3"/>
  <c r="V112" i="3" s="1"/>
  <c r="U80" i="3"/>
  <c r="V80" i="3" s="1"/>
  <c r="U412" i="3"/>
  <c r="V412" i="3" s="1"/>
  <c r="U260" i="3"/>
  <c r="V260" i="3" s="1"/>
  <c r="U223" i="3"/>
  <c r="V223" i="3" s="1"/>
  <c r="U167" i="3"/>
  <c r="V167" i="3" s="1"/>
  <c r="U133" i="3"/>
  <c r="V133" i="3" s="1"/>
  <c r="U102" i="3"/>
  <c r="V102" i="3" s="1"/>
  <c r="U400" i="3"/>
  <c r="V400" i="3" s="1"/>
  <c r="U299" i="3"/>
  <c r="V299" i="3" s="1"/>
  <c r="U222" i="3"/>
  <c r="V222" i="3" s="1"/>
  <c r="U192" i="3"/>
  <c r="V192" i="3" s="1"/>
  <c r="U390" i="3"/>
  <c r="V390" i="3" s="1"/>
  <c r="U105" i="3"/>
  <c r="V105" i="3" s="1"/>
  <c r="U248" i="3"/>
  <c r="V248" i="3" s="1"/>
  <c r="U215" i="3"/>
  <c r="V215" i="3" s="1"/>
  <c r="U351" i="3"/>
  <c r="V351" i="3" s="1"/>
  <c r="U284" i="3"/>
  <c r="V284" i="3" s="1"/>
  <c r="U245" i="3"/>
  <c r="V245" i="3" s="1"/>
  <c r="U332" i="3"/>
  <c r="V332" i="3" s="1"/>
  <c r="U252" i="3"/>
  <c r="V252" i="3" s="1"/>
  <c r="U120" i="3"/>
  <c r="V120" i="3" s="1"/>
  <c r="U136" i="3"/>
  <c r="V136" i="3" s="1"/>
  <c r="U81" i="3"/>
  <c r="V81" i="3" s="1"/>
  <c r="U191" i="3"/>
  <c r="V191" i="3" s="1"/>
  <c r="U246" i="3"/>
  <c r="V246" i="3" s="1"/>
  <c r="U204" i="3"/>
  <c r="V204" i="3" s="1"/>
  <c r="U131" i="3"/>
  <c r="V131" i="3" s="1"/>
  <c r="U104" i="3"/>
  <c r="V104" i="3" s="1"/>
  <c r="U143" i="3"/>
  <c r="V143" i="3" s="1"/>
  <c r="U90" i="3"/>
  <c r="V90" i="3" s="1"/>
  <c r="U370" i="3"/>
  <c r="V370" i="3" s="1"/>
  <c r="U99" i="3"/>
  <c r="V99" i="3" s="1"/>
  <c r="U85" i="3"/>
  <c r="V85" i="3" s="1"/>
  <c r="U76" i="3"/>
  <c r="V76" i="3" s="1"/>
  <c r="U72" i="3"/>
  <c r="V72" i="3" s="1"/>
  <c r="U235" i="3"/>
  <c r="V235" i="3" s="1"/>
  <c r="U89" i="3"/>
  <c r="V89" i="3" s="1"/>
  <c r="U182" i="3"/>
  <c r="V182" i="3" s="1"/>
  <c r="U124" i="3"/>
  <c r="V124" i="3" s="1"/>
  <c r="U94" i="3"/>
  <c r="V94" i="3" s="1"/>
  <c r="U67" i="3"/>
  <c r="V67" i="3" s="1"/>
  <c r="U113" i="3"/>
  <c r="V113" i="3" s="1"/>
  <c r="U328" i="3"/>
  <c r="V328" i="3" s="1"/>
  <c r="U242" i="3"/>
  <c r="V242" i="3" s="1"/>
  <c r="U142" i="3"/>
  <c r="V142" i="3" s="1"/>
  <c r="U318" i="3"/>
  <c r="V318" i="3" s="1"/>
  <c r="U63" i="3"/>
  <c r="V63" i="3" s="1"/>
  <c r="U322" i="3"/>
  <c r="V322" i="3" s="1"/>
  <c r="U107" i="3"/>
  <c r="V107" i="3" s="1"/>
  <c r="U319" i="3"/>
  <c r="V319" i="3" s="1"/>
  <c r="U161" i="3"/>
  <c r="V161" i="3" s="1"/>
  <c r="U180" i="3"/>
  <c r="V180" i="3" s="1"/>
  <c r="U147" i="3"/>
  <c r="V147" i="3" s="1"/>
  <c r="U123" i="3"/>
  <c r="V123" i="3" s="1"/>
  <c r="U97" i="3"/>
  <c r="V97" i="3" s="1"/>
  <c r="U70" i="3"/>
  <c r="V70" i="3" s="1"/>
  <c r="U58" i="3"/>
  <c r="V58" i="3" s="1"/>
  <c r="U294" i="3"/>
  <c r="V294" i="3" s="1"/>
  <c r="U220" i="3"/>
  <c r="V220" i="3" s="1"/>
  <c r="U178" i="3"/>
  <c r="V178" i="3" s="1"/>
  <c r="U128" i="3"/>
  <c r="V128" i="3" s="1"/>
  <c r="U152" i="3"/>
  <c r="V152" i="3" s="1"/>
  <c r="U66" i="3"/>
  <c r="V66" i="3" s="1"/>
  <c r="U62" i="3"/>
  <c r="V62" i="3" s="1"/>
  <c r="U160" i="3"/>
  <c r="V160" i="3" s="1"/>
  <c r="U111" i="3"/>
  <c r="V111" i="3" s="1"/>
  <c r="U92" i="3"/>
  <c r="V92" i="3" s="1"/>
  <c r="U177" i="3"/>
  <c r="V177" i="3" s="1"/>
  <c r="U139" i="3"/>
  <c r="V139" i="3" s="1"/>
  <c r="U144" i="3"/>
  <c r="V144" i="3" s="1"/>
  <c r="U84" i="3"/>
  <c r="V84" i="3" s="1"/>
  <c r="U280" i="3"/>
  <c r="V280" i="3" s="1"/>
  <c r="U127" i="3"/>
  <c r="V127" i="3" s="1"/>
  <c r="U106" i="3"/>
  <c r="V106" i="3" s="1"/>
  <c r="U132" i="3"/>
  <c r="V132" i="3" s="1"/>
  <c r="U61" i="3"/>
  <c r="V61" i="3" s="1"/>
  <c r="U151" i="3"/>
  <c r="V151" i="3" s="1"/>
  <c r="U78" i="3"/>
  <c r="V78" i="3" s="1"/>
  <c r="U73" i="3"/>
  <c r="V73" i="3" s="1"/>
  <c r="U277" i="3"/>
  <c r="V277" i="3" s="1"/>
  <c r="U116" i="3"/>
  <c r="V116" i="3" s="1"/>
  <c r="U87" i="3"/>
  <c r="V87" i="3" s="1"/>
  <c r="U95" i="3"/>
  <c r="V95" i="3" s="1"/>
  <c r="U69" i="3"/>
  <c r="V69" i="3" s="1"/>
  <c r="U75" i="3"/>
  <c r="V75" i="3" s="1"/>
  <c r="U209" i="3"/>
  <c r="V209" i="3" s="1"/>
  <c r="U91" i="3"/>
  <c r="V91" i="3" s="1"/>
  <c r="U268" i="3"/>
  <c r="V268" i="3" s="1"/>
  <c r="U272" i="3"/>
  <c r="V272" i="3" s="1"/>
  <c r="U100" i="3"/>
  <c r="V100" i="3" s="1"/>
  <c r="U267" i="3"/>
  <c r="V267" i="3" s="1"/>
  <c r="U140" i="3"/>
  <c r="V140" i="3" s="1"/>
  <c r="U125" i="3"/>
  <c r="V125" i="3" s="1"/>
  <c r="U298" i="3"/>
  <c r="V298" i="3" s="1"/>
  <c r="U295" i="3"/>
  <c r="V295" i="3" s="1"/>
  <c r="U234" i="3"/>
  <c r="V234" i="3" s="1"/>
  <c r="U52" i="3"/>
  <c r="V52" i="3" s="1"/>
  <c r="AD205" i="3"/>
  <c r="AD104" i="3"/>
  <c r="AD187" i="3"/>
  <c r="AD64" i="3"/>
  <c r="AD112" i="3"/>
  <c r="AD161" i="3"/>
  <c r="AD226" i="3"/>
  <c r="AD232" i="3"/>
  <c r="AD260" i="3"/>
  <c r="AD154" i="3"/>
  <c r="AD149" i="3"/>
  <c r="AD167" i="3"/>
  <c r="AD242" i="3"/>
  <c r="AD278" i="3"/>
  <c r="AD292" i="3"/>
  <c r="AD20" i="3"/>
  <c r="AD240" i="3"/>
  <c r="AD114" i="3"/>
  <c r="U18" i="3"/>
  <c r="V18" i="3" s="1"/>
  <c r="U9" i="3"/>
  <c r="V9" i="3" s="1"/>
  <c r="AD36" i="3"/>
  <c r="AD61" i="3"/>
  <c r="AD8" i="3"/>
  <c r="AD150" i="3"/>
  <c r="AD198" i="3"/>
  <c r="AD194" i="3"/>
  <c r="AD274" i="3"/>
  <c r="AD74" i="3"/>
  <c r="AD75" i="3"/>
  <c r="U51" i="3"/>
  <c r="V51" i="3" s="1"/>
  <c r="U41" i="3"/>
  <c r="V41" i="3" s="1"/>
  <c r="AD46" i="3"/>
  <c r="AD78" i="3"/>
  <c r="AD22" i="3"/>
  <c r="AD131" i="3"/>
  <c r="AD264" i="3"/>
  <c r="AD209" i="3"/>
  <c r="AD290" i="3"/>
  <c r="AD96" i="3"/>
  <c r="AD91" i="3"/>
  <c r="AD151" i="3"/>
  <c r="AD38" i="3"/>
  <c r="AD180" i="3"/>
  <c r="AD4" i="3"/>
  <c r="AD223" i="3"/>
  <c r="AD52" i="3"/>
  <c r="AD113" i="3"/>
  <c r="AD107" i="3"/>
  <c r="AD218" i="3"/>
  <c r="U10" i="3"/>
  <c r="V10" i="3" s="1"/>
  <c r="AD208" i="3"/>
  <c r="AD280" i="3"/>
  <c r="AD98" i="3"/>
  <c r="AD244" i="3"/>
  <c r="AD65" i="3"/>
  <c r="AD129" i="3"/>
  <c r="AD83" i="3"/>
  <c r="AD128" i="3"/>
  <c r="AD123" i="3"/>
  <c r="AD101" i="3"/>
  <c r="AD188" i="3"/>
  <c r="AD282" i="3"/>
  <c r="AD126" i="3"/>
  <c r="AD142" i="3"/>
  <c r="AD100" i="3"/>
  <c r="AD133" i="3"/>
  <c r="AD139" i="3"/>
  <c r="U49" i="3"/>
  <c r="V49" i="3" s="1"/>
  <c r="U26" i="3"/>
  <c r="V26" i="3" s="1"/>
  <c r="AD70" i="3"/>
  <c r="U46" i="3"/>
  <c r="V46" i="3" s="1"/>
  <c r="U4" i="3"/>
  <c r="V4" i="3" s="1"/>
  <c r="AD79" i="3"/>
  <c r="AD284" i="3"/>
  <c r="AD19" i="3"/>
  <c r="AD286" i="3"/>
  <c r="AD230" i="3"/>
  <c r="AD238" i="3"/>
  <c r="AD105" i="3"/>
  <c r="AD160" i="3"/>
  <c r="AD155" i="3"/>
  <c r="AD35" i="3"/>
  <c r="AD89" i="3"/>
  <c r="AD137" i="3"/>
  <c r="AD254" i="3"/>
  <c r="AD140" i="3"/>
  <c r="AD246" i="3"/>
  <c r="AD175" i="3"/>
  <c r="AD207" i="3"/>
  <c r="AD136" i="3"/>
  <c r="AD12" i="3"/>
  <c r="AD24" i="3"/>
  <c r="AD165" i="3"/>
  <c r="AD257" i="3"/>
  <c r="AD239" i="3"/>
  <c r="AD29" i="3"/>
  <c r="AD289" i="3"/>
  <c r="U12" i="3"/>
  <c r="V12" i="3" s="1"/>
  <c r="U45" i="3"/>
  <c r="V45" i="3" s="1"/>
  <c r="AD166" i="3"/>
  <c r="AD5" i="3"/>
  <c r="AD190" i="3"/>
  <c r="AD191" i="3"/>
  <c r="AD37" i="3"/>
  <c r="AD68" i="3"/>
  <c r="AD213" i="3"/>
  <c r="AD143" i="3"/>
  <c r="AD130" i="3"/>
  <c r="AD33" i="3"/>
  <c r="AD40" i="3"/>
  <c r="AD184" i="3"/>
  <c r="U36" i="3"/>
  <c r="V36" i="3" s="1"/>
  <c r="U15" i="3"/>
  <c r="V15" i="3" s="1"/>
  <c r="AD212" i="3"/>
  <c r="AD177" i="3"/>
  <c r="AD124" i="3"/>
  <c r="AD220" i="3"/>
  <c r="AD106" i="3"/>
  <c r="AD168" i="3"/>
  <c r="AD243" i="3"/>
  <c r="AD159" i="3"/>
  <c r="AD413" i="3"/>
  <c r="AD381" i="3"/>
  <c r="AD349" i="3"/>
  <c r="AD317" i="3"/>
  <c r="AD391" i="3"/>
  <c r="AD359" i="3"/>
  <c r="AD327" i="3"/>
  <c r="AD295" i="3"/>
  <c r="AD401" i="3"/>
  <c r="AD369" i="3"/>
  <c r="AD337" i="3"/>
  <c r="AD411" i="3"/>
  <c r="AD379" i="3"/>
  <c r="AD347" i="3"/>
  <c r="AD315" i="3"/>
  <c r="AD421" i="3"/>
  <c r="AD389" i="3"/>
  <c r="AD357" i="3"/>
  <c r="AD325" i="3"/>
  <c r="AD399" i="3"/>
  <c r="AD367" i="3"/>
  <c r="AD335" i="3"/>
  <c r="AD303" i="3"/>
  <c r="AD420" i="3"/>
  <c r="AD388" i="3"/>
  <c r="AD356" i="3"/>
  <c r="AD324" i="3"/>
  <c r="AD409" i="3"/>
  <c r="AD377" i="3"/>
  <c r="AD345" i="3"/>
  <c r="AD313" i="3"/>
  <c r="AD419" i="3"/>
  <c r="AD387" i="3"/>
  <c r="AD355" i="3"/>
  <c r="AD323" i="3"/>
  <c r="AD408" i="3"/>
  <c r="AD376" i="3"/>
  <c r="AD397" i="3"/>
  <c r="AD365" i="3"/>
  <c r="AD333" i="3"/>
  <c r="AD301" i="3"/>
  <c r="AD407" i="3"/>
  <c r="AD375" i="3"/>
  <c r="AD343" i="3"/>
  <c r="AD311" i="3"/>
  <c r="AD417" i="3"/>
  <c r="AD385" i="3"/>
  <c r="AD353" i="3"/>
  <c r="AD321" i="3"/>
  <c r="AD406" i="3"/>
  <c r="AD374" i="3"/>
  <c r="AD395" i="3"/>
  <c r="AD405" i="3"/>
  <c r="AD403" i="3"/>
  <c r="AD371" i="3"/>
  <c r="AD339" i="3"/>
  <c r="AD307" i="3"/>
  <c r="AD314" i="3"/>
  <c r="AD297" i="3"/>
  <c r="AD410" i="3"/>
  <c r="AD386" i="3"/>
  <c r="AD366" i="3"/>
  <c r="AD330" i="3"/>
  <c r="AD348" i="3"/>
  <c r="AD312" i="3"/>
  <c r="AD296" i="3"/>
  <c r="AD384" i="3"/>
  <c r="AD364" i="3"/>
  <c r="AD329" i="3"/>
  <c r="AD363" i="3"/>
  <c r="AD346" i="3"/>
  <c r="AD383" i="3"/>
  <c r="AD328" i="3"/>
  <c r="AD344" i="3"/>
  <c r="AD404" i="3"/>
  <c r="AD362" i="3"/>
  <c r="AD309" i="3"/>
  <c r="AD382" i="3"/>
  <c r="AD342" i="3"/>
  <c r="AD326" i="3"/>
  <c r="AD361" i="3"/>
  <c r="AD308" i="3"/>
  <c r="AD402" i="3"/>
  <c r="AD380" i="3"/>
  <c r="AD360" i="3"/>
  <c r="AD341" i="3"/>
  <c r="AD400" i="3"/>
  <c r="AD378" i="3"/>
  <c r="AD322" i="3"/>
  <c r="AD306" i="3"/>
  <c r="AD398" i="3"/>
  <c r="AD305" i="3"/>
  <c r="AD396" i="3"/>
  <c r="AD320" i="3"/>
  <c r="AD304" i="3"/>
  <c r="AD418" i="3"/>
  <c r="AD338" i="3"/>
  <c r="AD394" i="3"/>
  <c r="AD373" i="3"/>
  <c r="AD354" i="3"/>
  <c r="AD416" i="3"/>
  <c r="AD319" i="3"/>
  <c r="AD336" i="3"/>
  <c r="AD415" i="3"/>
  <c r="AD393" i="3"/>
  <c r="AD372" i="3"/>
  <c r="AD352" i="3"/>
  <c r="AD334" i="3"/>
  <c r="AD318" i="3"/>
  <c r="AD392" i="3"/>
  <c r="AD414" i="3"/>
  <c r="AD370" i="3"/>
  <c r="AD351" i="3"/>
  <c r="AD310" i="3"/>
  <c r="AD412" i="3"/>
  <c r="AD302" i="3"/>
  <c r="AD300" i="3"/>
  <c r="AD299" i="3"/>
  <c r="AD390" i="3"/>
  <c r="AD298" i="3"/>
  <c r="AD350" i="3"/>
  <c r="AD340" i="3"/>
  <c r="AD332" i="3"/>
  <c r="AD368" i="3"/>
  <c r="AD358" i="3"/>
  <c r="AD331" i="3"/>
  <c r="AD316" i="3"/>
  <c r="AD294" i="3"/>
  <c r="AD118" i="3"/>
  <c r="AD276" i="3"/>
  <c r="AD26" i="3"/>
  <c r="U8" i="3"/>
  <c r="V8" i="3" s="1"/>
  <c r="U31" i="3"/>
  <c r="V31" i="3" s="1"/>
  <c r="AD17" i="3"/>
  <c r="AD219" i="3"/>
  <c r="AD60" i="3"/>
  <c r="AD3" i="3"/>
  <c r="AD109" i="3"/>
  <c r="AD181" i="3"/>
  <c r="AD110" i="3"/>
  <c r="AD183" i="3"/>
  <c r="AD162" i="3"/>
  <c r="AD57" i="3"/>
  <c r="AD88" i="3"/>
  <c r="AD117" i="3"/>
  <c r="U27" i="3"/>
  <c r="V27" i="3" s="1"/>
  <c r="U47" i="3"/>
  <c r="V47" i="3" s="1"/>
  <c r="AD30" i="3"/>
  <c r="AD31" i="3"/>
  <c r="AD76" i="3"/>
  <c r="AD92" i="3"/>
  <c r="AD145" i="3"/>
  <c r="AD210" i="3"/>
  <c r="AD135" i="3"/>
  <c r="AD215" i="3"/>
  <c r="AD197" i="3"/>
  <c r="AD152" i="3"/>
  <c r="U43" i="3"/>
  <c r="V43" i="3" s="1"/>
  <c r="U54" i="3"/>
  <c r="V54" i="3" s="1"/>
  <c r="AD73" i="3"/>
  <c r="AD49" i="3"/>
  <c r="AD9" i="3"/>
  <c r="AD256" i="3"/>
  <c r="AD172" i="3"/>
  <c r="AD270" i="3"/>
  <c r="AD171" i="3"/>
  <c r="AD247" i="3"/>
  <c r="AD229" i="3"/>
  <c r="AD95" i="3"/>
  <c r="AD85" i="3"/>
  <c r="AD18" i="3"/>
  <c r="AD265" i="3"/>
  <c r="AD211" i="3"/>
  <c r="AD200" i="3"/>
  <c r="AD279" i="3"/>
  <c r="AD261" i="3"/>
  <c r="AD16" i="3"/>
  <c r="AD258" i="3"/>
  <c r="AD237" i="3"/>
  <c r="AD293" i="3"/>
  <c r="AD287" i="3"/>
  <c r="AD82" i="3"/>
  <c r="AD39" i="3"/>
  <c r="AD250" i="3"/>
  <c r="AD69" i="3"/>
  <c r="AD269" i="3"/>
  <c r="AD283" i="3"/>
  <c r="U28" i="3"/>
  <c r="V28" i="3" s="1"/>
  <c r="U32" i="3"/>
  <c r="V32" i="3" s="1"/>
  <c r="AD14" i="3"/>
  <c r="AD47" i="3"/>
  <c r="AD84" i="3"/>
  <c r="AD115" i="3"/>
  <c r="AD56" i="3"/>
  <c r="AD288" i="3"/>
  <c r="AD81" i="3"/>
  <c r="AD157" i="3"/>
  <c r="AD199" i="3"/>
  <c r="AD51" i="3"/>
  <c r="U5" i="3"/>
  <c r="V5" i="3" s="1"/>
  <c r="AD27" i="3"/>
  <c r="AD222" i="3"/>
  <c r="AD231" i="3"/>
  <c r="AD7" i="3"/>
  <c r="AD71" i="3"/>
  <c r="U14" i="3"/>
  <c r="V14" i="3" s="1"/>
  <c r="AD6" i="3"/>
  <c r="AD54" i="3"/>
  <c r="AD255" i="3"/>
  <c r="U16" i="3"/>
  <c r="V16" i="3" s="1"/>
  <c r="AD86" i="3"/>
  <c r="U48" i="3"/>
  <c r="V48" i="3" s="1"/>
  <c r="AD66" i="3"/>
  <c r="AD148" i="3"/>
  <c r="AD59" i="3"/>
  <c r="AD153" i="3"/>
  <c r="AD103" i="3"/>
  <c r="AD195" i="3"/>
  <c r="U37" i="3"/>
  <c r="V37" i="3" s="1"/>
  <c r="AD43" i="3"/>
  <c r="AD234" i="3"/>
  <c r="AD94" i="3"/>
  <c r="AD192" i="3"/>
  <c r="AD93" i="3"/>
  <c r="AD169" i="3"/>
  <c r="AD120" i="3"/>
  <c r="AD227" i="3"/>
  <c r="AD263" i="3"/>
  <c r="AD272" i="3"/>
  <c r="AD87" i="3"/>
  <c r="AD108" i="3"/>
  <c r="AD119" i="3"/>
  <c r="AD125" i="3"/>
  <c r="AD158" i="3"/>
  <c r="AD203" i="3"/>
  <c r="U50" i="3"/>
  <c r="V50" i="3" s="1"/>
  <c r="AD111" i="3"/>
  <c r="AD13" i="3"/>
  <c r="U6" i="3"/>
  <c r="V6" i="3" s="1"/>
  <c r="AD44" i="3"/>
  <c r="AD224" i="3"/>
  <c r="AD182" i="3"/>
  <c r="AD259" i="3"/>
  <c r="U21" i="3"/>
  <c r="V21" i="3" s="1"/>
  <c r="AD116" i="3"/>
  <c r="AD147" i="3"/>
  <c r="AD72" i="3"/>
  <c r="AD102" i="3"/>
  <c r="AD163" i="3"/>
  <c r="AD225" i="3"/>
  <c r="AD277" i="3"/>
  <c r="AD291" i="3"/>
  <c r="AD189" i="3"/>
  <c r="AD121" i="3"/>
  <c r="AD235" i="3"/>
  <c r="AD248" i="3"/>
  <c r="AD11" i="3"/>
  <c r="AD201" i="3"/>
  <c r="AD241" i="3"/>
  <c r="AD25" i="3"/>
  <c r="AD164" i="3"/>
  <c r="AD221" i="3"/>
  <c r="AD144" i="3"/>
  <c r="AD141" i="3"/>
  <c r="U13" i="3"/>
  <c r="V13" i="3" s="1"/>
  <c r="U40" i="3"/>
  <c r="V40" i="3" s="1"/>
  <c r="AD233" i="3"/>
  <c r="AD214" i="3"/>
  <c r="AD21" i="3"/>
  <c r="AD251" i="3"/>
  <c r="AD273" i="3"/>
  <c r="AD41" i="3"/>
  <c r="AD185" i="3"/>
  <c r="AD253" i="3"/>
  <c r="U55" i="3"/>
  <c r="V55" i="3" s="1"/>
  <c r="U34" i="3"/>
  <c r="V34" i="3" s="1"/>
  <c r="U38" i="3"/>
  <c r="V38" i="3" s="1"/>
  <c r="AD186" i="3"/>
  <c r="AD204" i="3"/>
  <c r="AD236" i="3"/>
  <c r="AD266" i="3"/>
  <c r="AD285" i="3"/>
  <c r="AD10" i="3"/>
  <c r="U19" i="3"/>
  <c r="V19" i="3" s="1"/>
  <c r="AD58" i="3"/>
  <c r="AD90" i="3"/>
  <c r="AD34" i="3"/>
  <c r="AD122" i="3"/>
  <c r="AD62" i="3"/>
  <c r="AD217" i="3"/>
  <c r="U35" i="3"/>
  <c r="V35" i="3" s="1"/>
  <c r="AD77" i="3"/>
  <c r="AD134" i="3"/>
  <c r="AD48" i="3"/>
  <c r="AD28" i="3"/>
  <c r="AD99" i="3"/>
  <c r="AD179" i="3"/>
  <c r="AD127" i="3"/>
  <c r="AD173" i="3"/>
  <c r="AD249" i="3"/>
  <c r="AD279" i="2"/>
  <c r="AD149" i="2"/>
  <c r="AD233" i="2"/>
  <c r="AD255" i="2"/>
  <c r="AD156" i="2"/>
  <c r="AD154" i="2"/>
  <c r="AD27" i="2"/>
  <c r="AD280" i="2"/>
  <c r="AD287" i="2"/>
  <c r="AD201" i="2"/>
  <c r="AD159" i="2"/>
  <c r="U41" i="2"/>
  <c r="V41" i="2" s="1"/>
  <c r="U92" i="2"/>
  <c r="V92" i="2" s="1"/>
  <c r="U81" i="2"/>
  <c r="V81" i="2" s="1"/>
  <c r="AD48" i="2"/>
  <c r="AD6" i="2"/>
  <c r="AD232" i="2"/>
  <c r="AD158" i="2"/>
  <c r="AD277" i="2"/>
  <c r="AD38" i="2"/>
  <c r="AD282" i="2"/>
  <c r="AD225" i="2"/>
  <c r="AD226" i="2"/>
  <c r="U86" i="2"/>
  <c r="V86" i="2" s="1"/>
  <c r="AD88" i="2"/>
  <c r="AD165" i="2"/>
  <c r="AD129" i="2"/>
  <c r="AD235" i="2"/>
  <c r="AD41" i="2"/>
  <c r="AD47" i="2"/>
  <c r="AD207" i="2"/>
  <c r="AD270" i="2"/>
  <c r="AD278" i="2"/>
  <c r="AD51" i="2"/>
  <c r="AD69" i="2"/>
  <c r="AD54" i="2"/>
  <c r="AD222" i="2"/>
  <c r="AD21" i="2"/>
  <c r="AD291" i="2"/>
  <c r="AD73" i="2"/>
  <c r="AD250" i="2"/>
  <c r="AD52" i="2"/>
  <c r="AD261" i="2"/>
  <c r="AD5" i="2"/>
  <c r="AD87" i="2"/>
  <c r="AD35" i="2"/>
  <c r="AD102" i="2"/>
  <c r="AD101" i="2"/>
  <c r="AD103" i="2"/>
  <c r="AD67" i="2"/>
  <c r="AD293" i="2"/>
  <c r="AD120" i="2"/>
  <c r="AD127" i="2"/>
  <c r="AD153" i="2"/>
  <c r="AD219" i="2"/>
  <c r="U100" i="2"/>
  <c r="V100" i="2" s="1"/>
  <c r="AD85" i="2"/>
  <c r="AD121" i="2"/>
  <c r="AD146" i="2"/>
  <c r="AD137" i="2"/>
  <c r="AD161" i="2"/>
  <c r="AD251" i="2"/>
  <c r="U46" i="2"/>
  <c r="V46" i="2" s="1"/>
  <c r="AD37" i="2"/>
  <c r="U57" i="2"/>
  <c r="V57" i="2" s="1"/>
  <c r="AD14" i="2"/>
  <c r="U71" i="2"/>
  <c r="V71" i="2" s="1"/>
  <c r="U56" i="2"/>
  <c r="V56" i="2" s="1"/>
  <c r="AD74" i="2"/>
  <c r="AD220" i="2"/>
  <c r="AD82" i="2"/>
  <c r="AD80" i="2"/>
  <c r="AD186" i="2"/>
  <c r="AD168" i="2"/>
  <c r="AD155" i="2"/>
  <c r="AD174" i="2"/>
  <c r="AD283" i="2"/>
  <c r="AD267" i="2"/>
  <c r="AD15" i="2"/>
  <c r="U34" i="2"/>
  <c r="V34" i="2" s="1"/>
  <c r="AD77" i="2"/>
  <c r="U16" i="2"/>
  <c r="V16" i="2" s="1"/>
  <c r="U15" i="2"/>
  <c r="V15" i="2" s="1"/>
  <c r="U54" i="2"/>
  <c r="V54" i="2" s="1"/>
  <c r="AD79" i="2"/>
  <c r="AD157" i="2"/>
  <c r="AD122" i="2"/>
  <c r="AD89" i="2"/>
  <c r="AD215" i="2"/>
  <c r="AD203" i="2"/>
  <c r="AD176" i="2"/>
  <c r="AD275" i="2"/>
  <c r="AD209" i="2"/>
  <c r="AD169" i="2"/>
  <c r="AD20" i="2"/>
  <c r="U22" i="2"/>
  <c r="V22" i="2" s="1"/>
  <c r="U62" i="2"/>
  <c r="V62" i="2" s="1"/>
  <c r="U38" i="2"/>
  <c r="V38" i="2" s="1"/>
  <c r="U69" i="2"/>
  <c r="V69" i="2" s="1"/>
  <c r="AD125" i="2"/>
  <c r="AD34" i="2"/>
  <c r="AD187" i="2"/>
  <c r="AD95" i="2"/>
  <c r="AD246" i="2"/>
  <c r="AD217" i="2"/>
  <c r="AD189" i="2"/>
  <c r="AD288" i="2"/>
  <c r="AD241" i="2"/>
  <c r="AD240" i="2"/>
  <c r="AD60" i="2"/>
  <c r="AD292" i="2"/>
  <c r="AD236" i="2"/>
  <c r="AD249" i="2"/>
  <c r="AD273" i="2"/>
  <c r="AD83" i="2"/>
  <c r="AD28" i="2"/>
  <c r="AD175" i="2"/>
  <c r="AD252" i="2"/>
  <c r="AD71" i="2"/>
  <c r="AD231" i="2"/>
  <c r="AD64" i="2"/>
  <c r="AD194" i="2"/>
  <c r="AD228" i="2"/>
  <c r="AD98" i="2"/>
  <c r="AD9" i="2"/>
  <c r="AD262" i="2"/>
  <c r="AD284" i="2"/>
  <c r="AD86" i="2"/>
  <c r="AD263" i="2"/>
  <c r="AD31" i="2"/>
  <c r="U67" i="2"/>
  <c r="V67" i="2" s="1"/>
  <c r="AD197" i="2"/>
  <c r="AD210" i="2"/>
  <c r="AD3" i="2"/>
  <c r="AD7" i="2"/>
  <c r="AD110" i="2"/>
  <c r="U28" i="2"/>
  <c r="V28" i="2" s="1"/>
  <c r="U5" i="2"/>
  <c r="V5" i="2" s="1"/>
  <c r="U44" i="2"/>
  <c r="V44" i="2" s="1"/>
  <c r="U84" i="2"/>
  <c r="V84" i="2" s="1"/>
  <c r="AD61" i="2"/>
  <c r="AD247" i="2"/>
  <c r="AD141" i="2"/>
  <c r="AD131" i="2"/>
  <c r="AD44" i="2"/>
  <c r="AD25" i="2"/>
  <c r="AD268" i="2"/>
  <c r="AD128" i="2"/>
  <c r="AD242" i="2"/>
  <c r="AD18" i="2"/>
  <c r="U35" i="2"/>
  <c r="V35" i="2" s="1"/>
  <c r="U11" i="2"/>
  <c r="V11" i="2" s="1"/>
  <c r="U72" i="2"/>
  <c r="V72" i="2" s="1"/>
  <c r="U99" i="2"/>
  <c r="V99" i="2" s="1"/>
  <c r="AD202" i="2"/>
  <c r="AD205" i="2"/>
  <c r="AD179" i="2"/>
  <c r="AD195" i="2"/>
  <c r="AD72" i="2"/>
  <c r="AD104" i="2"/>
  <c r="AD33" i="2"/>
  <c r="AD144" i="2"/>
  <c r="AD274" i="2"/>
  <c r="AD224" i="2"/>
  <c r="U27" i="2"/>
  <c r="V27" i="2" s="1"/>
  <c r="AD70" i="2"/>
  <c r="AD12" i="2"/>
  <c r="AD188" i="2"/>
  <c r="AD211" i="2"/>
  <c r="AD105" i="2"/>
  <c r="AD243" i="2"/>
  <c r="AD58" i="2"/>
  <c r="AD177" i="2"/>
  <c r="AD4" i="2"/>
  <c r="U403" i="2"/>
  <c r="V403" i="2" s="1"/>
  <c r="U371" i="2"/>
  <c r="V371" i="2" s="1"/>
  <c r="U339" i="2"/>
  <c r="V339" i="2" s="1"/>
  <c r="U307" i="2"/>
  <c r="V307" i="2" s="1"/>
  <c r="U275" i="2"/>
  <c r="V275" i="2" s="1"/>
  <c r="U243" i="2"/>
  <c r="V243" i="2" s="1"/>
  <c r="U211" i="2"/>
  <c r="V211" i="2" s="1"/>
  <c r="U232" i="2"/>
  <c r="V232" i="2" s="1"/>
  <c r="U569" i="2"/>
  <c r="V569" i="2" s="1"/>
  <c r="U553" i="2"/>
  <c r="V553" i="2" s="1"/>
  <c r="U537" i="2"/>
  <c r="V537" i="2" s="1"/>
  <c r="U521" i="2"/>
  <c r="V521" i="2" s="1"/>
  <c r="U505" i="2"/>
  <c r="V505" i="2" s="1"/>
  <c r="U489" i="2"/>
  <c r="V489" i="2" s="1"/>
  <c r="U473" i="2"/>
  <c r="V473" i="2" s="1"/>
  <c r="U457" i="2"/>
  <c r="V457" i="2" s="1"/>
  <c r="U441" i="2"/>
  <c r="V441" i="2" s="1"/>
  <c r="U425" i="2"/>
  <c r="V425" i="2" s="1"/>
  <c r="U392" i="2"/>
  <c r="V392" i="2" s="1"/>
  <c r="U360" i="2"/>
  <c r="V360" i="2" s="1"/>
  <c r="U328" i="2"/>
  <c r="V328" i="2" s="1"/>
  <c r="U296" i="2"/>
  <c r="V296" i="2" s="1"/>
  <c r="U264" i="2"/>
  <c r="V264" i="2" s="1"/>
  <c r="U413" i="2"/>
  <c r="V413" i="2" s="1"/>
  <c r="U381" i="2"/>
  <c r="V381" i="2" s="1"/>
  <c r="U349" i="2"/>
  <c r="V349" i="2" s="1"/>
  <c r="U317" i="2"/>
  <c r="V317" i="2" s="1"/>
  <c r="U285" i="2"/>
  <c r="V285" i="2" s="1"/>
  <c r="U253" i="2"/>
  <c r="V253" i="2" s="1"/>
  <c r="U221" i="2"/>
  <c r="V221" i="2" s="1"/>
  <c r="U568" i="2"/>
  <c r="V568" i="2" s="1"/>
  <c r="U552" i="2"/>
  <c r="V552" i="2" s="1"/>
  <c r="U536" i="2"/>
  <c r="V536" i="2" s="1"/>
  <c r="U520" i="2"/>
  <c r="V520" i="2" s="1"/>
  <c r="U504" i="2"/>
  <c r="V504" i="2" s="1"/>
  <c r="U488" i="2"/>
  <c r="V488" i="2" s="1"/>
  <c r="U472" i="2"/>
  <c r="V472" i="2" s="1"/>
  <c r="U456" i="2"/>
  <c r="V456" i="2" s="1"/>
  <c r="U440" i="2"/>
  <c r="V440" i="2" s="1"/>
  <c r="U424" i="2"/>
  <c r="V424" i="2" s="1"/>
  <c r="U402" i="2"/>
  <c r="V402" i="2" s="1"/>
  <c r="U391" i="2"/>
  <c r="V391" i="2" s="1"/>
  <c r="U359" i="2"/>
  <c r="V359" i="2" s="1"/>
  <c r="U327" i="2"/>
  <c r="V327" i="2" s="1"/>
  <c r="U295" i="2"/>
  <c r="V295" i="2" s="1"/>
  <c r="U263" i="2"/>
  <c r="V263" i="2" s="1"/>
  <c r="U231" i="2"/>
  <c r="V231" i="2" s="1"/>
  <c r="U567" i="2"/>
  <c r="V567" i="2" s="1"/>
  <c r="U551" i="2"/>
  <c r="V551" i="2" s="1"/>
  <c r="U535" i="2"/>
  <c r="V535" i="2" s="1"/>
  <c r="U519" i="2"/>
  <c r="V519" i="2" s="1"/>
  <c r="U503" i="2"/>
  <c r="V503" i="2" s="1"/>
  <c r="U487" i="2"/>
  <c r="V487" i="2" s="1"/>
  <c r="U471" i="2"/>
  <c r="V471" i="2" s="1"/>
  <c r="U455" i="2"/>
  <c r="V455" i="2" s="1"/>
  <c r="U439" i="2"/>
  <c r="V439" i="2" s="1"/>
  <c r="U423" i="2"/>
  <c r="V423" i="2" s="1"/>
  <c r="U401" i="2"/>
  <c r="V401" i="2" s="1"/>
  <c r="U369" i="2"/>
  <c r="V369" i="2" s="1"/>
  <c r="U337" i="2"/>
  <c r="V337" i="2" s="1"/>
  <c r="U305" i="2"/>
  <c r="V305" i="2" s="1"/>
  <c r="U273" i="2"/>
  <c r="V273" i="2" s="1"/>
  <c r="U241" i="2"/>
  <c r="V241" i="2" s="1"/>
  <c r="U209" i="2"/>
  <c r="V209" i="2" s="1"/>
  <c r="U566" i="2"/>
  <c r="V566" i="2" s="1"/>
  <c r="U550" i="2"/>
  <c r="V550" i="2" s="1"/>
  <c r="U534" i="2"/>
  <c r="V534" i="2" s="1"/>
  <c r="U518" i="2"/>
  <c r="V518" i="2" s="1"/>
  <c r="U502" i="2"/>
  <c r="V502" i="2" s="1"/>
  <c r="U486" i="2"/>
  <c r="V486" i="2" s="1"/>
  <c r="U470" i="2"/>
  <c r="V470" i="2" s="1"/>
  <c r="U454" i="2"/>
  <c r="V454" i="2" s="1"/>
  <c r="U438" i="2"/>
  <c r="V438" i="2" s="1"/>
  <c r="U422" i="2"/>
  <c r="V422" i="2" s="1"/>
  <c r="U390" i="2"/>
  <c r="V390" i="2" s="1"/>
  <c r="U411" i="2"/>
  <c r="V411" i="2" s="1"/>
  <c r="U379" i="2"/>
  <c r="V379" i="2" s="1"/>
  <c r="U347" i="2"/>
  <c r="V347" i="2" s="1"/>
  <c r="U315" i="2"/>
  <c r="V315" i="2" s="1"/>
  <c r="U283" i="2"/>
  <c r="V283" i="2" s="1"/>
  <c r="U251" i="2"/>
  <c r="V251" i="2" s="1"/>
  <c r="U565" i="2"/>
  <c r="V565" i="2" s="1"/>
  <c r="U549" i="2"/>
  <c r="V549" i="2" s="1"/>
  <c r="U421" i="2"/>
  <c r="V421" i="2" s="1"/>
  <c r="U564" i="2"/>
  <c r="V564" i="2" s="1"/>
  <c r="U548" i="2"/>
  <c r="V548" i="2" s="1"/>
  <c r="U532" i="2"/>
  <c r="V532" i="2" s="1"/>
  <c r="U516" i="2"/>
  <c r="V516" i="2" s="1"/>
  <c r="U500" i="2"/>
  <c r="V500" i="2" s="1"/>
  <c r="U484" i="2"/>
  <c r="V484" i="2" s="1"/>
  <c r="U468" i="2"/>
  <c r="V468" i="2" s="1"/>
  <c r="U452" i="2"/>
  <c r="V452" i="2" s="1"/>
  <c r="U436" i="2"/>
  <c r="V436" i="2" s="1"/>
  <c r="U410" i="2"/>
  <c r="V410" i="2" s="1"/>
  <c r="U399" i="2"/>
  <c r="V399" i="2" s="1"/>
  <c r="U367" i="2"/>
  <c r="V367" i="2" s="1"/>
  <c r="U335" i="2"/>
  <c r="V335" i="2" s="1"/>
  <c r="U563" i="2"/>
  <c r="V563" i="2" s="1"/>
  <c r="U547" i="2"/>
  <c r="V547" i="2" s="1"/>
  <c r="U531" i="2"/>
  <c r="V531" i="2" s="1"/>
  <c r="U515" i="2"/>
  <c r="V515" i="2" s="1"/>
  <c r="U499" i="2"/>
  <c r="V499" i="2" s="1"/>
  <c r="U483" i="2"/>
  <c r="V483" i="2" s="1"/>
  <c r="U467" i="2"/>
  <c r="V467" i="2" s="1"/>
  <c r="U451" i="2"/>
  <c r="V451" i="2" s="1"/>
  <c r="U435" i="2"/>
  <c r="V435" i="2" s="1"/>
  <c r="U409" i="2"/>
  <c r="V409" i="2" s="1"/>
  <c r="U377" i="2"/>
  <c r="V377" i="2" s="1"/>
  <c r="U345" i="2"/>
  <c r="V345" i="2" s="1"/>
  <c r="U313" i="2"/>
  <c r="V313" i="2" s="1"/>
  <c r="U281" i="2"/>
  <c r="V281" i="2" s="1"/>
  <c r="U562" i="2"/>
  <c r="V562" i="2" s="1"/>
  <c r="U546" i="2"/>
  <c r="V546" i="2" s="1"/>
  <c r="U419" i="2"/>
  <c r="V419" i="2" s="1"/>
  <c r="U387" i="2"/>
  <c r="V387" i="2" s="1"/>
  <c r="U355" i="2"/>
  <c r="V355" i="2" s="1"/>
  <c r="U561" i="2"/>
  <c r="V561" i="2" s="1"/>
  <c r="U545" i="2"/>
  <c r="V545" i="2" s="1"/>
  <c r="U529" i="2"/>
  <c r="V529" i="2" s="1"/>
  <c r="U513" i="2"/>
  <c r="V513" i="2" s="1"/>
  <c r="U497" i="2"/>
  <c r="V497" i="2" s="1"/>
  <c r="U481" i="2"/>
  <c r="V481" i="2" s="1"/>
  <c r="U465" i="2"/>
  <c r="V465" i="2" s="1"/>
  <c r="U449" i="2"/>
  <c r="V449" i="2" s="1"/>
  <c r="U433" i="2"/>
  <c r="V433" i="2" s="1"/>
  <c r="U397" i="2"/>
  <c r="V397" i="2" s="1"/>
  <c r="U365" i="2"/>
  <c r="V365" i="2" s="1"/>
  <c r="U560" i="2"/>
  <c r="V560" i="2" s="1"/>
  <c r="U544" i="2"/>
  <c r="V544" i="2" s="1"/>
  <c r="U528" i="2"/>
  <c r="V528" i="2" s="1"/>
  <c r="U512" i="2"/>
  <c r="V512" i="2" s="1"/>
  <c r="U496" i="2"/>
  <c r="V496" i="2" s="1"/>
  <c r="U480" i="2"/>
  <c r="V480" i="2" s="1"/>
  <c r="U464" i="2"/>
  <c r="V464" i="2" s="1"/>
  <c r="U407" i="2"/>
  <c r="V407" i="2" s="1"/>
  <c r="U375" i="2"/>
  <c r="V375" i="2" s="1"/>
  <c r="U559" i="2"/>
  <c r="V559" i="2" s="1"/>
  <c r="U543" i="2"/>
  <c r="V543" i="2" s="1"/>
  <c r="U527" i="2"/>
  <c r="V527" i="2" s="1"/>
  <c r="U511" i="2"/>
  <c r="V511" i="2" s="1"/>
  <c r="U495" i="2"/>
  <c r="V495" i="2" s="1"/>
  <c r="U417" i="2"/>
  <c r="V417" i="2" s="1"/>
  <c r="U385" i="2"/>
  <c r="V385" i="2" s="1"/>
  <c r="U558" i="2"/>
  <c r="V558" i="2" s="1"/>
  <c r="U542" i="2"/>
  <c r="V542" i="2" s="1"/>
  <c r="U526" i="2"/>
  <c r="V526" i="2" s="1"/>
  <c r="U510" i="2"/>
  <c r="V510" i="2" s="1"/>
  <c r="U395" i="2"/>
  <c r="V395" i="2" s="1"/>
  <c r="U557" i="2"/>
  <c r="V557" i="2" s="1"/>
  <c r="U541" i="2"/>
  <c r="V541" i="2" s="1"/>
  <c r="U525" i="2"/>
  <c r="V525" i="2" s="1"/>
  <c r="U405" i="2"/>
  <c r="V405" i="2" s="1"/>
  <c r="U556" i="2"/>
  <c r="V556" i="2" s="1"/>
  <c r="U490" i="2"/>
  <c r="V490" i="2" s="1"/>
  <c r="U437" i="2"/>
  <c r="V437" i="2" s="1"/>
  <c r="U384" i="2"/>
  <c r="V384" i="2" s="1"/>
  <c r="U334" i="2"/>
  <c r="V334" i="2" s="1"/>
  <c r="U306" i="2"/>
  <c r="V306" i="2" s="1"/>
  <c r="U292" i="2"/>
  <c r="V292" i="2" s="1"/>
  <c r="U266" i="2"/>
  <c r="V266" i="2" s="1"/>
  <c r="U252" i="2"/>
  <c r="V252" i="2" s="1"/>
  <c r="U239" i="2"/>
  <c r="V239" i="2" s="1"/>
  <c r="U175" i="2"/>
  <c r="V175" i="2" s="1"/>
  <c r="U168" i="2"/>
  <c r="V168" i="2" s="1"/>
  <c r="U555" i="2"/>
  <c r="V555" i="2" s="1"/>
  <c r="U485" i="2"/>
  <c r="V485" i="2" s="1"/>
  <c r="U434" i="2"/>
  <c r="V434" i="2" s="1"/>
  <c r="U320" i="2"/>
  <c r="V320" i="2" s="1"/>
  <c r="U214" i="2"/>
  <c r="V214" i="2" s="1"/>
  <c r="U201" i="2"/>
  <c r="V201" i="2" s="1"/>
  <c r="U194" i="2"/>
  <c r="V194" i="2" s="1"/>
  <c r="U482" i="2"/>
  <c r="V482" i="2" s="1"/>
  <c r="U432" i="2"/>
  <c r="V432" i="2" s="1"/>
  <c r="U364" i="2"/>
  <c r="V364" i="2" s="1"/>
  <c r="U350" i="2"/>
  <c r="V350" i="2" s="1"/>
  <c r="U333" i="2"/>
  <c r="V333" i="2" s="1"/>
  <c r="U291" i="2"/>
  <c r="V291" i="2" s="1"/>
  <c r="U278" i="2"/>
  <c r="V278" i="2" s="1"/>
  <c r="U554" i="2"/>
  <c r="V554" i="2" s="1"/>
  <c r="U479" i="2"/>
  <c r="V479" i="2" s="1"/>
  <c r="U431" i="2"/>
  <c r="V431" i="2" s="1"/>
  <c r="U404" i="2"/>
  <c r="V404" i="2" s="1"/>
  <c r="U383" i="2"/>
  <c r="V383" i="2" s="1"/>
  <c r="U304" i="2"/>
  <c r="V304" i="2" s="1"/>
  <c r="U540" i="2"/>
  <c r="V540" i="2" s="1"/>
  <c r="U478" i="2"/>
  <c r="V478" i="2" s="1"/>
  <c r="U430" i="2"/>
  <c r="V430" i="2" s="1"/>
  <c r="U348" i="2"/>
  <c r="V348" i="2" s="1"/>
  <c r="U319" i="2"/>
  <c r="V319" i="2" s="1"/>
  <c r="U250" i="2"/>
  <c r="V250" i="2" s="1"/>
  <c r="U213" i="2"/>
  <c r="V213" i="2" s="1"/>
  <c r="U151" i="2"/>
  <c r="V151" i="2" s="1"/>
  <c r="U477" i="2"/>
  <c r="V477" i="2" s="1"/>
  <c r="U429" i="2"/>
  <c r="V429" i="2" s="1"/>
  <c r="U363" i="2"/>
  <c r="V363" i="2" s="1"/>
  <c r="U332" i="2"/>
  <c r="V332" i="2" s="1"/>
  <c r="U290" i="2"/>
  <c r="V290" i="2" s="1"/>
  <c r="U277" i="2"/>
  <c r="V277" i="2" s="1"/>
  <c r="U539" i="2"/>
  <c r="V539" i="2" s="1"/>
  <c r="U476" i="2"/>
  <c r="V476" i="2" s="1"/>
  <c r="U428" i="2"/>
  <c r="V428" i="2" s="1"/>
  <c r="U382" i="2"/>
  <c r="V382" i="2" s="1"/>
  <c r="U303" i="2"/>
  <c r="V303" i="2" s="1"/>
  <c r="U400" i="2"/>
  <c r="V400" i="2" s="1"/>
  <c r="U380" i="2"/>
  <c r="V380" i="2" s="1"/>
  <c r="U318" i="2"/>
  <c r="V318" i="2" s="1"/>
  <c r="U262" i="2"/>
  <c r="V262" i="2" s="1"/>
  <c r="U538" i="2"/>
  <c r="V538" i="2" s="1"/>
  <c r="U475" i="2"/>
  <c r="V475" i="2" s="1"/>
  <c r="U427" i="2"/>
  <c r="V427" i="2" s="1"/>
  <c r="U362" i="2"/>
  <c r="V362" i="2" s="1"/>
  <c r="U346" i="2"/>
  <c r="V346" i="2" s="1"/>
  <c r="U331" i="2"/>
  <c r="V331" i="2" s="1"/>
  <c r="U533" i="2"/>
  <c r="V533" i="2" s="1"/>
  <c r="U316" i="2"/>
  <c r="V316" i="2" s="1"/>
  <c r="U261" i="2"/>
  <c r="V261" i="2" s="1"/>
  <c r="U236" i="2"/>
  <c r="V236" i="2" s="1"/>
  <c r="U530" i="2"/>
  <c r="V530" i="2" s="1"/>
  <c r="U474" i="2"/>
  <c r="V474" i="2" s="1"/>
  <c r="U426" i="2"/>
  <c r="V426" i="2" s="1"/>
  <c r="U398" i="2"/>
  <c r="V398" i="2" s="1"/>
  <c r="U378" i="2"/>
  <c r="V378" i="2" s="1"/>
  <c r="U524" i="2"/>
  <c r="V524" i="2" s="1"/>
  <c r="U469" i="2"/>
  <c r="V469" i="2" s="1"/>
  <c r="U361" i="2"/>
  <c r="V361" i="2" s="1"/>
  <c r="U344" i="2"/>
  <c r="V344" i="2" s="1"/>
  <c r="U330" i="2"/>
  <c r="V330" i="2" s="1"/>
  <c r="U466" i="2"/>
  <c r="V466" i="2" s="1"/>
  <c r="U420" i="2"/>
  <c r="V420" i="2" s="1"/>
  <c r="U522" i="2"/>
  <c r="V522" i="2" s="1"/>
  <c r="U461" i="2"/>
  <c r="V461" i="2" s="1"/>
  <c r="U418" i="2"/>
  <c r="V418" i="2" s="1"/>
  <c r="U514" i="2"/>
  <c r="V514" i="2" s="1"/>
  <c r="U394" i="2"/>
  <c r="V394" i="2" s="1"/>
  <c r="U509" i="2"/>
  <c r="V509" i="2" s="1"/>
  <c r="U508" i="2"/>
  <c r="V508" i="2" s="1"/>
  <c r="U458" i="2"/>
  <c r="V458" i="2" s="1"/>
  <c r="U523" i="2"/>
  <c r="V523" i="2" s="1"/>
  <c r="U353" i="2"/>
  <c r="V353" i="2" s="1"/>
  <c r="U309" i="2"/>
  <c r="V309" i="2" s="1"/>
  <c r="U271" i="2"/>
  <c r="V271" i="2" s="1"/>
  <c r="U226" i="2"/>
  <c r="V226" i="2" s="1"/>
  <c r="U195" i="2"/>
  <c r="V195" i="2" s="1"/>
  <c r="U182" i="2"/>
  <c r="V182" i="2" s="1"/>
  <c r="U148" i="2"/>
  <c r="V148" i="2" s="1"/>
  <c r="U138" i="2"/>
  <c r="V138" i="2" s="1"/>
  <c r="U416" i="2"/>
  <c r="V416" i="2" s="1"/>
  <c r="U376" i="2"/>
  <c r="V376" i="2" s="1"/>
  <c r="U326" i="2"/>
  <c r="V326" i="2" s="1"/>
  <c r="U288" i="2"/>
  <c r="V288" i="2" s="1"/>
  <c r="U256" i="2"/>
  <c r="V256" i="2" s="1"/>
  <c r="U240" i="2"/>
  <c r="V240" i="2" s="1"/>
  <c r="U212" i="2"/>
  <c r="V212" i="2" s="1"/>
  <c r="U161" i="2"/>
  <c r="V161" i="2" s="1"/>
  <c r="U517" i="2"/>
  <c r="V517" i="2" s="1"/>
  <c r="U225" i="2"/>
  <c r="V225" i="2" s="1"/>
  <c r="U374" i="2"/>
  <c r="V374" i="2" s="1"/>
  <c r="U287" i="2"/>
  <c r="V287" i="2" s="1"/>
  <c r="U255" i="2"/>
  <c r="V255" i="2" s="1"/>
  <c r="U210" i="2"/>
  <c r="V210" i="2" s="1"/>
  <c r="U200" i="2"/>
  <c r="V200" i="2" s="1"/>
  <c r="U130" i="2"/>
  <c r="V130" i="2" s="1"/>
  <c r="U506" i="2"/>
  <c r="V506" i="2" s="1"/>
  <c r="U324" i="2"/>
  <c r="V324" i="2" s="1"/>
  <c r="U238" i="2"/>
  <c r="V238" i="2" s="1"/>
  <c r="U224" i="2"/>
  <c r="V224" i="2" s="1"/>
  <c r="U166" i="2"/>
  <c r="V166" i="2" s="1"/>
  <c r="U501" i="2"/>
  <c r="V501" i="2" s="1"/>
  <c r="U414" i="2"/>
  <c r="V414" i="2" s="1"/>
  <c r="U351" i="2"/>
  <c r="V351" i="2" s="1"/>
  <c r="U302" i="2"/>
  <c r="V302" i="2" s="1"/>
  <c r="U269" i="2"/>
  <c r="V269" i="2" s="1"/>
  <c r="U171" i="2"/>
  <c r="V171" i="2" s="1"/>
  <c r="U498" i="2"/>
  <c r="V498" i="2" s="1"/>
  <c r="U412" i="2"/>
  <c r="V412" i="2" s="1"/>
  <c r="U373" i="2"/>
  <c r="V373" i="2" s="1"/>
  <c r="U323" i="2"/>
  <c r="V323" i="2" s="1"/>
  <c r="U286" i="2"/>
  <c r="V286" i="2" s="1"/>
  <c r="U254" i="2"/>
  <c r="V254" i="2" s="1"/>
  <c r="U237" i="2"/>
  <c r="V237" i="2" s="1"/>
  <c r="U192" i="2"/>
  <c r="V192" i="2" s="1"/>
  <c r="U184" i="2"/>
  <c r="V184" i="2" s="1"/>
  <c r="U163" i="2"/>
  <c r="V163" i="2" s="1"/>
  <c r="U140" i="2"/>
  <c r="V140" i="2" s="1"/>
  <c r="U494" i="2"/>
  <c r="V494" i="2" s="1"/>
  <c r="U343" i="2"/>
  <c r="V343" i="2" s="1"/>
  <c r="U301" i="2"/>
  <c r="V301" i="2" s="1"/>
  <c r="U223" i="2"/>
  <c r="V223" i="2" s="1"/>
  <c r="U208" i="2"/>
  <c r="V208" i="2" s="1"/>
  <c r="U197" i="2"/>
  <c r="V197" i="2" s="1"/>
  <c r="U150" i="2"/>
  <c r="V150" i="2" s="1"/>
  <c r="U493" i="2"/>
  <c r="V493" i="2" s="1"/>
  <c r="U284" i="2"/>
  <c r="V284" i="2" s="1"/>
  <c r="U268" i="2"/>
  <c r="V268" i="2" s="1"/>
  <c r="U189" i="2"/>
  <c r="V189" i="2" s="1"/>
  <c r="U492" i="2"/>
  <c r="V492" i="2" s="1"/>
  <c r="U372" i="2"/>
  <c r="V372" i="2" s="1"/>
  <c r="U408" i="2"/>
  <c r="V408" i="2" s="1"/>
  <c r="U342" i="2"/>
  <c r="V342" i="2" s="1"/>
  <c r="U300" i="2"/>
  <c r="V300" i="2" s="1"/>
  <c r="U222" i="2"/>
  <c r="V222" i="2" s="1"/>
  <c r="U460" i="2"/>
  <c r="V460" i="2" s="1"/>
  <c r="U265" i="2"/>
  <c r="V265" i="2" s="1"/>
  <c r="U199" i="2"/>
  <c r="V199" i="2" s="1"/>
  <c r="U191" i="2"/>
  <c r="V191" i="2" s="1"/>
  <c r="U280" i="2"/>
  <c r="V280" i="2" s="1"/>
  <c r="U453" i="2"/>
  <c r="V453" i="2" s="1"/>
  <c r="U366" i="2"/>
  <c r="V366" i="2" s="1"/>
  <c r="U314" i="2"/>
  <c r="V314" i="2" s="1"/>
  <c r="U450" i="2"/>
  <c r="V450" i="2" s="1"/>
  <c r="U448" i="2"/>
  <c r="V448" i="2" s="1"/>
  <c r="U393" i="2"/>
  <c r="V393" i="2" s="1"/>
  <c r="U447" i="2"/>
  <c r="V447" i="2" s="1"/>
  <c r="U507" i="2"/>
  <c r="V507" i="2" s="1"/>
  <c r="U370" i="2"/>
  <c r="V370" i="2" s="1"/>
  <c r="U165" i="2"/>
  <c r="V165" i="2" s="1"/>
  <c r="U491" i="2"/>
  <c r="V491" i="2" s="1"/>
  <c r="U294" i="2"/>
  <c r="V294" i="2" s="1"/>
  <c r="U244" i="2"/>
  <c r="V244" i="2" s="1"/>
  <c r="U219" i="2"/>
  <c r="V219" i="2" s="1"/>
  <c r="U196" i="2"/>
  <c r="V196" i="2" s="1"/>
  <c r="U172" i="2"/>
  <c r="V172" i="2" s="1"/>
  <c r="U162" i="2"/>
  <c r="V162" i="2" s="1"/>
  <c r="U126" i="2"/>
  <c r="V126" i="2" s="1"/>
  <c r="U123" i="2"/>
  <c r="V123" i="2" s="1"/>
  <c r="U368" i="2"/>
  <c r="V368" i="2" s="1"/>
  <c r="U325" i="2"/>
  <c r="V325" i="2" s="1"/>
  <c r="U112" i="2"/>
  <c r="V112" i="2" s="1"/>
  <c r="U463" i="2"/>
  <c r="V463" i="2" s="1"/>
  <c r="U322" i="2"/>
  <c r="V322" i="2" s="1"/>
  <c r="U293" i="2"/>
  <c r="V293" i="2" s="1"/>
  <c r="U218" i="2"/>
  <c r="V218" i="2" s="1"/>
  <c r="U137" i="2"/>
  <c r="V137" i="2" s="1"/>
  <c r="U462" i="2"/>
  <c r="V462" i="2" s="1"/>
  <c r="U242" i="2"/>
  <c r="V242" i="2" s="1"/>
  <c r="U459" i="2"/>
  <c r="V459" i="2" s="1"/>
  <c r="U358" i="2"/>
  <c r="V358" i="2" s="1"/>
  <c r="U321" i="2"/>
  <c r="V321" i="2" s="1"/>
  <c r="U203" i="2"/>
  <c r="V203" i="2" s="1"/>
  <c r="U155" i="2"/>
  <c r="V155" i="2" s="1"/>
  <c r="U445" i="2"/>
  <c r="V445" i="2" s="1"/>
  <c r="U357" i="2"/>
  <c r="V357" i="2" s="1"/>
  <c r="U260" i="2"/>
  <c r="V260" i="2" s="1"/>
  <c r="U181" i="2"/>
  <c r="V181" i="2" s="1"/>
  <c r="U444" i="2"/>
  <c r="V444" i="2" s="1"/>
  <c r="U443" i="2"/>
  <c r="V443" i="2" s="1"/>
  <c r="U356" i="2"/>
  <c r="V356" i="2" s="1"/>
  <c r="U235" i="2"/>
  <c r="V235" i="2" s="1"/>
  <c r="U216" i="2"/>
  <c r="V216" i="2" s="1"/>
  <c r="U158" i="2"/>
  <c r="V158" i="2" s="1"/>
  <c r="U259" i="2"/>
  <c r="V259" i="2" s="1"/>
  <c r="U442" i="2"/>
  <c r="V442" i="2" s="1"/>
  <c r="U128" i="2"/>
  <c r="V128" i="2" s="1"/>
  <c r="U406" i="2"/>
  <c r="V406" i="2" s="1"/>
  <c r="U396" i="2"/>
  <c r="V396" i="2" s="1"/>
  <c r="U446" i="2"/>
  <c r="V446" i="2" s="1"/>
  <c r="U247" i="2"/>
  <c r="V247" i="2" s="1"/>
  <c r="U246" i="2"/>
  <c r="V246" i="2" s="1"/>
  <c r="U329" i="2"/>
  <c r="V329" i="2" s="1"/>
  <c r="U147" i="2"/>
  <c r="V147" i="2" s="1"/>
  <c r="U143" i="2"/>
  <c r="V143" i="2" s="1"/>
  <c r="U139" i="2"/>
  <c r="V139" i="2" s="1"/>
  <c r="U105" i="2"/>
  <c r="V105" i="2" s="1"/>
  <c r="U415" i="2"/>
  <c r="V415" i="2" s="1"/>
  <c r="U215" i="2"/>
  <c r="V215" i="2" s="1"/>
  <c r="U132" i="2"/>
  <c r="V132" i="2" s="1"/>
  <c r="U121" i="2"/>
  <c r="V121" i="2" s="1"/>
  <c r="U186" i="2"/>
  <c r="V186" i="2" s="1"/>
  <c r="U118" i="2"/>
  <c r="V118" i="2" s="1"/>
  <c r="U279" i="2"/>
  <c r="V279" i="2" s="1"/>
  <c r="U108" i="2"/>
  <c r="V108" i="2" s="1"/>
  <c r="U245" i="2"/>
  <c r="V245" i="2" s="1"/>
  <c r="U167" i="2"/>
  <c r="V167" i="2" s="1"/>
  <c r="U159" i="2"/>
  <c r="V159" i="2" s="1"/>
  <c r="U111" i="2"/>
  <c r="V111" i="2" s="1"/>
  <c r="U276" i="2"/>
  <c r="V276" i="2" s="1"/>
  <c r="U176" i="2"/>
  <c r="V176" i="2" s="1"/>
  <c r="U117" i="2"/>
  <c r="V117" i="2" s="1"/>
  <c r="U114" i="2"/>
  <c r="V114" i="2" s="1"/>
  <c r="U312" i="2"/>
  <c r="V312" i="2" s="1"/>
  <c r="U135" i="2"/>
  <c r="V135" i="2" s="1"/>
  <c r="U131" i="2"/>
  <c r="V131" i="2" s="1"/>
  <c r="U274" i="2"/>
  <c r="V274" i="2" s="1"/>
  <c r="U185" i="2"/>
  <c r="V185" i="2" s="1"/>
  <c r="U146" i="2"/>
  <c r="V146" i="2" s="1"/>
  <c r="U142" i="2"/>
  <c r="V142" i="2" s="1"/>
  <c r="U124" i="2"/>
  <c r="V124" i="2" s="1"/>
  <c r="U389" i="2"/>
  <c r="V389" i="2" s="1"/>
  <c r="U207" i="2"/>
  <c r="V207" i="2" s="1"/>
  <c r="U127" i="2"/>
  <c r="V127" i="2" s="1"/>
  <c r="U388" i="2"/>
  <c r="V388" i="2" s="1"/>
  <c r="U311" i="2"/>
  <c r="V311" i="2" s="1"/>
  <c r="U234" i="2"/>
  <c r="V234" i="2" s="1"/>
  <c r="U154" i="2"/>
  <c r="V154" i="2" s="1"/>
  <c r="U120" i="2"/>
  <c r="V120" i="2" s="1"/>
  <c r="U308" i="2"/>
  <c r="V308" i="2" s="1"/>
  <c r="U267" i="2"/>
  <c r="V267" i="2" s="1"/>
  <c r="U230" i="2"/>
  <c r="V230" i="2" s="1"/>
  <c r="U170" i="2"/>
  <c r="V170" i="2" s="1"/>
  <c r="U157" i="2"/>
  <c r="V157" i="2" s="1"/>
  <c r="U145" i="2"/>
  <c r="V145" i="2" s="1"/>
  <c r="U204" i="2"/>
  <c r="V204" i="2" s="1"/>
  <c r="U354" i="2"/>
  <c r="V354" i="2" s="1"/>
  <c r="U153" i="2"/>
  <c r="V153" i="2" s="1"/>
  <c r="U229" i="2"/>
  <c r="V229" i="2" s="1"/>
  <c r="U188" i="2"/>
  <c r="V188" i="2" s="1"/>
  <c r="U299" i="2"/>
  <c r="V299" i="2" s="1"/>
  <c r="U258" i="2"/>
  <c r="V258" i="2" s="1"/>
  <c r="U174" i="2"/>
  <c r="V174" i="2" s="1"/>
  <c r="U352" i="2"/>
  <c r="V352" i="2" s="1"/>
  <c r="U198" i="2"/>
  <c r="V198" i="2" s="1"/>
  <c r="U298" i="2"/>
  <c r="V298" i="2" s="1"/>
  <c r="U228" i="2"/>
  <c r="V228" i="2" s="1"/>
  <c r="U193" i="2"/>
  <c r="V193" i="2" s="1"/>
  <c r="U257" i="2"/>
  <c r="V257" i="2" s="1"/>
  <c r="U341" i="2"/>
  <c r="V341" i="2" s="1"/>
  <c r="U297" i="2"/>
  <c r="V297" i="2" s="1"/>
  <c r="U340" i="2"/>
  <c r="V340" i="2" s="1"/>
  <c r="U144" i="2"/>
  <c r="V144" i="2" s="1"/>
  <c r="U233" i="2"/>
  <c r="V233" i="2" s="1"/>
  <c r="U187" i="2"/>
  <c r="V187" i="2" s="1"/>
  <c r="U122" i="2"/>
  <c r="V122" i="2" s="1"/>
  <c r="U109" i="2"/>
  <c r="V109" i="2" s="1"/>
  <c r="U386" i="2"/>
  <c r="V386" i="2" s="1"/>
  <c r="U169" i="2"/>
  <c r="V169" i="2" s="1"/>
  <c r="U177" i="2"/>
  <c r="V177" i="2" s="1"/>
  <c r="U129" i="2"/>
  <c r="V129" i="2" s="1"/>
  <c r="U136" i="2"/>
  <c r="V136" i="2" s="1"/>
  <c r="U227" i="2"/>
  <c r="V227" i="2" s="1"/>
  <c r="U133" i="2"/>
  <c r="V133" i="2" s="1"/>
  <c r="U338" i="2"/>
  <c r="V338" i="2" s="1"/>
  <c r="U116" i="2"/>
  <c r="V116" i="2" s="1"/>
  <c r="U106" i="2"/>
  <c r="V106" i="2" s="1"/>
  <c r="U134" i="2"/>
  <c r="V134" i="2" s="1"/>
  <c r="U336" i="2"/>
  <c r="V336" i="2" s="1"/>
  <c r="U110" i="2"/>
  <c r="V110" i="2" s="1"/>
  <c r="U149" i="2"/>
  <c r="V149" i="2" s="1"/>
  <c r="U119" i="2"/>
  <c r="V119" i="2" s="1"/>
  <c r="U248" i="2"/>
  <c r="V248" i="2" s="1"/>
  <c r="U183" i="2"/>
  <c r="V183" i="2" s="1"/>
  <c r="U141" i="2"/>
  <c r="V141" i="2" s="1"/>
  <c r="U310" i="2"/>
  <c r="V310" i="2" s="1"/>
  <c r="U220" i="2"/>
  <c r="V220" i="2" s="1"/>
  <c r="U217" i="2"/>
  <c r="V217" i="2" s="1"/>
  <c r="U206" i="2"/>
  <c r="V206" i="2" s="1"/>
  <c r="U115" i="2"/>
  <c r="V115" i="2" s="1"/>
  <c r="U205" i="2"/>
  <c r="V205" i="2" s="1"/>
  <c r="U289" i="2"/>
  <c r="V289" i="2" s="1"/>
  <c r="U173" i="2"/>
  <c r="V173" i="2" s="1"/>
  <c r="U164" i="2"/>
  <c r="V164" i="2" s="1"/>
  <c r="U160" i="2"/>
  <c r="V160" i="2" s="1"/>
  <c r="U282" i="2"/>
  <c r="V282" i="2" s="1"/>
  <c r="U156" i="2"/>
  <c r="V156" i="2" s="1"/>
  <c r="U202" i="2"/>
  <c r="V202" i="2" s="1"/>
  <c r="U272" i="2"/>
  <c r="V272" i="2" s="1"/>
  <c r="U152" i="2"/>
  <c r="V152" i="2" s="1"/>
  <c r="U190" i="2"/>
  <c r="V190" i="2" s="1"/>
  <c r="U180" i="2"/>
  <c r="V180" i="2" s="1"/>
  <c r="U125" i="2"/>
  <c r="V125" i="2" s="1"/>
  <c r="U270" i="2"/>
  <c r="V270" i="2" s="1"/>
  <c r="U113" i="2"/>
  <c r="V113" i="2" s="1"/>
  <c r="U179" i="2"/>
  <c r="V179" i="2" s="1"/>
  <c r="U178" i="2"/>
  <c r="V178" i="2" s="1"/>
  <c r="U107" i="2"/>
  <c r="V107" i="2" s="1"/>
  <c r="U249" i="2"/>
  <c r="V249" i="2" s="1"/>
  <c r="U47" i="2"/>
  <c r="V47" i="2" s="1"/>
  <c r="U63" i="2"/>
  <c r="V63" i="2" s="1"/>
  <c r="U24" i="2"/>
  <c r="V24" i="2" s="1"/>
  <c r="U4" i="2"/>
  <c r="V4" i="2" s="1"/>
  <c r="U102" i="2"/>
  <c r="V102" i="2" s="1"/>
  <c r="U97" i="2"/>
  <c r="V97" i="2" s="1"/>
  <c r="AD164" i="2"/>
  <c r="AD78" i="2"/>
  <c r="AD259" i="2"/>
  <c r="AD244" i="2"/>
  <c r="AD132" i="2"/>
  <c r="AD36" i="2"/>
  <c r="AD115" i="2"/>
  <c r="AD196" i="2"/>
  <c r="AD413" i="2"/>
  <c r="AD381" i="2"/>
  <c r="AD349" i="2"/>
  <c r="AD317" i="2"/>
  <c r="AD402" i="2"/>
  <c r="AD370" i="2"/>
  <c r="AD338" i="2"/>
  <c r="AD306" i="2"/>
  <c r="AD391" i="2"/>
  <c r="AD359" i="2"/>
  <c r="AD327" i="2"/>
  <c r="AD295" i="2"/>
  <c r="AD412" i="2"/>
  <c r="AD380" i="2"/>
  <c r="AD401" i="2"/>
  <c r="AD369" i="2"/>
  <c r="AD337" i="2"/>
  <c r="AD305" i="2"/>
  <c r="AD411" i="2"/>
  <c r="AD379" i="2"/>
  <c r="AD347" i="2"/>
  <c r="AD315" i="2"/>
  <c r="AD400" i="2"/>
  <c r="AD368" i="2"/>
  <c r="AD421" i="2"/>
  <c r="AD389" i="2"/>
  <c r="AD357" i="2"/>
  <c r="AD325" i="2"/>
  <c r="AD399" i="2"/>
  <c r="AD420" i="2"/>
  <c r="AD409" i="2"/>
  <c r="AD377" i="2"/>
  <c r="AD345" i="2"/>
  <c r="AD313" i="2"/>
  <c r="AD419" i="2"/>
  <c r="AD387" i="2"/>
  <c r="AD355" i="2"/>
  <c r="AD323" i="2"/>
  <c r="AD397" i="2"/>
  <c r="AD365" i="2"/>
  <c r="AD333" i="2"/>
  <c r="AD407" i="2"/>
  <c r="AD375" i="2"/>
  <c r="AD343" i="2"/>
  <c r="AD417" i="2"/>
  <c r="AD385" i="2"/>
  <c r="AD395" i="2"/>
  <c r="AD405" i="2"/>
  <c r="AD415" i="2"/>
  <c r="AD350" i="2"/>
  <c r="AD404" i="2"/>
  <c r="AD383" i="2"/>
  <c r="AD364" i="2"/>
  <c r="AD319" i="2"/>
  <c r="AD304" i="2"/>
  <c r="AD363" i="2"/>
  <c r="AD348" i="2"/>
  <c r="AD332" i="2"/>
  <c r="AD403" i="2"/>
  <c r="AD382" i="2"/>
  <c r="AD303" i="2"/>
  <c r="AD318" i="2"/>
  <c r="AD362" i="2"/>
  <c r="AD346" i="2"/>
  <c r="AD331" i="2"/>
  <c r="AD302" i="2"/>
  <c r="AD378" i="2"/>
  <c r="AD398" i="2"/>
  <c r="AD361" i="2"/>
  <c r="AD330" i="2"/>
  <c r="AD301" i="2"/>
  <c r="AD396" i="2"/>
  <c r="AD376" i="2"/>
  <c r="AD360" i="2"/>
  <c r="AD329" i="2"/>
  <c r="AD416" i="2"/>
  <c r="AD384" i="2"/>
  <c r="AD326" i="2"/>
  <c r="AD352" i="2"/>
  <c r="AD308" i="2"/>
  <c r="AD414" i="2"/>
  <c r="AD351" i="2"/>
  <c r="AD324" i="2"/>
  <c r="AD307" i="2"/>
  <c r="AD373" i="2"/>
  <c r="AD344" i="2"/>
  <c r="AD410" i="2"/>
  <c r="AD372" i="2"/>
  <c r="AD322" i="2"/>
  <c r="AD342" i="2"/>
  <c r="AD300" i="2"/>
  <c r="AD408" i="2"/>
  <c r="AD371" i="2"/>
  <c r="AD321" i="2"/>
  <c r="AD367" i="2"/>
  <c r="AD366" i="2"/>
  <c r="AD339" i="2"/>
  <c r="AD297" i="2"/>
  <c r="AD393" i="2"/>
  <c r="AD358" i="2"/>
  <c r="AD388" i="2"/>
  <c r="AD328" i="2"/>
  <c r="AD294" i="2"/>
  <c r="AD316" i="2"/>
  <c r="AD356" i="2"/>
  <c r="AD312" i="2"/>
  <c r="AD354" i="2"/>
  <c r="AD392" i="2"/>
  <c r="AD335" i="2"/>
  <c r="AD418" i="2"/>
  <c r="AD334" i="2"/>
  <c r="AD406" i="2"/>
  <c r="AD394" i="2"/>
  <c r="AD320" i="2"/>
  <c r="AD314" i="2"/>
  <c r="AD390" i="2"/>
  <c r="AD311" i="2"/>
  <c r="AD299" i="2"/>
  <c r="AD353" i="2"/>
  <c r="AD298" i="2"/>
  <c r="AD341" i="2"/>
  <c r="AD340" i="2"/>
  <c r="AD386" i="2"/>
  <c r="AD336" i="2"/>
  <c r="AD374" i="2"/>
  <c r="AD310" i="2"/>
  <c r="AD309" i="2"/>
  <c r="AD296" i="2"/>
  <c r="AD281" i="2"/>
  <c r="AD198" i="2"/>
  <c r="U29" i="2"/>
  <c r="V29" i="2" s="1"/>
  <c r="U55" i="2"/>
  <c r="V55" i="2" s="1"/>
  <c r="AD17" i="2"/>
  <c r="AD204" i="2"/>
  <c r="AD109" i="2"/>
  <c r="AD229" i="2"/>
  <c r="AD117" i="2"/>
  <c r="AD139" i="2"/>
  <c r="AD66" i="2"/>
  <c r="AD150" i="2"/>
  <c r="AD237" i="2"/>
  <c r="AD221" i="2"/>
  <c r="U93" i="2"/>
  <c r="V93" i="2" s="1"/>
  <c r="U90" i="2"/>
  <c r="V90" i="2" s="1"/>
  <c r="U18" i="2"/>
  <c r="V18" i="2" s="1"/>
  <c r="AD199" i="2"/>
  <c r="AD75" i="2"/>
  <c r="AD16" i="2"/>
  <c r="AD130" i="2"/>
  <c r="AD172" i="2"/>
  <c r="AD147" i="2"/>
  <c r="AD76" i="2"/>
  <c r="AD208" i="2"/>
  <c r="AD264" i="2"/>
  <c r="AD253" i="2"/>
  <c r="AD13" i="2"/>
  <c r="AD290" i="2"/>
  <c r="AD40" i="2"/>
  <c r="AD166" i="2"/>
  <c r="AD212" i="2"/>
  <c r="AD151" i="2"/>
  <c r="AD96" i="2"/>
  <c r="AD223" i="2"/>
  <c r="AD65" i="2"/>
  <c r="AD285" i="2"/>
  <c r="U7" i="2"/>
  <c r="V7" i="2" s="1"/>
  <c r="AD276" i="2"/>
  <c r="AD23" i="2"/>
  <c r="AD171" i="2"/>
  <c r="AD108" i="2"/>
  <c r="AD100" i="2"/>
  <c r="U48" i="2"/>
  <c r="V48" i="2" s="1"/>
  <c r="AD124" i="2"/>
  <c r="U50" i="2"/>
  <c r="V50" i="2" s="1"/>
  <c r="U79" i="2"/>
  <c r="V79" i="2" s="1"/>
  <c r="AD248" i="2"/>
  <c r="AD180" i="2"/>
  <c r="U88" i="2"/>
  <c r="V88" i="2" s="1"/>
  <c r="U26" i="2"/>
  <c r="V26" i="2" s="1"/>
  <c r="U25" i="2"/>
  <c r="V25" i="2" s="1"/>
  <c r="AD200" i="2"/>
  <c r="AD140" i="2"/>
  <c r="AD227" i="2"/>
  <c r="AD206" i="2"/>
  <c r="AD114" i="2"/>
  <c r="AD191" i="2"/>
  <c r="AD45" i="2"/>
  <c r="AD184" i="2"/>
  <c r="AD119" i="2"/>
  <c r="U9" i="2"/>
  <c r="V9" i="2" s="1"/>
  <c r="U73" i="2"/>
  <c r="V73" i="2" s="1"/>
  <c r="U74" i="2"/>
  <c r="V74" i="2" s="1"/>
  <c r="U32" i="2"/>
  <c r="V32" i="2" s="1"/>
  <c r="AD107" i="2"/>
  <c r="AD134" i="2"/>
  <c r="AD181" i="2"/>
  <c r="U65" i="2"/>
  <c r="V65" i="2" s="1"/>
  <c r="U87" i="2"/>
  <c r="V87" i="2" s="1"/>
  <c r="U104" i="2"/>
  <c r="V104" i="2" s="1"/>
  <c r="AD43" i="2"/>
  <c r="AD22" i="2"/>
  <c r="AD230" i="2"/>
  <c r="AD272" i="2"/>
  <c r="AD213" i="2"/>
  <c r="AD258" i="2"/>
  <c r="AD59" i="2"/>
  <c r="AD192" i="2"/>
  <c r="AD135" i="2"/>
  <c r="AD245" i="2"/>
  <c r="AD216" i="2"/>
  <c r="AD81" i="2"/>
  <c r="AD254" i="2"/>
  <c r="AD163" i="2"/>
  <c r="U39" i="2"/>
  <c r="V39" i="2" s="1"/>
  <c r="AD170" i="2"/>
  <c r="U70" i="2"/>
  <c r="V70" i="2" s="1"/>
  <c r="AD256" i="2"/>
  <c r="AD42" i="2"/>
  <c r="AD234" i="2"/>
  <c r="AD111" i="2"/>
  <c r="AD289" i="2"/>
  <c r="AD91" i="2"/>
  <c r="AD286" i="2"/>
  <c r="AD182" i="2"/>
  <c r="U51" i="2"/>
  <c r="V51" i="2" s="1"/>
  <c r="U82" i="2"/>
  <c r="V82" i="2" s="1"/>
  <c r="U66" i="2"/>
  <c r="V66" i="2" s="1"/>
  <c r="AD26" i="2"/>
  <c r="AD173" i="2"/>
  <c r="U12" i="2"/>
  <c r="V12" i="2" s="1"/>
  <c r="U76" i="2"/>
  <c r="V76" i="2" s="1"/>
  <c r="AD29" i="2"/>
  <c r="U40" i="2"/>
  <c r="V40" i="2" s="1"/>
  <c r="U31" i="2"/>
  <c r="V31" i="2" s="1"/>
  <c r="U96" i="2"/>
  <c r="V96" i="2" s="1"/>
  <c r="AD32" i="2"/>
  <c r="AD90" i="2"/>
  <c r="AD55" i="2"/>
  <c r="AD8" i="2"/>
  <c r="AD167" i="2"/>
  <c r="AD178" i="2"/>
  <c r="AD112" i="2"/>
  <c r="AD56" i="2"/>
  <c r="AD238" i="2"/>
  <c r="G31" i="8" l="1"/>
  <c r="A33" i="8"/>
  <c r="E32" i="8"/>
  <c r="F32" i="8" s="1"/>
  <c r="O34" i="9"/>
  <c r="L36" i="9"/>
  <c r="M36" i="9" s="1"/>
  <c r="I36" i="9"/>
  <c r="E36" i="9"/>
  <c r="G36" i="9" s="1"/>
  <c r="B36" i="9"/>
  <c r="N36" i="9"/>
  <c r="A37" i="9"/>
  <c r="C35" i="9"/>
  <c r="H35" i="9"/>
  <c r="K35" i="9"/>
  <c r="D35" i="9"/>
  <c r="J35" i="9"/>
  <c r="D31" i="8"/>
  <c r="J31" i="8"/>
  <c r="C31" i="8"/>
  <c r="I31" i="8"/>
  <c r="O31" i="8" s="1"/>
  <c r="L32" i="8"/>
  <c r="H32" i="8"/>
  <c r="B32" i="8"/>
  <c r="M32" i="8"/>
  <c r="N30" i="8"/>
  <c r="B33" i="8"/>
  <c r="H33" i="8"/>
  <c r="M33" i="8"/>
  <c r="A34" i="8"/>
  <c r="W2" i="4" a="1"/>
  <c r="W2" i="2" a="1"/>
  <c r="W2" i="3" a="1"/>
  <c r="W2" i="3" s="1"/>
  <c r="E14" i="3" s="1"/>
  <c r="W2" i="5" a="1"/>
  <c r="W2" i="5" s="1"/>
  <c r="AF1" i="4" a="1"/>
  <c r="AF1" i="4" s="1"/>
  <c r="AF2" i="4" s="1"/>
  <c r="AF1" i="5" a="1"/>
  <c r="AF1" i="5" s="1"/>
  <c r="AF1" i="3" a="1"/>
  <c r="AF1" i="3" s="1"/>
  <c r="AF1" i="2" a="1"/>
  <c r="AF1" i="2" s="1"/>
  <c r="E34" i="8" l="1"/>
  <c r="F34" i="8" s="1"/>
  <c r="K34" i="8"/>
  <c r="E33" i="8"/>
  <c r="F33" i="8" s="1"/>
  <c r="K33" i="8"/>
  <c r="L33" i="8" s="1"/>
  <c r="G32" i="8"/>
  <c r="O35" i="9"/>
  <c r="N37" i="9"/>
  <c r="B37" i="9"/>
  <c r="I37" i="9"/>
  <c r="E37" i="9"/>
  <c r="G37" i="9" s="1"/>
  <c r="L37" i="9"/>
  <c r="M37" i="9" s="1"/>
  <c r="A38" i="9"/>
  <c r="K36" i="9"/>
  <c r="J36" i="9"/>
  <c r="C36" i="9"/>
  <c r="H36" i="9"/>
  <c r="D36" i="9"/>
  <c r="N31" i="8"/>
  <c r="D32" i="8"/>
  <c r="J32" i="8"/>
  <c r="C32" i="8"/>
  <c r="I32" i="8"/>
  <c r="L34" i="8"/>
  <c r="H34" i="8"/>
  <c r="B34" i="8"/>
  <c r="M34" i="8"/>
  <c r="A35" i="8"/>
  <c r="D33" i="8"/>
  <c r="C33" i="8"/>
  <c r="J33" i="8"/>
  <c r="I33" i="8"/>
  <c r="H14" i="5"/>
  <c r="J14" i="5" s="1"/>
  <c r="E14" i="5"/>
  <c r="B14" i="5"/>
  <c r="H2" i="5" s="1"/>
  <c r="W2" i="4"/>
  <c r="W2" i="2"/>
  <c r="W1" i="2" s="1" a="1"/>
  <c r="W1" i="2" s="1"/>
  <c r="A15" i="2" s="1"/>
  <c r="AF4" i="4"/>
  <c r="W1" i="5" a="1"/>
  <c r="W1" i="5" s="1"/>
  <c r="A15" i="5" s="1"/>
  <c r="AF3" i="4"/>
  <c r="AF3" i="5"/>
  <c r="AF4" i="5"/>
  <c r="AF2" i="5"/>
  <c r="AF4" i="3"/>
  <c r="AF2" i="3"/>
  <c r="AF3" i="3"/>
  <c r="AF2" i="2"/>
  <c r="AF4" i="2"/>
  <c r="AF3" i="2"/>
  <c r="O32" i="8" l="1"/>
  <c r="G34" i="8"/>
  <c r="E35" i="8"/>
  <c r="F35" i="8" s="1"/>
  <c r="K35" i="8"/>
  <c r="L35" i="8" s="1"/>
  <c r="G33" i="8"/>
  <c r="O33" i="8" s="1"/>
  <c r="O36" i="9"/>
  <c r="E38" i="9"/>
  <c r="G38" i="9" s="1"/>
  <c r="N38" i="9"/>
  <c r="L38" i="9"/>
  <c r="M38" i="9" s="1"/>
  <c r="I38" i="9"/>
  <c r="B38" i="9"/>
  <c r="A39" i="9"/>
  <c r="H37" i="9"/>
  <c r="C37" i="9"/>
  <c r="K37" i="9"/>
  <c r="D37" i="9"/>
  <c r="J37" i="9"/>
  <c r="N32" i="8"/>
  <c r="N33" i="8"/>
  <c r="H35" i="8"/>
  <c r="B35" i="8"/>
  <c r="M35" i="8"/>
  <c r="A36" i="8"/>
  <c r="C34" i="8"/>
  <c r="I34" i="8"/>
  <c r="D34" i="8"/>
  <c r="J34" i="8"/>
  <c r="H14" i="4"/>
  <c r="J14" i="4" s="1"/>
  <c r="E14" i="4"/>
  <c r="H3" i="4"/>
  <c r="I3" i="4" s="1"/>
  <c r="L15" i="5"/>
  <c r="B15" i="5"/>
  <c r="B15" i="2"/>
  <c r="G15" i="2" s="1"/>
  <c r="L15" i="2"/>
  <c r="A16" i="5"/>
  <c r="B16" i="5" s="1"/>
  <c r="E15" i="5"/>
  <c r="H15" i="5"/>
  <c r="I15" i="5" s="1"/>
  <c r="E15" i="2"/>
  <c r="H15" i="2"/>
  <c r="I15" i="2" s="1"/>
  <c r="A16" i="2"/>
  <c r="O34" i="8" l="1"/>
  <c r="G35" i="8"/>
  <c r="E36" i="8"/>
  <c r="F36" i="8" s="1"/>
  <c r="K36" i="8"/>
  <c r="L36" i="8" s="1"/>
  <c r="O37" i="9"/>
  <c r="N39" i="9"/>
  <c r="L39" i="9"/>
  <c r="M39" i="9" s="1"/>
  <c r="I39" i="9"/>
  <c r="E39" i="9"/>
  <c r="G39" i="9" s="1"/>
  <c r="B39" i="9"/>
  <c r="A40" i="9"/>
  <c r="H38" i="9"/>
  <c r="K38" i="9"/>
  <c r="J38" i="9"/>
  <c r="D38" i="9"/>
  <c r="C38" i="9"/>
  <c r="N34" i="8"/>
  <c r="H36" i="8"/>
  <c r="M36" i="8"/>
  <c r="B36" i="8"/>
  <c r="A37" i="8"/>
  <c r="I35" i="8"/>
  <c r="C35" i="8"/>
  <c r="D35" i="8"/>
  <c r="J35" i="8"/>
  <c r="F15" i="2"/>
  <c r="H16" i="2"/>
  <c r="I16" i="2" s="1"/>
  <c r="L16" i="2"/>
  <c r="C15" i="2"/>
  <c r="D15" i="2"/>
  <c r="A17" i="5"/>
  <c r="L17" i="5" s="1"/>
  <c r="H16" i="5"/>
  <c r="I16" i="5" s="1"/>
  <c r="J16" i="5" s="1"/>
  <c r="K16" i="5" s="1"/>
  <c r="L16" i="5"/>
  <c r="A17" i="2"/>
  <c r="L17" i="2" s="1"/>
  <c r="F15" i="5"/>
  <c r="E16" i="2"/>
  <c r="B16" i="2"/>
  <c r="C16" i="2" s="1"/>
  <c r="E16" i="5"/>
  <c r="F16" i="5" s="1"/>
  <c r="J15" i="2"/>
  <c r="K15" i="2" s="1"/>
  <c r="G15" i="5"/>
  <c r="J15" i="5"/>
  <c r="K15" i="5" s="1"/>
  <c r="D15" i="5"/>
  <c r="C15" i="5"/>
  <c r="G16" i="5"/>
  <c r="D16" i="5"/>
  <c r="C16" i="5"/>
  <c r="O35" i="8" l="1"/>
  <c r="G36" i="8"/>
  <c r="E37" i="8"/>
  <c r="F37" i="8" s="1"/>
  <c r="K37" i="8"/>
  <c r="L37" i="8" s="1"/>
  <c r="O38" i="9"/>
  <c r="H17" i="5"/>
  <c r="I17" i="5" s="1"/>
  <c r="J17" i="5" s="1"/>
  <c r="K17" i="5" s="1"/>
  <c r="L40" i="9"/>
  <c r="M40" i="9" s="1"/>
  <c r="N40" i="9"/>
  <c r="I40" i="9"/>
  <c r="E40" i="9"/>
  <c r="G40" i="9" s="1"/>
  <c r="B40" i="9"/>
  <c r="A41" i="9"/>
  <c r="H39" i="9"/>
  <c r="C39" i="9"/>
  <c r="K39" i="9"/>
  <c r="D39" i="9"/>
  <c r="J39" i="9"/>
  <c r="M15" i="2"/>
  <c r="N35" i="8"/>
  <c r="A18" i="2"/>
  <c r="L18" i="2" s="1"/>
  <c r="B17" i="2"/>
  <c r="G17" i="2" s="1"/>
  <c r="E17" i="2"/>
  <c r="J36" i="8"/>
  <c r="I36" i="8"/>
  <c r="D36" i="8"/>
  <c r="C36" i="8"/>
  <c r="A18" i="5"/>
  <c r="L18" i="5" s="1"/>
  <c r="H17" i="2"/>
  <c r="I17" i="2" s="1"/>
  <c r="H37" i="8"/>
  <c r="M37" i="8"/>
  <c r="B37" i="8"/>
  <c r="A38" i="8"/>
  <c r="E17" i="5"/>
  <c r="B17" i="5"/>
  <c r="G17" i="5" s="1"/>
  <c r="J16" i="2"/>
  <c r="K16" i="2" s="1"/>
  <c r="G16" i="2"/>
  <c r="D16" i="2"/>
  <c r="F16" i="2"/>
  <c r="M15" i="5"/>
  <c r="M16" i="5"/>
  <c r="O36" i="8" l="1"/>
  <c r="G37" i="8"/>
  <c r="E38" i="8"/>
  <c r="F38" i="8" s="1"/>
  <c r="K38" i="8"/>
  <c r="L38" i="8" s="1"/>
  <c r="O39" i="9"/>
  <c r="I41" i="9"/>
  <c r="N41" i="9"/>
  <c r="L41" i="9"/>
  <c r="M41" i="9" s="1"/>
  <c r="B41" i="9"/>
  <c r="E41" i="9"/>
  <c r="G41" i="9" s="1"/>
  <c r="A42" i="9"/>
  <c r="J40" i="9"/>
  <c r="K40" i="9"/>
  <c r="D40" i="9"/>
  <c r="C40" i="9"/>
  <c r="H40" i="9"/>
  <c r="E18" i="5"/>
  <c r="H18" i="5"/>
  <c r="I18" i="5" s="1"/>
  <c r="A19" i="5"/>
  <c r="L19" i="5" s="1"/>
  <c r="B18" i="5"/>
  <c r="G18" i="5" s="1"/>
  <c r="N36" i="8"/>
  <c r="C17" i="2"/>
  <c r="D17" i="2"/>
  <c r="D17" i="5"/>
  <c r="B38" i="8"/>
  <c r="M38" i="8"/>
  <c r="H38" i="8"/>
  <c r="A39" i="8"/>
  <c r="C17" i="5"/>
  <c r="F17" i="2"/>
  <c r="A19" i="2"/>
  <c r="L19" i="2" s="1"/>
  <c r="B18" i="2"/>
  <c r="C18" i="2" s="1"/>
  <c r="E18" i="2"/>
  <c r="H18" i="2"/>
  <c r="I18" i="2" s="1"/>
  <c r="J17" i="2"/>
  <c r="K17" i="2" s="1"/>
  <c r="F17" i="5"/>
  <c r="J37" i="8"/>
  <c r="I37" i="8"/>
  <c r="C37" i="8"/>
  <c r="D37" i="8"/>
  <c r="M16" i="2"/>
  <c r="O37" i="8" l="1"/>
  <c r="G38" i="8"/>
  <c r="E39" i="8"/>
  <c r="F39" i="8" s="1"/>
  <c r="K39" i="8"/>
  <c r="L39" i="8" s="1"/>
  <c r="O40" i="9"/>
  <c r="L42" i="9"/>
  <c r="M42" i="9" s="1"/>
  <c r="N42" i="9"/>
  <c r="E42" i="9"/>
  <c r="G42" i="9" s="1"/>
  <c r="B42" i="9"/>
  <c r="I42" i="9"/>
  <c r="A43" i="9"/>
  <c r="H41" i="9"/>
  <c r="C41" i="9"/>
  <c r="J41" i="9"/>
  <c r="K41" i="9"/>
  <c r="D41" i="9"/>
  <c r="D18" i="5"/>
  <c r="J18" i="5"/>
  <c r="K18" i="5" s="1"/>
  <c r="F18" i="5"/>
  <c r="C18" i="5"/>
  <c r="A20" i="5"/>
  <c r="L20" i="5" s="1"/>
  <c r="E19" i="5"/>
  <c r="B19" i="5"/>
  <c r="D19" i="5" s="1"/>
  <c r="H19" i="5"/>
  <c r="I19" i="5" s="1"/>
  <c r="M17" i="5"/>
  <c r="M17" i="2"/>
  <c r="N37" i="8"/>
  <c r="M39" i="8"/>
  <c r="H39" i="8"/>
  <c r="B39" i="8"/>
  <c r="A40" i="8"/>
  <c r="A20" i="2"/>
  <c r="L20" i="2" s="1"/>
  <c r="B19" i="2"/>
  <c r="G19" i="2" s="1"/>
  <c r="E19" i="2"/>
  <c r="H19" i="2"/>
  <c r="I19" i="2" s="1"/>
  <c r="J18" i="2"/>
  <c r="K18" i="2" s="1"/>
  <c r="D18" i="2"/>
  <c r="C38" i="8"/>
  <c r="J38" i="8"/>
  <c r="I38" i="8"/>
  <c r="O38" i="8" s="1"/>
  <c r="D38" i="8"/>
  <c r="G18" i="2"/>
  <c r="F18" i="2"/>
  <c r="E40" i="8" l="1"/>
  <c r="F40" i="8" s="1"/>
  <c r="K40" i="8"/>
  <c r="L40" i="8" s="1"/>
  <c r="G39" i="8"/>
  <c r="O41" i="9"/>
  <c r="L43" i="9"/>
  <c r="M43" i="9" s="1"/>
  <c r="E43" i="9"/>
  <c r="G43" i="9" s="1"/>
  <c r="B43" i="9"/>
  <c r="N43" i="9"/>
  <c r="I43" i="9"/>
  <c r="A44" i="9"/>
  <c r="C42" i="9"/>
  <c r="K42" i="9"/>
  <c r="J42" i="9"/>
  <c r="H42" i="9"/>
  <c r="D42" i="9"/>
  <c r="M18" i="5"/>
  <c r="C19" i="5"/>
  <c r="B20" i="5"/>
  <c r="G20" i="5" s="1"/>
  <c r="F19" i="5"/>
  <c r="A21" i="5"/>
  <c r="L21" i="5" s="1"/>
  <c r="H20" i="5"/>
  <c r="I20" i="5" s="1"/>
  <c r="G19" i="5"/>
  <c r="E20" i="5"/>
  <c r="J19" i="5"/>
  <c r="K19" i="5" s="1"/>
  <c r="M18" i="2"/>
  <c r="N38" i="8"/>
  <c r="H20" i="2"/>
  <c r="I20" i="2" s="1"/>
  <c r="J20" i="2" s="1"/>
  <c r="K20" i="2" s="1"/>
  <c r="C39" i="8"/>
  <c r="I39" i="8"/>
  <c r="D39" i="8"/>
  <c r="J39" i="8"/>
  <c r="C19" i="2"/>
  <c r="D19" i="2"/>
  <c r="B40" i="8"/>
  <c r="M40" i="8"/>
  <c r="H40" i="8"/>
  <c r="A41" i="8"/>
  <c r="J19" i="2"/>
  <c r="K19" i="2" s="1"/>
  <c r="A21" i="2"/>
  <c r="L21" i="2" s="1"/>
  <c r="E20" i="2"/>
  <c r="F19" i="2"/>
  <c r="B20" i="2"/>
  <c r="C20" i="2" s="1"/>
  <c r="O39" i="8" l="1"/>
  <c r="E41" i="8"/>
  <c r="F41" i="8" s="1"/>
  <c r="K41" i="8"/>
  <c r="L41" i="8" s="1"/>
  <c r="G40" i="8"/>
  <c r="O40" i="8" s="1"/>
  <c r="O42" i="9"/>
  <c r="N44" i="9"/>
  <c r="L44" i="9"/>
  <c r="M44" i="9" s="1"/>
  <c r="I44" i="9"/>
  <c r="E44" i="9"/>
  <c r="G44" i="9" s="1"/>
  <c r="B44" i="9"/>
  <c r="A45" i="9"/>
  <c r="H43" i="9"/>
  <c r="C43" i="9"/>
  <c r="D43" i="9"/>
  <c r="K43" i="9"/>
  <c r="J43" i="9"/>
  <c r="D20" i="5"/>
  <c r="C20" i="5"/>
  <c r="F20" i="5"/>
  <c r="A22" i="5"/>
  <c r="L22" i="5" s="1"/>
  <c r="B21" i="5"/>
  <c r="C21" i="5" s="1"/>
  <c r="J20" i="5"/>
  <c r="K20" i="5" s="1"/>
  <c r="M19" i="5"/>
  <c r="E21" i="5"/>
  <c r="H21" i="5"/>
  <c r="I21" i="5" s="1"/>
  <c r="M19" i="2"/>
  <c r="E21" i="2"/>
  <c r="N39" i="8"/>
  <c r="M41" i="8"/>
  <c r="H41" i="8"/>
  <c r="B41" i="8"/>
  <c r="A42" i="8"/>
  <c r="J40" i="8"/>
  <c r="I40" i="8"/>
  <c r="C40" i="8"/>
  <c r="D40" i="8"/>
  <c r="G20" i="2"/>
  <c r="F20" i="2"/>
  <c r="A22" i="2"/>
  <c r="L22" i="2" s="1"/>
  <c r="H21" i="2"/>
  <c r="I21" i="2" s="1"/>
  <c r="D20" i="2"/>
  <c r="B21" i="2"/>
  <c r="G21" i="2" s="1"/>
  <c r="G41" i="8" l="1"/>
  <c r="E42" i="8"/>
  <c r="F42" i="8" s="1"/>
  <c r="K42" i="8"/>
  <c r="L42" i="8" s="1"/>
  <c r="O43" i="9"/>
  <c r="L45" i="9"/>
  <c r="M45" i="9" s="1"/>
  <c r="I45" i="9"/>
  <c r="E45" i="9"/>
  <c r="G45" i="9" s="1"/>
  <c r="B45" i="9"/>
  <c r="N45" i="9"/>
  <c r="A46" i="9"/>
  <c r="K44" i="9"/>
  <c r="C44" i="9"/>
  <c r="J44" i="9"/>
  <c r="H44" i="9"/>
  <c r="D44" i="9"/>
  <c r="M20" i="5"/>
  <c r="F21" i="5"/>
  <c r="H22" i="5"/>
  <c r="I22" i="5" s="1"/>
  <c r="D21" i="5"/>
  <c r="A23" i="5"/>
  <c r="L23" i="5" s="1"/>
  <c r="E22" i="5"/>
  <c r="B22" i="5"/>
  <c r="C22" i="5" s="1"/>
  <c r="G21" i="5"/>
  <c r="J21" i="5"/>
  <c r="K21" i="5" s="1"/>
  <c r="M20" i="2"/>
  <c r="N40" i="8"/>
  <c r="J21" i="2"/>
  <c r="K21" i="2" s="1"/>
  <c r="B42" i="8"/>
  <c r="H42" i="8"/>
  <c r="M42" i="8"/>
  <c r="A43" i="8"/>
  <c r="A23" i="2"/>
  <c r="L23" i="2" s="1"/>
  <c r="B22" i="2"/>
  <c r="C22" i="2" s="1"/>
  <c r="H22" i="2"/>
  <c r="I22" i="2" s="1"/>
  <c r="C21" i="2"/>
  <c r="J41" i="8"/>
  <c r="I41" i="8"/>
  <c r="O41" i="8" s="1"/>
  <c r="D41" i="8"/>
  <c r="C41" i="8"/>
  <c r="E22" i="2"/>
  <c r="F21" i="2"/>
  <c r="D21" i="2"/>
  <c r="G42" i="8" l="1"/>
  <c r="E43" i="8"/>
  <c r="F43" i="8" s="1"/>
  <c r="K43" i="8"/>
  <c r="L43" i="8" s="1"/>
  <c r="O44" i="9"/>
  <c r="I46" i="9"/>
  <c r="N46" i="9"/>
  <c r="E46" i="9"/>
  <c r="G46" i="9" s="1"/>
  <c r="L46" i="9"/>
  <c r="M46" i="9" s="1"/>
  <c r="B46" i="9"/>
  <c r="A47" i="9"/>
  <c r="K45" i="9"/>
  <c r="H45" i="9"/>
  <c r="C45" i="9"/>
  <c r="J45" i="9"/>
  <c r="D45" i="9"/>
  <c r="M21" i="5"/>
  <c r="F22" i="5"/>
  <c r="A24" i="5"/>
  <c r="L24" i="5" s="1"/>
  <c r="E23" i="5"/>
  <c r="B23" i="5"/>
  <c r="C23" i="5" s="1"/>
  <c r="H23" i="5"/>
  <c r="I23" i="5" s="1"/>
  <c r="G22" i="5"/>
  <c r="J22" i="5"/>
  <c r="K22" i="5" s="1"/>
  <c r="D22" i="5"/>
  <c r="M21" i="2"/>
  <c r="B23" i="2"/>
  <c r="G23" i="2" s="1"/>
  <c r="N41" i="8"/>
  <c r="A24" i="2"/>
  <c r="L24" i="2" s="1"/>
  <c r="B43" i="8"/>
  <c r="M43" i="8"/>
  <c r="H43" i="8"/>
  <c r="A44" i="8"/>
  <c r="D22" i="2"/>
  <c r="F22" i="2"/>
  <c r="G22" i="2"/>
  <c r="E23" i="2"/>
  <c r="H23" i="2"/>
  <c r="I23" i="2" s="1"/>
  <c r="C42" i="8"/>
  <c r="J42" i="8"/>
  <c r="I42" i="8"/>
  <c r="O42" i="8" s="1"/>
  <c r="D42" i="8"/>
  <c r="J22" i="2"/>
  <c r="K22" i="2" s="1"/>
  <c r="G43" i="8" l="1"/>
  <c r="E44" i="8"/>
  <c r="F44" i="8" s="1"/>
  <c r="K44" i="8"/>
  <c r="L44" i="8" s="1"/>
  <c r="O45" i="9"/>
  <c r="N47" i="9"/>
  <c r="L47" i="9"/>
  <c r="M47" i="9" s="1"/>
  <c r="I47" i="9"/>
  <c r="B47" i="9"/>
  <c r="E47" i="9"/>
  <c r="G47" i="9" s="1"/>
  <c r="A48" i="9"/>
  <c r="K46" i="9"/>
  <c r="H46" i="9"/>
  <c r="J46" i="9"/>
  <c r="C46" i="9"/>
  <c r="D46" i="9"/>
  <c r="B24" i="5"/>
  <c r="D24" i="5" s="1"/>
  <c r="E24" i="5"/>
  <c r="M22" i="5"/>
  <c r="E24" i="2"/>
  <c r="A25" i="5"/>
  <c r="L25" i="5" s="1"/>
  <c r="D23" i="5"/>
  <c r="J23" i="5"/>
  <c r="K23" i="5" s="1"/>
  <c r="G23" i="5"/>
  <c r="F23" i="5"/>
  <c r="H24" i="5"/>
  <c r="I24" i="5" s="1"/>
  <c r="J24" i="5" s="1"/>
  <c r="K24" i="5" s="1"/>
  <c r="F23" i="2"/>
  <c r="M22" i="2"/>
  <c r="D23" i="2"/>
  <c r="C23" i="2"/>
  <c r="A25" i="2"/>
  <c r="L25" i="2" s="1"/>
  <c r="H24" i="2"/>
  <c r="I24" i="2" s="1"/>
  <c r="J24" i="2" s="1"/>
  <c r="K24" i="2" s="1"/>
  <c r="B24" i="2"/>
  <c r="D24" i="2" s="1"/>
  <c r="N42" i="8"/>
  <c r="J23" i="2"/>
  <c r="K23" i="2" s="1"/>
  <c r="H44" i="8"/>
  <c r="B44" i="8"/>
  <c r="M44" i="8"/>
  <c r="A45" i="8"/>
  <c r="C43" i="8"/>
  <c r="J43" i="8"/>
  <c r="I43" i="8"/>
  <c r="D43" i="8"/>
  <c r="O43" i="8" l="1"/>
  <c r="G44" i="8"/>
  <c r="E45" i="8"/>
  <c r="F45" i="8" s="1"/>
  <c r="K45" i="8"/>
  <c r="L45" i="8" s="1"/>
  <c r="O46" i="9"/>
  <c r="N48" i="9"/>
  <c r="L48" i="9"/>
  <c r="M48" i="9" s="1"/>
  <c r="I48" i="9"/>
  <c r="E48" i="9"/>
  <c r="G48" i="9" s="1"/>
  <c r="B48" i="9"/>
  <c r="A49" i="9"/>
  <c r="J47" i="9"/>
  <c r="H47" i="9"/>
  <c r="C47" i="9"/>
  <c r="K47" i="9"/>
  <c r="D47" i="9"/>
  <c r="G24" i="5"/>
  <c r="F24" i="5"/>
  <c r="C24" i="5"/>
  <c r="M23" i="5"/>
  <c r="H25" i="5"/>
  <c r="I25" i="5" s="1"/>
  <c r="B25" i="5"/>
  <c r="C25" i="5" s="1"/>
  <c r="E25" i="5"/>
  <c r="A26" i="5"/>
  <c r="L26" i="5" s="1"/>
  <c r="H25" i="2"/>
  <c r="I25" i="2" s="1"/>
  <c r="E25" i="2"/>
  <c r="B25" i="2"/>
  <c r="C25" i="2" s="1"/>
  <c r="M23" i="2"/>
  <c r="A26" i="2"/>
  <c r="L26" i="2" s="1"/>
  <c r="C24" i="2"/>
  <c r="F24" i="2"/>
  <c r="G24" i="2"/>
  <c r="N43" i="8"/>
  <c r="M45" i="8"/>
  <c r="B45" i="8"/>
  <c r="H45" i="8"/>
  <c r="A46" i="8"/>
  <c r="D44" i="8"/>
  <c r="C44" i="8"/>
  <c r="J44" i="8"/>
  <c r="I44" i="8"/>
  <c r="O44" i="8" l="1"/>
  <c r="G45" i="8"/>
  <c r="E46" i="8"/>
  <c r="F46" i="8" s="1"/>
  <c r="K46" i="8"/>
  <c r="L46" i="8" s="1"/>
  <c r="O47" i="9"/>
  <c r="I49" i="9"/>
  <c r="L49" i="9"/>
  <c r="M49" i="9" s="1"/>
  <c r="N49" i="9"/>
  <c r="E49" i="9"/>
  <c r="G49" i="9" s="1"/>
  <c r="B49" i="9"/>
  <c r="A50" i="9"/>
  <c r="K48" i="9"/>
  <c r="J48" i="9"/>
  <c r="H48" i="9"/>
  <c r="D48" i="9"/>
  <c r="C48" i="9"/>
  <c r="M24" i="5"/>
  <c r="E26" i="5"/>
  <c r="H26" i="5"/>
  <c r="I26" i="5" s="1"/>
  <c r="B26" i="5"/>
  <c r="C26" i="5" s="1"/>
  <c r="J25" i="5"/>
  <c r="K25" i="5" s="1"/>
  <c r="G25" i="5"/>
  <c r="F25" i="5"/>
  <c r="D25" i="5"/>
  <c r="E26" i="2"/>
  <c r="H26" i="2"/>
  <c r="I26" i="2" s="1"/>
  <c r="B26" i="2"/>
  <c r="D26" i="2" s="1"/>
  <c r="A27" i="5"/>
  <c r="L27" i="5" s="1"/>
  <c r="J25" i="2"/>
  <c r="K25" i="2" s="1"/>
  <c r="A27" i="2"/>
  <c r="L27" i="2" s="1"/>
  <c r="D25" i="2"/>
  <c r="G25" i="2"/>
  <c r="F25" i="2"/>
  <c r="M24" i="2"/>
  <c r="N44" i="8"/>
  <c r="H46" i="8"/>
  <c r="M46" i="8"/>
  <c r="B46" i="8"/>
  <c r="A47" i="8"/>
  <c r="J45" i="8"/>
  <c r="I45" i="8"/>
  <c r="C45" i="8"/>
  <c r="D45" i="8"/>
  <c r="O45" i="8" l="1"/>
  <c r="G46" i="8"/>
  <c r="E47" i="8"/>
  <c r="F47" i="8" s="1"/>
  <c r="K47" i="8"/>
  <c r="L47" i="8" s="1"/>
  <c r="O48" i="9"/>
  <c r="N50" i="9"/>
  <c r="I50" i="9"/>
  <c r="E50" i="9"/>
  <c r="G50" i="9" s="1"/>
  <c r="L50" i="9"/>
  <c r="M50" i="9" s="1"/>
  <c r="B50" i="9"/>
  <c r="A51" i="9"/>
  <c r="H49" i="9"/>
  <c r="C49" i="9"/>
  <c r="J49" i="9"/>
  <c r="K49" i="9"/>
  <c r="D49" i="9"/>
  <c r="D26" i="5"/>
  <c r="F26" i="5"/>
  <c r="G26" i="5"/>
  <c r="J26" i="5"/>
  <c r="K26" i="5" s="1"/>
  <c r="M25" i="5"/>
  <c r="H27" i="5"/>
  <c r="I27" i="5" s="1"/>
  <c r="B27" i="2"/>
  <c r="D27" i="2" s="1"/>
  <c r="C26" i="2"/>
  <c r="G26" i="2"/>
  <c r="F26" i="2"/>
  <c r="A28" i="5"/>
  <c r="L28" i="5" s="1"/>
  <c r="E27" i="5"/>
  <c r="B27" i="5"/>
  <c r="C27" i="5" s="1"/>
  <c r="J26" i="2"/>
  <c r="K26" i="2" s="1"/>
  <c r="A28" i="2"/>
  <c r="L28" i="2" s="1"/>
  <c r="E27" i="2"/>
  <c r="H27" i="2"/>
  <c r="I27" i="2" s="1"/>
  <c r="M25" i="2"/>
  <c r="N45" i="8"/>
  <c r="I46" i="8"/>
  <c r="J46" i="8"/>
  <c r="D46" i="8"/>
  <c r="C46" i="8"/>
  <c r="M47" i="8"/>
  <c r="B47" i="8"/>
  <c r="H47" i="8"/>
  <c r="A48" i="8"/>
  <c r="O46" i="8" l="1"/>
  <c r="G47" i="8"/>
  <c r="E48" i="8"/>
  <c r="F48" i="8" s="1"/>
  <c r="K48" i="8"/>
  <c r="L48" i="8" s="1"/>
  <c r="O49" i="9"/>
  <c r="I51" i="9"/>
  <c r="E51" i="9"/>
  <c r="G51" i="9" s="1"/>
  <c r="N51" i="9"/>
  <c r="L51" i="9"/>
  <c r="M51" i="9" s="1"/>
  <c r="B51" i="9"/>
  <c r="A52" i="9"/>
  <c r="D50" i="9"/>
  <c r="C50" i="9"/>
  <c r="K50" i="9"/>
  <c r="J50" i="9"/>
  <c r="H50" i="9"/>
  <c r="M26" i="5"/>
  <c r="B28" i="5"/>
  <c r="D28" i="5" s="1"/>
  <c r="E28" i="5"/>
  <c r="A29" i="5"/>
  <c r="L29" i="5" s="1"/>
  <c r="H28" i="5"/>
  <c r="I28" i="5" s="1"/>
  <c r="G27" i="5"/>
  <c r="D27" i="5"/>
  <c r="J27" i="5"/>
  <c r="K27" i="5" s="1"/>
  <c r="F27" i="5"/>
  <c r="M26" i="2"/>
  <c r="F27" i="2"/>
  <c r="C27" i="2"/>
  <c r="G27" i="2"/>
  <c r="H28" i="2"/>
  <c r="I28" i="2" s="1"/>
  <c r="B28" i="2"/>
  <c r="C28" i="2" s="1"/>
  <c r="A29" i="2"/>
  <c r="L29" i="2" s="1"/>
  <c r="E28" i="2"/>
  <c r="J27" i="2"/>
  <c r="K27" i="2" s="1"/>
  <c r="N46" i="8"/>
  <c r="M48" i="8"/>
  <c r="H48" i="8"/>
  <c r="B48" i="8"/>
  <c r="A49" i="8"/>
  <c r="I47" i="8"/>
  <c r="D47" i="8"/>
  <c r="C47" i="8"/>
  <c r="J47" i="8"/>
  <c r="O47" i="8" l="1"/>
  <c r="G48" i="8"/>
  <c r="E49" i="8"/>
  <c r="F49" i="8" s="1"/>
  <c r="K49" i="8"/>
  <c r="L49" i="8" s="1"/>
  <c r="O50" i="9"/>
  <c r="B52" i="9"/>
  <c r="E52" i="9"/>
  <c r="G52" i="9" s="1"/>
  <c r="L52" i="9"/>
  <c r="M52" i="9" s="1"/>
  <c r="N52" i="9"/>
  <c r="I52" i="9"/>
  <c r="A53" i="9"/>
  <c r="H51" i="9"/>
  <c r="J51" i="9"/>
  <c r="C51" i="9"/>
  <c r="K51" i="9"/>
  <c r="D51" i="9"/>
  <c r="J28" i="5"/>
  <c r="K28" i="5" s="1"/>
  <c r="E29" i="5"/>
  <c r="A30" i="5"/>
  <c r="L30" i="5" s="1"/>
  <c r="B29" i="5"/>
  <c r="D29" i="5" s="1"/>
  <c r="H29" i="5"/>
  <c r="I29" i="5" s="1"/>
  <c r="F28" i="5"/>
  <c r="C28" i="5"/>
  <c r="G28" i="5"/>
  <c r="M27" i="2"/>
  <c r="M27" i="5"/>
  <c r="B29" i="2"/>
  <c r="C29" i="2" s="1"/>
  <c r="E29" i="2"/>
  <c r="G28" i="2"/>
  <c r="F28" i="2"/>
  <c r="D28" i="2"/>
  <c r="A30" i="2"/>
  <c r="L30" i="2" s="1"/>
  <c r="J28" i="2"/>
  <c r="K28" i="2" s="1"/>
  <c r="H29" i="2"/>
  <c r="I29" i="2" s="1"/>
  <c r="J29" i="2" s="1"/>
  <c r="K29" i="2" s="1"/>
  <c r="N47" i="8"/>
  <c r="M49" i="8"/>
  <c r="H49" i="8"/>
  <c r="B49" i="8"/>
  <c r="A50" i="8"/>
  <c r="I48" i="8"/>
  <c r="J48" i="8"/>
  <c r="C48" i="8"/>
  <c r="D48" i="8"/>
  <c r="O48" i="8" l="1"/>
  <c r="G49" i="8"/>
  <c r="E50" i="8"/>
  <c r="F50" i="8" s="1"/>
  <c r="K50" i="8"/>
  <c r="L50" i="8" s="1"/>
  <c r="O51" i="9"/>
  <c r="I53" i="9"/>
  <c r="E53" i="9"/>
  <c r="G53" i="9" s="1"/>
  <c r="N53" i="9"/>
  <c r="B53" i="9"/>
  <c r="L53" i="9"/>
  <c r="M53" i="9" s="1"/>
  <c r="A54" i="9"/>
  <c r="D52" i="9"/>
  <c r="C52" i="9"/>
  <c r="K52" i="9"/>
  <c r="J52" i="9"/>
  <c r="H52" i="9"/>
  <c r="A31" i="5"/>
  <c r="L31" i="5" s="1"/>
  <c r="B30" i="5"/>
  <c r="C30" i="5" s="1"/>
  <c r="E30" i="5"/>
  <c r="H30" i="5"/>
  <c r="I30" i="5" s="1"/>
  <c r="J29" i="5"/>
  <c r="K29" i="5" s="1"/>
  <c r="G29" i="5"/>
  <c r="F29" i="5"/>
  <c r="C29" i="5"/>
  <c r="M28" i="5"/>
  <c r="E30" i="2"/>
  <c r="M28" i="2"/>
  <c r="D29" i="2"/>
  <c r="G29" i="2"/>
  <c r="F29" i="2"/>
  <c r="H30" i="2"/>
  <c r="I30" i="2" s="1"/>
  <c r="A31" i="2"/>
  <c r="L31" i="2" s="1"/>
  <c r="B30" i="2"/>
  <c r="D30" i="2" s="1"/>
  <c r="N48" i="8"/>
  <c r="B50" i="8"/>
  <c r="M50" i="8"/>
  <c r="H50" i="8"/>
  <c r="A51" i="8"/>
  <c r="J49" i="8"/>
  <c r="I49" i="8"/>
  <c r="O49" i="8" s="1"/>
  <c r="C49" i="8"/>
  <c r="D49" i="8"/>
  <c r="G50" i="8" l="1"/>
  <c r="E51" i="8"/>
  <c r="F51" i="8" s="1"/>
  <c r="K51" i="8"/>
  <c r="L51" i="8" s="1"/>
  <c r="O52" i="9"/>
  <c r="L54" i="9"/>
  <c r="M54" i="9" s="1"/>
  <c r="I54" i="9"/>
  <c r="E54" i="9"/>
  <c r="G54" i="9" s="1"/>
  <c r="B54" i="9"/>
  <c r="N54" i="9"/>
  <c r="A55" i="9"/>
  <c r="H53" i="9"/>
  <c r="K53" i="9"/>
  <c r="J53" i="9"/>
  <c r="D53" i="9"/>
  <c r="C53" i="9"/>
  <c r="H31" i="5"/>
  <c r="I31" i="5" s="1"/>
  <c r="A32" i="5"/>
  <c r="L32" i="5" s="1"/>
  <c r="B31" i="5"/>
  <c r="D31" i="5" s="1"/>
  <c r="E31" i="5"/>
  <c r="F30" i="5"/>
  <c r="D30" i="5"/>
  <c r="G30" i="5"/>
  <c r="M29" i="5"/>
  <c r="J30" i="5"/>
  <c r="K30" i="5" s="1"/>
  <c r="M29" i="2"/>
  <c r="G30" i="2"/>
  <c r="C30" i="2"/>
  <c r="F30" i="2"/>
  <c r="J30" i="2"/>
  <c r="K30" i="2" s="1"/>
  <c r="A32" i="2"/>
  <c r="L32" i="2" s="1"/>
  <c r="E31" i="2"/>
  <c r="B31" i="2"/>
  <c r="H31" i="2"/>
  <c r="I31" i="2" s="1"/>
  <c r="N49" i="8"/>
  <c r="H51" i="8"/>
  <c r="B51" i="8"/>
  <c r="M51" i="8"/>
  <c r="A52" i="8"/>
  <c r="I50" i="8"/>
  <c r="J50" i="8"/>
  <c r="D50" i="8"/>
  <c r="C50" i="8"/>
  <c r="O50" i="8" l="1"/>
  <c r="G51" i="8"/>
  <c r="E52" i="8"/>
  <c r="F52" i="8" s="1"/>
  <c r="K52" i="8"/>
  <c r="L52" i="8" s="1"/>
  <c r="O53" i="9"/>
  <c r="E55" i="9"/>
  <c r="G55" i="9" s="1"/>
  <c r="L55" i="9"/>
  <c r="M55" i="9" s="1"/>
  <c r="N55" i="9"/>
  <c r="I55" i="9"/>
  <c r="B55" i="9"/>
  <c r="A56" i="9"/>
  <c r="K54" i="9"/>
  <c r="J54" i="9"/>
  <c r="C54" i="9"/>
  <c r="H54" i="9"/>
  <c r="D54" i="9"/>
  <c r="A33" i="5"/>
  <c r="L33" i="5" s="1"/>
  <c r="B32" i="5"/>
  <c r="G32" i="5" s="1"/>
  <c r="E32" i="5"/>
  <c r="H32" i="5"/>
  <c r="I32" i="5" s="1"/>
  <c r="J31" i="5"/>
  <c r="K31" i="5" s="1"/>
  <c r="F31" i="5"/>
  <c r="C31" i="5"/>
  <c r="G31" i="5"/>
  <c r="M30" i="5"/>
  <c r="M30" i="2"/>
  <c r="F31" i="2"/>
  <c r="G31" i="2"/>
  <c r="C31" i="2"/>
  <c r="D31" i="2"/>
  <c r="B32" i="2"/>
  <c r="C32" i="2" s="1"/>
  <c r="H32" i="2"/>
  <c r="I32" i="2" s="1"/>
  <c r="J31" i="2"/>
  <c r="K31" i="2" s="1"/>
  <c r="A33" i="2"/>
  <c r="L33" i="2" s="1"/>
  <c r="E32" i="2"/>
  <c r="N50" i="8"/>
  <c r="B52" i="8"/>
  <c r="M52" i="8"/>
  <c r="H52" i="8"/>
  <c r="A53" i="8"/>
  <c r="I51" i="8"/>
  <c r="D51" i="8"/>
  <c r="C51" i="8"/>
  <c r="J51" i="8"/>
  <c r="O51" i="8" l="1"/>
  <c r="G52" i="8"/>
  <c r="E53" i="8"/>
  <c r="F53" i="8" s="1"/>
  <c r="K53" i="8"/>
  <c r="L53" i="8" s="1"/>
  <c r="O54" i="9"/>
  <c r="N56" i="9"/>
  <c r="L56" i="9"/>
  <c r="M56" i="9" s="1"/>
  <c r="I56" i="9"/>
  <c r="E56" i="9"/>
  <c r="G56" i="9" s="1"/>
  <c r="B56" i="9"/>
  <c r="A57" i="9"/>
  <c r="K55" i="9"/>
  <c r="J55" i="9"/>
  <c r="H55" i="9"/>
  <c r="D55" i="9"/>
  <c r="C55" i="9"/>
  <c r="A34" i="5"/>
  <c r="L34" i="5" s="1"/>
  <c r="B33" i="5"/>
  <c r="C33" i="5" s="1"/>
  <c r="C32" i="5"/>
  <c r="E33" i="5"/>
  <c r="H33" i="5"/>
  <c r="I33" i="5" s="1"/>
  <c r="J33" i="5" s="1"/>
  <c r="K33" i="5" s="1"/>
  <c r="J32" i="5"/>
  <c r="K32" i="5" s="1"/>
  <c r="D32" i="5"/>
  <c r="F32" i="5"/>
  <c r="M31" i="5"/>
  <c r="M31" i="2"/>
  <c r="H33" i="2"/>
  <c r="I33" i="2" s="1"/>
  <c r="A34" i="2"/>
  <c r="L34" i="2" s="1"/>
  <c r="B33" i="2"/>
  <c r="D33" i="2" s="1"/>
  <c r="E33" i="2"/>
  <c r="J32" i="2"/>
  <c r="K32" i="2" s="1"/>
  <c r="D32" i="2"/>
  <c r="G32" i="2"/>
  <c r="F32" i="2"/>
  <c r="N51" i="8"/>
  <c r="H53" i="8"/>
  <c r="B53" i="8"/>
  <c r="M53" i="8"/>
  <c r="A54" i="8"/>
  <c r="I52" i="8"/>
  <c r="C52" i="8"/>
  <c r="D52" i="8"/>
  <c r="J52" i="8"/>
  <c r="O52" i="8" l="1"/>
  <c r="G53" i="8"/>
  <c r="E54" i="8"/>
  <c r="F54" i="8" s="1"/>
  <c r="K54" i="8"/>
  <c r="L54" i="8" s="1"/>
  <c r="O55" i="9"/>
  <c r="L57" i="9"/>
  <c r="M57" i="9" s="1"/>
  <c r="B57" i="9"/>
  <c r="N57" i="9"/>
  <c r="I57" i="9"/>
  <c r="E57" i="9"/>
  <c r="G57" i="9" s="1"/>
  <c r="A58" i="9"/>
  <c r="J56" i="9"/>
  <c r="K56" i="9"/>
  <c r="H56" i="9"/>
  <c r="C56" i="9"/>
  <c r="D56" i="9"/>
  <c r="D33" i="5"/>
  <c r="A35" i="5"/>
  <c r="L35" i="5" s="1"/>
  <c r="H34" i="5"/>
  <c r="I34" i="5" s="1"/>
  <c r="E34" i="5"/>
  <c r="B34" i="5"/>
  <c r="G34" i="5" s="1"/>
  <c r="F33" i="5"/>
  <c r="G33" i="5"/>
  <c r="M32" i="5"/>
  <c r="B34" i="2"/>
  <c r="D34" i="2" s="1"/>
  <c r="J33" i="2"/>
  <c r="K33" i="2" s="1"/>
  <c r="H34" i="2"/>
  <c r="I34" i="2" s="1"/>
  <c r="J34" i="2" s="1"/>
  <c r="K34" i="2" s="1"/>
  <c r="G33" i="2"/>
  <c r="A35" i="2"/>
  <c r="L35" i="2" s="1"/>
  <c r="E34" i="2"/>
  <c r="M32" i="2"/>
  <c r="F33" i="2"/>
  <c r="C33" i="2"/>
  <c r="N52" i="8"/>
  <c r="M54" i="8"/>
  <c r="H54" i="8"/>
  <c r="B54" i="8"/>
  <c r="A55" i="8"/>
  <c r="D53" i="8"/>
  <c r="C53" i="8"/>
  <c r="J53" i="8"/>
  <c r="I53" i="8"/>
  <c r="O53" i="8" l="1"/>
  <c r="G54" i="8"/>
  <c r="E55" i="8"/>
  <c r="F55" i="8" s="1"/>
  <c r="K55" i="8"/>
  <c r="L55" i="8" s="1"/>
  <c r="O56" i="9"/>
  <c r="N58" i="9"/>
  <c r="L58" i="9"/>
  <c r="M58" i="9" s="1"/>
  <c r="F58" i="9"/>
  <c r="E58" i="9"/>
  <c r="B58" i="9"/>
  <c r="I58" i="9"/>
  <c r="A59" i="9"/>
  <c r="C57" i="9"/>
  <c r="K57" i="9"/>
  <c r="J57" i="9"/>
  <c r="H57" i="9"/>
  <c r="D57" i="9"/>
  <c r="M33" i="5"/>
  <c r="A36" i="5"/>
  <c r="L36" i="5" s="1"/>
  <c r="B35" i="5"/>
  <c r="C35" i="5" s="1"/>
  <c r="E35" i="5"/>
  <c r="H35" i="5"/>
  <c r="I35" i="5" s="1"/>
  <c r="C34" i="5"/>
  <c r="F34" i="5"/>
  <c r="D34" i="5"/>
  <c r="J34" i="5"/>
  <c r="K34" i="5" s="1"/>
  <c r="H35" i="2"/>
  <c r="I35" i="2" s="1"/>
  <c r="F34" i="2"/>
  <c r="G34" i="2"/>
  <c r="C34" i="2"/>
  <c r="B35" i="2"/>
  <c r="G35" i="2" s="1"/>
  <c r="E35" i="2"/>
  <c r="A36" i="2"/>
  <c r="L36" i="2" s="1"/>
  <c r="M33" i="2"/>
  <c r="N53" i="8"/>
  <c r="I54" i="8"/>
  <c r="D54" i="8"/>
  <c r="C54" i="8"/>
  <c r="J54" i="8"/>
  <c r="H55" i="8"/>
  <c r="B55" i="8"/>
  <c r="M55" i="8"/>
  <c r="A56" i="8"/>
  <c r="O54" i="8" l="1"/>
  <c r="G55" i="8"/>
  <c r="E56" i="8"/>
  <c r="F56" i="8" s="1"/>
  <c r="K56" i="8"/>
  <c r="L56" i="8" s="1"/>
  <c r="O57" i="9"/>
  <c r="A37" i="5"/>
  <c r="L37" i="5" s="1"/>
  <c r="B59" i="9"/>
  <c r="N59" i="9"/>
  <c r="L59" i="9"/>
  <c r="M59" i="9" s="1"/>
  <c r="I59" i="9"/>
  <c r="F59" i="9"/>
  <c r="E59" i="9"/>
  <c r="A60" i="9"/>
  <c r="K58" i="9"/>
  <c r="J58" i="9"/>
  <c r="D58" i="9"/>
  <c r="C58" i="9"/>
  <c r="H58" i="9"/>
  <c r="E36" i="5"/>
  <c r="H36" i="5"/>
  <c r="I36" i="5" s="1"/>
  <c r="B36" i="5"/>
  <c r="D36" i="5" s="1"/>
  <c r="G35" i="5"/>
  <c r="F35" i="5"/>
  <c r="D35" i="5"/>
  <c r="J35" i="5"/>
  <c r="K35" i="5" s="1"/>
  <c r="M34" i="5"/>
  <c r="J35" i="2"/>
  <c r="K35" i="2" s="1"/>
  <c r="B36" i="2"/>
  <c r="D36" i="2" s="1"/>
  <c r="E36" i="2"/>
  <c r="A37" i="2"/>
  <c r="L37" i="2" s="1"/>
  <c r="H36" i="2"/>
  <c r="I36" i="2" s="1"/>
  <c r="M34" i="2"/>
  <c r="D35" i="2"/>
  <c r="C35" i="2"/>
  <c r="F35" i="2"/>
  <c r="N54" i="8"/>
  <c r="I55" i="8"/>
  <c r="J55" i="8"/>
  <c r="C55" i="8"/>
  <c r="D55" i="8"/>
  <c r="H56" i="8"/>
  <c r="M56" i="8"/>
  <c r="B56" i="8"/>
  <c r="A57" i="8"/>
  <c r="O55" i="8" l="1"/>
  <c r="E37" i="5"/>
  <c r="H37" i="5"/>
  <c r="I37" i="5" s="1"/>
  <c r="G56" i="8"/>
  <c r="B37" i="5"/>
  <c r="D37" i="5" s="1"/>
  <c r="E57" i="8"/>
  <c r="F57" i="8" s="1"/>
  <c r="K57" i="8"/>
  <c r="L57" i="8" s="1"/>
  <c r="A38" i="5"/>
  <c r="L38" i="5" s="1"/>
  <c r="O58" i="9"/>
  <c r="I60" i="9"/>
  <c r="F60" i="9"/>
  <c r="B60" i="9"/>
  <c r="L60" i="9"/>
  <c r="M60" i="9" s="1"/>
  <c r="N60" i="9"/>
  <c r="E60" i="9"/>
  <c r="A61" i="9"/>
  <c r="K59" i="9"/>
  <c r="C59" i="9"/>
  <c r="J59" i="9"/>
  <c r="D59" i="9"/>
  <c r="M35" i="5"/>
  <c r="J36" i="5"/>
  <c r="K36" i="5" s="1"/>
  <c r="F36" i="5"/>
  <c r="G36" i="5"/>
  <c r="C36" i="5"/>
  <c r="A38" i="2"/>
  <c r="L38" i="2" s="1"/>
  <c r="E37" i="2"/>
  <c r="C36" i="2"/>
  <c r="F36" i="2"/>
  <c r="H37" i="2"/>
  <c r="I37" i="2" s="1"/>
  <c r="B37" i="2"/>
  <c r="G37" i="2" s="1"/>
  <c r="G36" i="2"/>
  <c r="J36" i="2"/>
  <c r="K36" i="2" s="1"/>
  <c r="M35" i="2"/>
  <c r="N55" i="8"/>
  <c r="M57" i="8"/>
  <c r="H57" i="8"/>
  <c r="B57" i="8"/>
  <c r="A58" i="8"/>
  <c r="K58" i="8" s="1"/>
  <c r="I56" i="8"/>
  <c r="D56" i="8"/>
  <c r="J56" i="8"/>
  <c r="C56" i="8"/>
  <c r="O56" i="8" l="1"/>
  <c r="F37" i="5"/>
  <c r="G57" i="8"/>
  <c r="O57" i="8" s="1"/>
  <c r="J37" i="5"/>
  <c r="K37" i="5" s="1"/>
  <c r="C37" i="5"/>
  <c r="G37" i="5"/>
  <c r="A39" i="5"/>
  <c r="L39" i="5" s="1"/>
  <c r="E38" i="5"/>
  <c r="B38" i="5"/>
  <c r="C38" i="5" s="1"/>
  <c r="H38" i="5"/>
  <c r="I38" i="5" s="1"/>
  <c r="J38" i="5" s="1"/>
  <c r="K38" i="5" s="1"/>
  <c r="E58" i="8"/>
  <c r="F58" i="8"/>
  <c r="O59" i="9"/>
  <c r="B61" i="9"/>
  <c r="N61" i="9"/>
  <c r="L61" i="9"/>
  <c r="M61" i="9" s="1"/>
  <c r="I61" i="9"/>
  <c r="E61" i="9"/>
  <c r="F61" i="9"/>
  <c r="A62" i="9"/>
  <c r="D60" i="9"/>
  <c r="J60" i="9"/>
  <c r="C60" i="9"/>
  <c r="K60" i="9"/>
  <c r="M36" i="5"/>
  <c r="A39" i="2"/>
  <c r="L39" i="2" s="1"/>
  <c r="H38" i="2"/>
  <c r="I38" i="2" s="1"/>
  <c r="E38" i="2"/>
  <c r="B38" i="2"/>
  <c r="C38" i="2" s="1"/>
  <c r="L58" i="8"/>
  <c r="M36" i="2"/>
  <c r="D37" i="2"/>
  <c r="C37" i="2"/>
  <c r="J37" i="2"/>
  <c r="K37" i="2" s="1"/>
  <c r="F37" i="2"/>
  <c r="N56" i="8"/>
  <c r="J57" i="8"/>
  <c r="I57" i="8"/>
  <c r="D57" i="8"/>
  <c r="C57" i="8"/>
  <c r="H58" i="8"/>
  <c r="M58" i="8"/>
  <c r="B58" i="8"/>
  <c r="A59" i="8"/>
  <c r="M37" i="5" l="1"/>
  <c r="G38" i="5"/>
  <c r="D38" i="5"/>
  <c r="F38" i="5"/>
  <c r="A40" i="5"/>
  <c r="L40" i="5" s="1"/>
  <c r="B39" i="5"/>
  <c r="G39" i="5" s="1"/>
  <c r="E39" i="5"/>
  <c r="H39" i="5"/>
  <c r="I39" i="5" s="1"/>
  <c r="J39" i="5" s="1"/>
  <c r="K39" i="5" s="1"/>
  <c r="F59" i="8"/>
  <c r="K59" i="8"/>
  <c r="L59" i="8" s="1"/>
  <c r="G58" i="8"/>
  <c r="O58" i="8" s="1"/>
  <c r="E59" i="8"/>
  <c r="O60" i="9"/>
  <c r="I62" i="9"/>
  <c r="B62" i="9"/>
  <c r="F62" i="9"/>
  <c r="E62" i="9"/>
  <c r="L62" i="9"/>
  <c r="M62" i="9" s="1"/>
  <c r="N62" i="9"/>
  <c r="A63" i="9"/>
  <c r="K61" i="9"/>
  <c r="C61" i="9"/>
  <c r="J61" i="9"/>
  <c r="D61" i="9"/>
  <c r="A40" i="2"/>
  <c r="L40" i="2" s="1"/>
  <c r="H39" i="2"/>
  <c r="I39" i="2" s="1"/>
  <c r="E39" i="2"/>
  <c r="B39" i="2"/>
  <c r="G39" i="2" s="1"/>
  <c r="F38" i="2"/>
  <c r="J38" i="2"/>
  <c r="K38" i="2" s="1"/>
  <c r="G38" i="2"/>
  <c r="D38" i="2"/>
  <c r="M37" i="2"/>
  <c r="N57" i="8"/>
  <c r="I58" i="8"/>
  <c r="J58" i="8"/>
  <c r="D58" i="8"/>
  <c r="C58" i="8"/>
  <c r="H59" i="8"/>
  <c r="B59" i="8"/>
  <c r="M59" i="8"/>
  <c r="A60" i="8"/>
  <c r="M38" i="5" l="1"/>
  <c r="A41" i="5"/>
  <c r="L41" i="5" s="1"/>
  <c r="H40" i="5"/>
  <c r="I40" i="5" s="1"/>
  <c r="J40" i="5" s="1"/>
  <c r="K40" i="5" s="1"/>
  <c r="B40" i="5"/>
  <c r="E40" i="5"/>
  <c r="F39" i="5"/>
  <c r="C39" i="5"/>
  <c r="D39" i="5"/>
  <c r="F60" i="8"/>
  <c r="K60" i="8"/>
  <c r="L60" i="8" s="1"/>
  <c r="G59" i="8"/>
  <c r="O61" i="9"/>
  <c r="E60" i="8"/>
  <c r="A64" i="9"/>
  <c r="N63" i="9"/>
  <c r="L63" i="9"/>
  <c r="M63" i="9" s="1"/>
  <c r="I63" i="9"/>
  <c r="F63" i="9"/>
  <c r="E63" i="9"/>
  <c r="B63" i="9"/>
  <c r="E40" i="2"/>
  <c r="K62" i="9"/>
  <c r="J62" i="9"/>
  <c r="D62" i="9"/>
  <c r="C62" i="9"/>
  <c r="A41" i="2"/>
  <c r="L41" i="2" s="1"/>
  <c r="B40" i="2"/>
  <c r="C40" i="2" s="1"/>
  <c r="M38" i="2"/>
  <c r="H40" i="2"/>
  <c r="I40" i="2" s="1"/>
  <c r="F39" i="2"/>
  <c r="C39" i="2"/>
  <c r="D39" i="2"/>
  <c r="J39" i="2"/>
  <c r="K39" i="2" s="1"/>
  <c r="N58" i="8"/>
  <c r="D59" i="8"/>
  <c r="C59" i="8"/>
  <c r="J59" i="8"/>
  <c r="I59" i="8"/>
  <c r="B60" i="8"/>
  <c r="M60" i="8"/>
  <c r="H60" i="8"/>
  <c r="A61" i="8"/>
  <c r="O59" i="8" l="1"/>
  <c r="M39" i="5"/>
  <c r="F40" i="5"/>
  <c r="C40" i="5"/>
  <c r="G40" i="5"/>
  <c r="D40" i="5"/>
  <c r="A42" i="5"/>
  <c r="L42" i="5" s="1"/>
  <c r="H41" i="5"/>
  <c r="I41" i="5" s="1"/>
  <c r="B41" i="5"/>
  <c r="G41" i="5" s="1"/>
  <c r="E41" i="5"/>
  <c r="F61" i="8"/>
  <c r="K61" i="8"/>
  <c r="L61" i="8" s="1"/>
  <c r="G60" i="8"/>
  <c r="E61" i="8"/>
  <c r="O62" i="9"/>
  <c r="K63" i="9"/>
  <c r="D63" i="9"/>
  <c r="C63" i="9"/>
  <c r="J63" i="9"/>
  <c r="B64" i="9"/>
  <c r="F64" i="9"/>
  <c r="E64" i="9"/>
  <c r="A65" i="9"/>
  <c r="N64" i="9"/>
  <c r="I64" i="9"/>
  <c r="L64" i="9"/>
  <c r="M64" i="9" s="1"/>
  <c r="A42" i="2"/>
  <c r="L42" i="2" s="1"/>
  <c r="B41" i="2"/>
  <c r="C41" i="2" s="1"/>
  <c r="E41" i="2"/>
  <c r="H41" i="2"/>
  <c r="I41" i="2" s="1"/>
  <c r="G40" i="2"/>
  <c r="D40" i="2"/>
  <c r="F40" i="2"/>
  <c r="J40" i="2"/>
  <c r="K40" i="2" s="1"/>
  <c r="M39" i="2"/>
  <c r="N59" i="8"/>
  <c r="M61" i="8"/>
  <c r="H61" i="8"/>
  <c r="B61" i="8"/>
  <c r="A62" i="8"/>
  <c r="I60" i="8"/>
  <c r="J60" i="8"/>
  <c r="D60" i="8"/>
  <c r="C60" i="8"/>
  <c r="O60" i="8" l="1"/>
  <c r="C41" i="5"/>
  <c r="F41" i="5"/>
  <c r="D41" i="5"/>
  <c r="M40" i="5"/>
  <c r="A43" i="5"/>
  <c r="L43" i="5" s="1"/>
  <c r="B42" i="5"/>
  <c r="C42" i="5" s="1"/>
  <c r="E42" i="5"/>
  <c r="H42" i="5"/>
  <c r="I42" i="5" s="1"/>
  <c r="J41" i="5"/>
  <c r="K41" i="5" s="1"/>
  <c r="G61" i="8"/>
  <c r="F62" i="8"/>
  <c r="K62" i="8"/>
  <c r="L62" i="8" s="1"/>
  <c r="E62" i="8"/>
  <c r="O63" i="9"/>
  <c r="D64" i="9"/>
  <c r="C64" i="9"/>
  <c r="K64" i="9"/>
  <c r="J64" i="9"/>
  <c r="E65" i="9"/>
  <c r="A66" i="9"/>
  <c r="I65" i="9"/>
  <c r="B65" i="9"/>
  <c r="L65" i="9"/>
  <c r="M65" i="9" s="1"/>
  <c r="N65" i="9"/>
  <c r="F65" i="9"/>
  <c r="J41" i="2"/>
  <c r="K41" i="2" s="1"/>
  <c r="A43" i="2"/>
  <c r="L43" i="2" s="1"/>
  <c r="G41" i="2"/>
  <c r="D41" i="2"/>
  <c r="F41" i="2"/>
  <c r="H42" i="2"/>
  <c r="I42" i="2" s="1"/>
  <c r="B42" i="2"/>
  <c r="D42" i="2" s="1"/>
  <c r="E42" i="2"/>
  <c r="M40" i="2"/>
  <c r="N60" i="8"/>
  <c r="H62" i="8"/>
  <c r="B62" i="8"/>
  <c r="M62" i="8"/>
  <c r="A63" i="8"/>
  <c r="I61" i="8"/>
  <c r="D61" i="8"/>
  <c r="J61" i="8"/>
  <c r="C61" i="8"/>
  <c r="O61" i="8" l="1"/>
  <c r="M41" i="5"/>
  <c r="B43" i="5"/>
  <c r="D43" i="5" s="1"/>
  <c r="A44" i="5"/>
  <c r="L44" i="5" s="1"/>
  <c r="H43" i="5"/>
  <c r="I43" i="5" s="1"/>
  <c r="G42" i="5"/>
  <c r="E43" i="5"/>
  <c r="J42" i="5"/>
  <c r="K42" i="5" s="1"/>
  <c r="F42" i="5"/>
  <c r="D42" i="5"/>
  <c r="M42" i="5" s="1"/>
  <c r="F63" i="8"/>
  <c r="K63" i="8"/>
  <c r="L63" i="8" s="1"/>
  <c r="G62" i="8"/>
  <c r="O62" i="8" s="1"/>
  <c r="O64" i="9"/>
  <c r="E63" i="8"/>
  <c r="B43" i="2"/>
  <c r="D43" i="2" s="1"/>
  <c r="K65" i="9"/>
  <c r="D65" i="9"/>
  <c r="O65" i="9"/>
  <c r="C65" i="9"/>
  <c r="J65" i="9"/>
  <c r="E66" i="9"/>
  <c r="N66" i="9"/>
  <c r="L66" i="9"/>
  <c r="M66" i="9" s="1"/>
  <c r="I66" i="9"/>
  <c r="B66" i="9"/>
  <c r="F66" i="9"/>
  <c r="A67" i="9"/>
  <c r="E43" i="2"/>
  <c r="A44" i="2"/>
  <c r="L44" i="2" s="1"/>
  <c r="F42" i="2"/>
  <c r="G42" i="2"/>
  <c r="C42" i="2"/>
  <c r="H43" i="2"/>
  <c r="I43" i="2" s="1"/>
  <c r="M41" i="2"/>
  <c r="J42" i="2"/>
  <c r="K42" i="2" s="1"/>
  <c r="N61" i="8"/>
  <c r="I62" i="8"/>
  <c r="C62" i="8"/>
  <c r="J62" i="8"/>
  <c r="D62" i="8"/>
  <c r="H63" i="8"/>
  <c r="B63" i="8"/>
  <c r="M63" i="8"/>
  <c r="A64" i="8"/>
  <c r="G43" i="5" l="1"/>
  <c r="A45" i="5"/>
  <c r="L45" i="5" s="1"/>
  <c r="E44" i="5"/>
  <c r="F43" i="5"/>
  <c r="C43" i="5"/>
  <c r="H44" i="5"/>
  <c r="I44" i="5" s="1"/>
  <c r="B44" i="5"/>
  <c r="G44" i="5" s="1"/>
  <c r="J43" i="5"/>
  <c r="K43" i="5" s="1"/>
  <c r="M43" i="5" s="1"/>
  <c r="F64" i="8"/>
  <c r="K64" i="8"/>
  <c r="L64" i="8" s="1"/>
  <c r="G63" i="8"/>
  <c r="F43" i="2"/>
  <c r="G43" i="2"/>
  <c r="C43" i="2"/>
  <c r="E64" i="8"/>
  <c r="D66" i="9"/>
  <c r="C66" i="9"/>
  <c r="O66" i="9"/>
  <c r="K66" i="9"/>
  <c r="J66" i="9"/>
  <c r="F67" i="9"/>
  <c r="I67" i="9"/>
  <c r="E67" i="9"/>
  <c r="A68" i="9"/>
  <c r="N67" i="9"/>
  <c r="L67" i="9"/>
  <c r="M67" i="9" s="1"/>
  <c r="B67" i="9"/>
  <c r="H44" i="2"/>
  <c r="I44" i="2" s="1"/>
  <c r="B44" i="2"/>
  <c r="E44" i="2"/>
  <c r="M42" i="2"/>
  <c r="A45" i="2"/>
  <c r="L45" i="2" s="1"/>
  <c r="J43" i="2"/>
  <c r="K43" i="2" s="1"/>
  <c r="N62" i="8"/>
  <c r="M64" i="8"/>
  <c r="H64" i="8"/>
  <c r="B64" i="8"/>
  <c r="A65" i="8"/>
  <c r="J63" i="8"/>
  <c r="I63" i="8"/>
  <c r="C63" i="8"/>
  <c r="D63" i="8"/>
  <c r="E45" i="5"/>
  <c r="H45" i="5"/>
  <c r="I45" i="5" s="1"/>
  <c r="B45" i="5"/>
  <c r="A46" i="5"/>
  <c r="L46" i="5" s="1"/>
  <c r="O63" i="8" l="1"/>
  <c r="F44" i="5"/>
  <c r="C44" i="5"/>
  <c r="D44" i="5"/>
  <c r="J44" i="5"/>
  <c r="K44" i="5" s="1"/>
  <c r="G64" i="8"/>
  <c r="F65" i="8"/>
  <c r="K65" i="8"/>
  <c r="L65" i="8" s="1"/>
  <c r="M43" i="2"/>
  <c r="F44" i="2"/>
  <c r="E65" i="8"/>
  <c r="K67" i="9"/>
  <c r="O67" i="9"/>
  <c r="J67" i="9"/>
  <c r="D67" i="9"/>
  <c r="C67" i="9"/>
  <c r="I68" i="9"/>
  <c r="E68" i="9"/>
  <c r="A69" i="9"/>
  <c r="N68" i="9"/>
  <c r="F68" i="9"/>
  <c r="B68" i="9"/>
  <c r="L68" i="9"/>
  <c r="M68" i="9" s="1"/>
  <c r="C44" i="2"/>
  <c r="D44" i="2"/>
  <c r="G44" i="2"/>
  <c r="B45" i="2"/>
  <c r="C45" i="2" s="1"/>
  <c r="H45" i="2"/>
  <c r="I45" i="2" s="1"/>
  <c r="J44" i="2"/>
  <c r="K44" i="2" s="1"/>
  <c r="A46" i="2"/>
  <c r="L46" i="2" s="1"/>
  <c r="E45" i="2"/>
  <c r="N63" i="8"/>
  <c r="M65" i="8"/>
  <c r="H65" i="8"/>
  <c r="B65" i="8"/>
  <c r="A66" i="8"/>
  <c r="I64" i="8"/>
  <c r="D64" i="8"/>
  <c r="J64" i="8"/>
  <c r="C64" i="8"/>
  <c r="M44" i="5"/>
  <c r="G45" i="5"/>
  <c r="D45" i="5"/>
  <c r="C45" i="5"/>
  <c r="F45" i="5"/>
  <c r="J45" i="5"/>
  <c r="K45" i="5" s="1"/>
  <c r="H46" i="5"/>
  <c r="I46" i="5" s="1"/>
  <c r="E46" i="5"/>
  <c r="B46" i="5"/>
  <c r="A47" i="5"/>
  <c r="L47" i="5" s="1"/>
  <c r="O64" i="8" l="1"/>
  <c r="G65" i="8"/>
  <c r="O65" i="8"/>
  <c r="F66" i="8"/>
  <c r="K66" i="8"/>
  <c r="L66" i="8" s="1"/>
  <c r="E66" i="8"/>
  <c r="M44" i="2"/>
  <c r="F45" i="2"/>
  <c r="G45" i="2"/>
  <c r="D45" i="2"/>
  <c r="F69" i="9"/>
  <c r="L69" i="9"/>
  <c r="M69" i="9" s="1"/>
  <c r="E69" i="9"/>
  <c r="B69" i="9"/>
  <c r="N69" i="9"/>
  <c r="A70" i="9"/>
  <c r="I69" i="9"/>
  <c r="A47" i="2"/>
  <c r="L47" i="2" s="1"/>
  <c r="B46" i="2"/>
  <c r="C46" i="2" s="1"/>
  <c r="E46" i="2"/>
  <c r="H46" i="2"/>
  <c r="I46" i="2" s="1"/>
  <c r="K68" i="9"/>
  <c r="J68" i="9"/>
  <c r="O68" i="9"/>
  <c r="D68" i="9"/>
  <c r="C68" i="9"/>
  <c r="J45" i="2"/>
  <c r="K45" i="2" s="1"/>
  <c r="N64" i="8"/>
  <c r="H66" i="8"/>
  <c r="M66" i="8"/>
  <c r="B66" i="8"/>
  <c r="A67" i="8"/>
  <c r="I65" i="8"/>
  <c r="D65" i="8"/>
  <c r="J65" i="8"/>
  <c r="C65" i="8"/>
  <c r="M45" i="5"/>
  <c r="C46" i="5"/>
  <c r="G46" i="5"/>
  <c r="F46" i="5"/>
  <c r="D46" i="5"/>
  <c r="H47" i="5"/>
  <c r="I47" i="5" s="1"/>
  <c r="E47" i="5"/>
  <c r="B47" i="5"/>
  <c r="A48" i="5"/>
  <c r="L48" i="5" s="1"/>
  <c r="J46" i="5"/>
  <c r="K46" i="5" s="1"/>
  <c r="G66" i="8" l="1"/>
  <c r="O66" i="8"/>
  <c r="F67" i="8"/>
  <c r="K67" i="8"/>
  <c r="L67" i="8" s="1"/>
  <c r="M45" i="2"/>
  <c r="E67" i="8"/>
  <c r="E47" i="2"/>
  <c r="B47" i="2"/>
  <c r="D47" i="2" s="1"/>
  <c r="A48" i="2"/>
  <c r="L48" i="2" s="1"/>
  <c r="H47" i="2"/>
  <c r="I47" i="2" s="1"/>
  <c r="F46" i="2"/>
  <c r="N70" i="9"/>
  <c r="E70" i="9"/>
  <c r="L70" i="9"/>
  <c r="M70" i="9" s="1"/>
  <c r="I70" i="9"/>
  <c r="B70" i="9"/>
  <c r="F70" i="9"/>
  <c r="A71" i="9"/>
  <c r="G46" i="2"/>
  <c r="K69" i="9"/>
  <c r="J69" i="9"/>
  <c r="C69" i="9"/>
  <c r="D69" i="9"/>
  <c r="O69" i="9"/>
  <c r="J46" i="2"/>
  <c r="K46" i="2" s="1"/>
  <c r="D46" i="2"/>
  <c r="N65" i="8"/>
  <c r="I66" i="8"/>
  <c r="J66" i="8"/>
  <c r="D66" i="8"/>
  <c r="C66" i="8"/>
  <c r="H67" i="8"/>
  <c r="B67" i="8"/>
  <c r="M67" i="8"/>
  <c r="A68" i="8"/>
  <c r="M46" i="5"/>
  <c r="G47" i="5"/>
  <c r="F47" i="5"/>
  <c r="D47" i="5"/>
  <c r="C47" i="5"/>
  <c r="B48" i="5"/>
  <c r="E48" i="5"/>
  <c r="H48" i="5"/>
  <c r="I48" i="5" s="1"/>
  <c r="A49" i="5"/>
  <c r="L49" i="5" s="1"/>
  <c r="J47" i="5"/>
  <c r="K47" i="5" s="1"/>
  <c r="G67" i="8" l="1"/>
  <c r="O67" i="8"/>
  <c r="F68" i="8"/>
  <c r="K68" i="8"/>
  <c r="L68" i="8" s="1"/>
  <c r="A49" i="2"/>
  <c r="L49" i="2" s="1"/>
  <c r="B48" i="2"/>
  <c r="C48" i="2" s="1"/>
  <c r="H48" i="2"/>
  <c r="I48" i="2" s="1"/>
  <c r="E48" i="2"/>
  <c r="M46" i="2"/>
  <c r="G47" i="2"/>
  <c r="F47" i="2"/>
  <c r="C47" i="2"/>
  <c r="E68" i="8"/>
  <c r="J47" i="2"/>
  <c r="K47" i="2" s="1"/>
  <c r="F71" i="9"/>
  <c r="N71" i="9"/>
  <c r="A72" i="9"/>
  <c r="E71" i="9"/>
  <c r="L71" i="9"/>
  <c r="M71" i="9" s="1"/>
  <c r="I71" i="9"/>
  <c r="B71" i="9"/>
  <c r="O70" i="9"/>
  <c r="K70" i="9"/>
  <c r="J70" i="9"/>
  <c r="D70" i="9"/>
  <c r="C70" i="9"/>
  <c r="N66" i="8"/>
  <c r="C67" i="8"/>
  <c r="D67" i="8"/>
  <c r="J67" i="8"/>
  <c r="I67" i="8"/>
  <c r="M68" i="8"/>
  <c r="H68" i="8"/>
  <c r="B68" i="8"/>
  <c r="A69" i="8"/>
  <c r="M47" i="5"/>
  <c r="E49" i="5"/>
  <c r="B49" i="5"/>
  <c r="H49" i="5"/>
  <c r="I49" i="5" s="1"/>
  <c r="A50" i="5"/>
  <c r="L50" i="5" s="1"/>
  <c r="J48" i="5"/>
  <c r="K48" i="5" s="1"/>
  <c r="G48" i="5"/>
  <c r="F48" i="5"/>
  <c r="C48" i="5"/>
  <c r="D48" i="5"/>
  <c r="G68" i="8" l="1"/>
  <c r="O68" i="8"/>
  <c r="F69" i="8"/>
  <c r="K69" i="8"/>
  <c r="H49" i="2"/>
  <c r="I49" i="2" s="1"/>
  <c r="J49" i="2" s="1"/>
  <c r="K49" i="2" s="1"/>
  <c r="A50" i="2"/>
  <c r="L50" i="2" s="1"/>
  <c r="B49" i="2"/>
  <c r="G49" i="2" s="1"/>
  <c r="E49" i="2"/>
  <c r="G48" i="2"/>
  <c r="F48" i="2"/>
  <c r="J48" i="2"/>
  <c r="K48" i="2" s="1"/>
  <c r="D48" i="2"/>
  <c r="M47" i="2"/>
  <c r="E69" i="8"/>
  <c r="A73" i="9"/>
  <c r="L72" i="9"/>
  <c r="M72" i="9" s="1"/>
  <c r="F72" i="9"/>
  <c r="E72" i="9"/>
  <c r="I72" i="9"/>
  <c r="N72" i="9"/>
  <c r="B72" i="9"/>
  <c r="K71" i="9"/>
  <c r="O71" i="9"/>
  <c r="J71" i="9"/>
  <c r="D71" i="9"/>
  <c r="C71" i="9"/>
  <c r="L69" i="8"/>
  <c r="N67" i="8"/>
  <c r="H69" i="8"/>
  <c r="B69" i="8"/>
  <c r="M69" i="8"/>
  <c r="A70" i="8"/>
  <c r="I68" i="8"/>
  <c r="J68" i="8"/>
  <c r="D68" i="8"/>
  <c r="C68" i="8"/>
  <c r="M48" i="5"/>
  <c r="F49" i="5"/>
  <c r="G49" i="5"/>
  <c r="D49" i="5"/>
  <c r="C49" i="5"/>
  <c r="H50" i="5"/>
  <c r="I50" i="5" s="1"/>
  <c r="E50" i="5"/>
  <c r="B50" i="5"/>
  <c r="A51" i="5"/>
  <c r="L51" i="5" s="1"/>
  <c r="J49" i="5"/>
  <c r="K49" i="5" s="1"/>
  <c r="G69" i="8" l="1"/>
  <c r="O69" i="8"/>
  <c r="F70" i="8"/>
  <c r="K70" i="8"/>
  <c r="B50" i="2"/>
  <c r="C50" i="2" s="1"/>
  <c r="M48" i="2"/>
  <c r="A51" i="2"/>
  <c r="L51" i="2" s="1"/>
  <c r="E50" i="2"/>
  <c r="H50" i="2"/>
  <c r="I50" i="2" s="1"/>
  <c r="C49" i="2"/>
  <c r="D49" i="2"/>
  <c r="F49" i="2"/>
  <c r="E70" i="8"/>
  <c r="O72" i="9"/>
  <c r="K72" i="9"/>
  <c r="D72" i="9"/>
  <c r="J72" i="9"/>
  <c r="C72" i="9"/>
  <c r="F73" i="9"/>
  <c r="A74" i="9"/>
  <c r="I73" i="9"/>
  <c r="N73" i="9"/>
  <c r="L73" i="9"/>
  <c r="M73" i="9" s="1"/>
  <c r="E73" i="9"/>
  <c r="B73" i="9"/>
  <c r="L70" i="8"/>
  <c r="N68" i="8"/>
  <c r="M70" i="8"/>
  <c r="B70" i="8"/>
  <c r="A71" i="8"/>
  <c r="H70" i="8"/>
  <c r="D69" i="8"/>
  <c r="C69" i="8"/>
  <c r="J69" i="8"/>
  <c r="I69" i="8"/>
  <c r="M49" i="5"/>
  <c r="G50" i="5"/>
  <c r="F50" i="5"/>
  <c r="D50" i="5"/>
  <c r="C50" i="5"/>
  <c r="B51" i="5"/>
  <c r="H51" i="5"/>
  <c r="I51" i="5" s="1"/>
  <c r="E51" i="5"/>
  <c r="A52" i="5"/>
  <c r="L52" i="5" s="1"/>
  <c r="J50" i="5"/>
  <c r="K50" i="5" s="1"/>
  <c r="G70" i="8" l="1"/>
  <c r="O70" i="8"/>
  <c r="E51" i="2"/>
  <c r="B51" i="2"/>
  <c r="G51" i="2" s="1"/>
  <c r="H51" i="2"/>
  <c r="I51" i="2" s="1"/>
  <c r="F71" i="8"/>
  <c r="K71" i="8"/>
  <c r="L71" i="8" s="1"/>
  <c r="A52" i="2"/>
  <c r="L52" i="2" s="1"/>
  <c r="D50" i="2"/>
  <c r="F50" i="2"/>
  <c r="G50" i="2"/>
  <c r="J50" i="2"/>
  <c r="K50" i="2" s="1"/>
  <c r="M49" i="2"/>
  <c r="E71" i="8"/>
  <c r="A75" i="9"/>
  <c r="I74" i="9"/>
  <c r="F74" i="9"/>
  <c r="E74" i="9"/>
  <c r="B74" i="9"/>
  <c r="L74" i="9"/>
  <c r="M74" i="9" s="1"/>
  <c r="N74" i="9"/>
  <c r="K73" i="9"/>
  <c r="O73" i="9"/>
  <c r="D73" i="9"/>
  <c r="J73" i="9"/>
  <c r="C73" i="9"/>
  <c r="N69" i="8"/>
  <c r="H71" i="8"/>
  <c r="A72" i="8"/>
  <c r="B71" i="8"/>
  <c r="M71" i="8"/>
  <c r="I70" i="8"/>
  <c r="J70" i="8"/>
  <c r="D70" i="8"/>
  <c r="C70" i="8"/>
  <c r="M50" i="5"/>
  <c r="B52" i="5"/>
  <c r="H52" i="5"/>
  <c r="I52" i="5" s="1"/>
  <c r="E52" i="5"/>
  <c r="A53" i="5"/>
  <c r="L53" i="5" s="1"/>
  <c r="J51" i="5"/>
  <c r="K51" i="5" s="1"/>
  <c r="G51" i="5"/>
  <c r="C51" i="5"/>
  <c r="F51" i="5"/>
  <c r="D51" i="5"/>
  <c r="D51" i="2"/>
  <c r="C51" i="2"/>
  <c r="H52" i="2"/>
  <c r="I52" i="2" s="1"/>
  <c r="E52" i="2"/>
  <c r="B52" i="2"/>
  <c r="A53" i="2"/>
  <c r="L53" i="2" s="1"/>
  <c r="J51" i="2"/>
  <c r="K51" i="2" s="1"/>
  <c r="F51" i="2" l="1"/>
  <c r="G71" i="8"/>
  <c r="O71" i="8"/>
  <c r="F72" i="8"/>
  <c r="K72" i="8"/>
  <c r="L72" i="8" s="1"/>
  <c r="M50" i="2"/>
  <c r="E72" i="8"/>
  <c r="K74" i="9"/>
  <c r="J74" i="9"/>
  <c r="D74" i="9"/>
  <c r="C74" i="9"/>
  <c r="O74" i="9"/>
  <c r="F75" i="9"/>
  <c r="E75" i="9"/>
  <c r="A76" i="9"/>
  <c r="N75" i="9"/>
  <c r="L75" i="9"/>
  <c r="M75" i="9" s="1"/>
  <c r="I75" i="9"/>
  <c r="B75" i="9"/>
  <c r="N70" i="8"/>
  <c r="I71" i="8"/>
  <c r="J71" i="8"/>
  <c r="D71" i="8"/>
  <c r="C71" i="8"/>
  <c r="M72" i="8"/>
  <c r="B72" i="8"/>
  <c r="H72" i="8"/>
  <c r="A73" i="8"/>
  <c r="M51" i="5"/>
  <c r="H53" i="5"/>
  <c r="I53" i="5" s="1"/>
  <c r="E53" i="5"/>
  <c r="B53" i="5"/>
  <c r="A54" i="5"/>
  <c r="L54" i="5" s="1"/>
  <c r="F52" i="5"/>
  <c r="D52" i="5"/>
  <c r="C52" i="5"/>
  <c r="G52" i="5"/>
  <c r="J52" i="5"/>
  <c r="K52" i="5" s="1"/>
  <c r="M51" i="2"/>
  <c r="C52" i="2"/>
  <c r="F52" i="2"/>
  <c r="D52" i="2"/>
  <c r="G52" i="2"/>
  <c r="B53" i="2"/>
  <c r="H53" i="2"/>
  <c r="I53" i="2" s="1"/>
  <c r="E53" i="2"/>
  <c r="A54" i="2"/>
  <c r="L54" i="2" s="1"/>
  <c r="J52" i="2"/>
  <c r="K52" i="2" s="1"/>
  <c r="G72" i="8" l="1"/>
  <c r="O72" i="8"/>
  <c r="F73" i="8"/>
  <c r="K73" i="8"/>
  <c r="E73" i="8"/>
  <c r="K75" i="9"/>
  <c r="D75" i="9"/>
  <c r="C75" i="9"/>
  <c r="O75" i="9"/>
  <c r="J75" i="9"/>
  <c r="A77" i="9"/>
  <c r="N76" i="9"/>
  <c r="L76" i="9"/>
  <c r="M76" i="9" s="1"/>
  <c r="F76" i="9"/>
  <c r="E76" i="9"/>
  <c r="B76" i="9"/>
  <c r="I76" i="9"/>
  <c r="L73" i="8"/>
  <c r="N71" i="8"/>
  <c r="M73" i="8"/>
  <c r="H73" i="8"/>
  <c r="A74" i="8"/>
  <c r="B73" i="8"/>
  <c r="I72" i="8"/>
  <c r="N72" i="8"/>
  <c r="J72" i="8"/>
  <c r="C72" i="8"/>
  <c r="D72" i="8"/>
  <c r="M52" i="5"/>
  <c r="B54" i="5"/>
  <c r="E54" i="5"/>
  <c r="H54" i="5"/>
  <c r="I54" i="5" s="1"/>
  <c r="A55" i="5"/>
  <c r="L55" i="5" s="1"/>
  <c r="D53" i="5"/>
  <c r="C53" i="5"/>
  <c r="G53" i="5"/>
  <c r="F53" i="5"/>
  <c r="J53" i="5"/>
  <c r="K53" i="5" s="1"/>
  <c r="M52" i="2"/>
  <c r="J53" i="2"/>
  <c r="K53" i="2" s="1"/>
  <c r="H54" i="2"/>
  <c r="I54" i="2" s="1"/>
  <c r="E54" i="2"/>
  <c r="B54" i="2"/>
  <c r="A55" i="2"/>
  <c r="L55" i="2" s="1"/>
  <c r="D53" i="2"/>
  <c r="C53" i="2"/>
  <c r="F53" i="2"/>
  <c r="G53" i="2"/>
  <c r="G73" i="8" l="1"/>
  <c r="O73" i="8"/>
  <c r="F74" i="8"/>
  <c r="K74" i="8"/>
  <c r="E74" i="8"/>
  <c r="O76" i="9"/>
  <c r="K76" i="9"/>
  <c r="J76" i="9"/>
  <c r="D76" i="9"/>
  <c r="C76" i="9"/>
  <c r="F77" i="9"/>
  <c r="A78" i="9"/>
  <c r="L77" i="9"/>
  <c r="M77" i="9" s="1"/>
  <c r="E77" i="9"/>
  <c r="B77" i="9"/>
  <c r="N77" i="9"/>
  <c r="I77" i="9"/>
  <c r="L74" i="8"/>
  <c r="M74" i="8"/>
  <c r="B74" i="8"/>
  <c r="A75" i="8"/>
  <c r="H74" i="8"/>
  <c r="N73" i="8"/>
  <c r="J73" i="8"/>
  <c r="I73" i="8"/>
  <c r="C73" i="8"/>
  <c r="D73" i="8"/>
  <c r="M53" i="5"/>
  <c r="H55" i="5"/>
  <c r="I55" i="5" s="1"/>
  <c r="E55" i="5"/>
  <c r="B55" i="5"/>
  <c r="A56" i="5"/>
  <c r="L56" i="5" s="1"/>
  <c r="J54" i="5"/>
  <c r="K54" i="5" s="1"/>
  <c r="C54" i="5"/>
  <c r="G54" i="5"/>
  <c r="F54" i="5"/>
  <c r="D54" i="5"/>
  <c r="M53" i="2"/>
  <c r="B55" i="2"/>
  <c r="E55" i="2"/>
  <c r="H55" i="2"/>
  <c r="I55" i="2" s="1"/>
  <c r="A56" i="2"/>
  <c r="L56" i="2" s="1"/>
  <c r="C54" i="2"/>
  <c r="F54" i="2"/>
  <c r="G54" i="2"/>
  <c r="D54" i="2"/>
  <c r="J54" i="2"/>
  <c r="K54" i="2" s="1"/>
  <c r="G74" i="8" l="1"/>
  <c r="O74" i="8"/>
  <c r="F75" i="8"/>
  <c r="K75" i="8"/>
  <c r="L75" i="8" s="1"/>
  <c r="E75" i="8"/>
  <c r="K77" i="9"/>
  <c r="J77" i="9"/>
  <c r="C77" i="9"/>
  <c r="D77" i="9"/>
  <c r="O77" i="9"/>
  <c r="B78" i="9"/>
  <c r="A79" i="9"/>
  <c r="E78" i="9"/>
  <c r="N78" i="9"/>
  <c r="I78" i="9"/>
  <c r="L78" i="9"/>
  <c r="M78" i="9" s="1"/>
  <c r="F78" i="9"/>
  <c r="M75" i="8"/>
  <c r="A76" i="8"/>
  <c r="B75" i="8"/>
  <c r="H75" i="8"/>
  <c r="I74" i="8"/>
  <c r="N74" i="8"/>
  <c r="J74" i="8"/>
  <c r="D74" i="8"/>
  <c r="C74" i="8"/>
  <c r="M54" i="5"/>
  <c r="F55" i="5"/>
  <c r="G55" i="5"/>
  <c r="D55" i="5"/>
  <c r="C55" i="5"/>
  <c r="B56" i="5"/>
  <c r="H56" i="5"/>
  <c r="I56" i="5" s="1"/>
  <c r="E56" i="5"/>
  <c r="A57" i="5"/>
  <c r="L57" i="5" s="1"/>
  <c r="J55" i="5"/>
  <c r="K55" i="5" s="1"/>
  <c r="M54" i="2"/>
  <c r="J55" i="2"/>
  <c r="K55" i="2" s="1"/>
  <c r="B56" i="2"/>
  <c r="H56" i="2"/>
  <c r="I56" i="2" s="1"/>
  <c r="E56" i="2"/>
  <c r="A57" i="2"/>
  <c r="L57" i="2" s="1"/>
  <c r="D55" i="2"/>
  <c r="C55" i="2"/>
  <c r="G55" i="2"/>
  <c r="F55" i="2"/>
  <c r="G75" i="8" l="1"/>
  <c r="O75" i="8"/>
  <c r="F76" i="8"/>
  <c r="K76" i="8"/>
  <c r="L76" i="8" s="1"/>
  <c r="E76" i="8"/>
  <c r="F79" i="9"/>
  <c r="N79" i="9"/>
  <c r="L79" i="9"/>
  <c r="M79" i="9" s="1"/>
  <c r="I79" i="9"/>
  <c r="E79" i="9"/>
  <c r="B79" i="9"/>
  <c r="A80" i="9"/>
  <c r="J78" i="9"/>
  <c r="O78" i="9"/>
  <c r="D78" i="9"/>
  <c r="K78" i="9"/>
  <c r="C78" i="9"/>
  <c r="C75" i="8"/>
  <c r="J75" i="8"/>
  <c r="D75" i="8"/>
  <c r="I75" i="8"/>
  <c r="N75" i="8"/>
  <c r="B76" i="8"/>
  <c r="A77" i="8"/>
  <c r="M76" i="8"/>
  <c r="H76" i="8"/>
  <c r="M55" i="5"/>
  <c r="J56" i="5"/>
  <c r="K56" i="5" s="1"/>
  <c r="H57" i="5"/>
  <c r="I57" i="5" s="1"/>
  <c r="B57" i="5"/>
  <c r="E57" i="5"/>
  <c r="A58" i="5"/>
  <c r="L58" i="5" s="1"/>
  <c r="D56" i="5"/>
  <c r="C56" i="5"/>
  <c r="G56" i="5"/>
  <c r="F56" i="5"/>
  <c r="M55" i="2"/>
  <c r="H57" i="2"/>
  <c r="I57" i="2" s="1"/>
  <c r="E57" i="2"/>
  <c r="B57" i="2"/>
  <c r="A58" i="2"/>
  <c r="L58" i="2" s="1"/>
  <c r="J56" i="2"/>
  <c r="K56" i="2" s="1"/>
  <c r="C56" i="2"/>
  <c r="D56" i="2"/>
  <c r="F56" i="2"/>
  <c r="G56" i="2"/>
  <c r="G76" i="8" l="1"/>
  <c r="O76" i="8"/>
  <c r="F77" i="8"/>
  <c r="K77" i="8"/>
  <c r="L77" i="8" s="1"/>
  <c r="E77" i="8"/>
  <c r="A81" i="9"/>
  <c r="L80" i="9"/>
  <c r="M80" i="9" s="1"/>
  <c r="N80" i="9"/>
  <c r="I80" i="9"/>
  <c r="F80" i="9"/>
  <c r="E80" i="9"/>
  <c r="B80" i="9"/>
  <c r="K79" i="9"/>
  <c r="O79" i="9"/>
  <c r="J79" i="9"/>
  <c r="C79" i="9"/>
  <c r="D79" i="9"/>
  <c r="M77" i="8"/>
  <c r="B77" i="8"/>
  <c r="A78" i="8"/>
  <c r="H77" i="8"/>
  <c r="D76" i="8"/>
  <c r="C76" i="8"/>
  <c r="N76" i="8"/>
  <c r="J76" i="8"/>
  <c r="I76" i="8"/>
  <c r="M56" i="5"/>
  <c r="E58" i="5"/>
  <c r="B58" i="5"/>
  <c r="H58" i="5"/>
  <c r="I58" i="5" s="1"/>
  <c r="A59" i="5"/>
  <c r="L59" i="5" s="1"/>
  <c r="J57" i="5"/>
  <c r="K57" i="5" s="1"/>
  <c r="D57" i="5"/>
  <c r="G57" i="5"/>
  <c r="C57" i="5"/>
  <c r="F57" i="5"/>
  <c r="M56" i="2"/>
  <c r="D57" i="2"/>
  <c r="G57" i="2"/>
  <c r="F57" i="2"/>
  <c r="C57" i="2"/>
  <c r="J57" i="2"/>
  <c r="K57" i="2" s="1"/>
  <c r="H58" i="2"/>
  <c r="I58" i="2" s="1"/>
  <c r="B58" i="2"/>
  <c r="E58" i="2"/>
  <c r="A59" i="2"/>
  <c r="L59" i="2" s="1"/>
  <c r="G77" i="8" l="1"/>
  <c r="O77" i="8"/>
  <c r="F78" i="8"/>
  <c r="K78" i="8"/>
  <c r="L78" i="8" s="1"/>
  <c r="E78" i="8"/>
  <c r="D80" i="9"/>
  <c r="C80" i="9"/>
  <c r="O80" i="9"/>
  <c r="K80" i="9"/>
  <c r="J80" i="9"/>
  <c r="F81" i="9"/>
  <c r="A82" i="9"/>
  <c r="N81" i="9"/>
  <c r="L81" i="9"/>
  <c r="M81" i="9" s="1"/>
  <c r="I81" i="9"/>
  <c r="B81" i="9"/>
  <c r="E81" i="9"/>
  <c r="C77" i="8"/>
  <c r="N77" i="8"/>
  <c r="I77" i="8"/>
  <c r="D77" i="8"/>
  <c r="J77" i="8"/>
  <c r="M78" i="8"/>
  <c r="B78" i="8"/>
  <c r="H78" i="8"/>
  <c r="A79" i="8"/>
  <c r="M57" i="5"/>
  <c r="E59" i="5"/>
  <c r="B59" i="5"/>
  <c r="H59" i="5"/>
  <c r="I59" i="5" s="1"/>
  <c r="A60" i="5"/>
  <c r="L60" i="5" s="1"/>
  <c r="J58" i="5"/>
  <c r="K58" i="5" s="1"/>
  <c r="D58" i="5"/>
  <c r="C58" i="5"/>
  <c r="F58" i="5"/>
  <c r="G58" i="5"/>
  <c r="M57" i="2"/>
  <c r="B59" i="2"/>
  <c r="H59" i="2"/>
  <c r="I59" i="2" s="1"/>
  <c r="E59" i="2"/>
  <c r="A60" i="2"/>
  <c r="L60" i="2" s="1"/>
  <c r="C58" i="2"/>
  <c r="G58" i="2"/>
  <c r="F58" i="2"/>
  <c r="D58" i="2"/>
  <c r="J58" i="2"/>
  <c r="K58" i="2" s="1"/>
  <c r="G78" i="8" l="1"/>
  <c r="O78" i="8"/>
  <c r="F79" i="8"/>
  <c r="K79" i="8"/>
  <c r="L79" i="8" s="1"/>
  <c r="E79" i="8"/>
  <c r="K81" i="9"/>
  <c r="O81" i="9"/>
  <c r="J81" i="9"/>
  <c r="C81" i="9"/>
  <c r="D81" i="9"/>
  <c r="F82" i="9"/>
  <c r="E82" i="9"/>
  <c r="B82" i="9"/>
  <c r="L82" i="9"/>
  <c r="M82" i="9" s="1"/>
  <c r="I82" i="9"/>
  <c r="A83" i="9"/>
  <c r="N82" i="9"/>
  <c r="J78" i="8"/>
  <c r="N78" i="8"/>
  <c r="I78" i="8"/>
  <c r="C78" i="8"/>
  <c r="D78" i="8"/>
  <c r="M79" i="8"/>
  <c r="B79" i="8"/>
  <c r="A80" i="8"/>
  <c r="H79" i="8"/>
  <c r="M58" i="5"/>
  <c r="E60" i="5"/>
  <c r="H60" i="5"/>
  <c r="I60" i="5" s="1"/>
  <c r="B60" i="5"/>
  <c r="A61" i="5"/>
  <c r="L61" i="5" s="1"/>
  <c r="J59" i="5"/>
  <c r="K59" i="5" s="1"/>
  <c r="F59" i="5"/>
  <c r="D59" i="5"/>
  <c r="C59" i="5"/>
  <c r="G59" i="5"/>
  <c r="M58" i="2"/>
  <c r="J59" i="2"/>
  <c r="K59" i="2" s="1"/>
  <c r="F59" i="2"/>
  <c r="G59" i="2"/>
  <c r="D59" i="2"/>
  <c r="C59" i="2"/>
  <c r="B60" i="2"/>
  <c r="E60" i="2"/>
  <c r="H60" i="2"/>
  <c r="I60" i="2" s="1"/>
  <c r="A61" i="2"/>
  <c r="L61" i="2" s="1"/>
  <c r="G79" i="8" l="1"/>
  <c r="O79" i="8"/>
  <c r="F80" i="8"/>
  <c r="K80" i="8"/>
  <c r="L80" i="8" s="1"/>
  <c r="E80" i="8"/>
  <c r="F83" i="9"/>
  <c r="I83" i="9"/>
  <c r="B83" i="9"/>
  <c r="A84" i="9"/>
  <c r="N83" i="9"/>
  <c r="L83" i="9"/>
  <c r="M83" i="9" s="1"/>
  <c r="E83" i="9"/>
  <c r="J82" i="9"/>
  <c r="C82" i="9"/>
  <c r="K82" i="9"/>
  <c r="D82" i="9"/>
  <c r="O82" i="9"/>
  <c r="A81" i="8"/>
  <c r="M80" i="8"/>
  <c r="H80" i="8"/>
  <c r="B80" i="8"/>
  <c r="J79" i="8"/>
  <c r="I79" i="8"/>
  <c r="N79" i="8"/>
  <c r="D79" i="8"/>
  <c r="C79" i="8"/>
  <c r="M59" i="5"/>
  <c r="E61" i="5"/>
  <c r="B61" i="5"/>
  <c r="H61" i="5"/>
  <c r="I61" i="5" s="1"/>
  <c r="A62" i="5"/>
  <c r="L62" i="5" s="1"/>
  <c r="G60" i="5"/>
  <c r="D60" i="5"/>
  <c r="F60" i="5"/>
  <c r="C60" i="5"/>
  <c r="J60" i="5"/>
  <c r="K60" i="5" s="1"/>
  <c r="M59" i="2"/>
  <c r="J60" i="2"/>
  <c r="K60" i="2" s="1"/>
  <c r="H61" i="2"/>
  <c r="I61" i="2" s="1"/>
  <c r="B61" i="2"/>
  <c r="E61" i="2"/>
  <c r="A62" i="2"/>
  <c r="L62" i="2" s="1"/>
  <c r="C60" i="2"/>
  <c r="G60" i="2"/>
  <c r="F60" i="2"/>
  <c r="D60" i="2"/>
  <c r="G80" i="8" l="1"/>
  <c r="O80" i="8"/>
  <c r="F81" i="8"/>
  <c r="K81" i="8"/>
  <c r="L81" i="8" s="1"/>
  <c r="E81" i="8"/>
  <c r="E84" i="9"/>
  <c r="N84" i="9"/>
  <c r="L84" i="9"/>
  <c r="M84" i="9" s="1"/>
  <c r="I84" i="9"/>
  <c r="F84" i="9"/>
  <c r="A85" i="9"/>
  <c r="B84" i="9"/>
  <c r="K83" i="9"/>
  <c r="D83" i="9"/>
  <c r="C83" i="9"/>
  <c r="O83" i="9"/>
  <c r="J83" i="9"/>
  <c r="N80" i="8"/>
  <c r="C80" i="8"/>
  <c r="J80" i="8"/>
  <c r="I80" i="8"/>
  <c r="D80" i="8"/>
  <c r="M81" i="8"/>
  <c r="B81" i="8"/>
  <c r="H81" i="8"/>
  <c r="A82" i="8"/>
  <c r="M60" i="5"/>
  <c r="B62" i="5"/>
  <c r="H62" i="5"/>
  <c r="I62" i="5" s="1"/>
  <c r="E62" i="5"/>
  <c r="A63" i="5"/>
  <c r="L63" i="5" s="1"/>
  <c r="J61" i="5"/>
  <c r="K61" i="5" s="1"/>
  <c r="G61" i="5"/>
  <c r="F61" i="5"/>
  <c r="D61" i="5"/>
  <c r="C61" i="5"/>
  <c r="M60" i="2"/>
  <c r="E62" i="2"/>
  <c r="B62" i="2"/>
  <c r="H62" i="2"/>
  <c r="I62" i="2" s="1"/>
  <c r="A63" i="2"/>
  <c r="L63" i="2" s="1"/>
  <c r="D61" i="2"/>
  <c r="F61" i="2"/>
  <c r="C61" i="2"/>
  <c r="G61" i="2"/>
  <c r="J61" i="2"/>
  <c r="K61" i="2" s="1"/>
  <c r="G81" i="8" l="1"/>
  <c r="O81" i="8"/>
  <c r="F82" i="8"/>
  <c r="K82" i="8"/>
  <c r="L82" i="8" s="1"/>
  <c r="E82" i="8"/>
  <c r="K84" i="9"/>
  <c r="J84" i="9"/>
  <c r="D84" i="9"/>
  <c r="O84" i="9"/>
  <c r="C84" i="9"/>
  <c r="L85" i="9"/>
  <c r="M85" i="9" s="1"/>
  <c r="I85" i="9"/>
  <c r="B85" i="9"/>
  <c r="A86" i="9"/>
  <c r="N85" i="9"/>
  <c r="E85" i="9"/>
  <c r="F85" i="9"/>
  <c r="A83" i="8"/>
  <c r="H82" i="8"/>
  <c r="B82" i="8"/>
  <c r="M82" i="8"/>
  <c r="N81" i="8"/>
  <c r="I81" i="8"/>
  <c r="C81" i="8"/>
  <c r="J81" i="8"/>
  <c r="D81" i="8"/>
  <c r="M61" i="5"/>
  <c r="E63" i="5"/>
  <c r="H63" i="5"/>
  <c r="I63" i="5" s="1"/>
  <c r="B63" i="5"/>
  <c r="A64" i="5"/>
  <c r="L64" i="5" s="1"/>
  <c r="J62" i="5"/>
  <c r="K62" i="5" s="1"/>
  <c r="F62" i="5"/>
  <c r="G62" i="5"/>
  <c r="D62" i="5"/>
  <c r="C62" i="5"/>
  <c r="M61" i="2"/>
  <c r="J62" i="2"/>
  <c r="K62" i="2" s="1"/>
  <c r="C62" i="2"/>
  <c r="F62" i="2"/>
  <c r="D62" i="2"/>
  <c r="G62" i="2"/>
  <c r="H63" i="2"/>
  <c r="I63" i="2" s="1"/>
  <c r="E63" i="2"/>
  <c r="B63" i="2"/>
  <c r="A64" i="2"/>
  <c r="L64" i="2" s="1"/>
  <c r="G82" i="8" l="1"/>
  <c r="O82" i="8"/>
  <c r="F83" i="8"/>
  <c r="K83" i="8"/>
  <c r="L83" i="8" s="1"/>
  <c r="E83" i="8"/>
  <c r="D85" i="9"/>
  <c r="C85" i="9"/>
  <c r="J85" i="9"/>
  <c r="O85" i="9"/>
  <c r="K85" i="9"/>
  <c r="E86" i="9"/>
  <c r="N86" i="9"/>
  <c r="A87" i="9"/>
  <c r="F86" i="9"/>
  <c r="B86" i="9"/>
  <c r="L86" i="9"/>
  <c r="M86" i="9" s="1"/>
  <c r="I86" i="9"/>
  <c r="N82" i="8"/>
  <c r="J82" i="8"/>
  <c r="I82" i="8"/>
  <c r="C82" i="8"/>
  <c r="D82" i="8"/>
  <c r="M83" i="8"/>
  <c r="B83" i="8"/>
  <c r="A84" i="8"/>
  <c r="H83" i="8"/>
  <c r="M62" i="5"/>
  <c r="H64" i="5"/>
  <c r="I64" i="5" s="1"/>
  <c r="B64" i="5"/>
  <c r="E64" i="5"/>
  <c r="A65" i="5"/>
  <c r="L65" i="5" s="1"/>
  <c r="J63" i="5"/>
  <c r="K63" i="5" s="1"/>
  <c r="F63" i="5"/>
  <c r="G63" i="5"/>
  <c r="D63" i="5"/>
  <c r="C63" i="5"/>
  <c r="M62" i="2"/>
  <c r="H64" i="2"/>
  <c r="I64" i="2" s="1"/>
  <c r="B64" i="2"/>
  <c r="E64" i="2"/>
  <c r="A65" i="2"/>
  <c r="L65" i="2" s="1"/>
  <c r="F63" i="2"/>
  <c r="D63" i="2"/>
  <c r="G63" i="2"/>
  <c r="C63" i="2"/>
  <c r="J63" i="2"/>
  <c r="K63" i="2" s="1"/>
  <c r="G83" i="8" l="1"/>
  <c r="O83" i="8"/>
  <c r="F84" i="8"/>
  <c r="K84" i="8"/>
  <c r="L84" i="8" s="1"/>
  <c r="E84" i="8"/>
  <c r="O86" i="9"/>
  <c r="C86" i="9"/>
  <c r="K86" i="9"/>
  <c r="J86" i="9"/>
  <c r="D86" i="9"/>
  <c r="B87" i="9"/>
  <c r="L87" i="9"/>
  <c r="M87" i="9" s="1"/>
  <c r="N87" i="9"/>
  <c r="F87" i="9"/>
  <c r="I87" i="9"/>
  <c r="E87" i="9"/>
  <c r="A88" i="9"/>
  <c r="N83" i="8"/>
  <c r="J83" i="8"/>
  <c r="I83" i="8"/>
  <c r="C83" i="8"/>
  <c r="D83" i="8"/>
  <c r="B84" i="8"/>
  <c r="H84" i="8"/>
  <c r="A85" i="8"/>
  <c r="M84" i="8"/>
  <c r="M63" i="5"/>
  <c r="E65" i="5"/>
  <c r="H65" i="5"/>
  <c r="I65" i="5" s="1"/>
  <c r="B65" i="5"/>
  <c r="A66" i="5"/>
  <c r="L66" i="5" s="1"/>
  <c r="C64" i="5"/>
  <c r="D64" i="5"/>
  <c r="F64" i="5"/>
  <c r="G64" i="5"/>
  <c r="J64" i="5"/>
  <c r="K64" i="5" s="1"/>
  <c r="M63" i="2"/>
  <c r="H65" i="2"/>
  <c r="I65" i="2" s="1"/>
  <c r="B65" i="2"/>
  <c r="E65" i="2"/>
  <c r="A66" i="2"/>
  <c r="L66" i="2" s="1"/>
  <c r="C64" i="2"/>
  <c r="G64" i="2"/>
  <c r="F64" i="2"/>
  <c r="D64" i="2"/>
  <c r="J64" i="2"/>
  <c r="K64" i="2" s="1"/>
  <c r="G84" i="8" l="1"/>
  <c r="O84" i="8"/>
  <c r="F85" i="8"/>
  <c r="K85" i="8"/>
  <c r="L85" i="8" s="1"/>
  <c r="E85" i="8"/>
  <c r="E88" i="9"/>
  <c r="A89" i="9"/>
  <c r="B88" i="9"/>
  <c r="N88" i="9"/>
  <c r="L88" i="9"/>
  <c r="M88" i="9" s="1"/>
  <c r="I88" i="9"/>
  <c r="F88" i="9"/>
  <c r="J87" i="9"/>
  <c r="O87" i="9"/>
  <c r="K87" i="9"/>
  <c r="D87" i="9"/>
  <c r="C87" i="9"/>
  <c r="M85" i="8"/>
  <c r="H85" i="8"/>
  <c r="A86" i="8"/>
  <c r="B85" i="8"/>
  <c r="I84" i="8"/>
  <c r="J84" i="8"/>
  <c r="D84" i="8"/>
  <c r="C84" i="8"/>
  <c r="N84" i="8"/>
  <c r="M64" i="5"/>
  <c r="B66" i="5"/>
  <c r="E66" i="5"/>
  <c r="H66" i="5"/>
  <c r="I66" i="5" s="1"/>
  <c r="A67" i="5"/>
  <c r="L67" i="5" s="1"/>
  <c r="C65" i="5"/>
  <c r="D65" i="5"/>
  <c r="G65" i="5"/>
  <c r="F65" i="5"/>
  <c r="J65" i="5"/>
  <c r="K65" i="5" s="1"/>
  <c r="M64" i="2"/>
  <c r="J65" i="2"/>
  <c r="K65" i="2" s="1"/>
  <c r="H66" i="2"/>
  <c r="I66" i="2" s="1"/>
  <c r="B66" i="2"/>
  <c r="E66" i="2"/>
  <c r="A67" i="2"/>
  <c r="L67" i="2" s="1"/>
  <c r="F65" i="2"/>
  <c r="G65" i="2"/>
  <c r="D65" i="2"/>
  <c r="C65" i="2"/>
  <c r="G85" i="8" l="1"/>
  <c r="O85" i="8"/>
  <c r="F86" i="8"/>
  <c r="K86" i="8"/>
  <c r="L86" i="8" s="1"/>
  <c r="E86" i="8"/>
  <c r="O88" i="9"/>
  <c r="D88" i="9"/>
  <c r="K88" i="9"/>
  <c r="J88" i="9"/>
  <c r="C88" i="9"/>
  <c r="N89" i="9"/>
  <c r="I89" i="9"/>
  <c r="F89" i="9"/>
  <c r="A90" i="9"/>
  <c r="B89" i="9"/>
  <c r="L89" i="9"/>
  <c r="M89" i="9" s="1"/>
  <c r="E89" i="9"/>
  <c r="I85" i="8"/>
  <c r="J85" i="8"/>
  <c r="D85" i="8"/>
  <c r="C85" i="8"/>
  <c r="N85" i="8"/>
  <c r="B86" i="8"/>
  <c r="H86" i="8"/>
  <c r="A87" i="8"/>
  <c r="M86" i="8"/>
  <c r="M65" i="5"/>
  <c r="E67" i="5"/>
  <c r="H67" i="5"/>
  <c r="I67" i="5" s="1"/>
  <c r="B67" i="5"/>
  <c r="A68" i="5"/>
  <c r="L68" i="5" s="1"/>
  <c r="J66" i="5"/>
  <c r="K66" i="5" s="1"/>
  <c r="D66" i="5"/>
  <c r="F66" i="5"/>
  <c r="C66" i="5"/>
  <c r="G66" i="5"/>
  <c r="M65" i="2"/>
  <c r="B67" i="2"/>
  <c r="H67" i="2"/>
  <c r="I67" i="2" s="1"/>
  <c r="E67" i="2"/>
  <c r="A68" i="2"/>
  <c r="L68" i="2" s="1"/>
  <c r="C66" i="2"/>
  <c r="G66" i="2"/>
  <c r="F66" i="2"/>
  <c r="D66" i="2"/>
  <c r="J66" i="2"/>
  <c r="K66" i="2" s="1"/>
  <c r="G86" i="8" l="1"/>
  <c r="O86" i="8"/>
  <c r="F87" i="8"/>
  <c r="K87" i="8"/>
  <c r="L87" i="8" s="1"/>
  <c r="E87" i="8"/>
  <c r="K89" i="9"/>
  <c r="J89" i="9"/>
  <c r="D89" i="9"/>
  <c r="C89" i="9"/>
  <c r="O89" i="9"/>
  <c r="E90" i="9"/>
  <c r="A91" i="9"/>
  <c r="L90" i="9"/>
  <c r="M90" i="9" s="1"/>
  <c r="B90" i="9"/>
  <c r="I90" i="9"/>
  <c r="F90" i="9"/>
  <c r="N90" i="9"/>
  <c r="M87" i="8"/>
  <c r="H87" i="8"/>
  <c r="B87" i="8"/>
  <c r="A88" i="8"/>
  <c r="J86" i="8"/>
  <c r="I86" i="8"/>
  <c r="D86" i="8"/>
  <c r="C86" i="8"/>
  <c r="N86" i="8"/>
  <c r="M66" i="5"/>
  <c r="E68" i="5"/>
  <c r="H68" i="5"/>
  <c r="I68" i="5" s="1"/>
  <c r="B68" i="5"/>
  <c r="A69" i="5"/>
  <c r="L69" i="5" s="1"/>
  <c r="G67" i="5"/>
  <c r="F67" i="5"/>
  <c r="D67" i="5"/>
  <c r="C67" i="5"/>
  <c r="J67" i="5"/>
  <c r="K67" i="5" s="1"/>
  <c r="M66" i="2"/>
  <c r="J67" i="2"/>
  <c r="K67" i="2" s="1"/>
  <c r="C67" i="2"/>
  <c r="D67" i="2"/>
  <c r="F67" i="2"/>
  <c r="G67" i="2"/>
  <c r="H68" i="2"/>
  <c r="I68" i="2" s="1"/>
  <c r="B68" i="2"/>
  <c r="E68" i="2"/>
  <c r="A69" i="2"/>
  <c r="L69" i="2" s="1"/>
  <c r="G87" i="8" l="1"/>
  <c r="O87" i="8"/>
  <c r="F88" i="8"/>
  <c r="K88" i="8"/>
  <c r="L88" i="8" s="1"/>
  <c r="E88" i="8"/>
  <c r="K90" i="9"/>
  <c r="J90" i="9"/>
  <c r="D90" i="9"/>
  <c r="C90" i="9"/>
  <c r="O90" i="9"/>
  <c r="L91" i="9"/>
  <c r="M91" i="9" s="1"/>
  <c r="B91" i="9"/>
  <c r="N91" i="9"/>
  <c r="E91" i="9"/>
  <c r="A92" i="9"/>
  <c r="I91" i="9"/>
  <c r="F91" i="9"/>
  <c r="M88" i="8"/>
  <c r="A89" i="8"/>
  <c r="H88" i="8"/>
  <c r="B88" i="8"/>
  <c r="N87" i="8"/>
  <c r="D87" i="8"/>
  <c r="J87" i="8"/>
  <c r="I87" i="8"/>
  <c r="C87" i="8"/>
  <c r="M67" i="5"/>
  <c r="E69" i="5"/>
  <c r="B69" i="5"/>
  <c r="H69" i="5"/>
  <c r="I69" i="5" s="1"/>
  <c r="A70" i="5"/>
  <c r="L70" i="5" s="1"/>
  <c r="D68" i="5"/>
  <c r="G68" i="5"/>
  <c r="F68" i="5"/>
  <c r="C68" i="5"/>
  <c r="J68" i="5"/>
  <c r="K68" i="5" s="1"/>
  <c r="M67" i="2"/>
  <c r="E69" i="2"/>
  <c r="H69" i="2"/>
  <c r="I69" i="2" s="1"/>
  <c r="B69" i="2"/>
  <c r="A70" i="2"/>
  <c r="L70" i="2" s="1"/>
  <c r="J68" i="2"/>
  <c r="K68" i="2" s="1"/>
  <c r="C68" i="2"/>
  <c r="G68" i="2"/>
  <c r="F68" i="2"/>
  <c r="D68" i="2"/>
  <c r="G88" i="8" l="1"/>
  <c r="O88" i="8"/>
  <c r="F89" i="8"/>
  <c r="K89" i="8"/>
  <c r="E89" i="8"/>
  <c r="O91" i="9"/>
  <c r="D91" i="9"/>
  <c r="K91" i="9"/>
  <c r="J91" i="9"/>
  <c r="C91" i="9"/>
  <c r="E92" i="9"/>
  <c r="A93" i="9"/>
  <c r="N92" i="9"/>
  <c r="B92" i="9"/>
  <c r="L92" i="9"/>
  <c r="M92" i="9" s="1"/>
  <c r="I92" i="9"/>
  <c r="F92" i="9"/>
  <c r="L89" i="8"/>
  <c r="J88" i="8"/>
  <c r="I88" i="8"/>
  <c r="N88" i="8"/>
  <c r="D88" i="8"/>
  <c r="C88" i="8"/>
  <c r="M89" i="8"/>
  <c r="B89" i="8"/>
  <c r="H89" i="8"/>
  <c r="A90" i="8"/>
  <c r="M68" i="5"/>
  <c r="H70" i="5"/>
  <c r="I70" i="5" s="1"/>
  <c r="E70" i="5"/>
  <c r="B70" i="5"/>
  <c r="A71" i="5"/>
  <c r="L71" i="5" s="1"/>
  <c r="J69" i="5"/>
  <c r="K69" i="5" s="1"/>
  <c r="D69" i="5"/>
  <c r="C69" i="5"/>
  <c r="G69" i="5"/>
  <c r="F69" i="5"/>
  <c r="M68" i="2"/>
  <c r="B70" i="2"/>
  <c r="E70" i="2"/>
  <c r="H70" i="2"/>
  <c r="I70" i="2" s="1"/>
  <c r="A71" i="2"/>
  <c r="L71" i="2" s="1"/>
  <c r="G69" i="2"/>
  <c r="F69" i="2"/>
  <c r="D69" i="2"/>
  <c r="C69" i="2"/>
  <c r="J69" i="2"/>
  <c r="K69" i="2" s="1"/>
  <c r="G89" i="8" l="1"/>
  <c r="O89" i="8"/>
  <c r="F90" i="8"/>
  <c r="K90" i="8"/>
  <c r="L90" i="8" s="1"/>
  <c r="E90" i="8"/>
  <c r="I93" i="9"/>
  <c r="E93" i="9"/>
  <c r="A94" i="9"/>
  <c r="F93" i="9"/>
  <c r="B93" i="9"/>
  <c r="N93" i="9"/>
  <c r="L93" i="9"/>
  <c r="M93" i="9" s="1"/>
  <c r="O92" i="9"/>
  <c r="C92" i="9"/>
  <c r="D92" i="9"/>
  <c r="K92" i="9"/>
  <c r="J92" i="9"/>
  <c r="A91" i="8"/>
  <c r="M90" i="8"/>
  <c r="H90" i="8"/>
  <c r="B90" i="8"/>
  <c r="J89" i="8"/>
  <c r="I89" i="8"/>
  <c r="C89" i="8"/>
  <c r="D89" i="8"/>
  <c r="N89" i="8"/>
  <c r="M69" i="5"/>
  <c r="E71" i="5"/>
  <c r="H71" i="5"/>
  <c r="I71" i="5" s="1"/>
  <c r="B71" i="5"/>
  <c r="A72" i="5"/>
  <c r="L72" i="5" s="1"/>
  <c r="F70" i="5"/>
  <c r="G70" i="5"/>
  <c r="D70" i="5"/>
  <c r="C70" i="5"/>
  <c r="J70" i="5"/>
  <c r="K70" i="5" s="1"/>
  <c r="M69" i="2"/>
  <c r="J70" i="2"/>
  <c r="K70" i="2" s="1"/>
  <c r="B71" i="2"/>
  <c r="H71" i="2"/>
  <c r="I71" i="2" s="1"/>
  <c r="E71" i="2"/>
  <c r="A72" i="2"/>
  <c r="L72" i="2" s="1"/>
  <c r="C70" i="2"/>
  <c r="D70" i="2"/>
  <c r="G70" i="2"/>
  <c r="F70" i="2"/>
  <c r="G90" i="8" l="1"/>
  <c r="O90" i="8"/>
  <c r="F91" i="8"/>
  <c r="K91" i="8"/>
  <c r="L91" i="8" s="1"/>
  <c r="E91" i="8"/>
  <c r="D93" i="9"/>
  <c r="J93" i="9"/>
  <c r="C93" i="9"/>
  <c r="O93" i="9"/>
  <c r="K93" i="9"/>
  <c r="E94" i="9"/>
  <c r="I94" i="9"/>
  <c r="F94" i="9"/>
  <c r="B94" i="9"/>
  <c r="N94" i="9"/>
  <c r="A95" i="9"/>
  <c r="L94" i="9"/>
  <c r="M94" i="9" s="1"/>
  <c r="N90" i="8"/>
  <c r="J90" i="8"/>
  <c r="D90" i="8"/>
  <c r="C90" i="8"/>
  <c r="I90" i="8"/>
  <c r="M91" i="8"/>
  <c r="A92" i="8"/>
  <c r="H91" i="8"/>
  <c r="B91" i="8"/>
  <c r="M70" i="5"/>
  <c r="H72" i="5"/>
  <c r="I72" i="5" s="1"/>
  <c r="E72" i="5"/>
  <c r="B72" i="5"/>
  <c r="A73" i="5"/>
  <c r="L73" i="5" s="1"/>
  <c r="G71" i="5"/>
  <c r="F71" i="5"/>
  <c r="D71" i="5"/>
  <c r="C71" i="5"/>
  <c r="J71" i="5"/>
  <c r="K71" i="5" s="1"/>
  <c r="M70" i="2"/>
  <c r="B72" i="2"/>
  <c r="E72" i="2"/>
  <c r="H72" i="2"/>
  <c r="I72" i="2" s="1"/>
  <c r="A73" i="2"/>
  <c r="L73" i="2" s="1"/>
  <c r="J71" i="2"/>
  <c r="K71" i="2" s="1"/>
  <c r="G71" i="2"/>
  <c r="F71" i="2"/>
  <c r="C71" i="2"/>
  <c r="D71" i="2"/>
  <c r="G91" i="8" l="1"/>
  <c r="O91" i="8"/>
  <c r="F92" i="8"/>
  <c r="K92" i="8"/>
  <c r="L92" i="8" s="1"/>
  <c r="E92" i="8"/>
  <c r="N95" i="9"/>
  <c r="L95" i="9"/>
  <c r="M95" i="9" s="1"/>
  <c r="I95" i="9"/>
  <c r="A96" i="9"/>
  <c r="B95" i="9"/>
  <c r="E95" i="9"/>
  <c r="F95" i="9"/>
  <c r="D94" i="9"/>
  <c r="K94" i="9"/>
  <c r="C94" i="9"/>
  <c r="O94" i="9"/>
  <c r="J94" i="9"/>
  <c r="N91" i="8"/>
  <c r="J91" i="8"/>
  <c r="I91" i="8"/>
  <c r="D91" i="8"/>
  <c r="C91" i="8"/>
  <c r="B92" i="8"/>
  <c r="A93" i="8"/>
  <c r="M92" i="8"/>
  <c r="H92" i="8"/>
  <c r="M71" i="5"/>
  <c r="E73" i="5"/>
  <c r="B73" i="5"/>
  <c r="H73" i="5"/>
  <c r="I73" i="5" s="1"/>
  <c r="A74" i="5"/>
  <c r="L74" i="5" s="1"/>
  <c r="G72" i="5"/>
  <c r="F72" i="5"/>
  <c r="D72" i="5"/>
  <c r="C72" i="5"/>
  <c r="J72" i="5"/>
  <c r="K72" i="5" s="1"/>
  <c r="M71" i="2"/>
  <c r="H73" i="2"/>
  <c r="I73" i="2" s="1"/>
  <c r="E73" i="2"/>
  <c r="B73" i="2"/>
  <c r="A74" i="2"/>
  <c r="L74" i="2" s="1"/>
  <c r="J72" i="2"/>
  <c r="K72" i="2" s="1"/>
  <c r="C72" i="2"/>
  <c r="D72" i="2"/>
  <c r="G72" i="2"/>
  <c r="F72" i="2"/>
  <c r="G92" i="8" l="1"/>
  <c r="O92" i="8"/>
  <c r="F93" i="8"/>
  <c r="K93" i="8"/>
  <c r="L93" i="8" s="1"/>
  <c r="E93" i="8"/>
  <c r="J95" i="9"/>
  <c r="O95" i="9"/>
  <c r="K95" i="9"/>
  <c r="D95" i="9"/>
  <c r="C95" i="9"/>
  <c r="F96" i="9"/>
  <c r="N96" i="9"/>
  <c r="L96" i="9"/>
  <c r="M96" i="9" s="1"/>
  <c r="I96" i="9"/>
  <c r="E96" i="9"/>
  <c r="B96" i="9"/>
  <c r="A97" i="9"/>
  <c r="M93" i="8"/>
  <c r="H93" i="8"/>
  <c r="A94" i="8"/>
  <c r="B93" i="8"/>
  <c r="I92" i="8"/>
  <c r="D92" i="8"/>
  <c r="C92" i="8"/>
  <c r="J92" i="8"/>
  <c r="N92" i="8"/>
  <c r="M72" i="5"/>
  <c r="H74" i="5"/>
  <c r="I74" i="5" s="1"/>
  <c r="E74" i="5"/>
  <c r="B74" i="5"/>
  <c r="A75" i="5"/>
  <c r="L75" i="5" s="1"/>
  <c r="J73" i="5"/>
  <c r="K73" i="5" s="1"/>
  <c r="C73" i="5"/>
  <c r="F73" i="5"/>
  <c r="D73" i="5"/>
  <c r="G73" i="5"/>
  <c r="M72" i="2"/>
  <c r="B74" i="2"/>
  <c r="H74" i="2"/>
  <c r="I74" i="2" s="1"/>
  <c r="E74" i="2"/>
  <c r="A75" i="2"/>
  <c r="L75" i="2" s="1"/>
  <c r="G73" i="2"/>
  <c r="F73" i="2"/>
  <c r="D73" i="2"/>
  <c r="C73" i="2"/>
  <c r="J73" i="2"/>
  <c r="K73" i="2" s="1"/>
  <c r="G93" i="8" l="1"/>
  <c r="O93" i="8"/>
  <c r="F94" i="8"/>
  <c r="K94" i="8"/>
  <c r="L94" i="8" s="1"/>
  <c r="E94" i="8"/>
  <c r="A98" i="9"/>
  <c r="N97" i="9"/>
  <c r="B97" i="9"/>
  <c r="L97" i="9"/>
  <c r="M97" i="9" s="1"/>
  <c r="I97" i="9"/>
  <c r="F97" i="9"/>
  <c r="E97" i="9"/>
  <c r="C96" i="9"/>
  <c r="O96" i="9"/>
  <c r="K96" i="9"/>
  <c r="D96" i="9"/>
  <c r="J96" i="9"/>
  <c r="I93" i="8"/>
  <c r="N93" i="8"/>
  <c r="J93" i="8"/>
  <c r="D93" i="8"/>
  <c r="C93" i="8"/>
  <c r="H94" i="8"/>
  <c r="A95" i="8"/>
  <c r="M94" i="8"/>
  <c r="B94" i="8"/>
  <c r="M73" i="5"/>
  <c r="E75" i="5"/>
  <c r="B75" i="5"/>
  <c r="H75" i="5"/>
  <c r="I75" i="5" s="1"/>
  <c r="A76" i="5"/>
  <c r="L76" i="5" s="1"/>
  <c r="G74" i="5"/>
  <c r="F74" i="5"/>
  <c r="D74" i="5"/>
  <c r="C74" i="5"/>
  <c r="J74" i="5"/>
  <c r="K74" i="5" s="1"/>
  <c r="M73" i="2"/>
  <c r="J74" i="2"/>
  <c r="K74" i="2" s="1"/>
  <c r="H75" i="2"/>
  <c r="I75" i="2" s="1"/>
  <c r="E75" i="2"/>
  <c r="B75" i="2"/>
  <c r="A76" i="2"/>
  <c r="L76" i="2" s="1"/>
  <c r="C74" i="2"/>
  <c r="G74" i="2"/>
  <c r="D74" i="2"/>
  <c r="F74" i="2"/>
  <c r="G94" i="8" l="1"/>
  <c r="O94" i="8"/>
  <c r="F95" i="8"/>
  <c r="K95" i="8"/>
  <c r="L95" i="8" s="1"/>
  <c r="E95" i="8"/>
  <c r="O97" i="9"/>
  <c r="J97" i="9"/>
  <c r="D97" i="9"/>
  <c r="C97" i="9"/>
  <c r="K97" i="9"/>
  <c r="I98" i="9"/>
  <c r="A99" i="9"/>
  <c r="N98" i="9"/>
  <c r="L98" i="9"/>
  <c r="M98" i="9" s="1"/>
  <c r="E98" i="9"/>
  <c r="F98" i="9"/>
  <c r="B98" i="9"/>
  <c r="M95" i="8"/>
  <c r="H95" i="8"/>
  <c r="B95" i="8"/>
  <c r="A96" i="8"/>
  <c r="D94" i="8"/>
  <c r="J94" i="8"/>
  <c r="I94" i="8"/>
  <c r="C94" i="8"/>
  <c r="N94" i="8"/>
  <c r="M74" i="5"/>
  <c r="H76" i="5"/>
  <c r="I76" i="5" s="1"/>
  <c r="E76" i="5"/>
  <c r="B76" i="5"/>
  <c r="A77" i="5"/>
  <c r="L77" i="5" s="1"/>
  <c r="J75" i="5"/>
  <c r="K75" i="5" s="1"/>
  <c r="F75" i="5"/>
  <c r="G75" i="5"/>
  <c r="C75" i="5"/>
  <c r="D75" i="5"/>
  <c r="M74" i="2"/>
  <c r="G75" i="2"/>
  <c r="F75" i="2"/>
  <c r="D75" i="2"/>
  <c r="C75" i="2"/>
  <c r="B76" i="2"/>
  <c r="H76" i="2"/>
  <c r="I76" i="2" s="1"/>
  <c r="E76" i="2"/>
  <c r="A77" i="2"/>
  <c r="L77" i="2" s="1"/>
  <c r="J75" i="2"/>
  <c r="K75" i="2" s="1"/>
  <c r="G95" i="8" l="1"/>
  <c r="O95" i="8"/>
  <c r="F96" i="8"/>
  <c r="K96" i="8"/>
  <c r="L96" i="8" s="1"/>
  <c r="E96" i="8"/>
  <c r="C98" i="9"/>
  <c r="O98" i="9"/>
  <c r="D98" i="9"/>
  <c r="J98" i="9"/>
  <c r="K98" i="9"/>
  <c r="A100" i="9"/>
  <c r="E99" i="9"/>
  <c r="I99" i="9"/>
  <c r="F99" i="9"/>
  <c r="B99" i="9"/>
  <c r="L99" i="9"/>
  <c r="M99" i="9" s="1"/>
  <c r="N99" i="9"/>
  <c r="A97" i="8"/>
  <c r="M96" i="8"/>
  <c r="B96" i="8"/>
  <c r="H96" i="8"/>
  <c r="N95" i="8"/>
  <c r="I95" i="8"/>
  <c r="D95" i="8"/>
  <c r="C95" i="8"/>
  <c r="J95" i="8"/>
  <c r="M75" i="5"/>
  <c r="E77" i="5"/>
  <c r="H77" i="5"/>
  <c r="I77" i="5" s="1"/>
  <c r="B77" i="5"/>
  <c r="A78" i="5"/>
  <c r="L78" i="5" s="1"/>
  <c r="G76" i="5"/>
  <c r="C76" i="5"/>
  <c r="F76" i="5"/>
  <c r="D76" i="5"/>
  <c r="J76" i="5"/>
  <c r="K76" i="5" s="1"/>
  <c r="M75" i="2"/>
  <c r="B77" i="2"/>
  <c r="E77" i="2"/>
  <c r="H77" i="2"/>
  <c r="I77" i="2" s="1"/>
  <c r="A78" i="2"/>
  <c r="L78" i="2" s="1"/>
  <c r="J76" i="2"/>
  <c r="K76" i="2" s="1"/>
  <c r="C76" i="2"/>
  <c r="F76" i="2"/>
  <c r="D76" i="2"/>
  <c r="G76" i="2"/>
  <c r="G96" i="8" l="1"/>
  <c r="O96" i="8"/>
  <c r="F97" i="8"/>
  <c r="K97" i="8"/>
  <c r="E97" i="8"/>
  <c r="D99" i="9"/>
  <c r="C99" i="9"/>
  <c r="J99" i="9"/>
  <c r="K99" i="9"/>
  <c r="O99" i="9"/>
  <c r="E100" i="9"/>
  <c r="N100" i="9"/>
  <c r="I100" i="9"/>
  <c r="F100" i="9"/>
  <c r="A101" i="9"/>
  <c r="L100" i="9"/>
  <c r="M100" i="9" s="1"/>
  <c r="B100" i="9"/>
  <c r="L97" i="8"/>
  <c r="C96" i="8"/>
  <c r="N96" i="8"/>
  <c r="J96" i="8"/>
  <c r="I96" i="8"/>
  <c r="D96" i="8"/>
  <c r="M97" i="8"/>
  <c r="A98" i="8"/>
  <c r="B97" i="8"/>
  <c r="H97" i="8"/>
  <c r="M76" i="5"/>
  <c r="H78" i="5"/>
  <c r="I78" i="5" s="1"/>
  <c r="E78" i="5"/>
  <c r="B78" i="5"/>
  <c r="A79" i="5"/>
  <c r="L79" i="5" s="1"/>
  <c r="G77" i="5"/>
  <c r="F77" i="5"/>
  <c r="D77" i="5"/>
  <c r="C77" i="5"/>
  <c r="J77" i="5"/>
  <c r="K77" i="5" s="1"/>
  <c r="M76" i="2"/>
  <c r="B78" i="2"/>
  <c r="H78" i="2"/>
  <c r="I78" i="2" s="1"/>
  <c r="E78" i="2"/>
  <c r="A79" i="2"/>
  <c r="L79" i="2" s="1"/>
  <c r="J77" i="2"/>
  <c r="K77" i="2" s="1"/>
  <c r="G77" i="2"/>
  <c r="F77" i="2"/>
  <c r="D77" i="2"/>
  <c r="C77" i="2"/>
  <c r="G97" i="8" l="1"/>
  <c r="O97" i="8"/>
  <c r="F98" i="8"/>
  <c r="K98" i="8"/>
  <c r="L98" i="8" s="1"/>
  <c r="E98" i="8"/>
  <c r="C100" i="9"/>
  <c r="J100" i="9"/>
  <c r="D100" i="9"/>
  <c r="O100" i="9"/>
  <c r="K100" i="9"/>
  <c r="N101" i="9"/>
  <c r="L101" i="9"/>
  <c r="M101" i="9" s="1"/>
  <c r="A102" i="9"/>
  <c r="I101" i="9"/>
  <c r="B101" i="9"/>
  <c r="F101" i="9"/>
  <c r="E101" i="9"/>
  <c r="N97" i="8"/>
  <c r="D97" i="8"/>
  <c r="C97" i="8"/>
  <c r="J97" i="8"/>
  <c r="I97" i="8"/>
  <c r="M98" i="8"/>
  <c r="H98" i="8"/>
  <c r="A99" i="8"/>
  <c r="B98" i="8"/>
  <c r="M77" i="5"/>
  <c r="H79" i="5"/>
  <c r="I79" i="5" s="1"/>
  <c r="E79" i="5"/>
  <c r="B79" i="5"/>
  <c r="A80" i="5"/>
  <c r="L80" i="5" s="1"/>
  <c r="G78" i="5"/>
  <c r="F78" i="5"/>
  <c r="D78" i="5"/>
  <c r="C78" i="5"/>
  <c r="J78" i="5"/>
  <c r="K78" i="5" s="1"/>
  <c r="M77" i="2"/>
  <c r="J78" i="2"/>
  <c r="K78" i="2" s="1"/>
  <c r="E79" i="2"/>
  <c r="H79" i="2"/>
  <c r="I79" i="2" s="1"/>
  <c r="B79" i="2"/>
  <c r="A80" i="2"/>
  <c r="L80" i="2" s="1"/>
  <c r="C78" i="2"/>
  <c r="G78" i="2"/>
  <c r="F78" i="2"/>
  <c r="D78" i="2"/>
  <c r="G98" i="8" l="1"/>
  <c r="O98" i="8"/>
  <c r="F99" i="8"/>
  <c r="K99" i="8"/>
  <c r="L99" i="8" s="1"/>
  <c r="E99" i="8"/>
  <c r="O101" i="9"/>
  <c r="K101" i="9"/>
  <c r="J101" i="9"/>
  <c r="D101" i="9"/>
  <c r="C101" i="9"/>
  <c r="F102" i="9"/>
  <c r="B102" i="9"/>
  <c r="L102" i="9"/>
  <c r="M102" i="9" s="1"/>
  <c r="I102" i="9"/>
  <c r="E102" i="9"/>
  <c r="N102" i="9"/>
  <c r="A103" i="9"/>
  <c r="C98" i="8"/>
  <c r="N98" i="8"/>
  <c r="D98" i="8"/>
  <c r="J98" i="8"/>
  <c r="I98" i="8"/>
  <c r="M99" i="8"/>
  <c r="A100" i="8"/>
  <c r="H99" i="8"/>
  <c r="B99" i="8"/>
  <c r="M78" i="5"/>
  <c r="B80" i="5"/>
  <c r="E80" i="5"/>
  <c r="H80" i="5"/>
  <c r="I80" i="5" s="1"/>
  <c r="A81" i="5"/>
  <c r="L81" i="5" s="1"/>
  <c r="G79" i="5"/>
  <c r="F79" i="5"/>
  <c r="D79" i="5"/>
  <c r="C79" i="5"/>
  <c r="J79" i="5"/>
  <c r="K79" i="5" s="1"/>
  <c r="M78" i="2"/>
  <c r="B80" i="2"/>
  <c r="H80" i="2"/>
  <c r="I80" i="2" s="1"/>
  <c r="E80" i="2"/>
  <c r="A81" i="2"/>
  <c r="L81" i="2" s="1"/>
  <c r="G79" i="2"/>
  <c r="F79" i="2"/>
  <c r="D79" i="2"/>
  <c r="C79" i="2"/>
  <c r="J79" i="2"/>
  <c r="K79" i="2" s="1"/>
  <c r="G99" i="8" l="1"/>
  <c r="O99" i="8"/>
  <c r="F100" i="8"/>
  <c r="K100" i="8"/>
  <c r="L100" i="8" s="1"/>
  <c r="E100" i="8"/>
  <c r="A104" i="9"/>
  <c r="N103" i="9"/>
  <c r="F103" i="9"/>
  <c r="E103" i="9"/>
  <c r="I103" i="9"/>
  <c r="B103" i="9"/>
  <c r="L103" i="9"/>
  <c r="M103" i="9" s="1"/>
  <c r="C102" i="9"/>
  <c r="K102" i="9"/>
  <c r="D102" i="9"/>
  <c r="O102" i="9"/>
  <c r="J102" i="9"/>
  <c r="N99" i="8"/>
  <c r="C99" i="8"/>
  <c r="J99" i="8"/>
  <c r="I99" i="8"/>
  <c r="D99" i="8"/>
  <c r="A101" i="8"/>
  <c r="H100" i="8"/>
  <c r="B100" i="8"/>
  <c r="M100" i="8"/>
  <c r="M79" i="5"/>
  <c r="H81" i="5"/>
  <c r="I81" i="5" s="1"/>
  <c r="E81" i="5"/>
  <c r="B81" i="5"/>
  <c r="A82" i="5"/>
  <c r="L82" i="5" s="1"/>
  <c r="J80" i="5"/>
  <c r="K80" i="5" s="1"/>
  <c r="F80" i="5"/>
  <c r="D80" i="5"/>
  <c r="C80" i="5"/>
  <c r="G80" i="5"/>
  <c r="M79" i="2"/>
  <c r="E81" i="2"/>
  <c r="H81" i="2"/>
  <c r="I81" i="2" s="1"/>
  <c r="B81" i="2"/>
  <c r="A82" i="2"/>
  <c r="L82" i="2" s="1"/>
  <c r="J80" i="2"/>
  <c r="K80" i="2" s="1"/>
  <c r="C80" i="2"/>
  <c r="F80" i="2"/>
  <c r="G80" i="2"/>
  <c r="D80" i="2"/>
  <c r="G100" i="8" l="1"/>
  <c r="O100" i="8"/>
  <c r="F101" i="8"/>
  <c r="K101" i="8"/>
  <c r="L101" i="8" s="1"/>
  <c r="E101" i="8"/>
  <c r="K103" i="9"/>
  <c r="O103" i="9"/>
  <c r="J103" i="9"/>
  <c r="D103" i="9"/>
  <c r="C103" i="9"/>
  <c r="L104" i="9"/>
  <c r="M104" i="9" s="1"/>
  <c r="E104" i="9"/>
  <c r="N104" i="9"/>
  <c r="I104" i="9"/>
  <c r="F104" i="9"/>
  <c r="A105" i="9"/>
  <c r="B104" i="9"/>
  <c r="B101" i="8"/>
  <c r="A102" i="8"/>
  <c r="M101" i="8"/>
  <c r="H101" i="8"/>
  <c r="C100" i="8"/>
  <c r="I100" i="8"/>
  <c r="N100" i="8"/>
  <c r="J100" i="8"/>
  <c r="D100" i="8"/>
  <c r="M80" i="5"/>
  <c r="H82" i="5"/>
  <c r="I82" i="5" s="1"/>
  <c r="E82" i="5"/>
  <c r="B82" i="5"/>
  <c r="A83" i="5"/>
  <c r="L83" i="5" s="1"/>
  <c r="G81" i="5"/>
  <c r="F81" i="5"/>
  <c r="D81" i="5"/>
  <c r="C81" i="5"/>
  <c r="J81" i="5"/>
  <c r="K81" i="5" s="1"/>
  <c r="M80" i="2"/>
  <c r="C81" i="2"/>
  <c r="G81" i="2"/>
  <c r="D81" i="2"/>
  <c r="F81" i="2"/>
  <c r="J81" i="2"/>
  <c r="K81" i="2" s="1"/>
  <c r="B82" i="2"/>
  <c r="H82" i="2"/>
  <c r="I82" i="2" s="1"/>
  <c r="E82" i="2"/>
  <c r="A83" i="2"/>
  <c r="L83" i="2" s="1"/>
  <c r="G101" i="8" l="1"/>
  <c r="O101" i="8"/>
  <c r="F102" i="8"/>
  <c r="K102" i="8"/>
  <c r="L102" i="8" s="1"/>
  <c r="E102" i="8"/>
  <c r="C104" i="9"/>
  <c r="J104" i="9"/>
  <c r="K104" i="9"/>
  <c r="D104" i="9"/>
  <c r="O104" i="9"/>
  <c r="L105" i="9"/>
  <c r="M105" i="9" s="1"/>
  <c r="B105" i="9"/>
  <c r="I105" i="9"/>
  <c r="F105" i="9"/>
  <c r="E105" i="9"/>
  <c r="A106" i="9"/>
  <c r="N105" i="9"/>
  <c r="A103" i="8"/>
  <c r="M102" i="8"/>
  <c r="H102" i="8"/>
  <c r="B102" i="8"/>
  <c r="N101" i="8"/>
  <c r="C101" i="8"/>
  <c r="J101" i="8"/>
  <c r="D101" i="8"/>
  <c r="I101" i="8"/>
  <c r="M81" i="5"/>
  <c r="H83" i="5"/>
  <c r="I83" i="5" s="1"/>
  <c r="B83" i="5"/>
  <c r="E83" i="5"/>
  <c r="A84" i="5"/>
  <c r="L84" i="5" s="1"/>
  <c r="G82" i="5"/>
  <c r="F82" i="5"/>
  <c r="C82" i="5"/>
  <c r="D82" i="5"/>
  <c r="J82" i="5"/>
  <c r="K82" i="5" s="1"/>
  <c r="M81" i="2"/>
  <c r="B83" i="2"/>
  <c r="H83" i="2"/>
  <c r="I83" i="2" s="1"/>
  <c r="E83" i="2"/>
  <c r="A84" i="2"/>
  <c r="L84" i="2" s="1"/>
  <c r="J82" i="2"/>
  <c r="K82" i="2" s="1"/>
  <c r="C82" i="2"/>
  <c r="G82" i="2"/>
  <c r="F82" i="2"/>
  <c r="D82" i="2"/>
  <c r="G102" i="8" l="1"/>
  <c r="O102" i="8"/>
  <c r="F103" i="8"/>
  <c r="K103" i="8"/>
  <c r="L103" i="8" s="1"/>
  <c r="E103" i="8"/>
  <c r="L106" i="9"/>
  <c r="M106" i="9" s="1"/>
  <c r="I106" i="9"/>
  <c r="N106" i="9"/>
  <c r="E106" i="9"/>
  <c r="B106" i="9"/>
  <c r="F106" i="9"/>
  <c r="A107" i="9"/>
  <c r="J105" i="9"/>
  <c r="K105" i="9"/>
  <c r="D105" i="9"/>
  <c r="C105" i="9"/>
  <c r="O105" i="9"/>
  <c r="C102" i="8"/>
  <c r="N102" i="8"/>
  <c r="J102" i="8"/>
  <c r="I102" i="8"/>
  <c r="D102" i="8"/>
  <c r="A104" i="8"/>
  <c r="H103" i="8"/>
  <c r="B103" i="8"/>
  <c r="M103" i="8"/>
  <c r="M82" i="5"/>
  <c r="B84" i="5"/>
  <c r="H84" i="5"/>
  <c r="I84" i="5" s="1"/>
  <c r="E84" i="5"/>
  <c r="A85" i="5"/>
  <c r="L85" i="5" s="1"/>
  <c r="C83" i="5"/>
  <c r="G83" i="5"/>
  <c r="F83" i="5"/>
  <c r="D83" i="5"/>
  <c r="J83" i="5"/>
  <c r="K83" i="5" s="1"/>
  <c r="M82" i="2"/>
  <c r="B84" i="2"/>
  <c r="H84" i="2"/>
  <c r="I84" i="2" s="1"/>
  <c r="E84" i="2"/>
  <c r="A85" i="2"/>
  <c r="L85" i="2" s="1"/>
  <c r="J83" i="2"/>
  <c r="K83" i="2" s="1"/>
  <c r="G83" i="2"/>
  <c r="C83" i="2"/>
  <c r="D83" i="2"/>
  <c r="F83" i="2"/>
  <c r="G103" i="8" l="1"/>
  <c r="O103" i="8"/>
  <c r="F104" i="8"/>
  <c r="K104" i="8"/>
  <c r="L104" i="8" s="1"/>
  <c r="E104" i="8"/>
  <c r="B107" i="9"/>
  <c r="E107" i="9"/>
  <c r="A108" i="9"/>
  <c r="F107" i="9"/>
  <c r="N107" i="9"/>
  <c r="L107" i="9"/>
  <c r="M107" i="9" s="1"/>
  <c r="I107" i="9"/>
  <c r="C106" i="9"/>
  <c r="O106" i="9"/>
  <c r="J106" i="9"/>
  <c r="D106" i="9"/>
  <c r="K106" i="9"/>
  <c r="D103" i="8"/>
  <c r="C103" i="8"/>
  <c r="N103" i="8"/>
  <c r="J103" i="8"/>
  <c r="I103" i="8"/>
  <c r="H104" i="8"/>
  <c r="B104" i="8"/>
  <c r="A105" i="8"/>
  <c r="M104" i="8"/>
  <c r="M83" i="5"/>
  <c r="H85" i="5"/>
  <c r="I85" i="5" s="1"/>
  <c r="E85" i="5"/>
  <c r="B85" i="5"/>
  <c r="A86" i="5"/>
  <c r="L86" i="5" s="1"/>
  <c r="J84" i="5"/>
  <c r="K84" i="5" s="1"/>
  <c r="D84" i="5"/>
  <c r="C84" i="5"/>
  <c r="G84" i="5"/>
  <c r="F84" i="5"/>
  <c r="M83" i="2"/>
  <c r="J84" i="2"/>
  <c r="K84" i="2" s="1"/>
  <c r="H85" i="2"/>
  <c r="I85" i="2" s="1"/>
  <c r="E85" i="2"/>
  <c r="B85" i="2"/>
  <c r="A86" i="2"/>
  <c r="L86" i="2" s="1"/>
  <c r="C84" i="2"/>
  <c r="G84" i="2"/>
  <c r="F84" i="2"/>
  <c r="D84" i="2"/>
  <c r="G104" i="8" l="1"/>
  <c r="O104" i="8"/>
  <c r="F105" i="8"/>
  <c r="K105" i="8"/>
  <c r="L105" i="8" s="1"/>
  <c r="E105" i="8"/>
  <c r="N108" i="9"/>
  <c r="I108" i="9"/>
  <c r="F108" i="9"/>
  <c r="E108" i="9"/>
  <c r="B108" i="9"/>
  <c r="A109" i="9"/>
  <c r="L108" i="9"/>
  <c r="M108" i="9" s="1"/>
  <c r="D107" i="9"/>
  <c r="C107" i="9"/>
  <c r="O107" i="9"/>
  <c r="K107" i="9"/>
  <c r="J107" i="9"/>
  <c r="A106" i="8"/>
  <c r="H105" i="8"/>
  <c r="B105" i="8"/>
  <c r="M105" i="8"/>
  <c r="C104" i="8"/>
  <c r="J104" i="8"/>
  <c r="I104" i="8"/>
  <c r="D104" i="8"/>
  <c r="N104" i="8"/>
  <c r="M84" i="5"/>
  <c r="H86" i="5"/>
  <c r="I86" i="5" s="1"/>
  <c r="E86" i="5"/>
  <c r="B86" i="5"/>
  <c r="A87" i="5"/>
  <c r="L87" i="5" s="1"/>
  <c r="C85" i="5"/>
  <c r="G85" i="5"/>
  <c r="F85" i="5"/>
  <c r="D85" i="5"/>
  <c r="J85" i="5"/>
  <c r="K85" i="5" s="1"/>
  <c r="M84" i="2"/>
  <c r="G85" i="2"/>
  <c r="F85" i="2"/>
  <c r="D85" i="2"/>
  <c r="C85" i="2"/>
  <c r="B86" i="2"/>
  <c r="H86" i="2"/>
  <c r="I86" i="2" s="1"/>
  <c r="E86" i="2"/>
  <c r="A87" i="2"/>
  <c r="L87" i="2" s="1"/>
  <c r="J85" i="2"/>
  <c r="K85" i="2" s="1"/>
  <c r="G105" i="8" l="1"/>
  <c r="O105" i="8"/>
  <c r="F106" i="8"/>
  <c r="K106" i="8"/>
  <c r="L106" i="8" s="1"/>
  <c r="E106" i="8"/>
  <c r="F109" i="9"/>
  <c r="B109" i="9"/>
  <c r="N109" i="9"/>
  <c r="A110" i="9"/>
  <c r="I109" i="9"/>
  <c r="E109" i="9"/>
  <c r="L109" i="9"/>
  <c r="M109" i="9" s="1"/>
  <c r="C108" i="9"/>
  <c r="O108" i="9"/>
  <c r="K108" i="9"/>
  <c r="J108" i="9"/>
  <c r="D108" i="9"/>
  <c r="J105" i="8"/>
  <c r="C105" i="8"/>
  <c r="N105" i="8"/>
  <c r="I105" i="8"/>
  <c r="D105" i="8"/>
  <c r="B106" i="8"/>
  <c r="H106" i="8"/>
  <c r="A107" i="8"/>
  <c r="M106" i="8"/>
  <c r="M85" i="5"/>
  <c r="B87" i="5"/>
  <c r="H87" i="5"/>
  <c r="I87" i="5" s="1"/>
  <c r="E87" i="5"/>
  <c r="A88" i="5"/>
  <c r="L88" i="5" s="1"/>
  <c r="D86" i="5"/>
  <c r="G86" i="5"/>
  <c r="F86" i="5"/>
  <c r="C86" i="5"/>
  <c r="J86" i="5"/>
  <c r="K86" i="5" s="1"/>
  <c r="M85" i="2"/>
  <c r="H87" i="2"/>
  <c r="I87" i="2" s="1"/>
  <c r="E87" i="2"/>
  <c r="B87" i="2"/>
  <c r="A88" i="2"/>
  <c r="L88" i="2" s="1"/>
  <c r="C86" i="2"/>
  <c r="F86" i="2"/>
  <c r="G86" i="2"/>
  <c r="D86" i="2"/>
  <c r="J86" i="2"/>
  <c r="K86" i="2" s="1"/>
  <c r="G106" i="8" l="1"/>
  <c r="O106" i="8"/>
  <c r="F107" i="8"/>
  <c r="K107" i="8"/>
  <c r="L107" i="8" s="1"/>
  <c r="E107" i="8"/>
  <c r="A111" i="9"/>
  <c r="F110" i="9"/>
  <c r="I110" i="9"/>
  <c r="B110" i="9"/>
  <c r="N110" i="9"/>
  <c r="L110" i="9"/>
  <c r="M110" i="9" s="1"/>
  <c r="E110" i="9"/>
  <c r="D109" i="9"/>
  <c r="C109" i="9"/>
  <c r="O109" i="9"/>
  <c r="K109" i="9"/>
  <c r="J109" i="9"/>
  <c r="A108" i="8"/>
  <c r="M107" i="8"/>
  <c r="H107" i="8"/>
  <c r="B107" i="8"/>
  <c r="C106" i="8"/>
  <c r="I106" i="8"/>
  <c r="D106" i="8"/>
  <c r="J106" i="8"/>
  <c r="N106" i="8"/>
  <c r="M86" i="5"/>
  <c r="J87" i="5"/>
  <c r="K87" i="5" s="1"/>
  <c r="H88" i="5"/>
  <c r="I88" i="5" s="1"/>
  <c r="E88" i="5"/>
  <c r="B88" i="5"/>
  <c r="A89" i="5"/>
  <c r="L89" i="5" s="1"/>
  <c r="F87" i="5"/>
  <c r="G87" i="5"/>
  <c r="D87" i="5"/>
  <c r="C87" i="5"/>
  <c r="M86" i="2"/>
  <c r="C87" i="2"/>
  <c r="G87" i="2"/>
  <c r="F87" i="2"/>
  <c r="D87" i="2"/>
  <c r="J87" i="2"/>
  <c r="K87" i="2" s="1"/>
  <c r="B88" i="2"/>
  <c r="E88" i="2"/>
  <c r="H88" i="2"/>
  <c r="I88" i="2" s="1"/>
  <c r="A89" i="2"/>
  <c r="L89" i="2" s="1"/>
  <c r="G107" i="8" l="1"/>
  <c r="O107" i="8"/>
  <c r="F108" i="8"/>
  <c r="K108" i="8"/>
  <c r="L108" i="8" s="1"/>
  <c r="E108" i="8"/>
  <c r="C110" i="9"/>
  <c r="O110" i="9"/>
  <c r="D110" i="9"/>
  <c r="J110" i="9"/>
  <c r="K110" i="9"/>
  <c r="L111" i="9"/>
  <c r="M111" i="9" s="1"/>
  <c r="I111" i="9"/>
  <c r="F111" i="9"/>
  <c r="A112" i="9"/>
  <c r="N111" i="9"/>
  <c r="E111" i="9"/>
  <c r="B111" i="9"/>
  <c r="J107" i="8"/>
  <c r="I107" i="8"/>
  <c r="D107" i="8"/>
  <c r="C107" i="8"/>
  <c r="N107" i="8"/>
  <c r="B108" i="8"/>
  <c r="H108" i="8"/>
  <c r="A109" i="8"/>
  <c r="M108" i="8"/>
  <c r="M87" i="5"/>
  <c r="G88" i="5"/>
  <c r="D88" i="5"/>
  <c r="F88" i="5"/>
  <c r="C88" i="5"/>
  <c r="E89" i="5"/>
  <c r="B89" i="5"/>
  <c r="H89" i="5"/>
  <c r="I89" i="5" s="1"/>
  <c r="A90" i="5"/>
  <c r="L90" i="5" s="1"/>
  <c r="J88" i="5"/>
  <c r="K88" i="5" s="1"/>
  <c r="M87" i="2"/>
  <c r="E89" i="2"/>
  <c r="B89" i="2"/>
  <c r="H89" i="2"/>
  <c r="I89" i="2" s="1"/>
  <c r="A90" i="2"/>
  <c r="L90" i="2" s="1"/>
  <c r="J88" i="2"/>
  <c r="K88" i="2" s="1"/>
  <c r="C88" i="2"/>
  <c r="G88" i="2"/>
  <c r="D88" i="2"/>
  <c r="F88" i="2"/>
  <c r="G108" i="8" l="1"/>
  <c r="O108" i="8"/>
  <c r="F109" i="8"/>
  <c r="K109" i="8"/>
  <c r="L109" i="8" s="1"/>
  <c r="E109" i="8"/>
  <c r="J111" i="9"/>
  <c r="K111" i="9"/>
  <c r="C111" i="9"/>
  <c r="D111" i="9"/>
  <c r="O111" i="9"/>
  <c r="A113" i="9"/>
  <c r="F112" i="9"/>
  <c r="E112" i="9"/>
  <c r="N112" i="9"/>
  <c r="L112" i="9"/>
  <c r="M112" i="9" s="1"/>
  <c r="I112" i="9"/>
  <c r="B112" i="9"/>
  <c r="C108" i="8"/>
  <c r="D108" i="8"/>
  <c r="I108" i="8"/>
  <c r="N108" i="8"/>
  <c r="J108" i="8"/>
  <c r="A110" i="8"/>
  <c r="B109" i="8"/>
  <c r="M109" i="8"/>
  <c r="H109" i="8"/>
  <c r="M88" i="5"/>
  <c r="E90" i="5"/>
  <c r="B90" i="5"/>
  <c r="H90" i="5"/>
  <c r="I90" i="5" s="1"/>
  <c r="A91" i="5"/>
  <c r="L91" i="5" s="1"/>
  <c r="G89" i="5"/>
  <c r="D89" i="5"/>
  <c r="F89" i="5"/>
  <c r="C89" i="5"/>
  <c r="J89" i="5"/>
  <c r="K89" i="5" s="1"/>
  <c r="M88" i="2"/>
  <c r="B90" i="2"/>
  <c r="E90" i="2"/>
  <c r="H90" i="2"/>
  <c r="I90" i="2" s="1"/>
  <c r="A91" i="2"/>
  <c r="L91" i="2" s="1"/>
  <c r="J89" i="2"/>
  <c r="K89" i="2" s="1"/>
  <c r="G89" i="2"/>
  <c r="F89" i="2"/>
  <c r="D89" i="2"/>
  <c r="C89" i="2"/>
  <c r="G109" i="8" l="1"/>
  <c r="O109" i="8"/>
  <c r="F110" i="8"/>
  <c r="K110" i="8"/>
  <c r="L110" i="8" s="1"/>
  <c r="E110" i="8"/>
  <c r="C112" i="9"/>
  <c r="O112" i="9"/>
  <c r="D112" i="9"/>
  <c r="K112" i="9"/>
  <c r="J112" i="9"/>
  <c r="N113" i="9"/>
  <c r="L113" i="9"/>
  <c r="M113" i="9" s="1"/>
  <c r="A114" i="9"/>
  <c r="B113" i="9"/>
  <c r="F113" i="9"/>
  <c r="E113" i="9"/>
  <c r="I113" i="9"/>
  <c r="I109" i="8"/>
  <c r="D109" i="8"/>
  <c r="C109" i="8"/>
  <c r="N109" i="8"/>
  <c r="J109" i="8"/>
  <c r="H110" i="8"/>
  <c r="B110" i="8"/>
  <c r="M110" i="8"/>
  <c r="A111" i="8"/>
  <c r="M89" i="5"/>
  <c r="E91" i="5"/>
  <c r="H91" i="5"/>
  <c r="I91" i="5" s="1"/>
  <c r="B91" i="5"/>
  <c r="A92" i="5"/>
  <c r="L92" i="5" s="1"/>
  <c r="J90" i="5"/>
  <c r="K90" i="5" s="1"/>
  <c r="F90" i="5"/>
  <c r="C90" i="5"/>
  <c r="G90" i="5"/>
  <c r="D90" i="5"/>
  <c r="M89" i="2"/>
  <c r="H91" i="2"/>
  <c r="I91" i="2" s="1"/>
  <c r="E91" i="2"/>
  <c r="B91" i="2"/>
  <c r="A92" i="2"/>
  <c r="L92" i="2" s="1"/>
  <c r="J90" i="2"/>
  <c r="K90" i="2" s="1"/>
  <c r="C90" i="2"/>
  <c r="G90" i="2"/>
  <c r="F90" i="2"/>
  <c r="D90" i="2"/>
  <c r="G110" i="8" l="1"/>
  <c r="O110" i="8"/>
  <c r="F111" i="8"/>
  <c r="K111" i="8"/>
  <c r="L111" i="8" s="1"/>
  <c r="E111" i="8"/>
  <c r="D113" i="9"/>
  <c r="K113" i="9"/>
  <c r="J113" i="9"/>
  <c r="C113" i="9"/>
  <c r="O113" i="9"/>
  <c r="N114" i="9"/>
  <c r="L114" i="9"/>
  <c r="M114" i="9" s="1"/>
  <c r="A115" i="9"/>
  <c r="I114" i="9"/>
  <c r="F114" i="9"/>
  <c r="E114" i="9"/>
  <c r="B114" i="9"/>
  <c r="M111" i="8"/>
  <c r="H111" i="8"/>
  <c r="B111" i="8"/>
  <c r="A112" i="8"/>
  <c r="C110" i="8"/>
  <c r="D110" i="8"/>
  <c r="N110" i="8"/>
  <c r="I110" i="8"/>
  <c r="J110" i="8"/>
  <c r="M90" i="5"/>
  <c r="B92" i="5"/>
  <c r="H92" i="5"/>
  <c r="I92" i="5" s="1"/>
  <c r="E92" i="5"/>
  <c r="A93" i="5"/>
  <c r="L93" i="5" s="1"/>
  <c r="G91" i="5"/>
  <c r="F91" i="5"/>
  <c r="D91" i="5"/>
  <c r="C91" i="5"/>
  <c r="J91" i="5"/>
  <c r="K91" i="5" s="1"/>
  <c r="M90" i="2"/>
  <c r="G91" i="2"/>
  <c r="D91" i="2"/>
  <c r="F91" i="2"/>
  <c r="C91" i="2"/>
  <c r="J91" i="2"/>
  <c r="K91" i="2" s="1"/>
  <c r="B92" i="2"/>
  <c r="E92" i="2"/>
  <c r="H92" i="2"/>
  <c r="I92" i="2" s="1"/>
  <c r="A93" i="2"/>
  <c r="L93" i="2" s="1"/>
  <c r="G111" i="8" l="1"/>
  <c r="O111" i="8"/>
  <c r="F112" i="8"/>
  <c r="K112" i="8"/>
  <c r="L112" i="8" s="1"/>
  <c r="E112" i="8"/>
  <c r="C114" i="9"/>
  <c r="O114" i="9"/>
  <c r="K114" i="9"/>
  <c r="J114" i="9"/>
  <c r="D114" i="9"/>
  <c r="A116" i="9"/>
  <c r="I115" i="9"/>
  <c r="F115" i="9"/>
  <c r="E115" i="9"/>
  <c r="N115" i="9"/>
  <c r="L115" i="9"/>
  <c r="M115" i="9" s="1"/>
  <c r="B115" i="9"/>
  <c r="H112" i="8"/>
  <c r="B112" i="8"/>
  <c r="M112" i="8"/>
  <c r="A113" i="8"/>
  <c r="N111" i="8"/>
  <c r="I111" i="8"/>
  <c r="D111" i="8"/>
  <c r="C111" i="8"/>
  <c r="J111" i="8"/>
  <c r="M91" i="5"/>
  <c r="B93" i="5"/>
  <c r="E93" i="5"/>
  <c r="H93" i="5"/>
  <c r="I93" i="5" s="1"/>
  <c r="A94" i="5"/>
  <c r="L94" i="5" s="1"/>
  <c r="J92" i="5"/>
  <c r="K92" i="5" s="1"/>
  <c r="G92" i="5"/>
  <c r="F92" i="5"/>
  <c r="D92" i="5"/>
  <c r="C92" i="5"/>
  <c r="M91" i="2"/>
  <c r="J92" i="2"/>
  <c r="K92" i="2" s="1"/>
  <c r="H93" i="2"/>
  <c r="I93" i="2" s="1"/>
  <c r="E93" i="2"/>
  <c r="B93" i="2"/>
  <c r="A94" i="2"/>
  <c r="L94" i="2" s="1"/>
  <c r="C92" i="2"/>
  <c r="F92" i="2"/>
  <c r="D92" i="2"/>
  <c r="G92" i="2"/>
  <c r="G112" i="8" l="1"/>
  <c r="O112" i="8"/>
  <c r="F113" i="8"/>
  <c r="K113" i="8"/>
  <c r="L113" i="8" s="1"/>
  <c r="E113" i="8"/>
  <c r="C115" i="9"/>
  <c r="K115" i="9"/>
  <c r="O115" i="9"/>
  <c r="J115" i="9"/>
  <c r="D115" i="9"/>
  <c r="B116" i="9"/>
  <c r="A117" i="9"/>
  <c r="F116" i="9"/>
  <c r="E116" i="9"/>
  <c r="I116" i="9"/>
  <c r="N116" i="9"/>
  <c r="L116" i="9"/>
  <c r="M116" i="9" s="1"/>
  <c r="H113" i="8"/>
  <c r="B113" i="8"/>
  <c r="A114" i="8"/>
  <c r="M113" i="8"/>
  <c r="C112" i="8"/>
  <c r="I112" i="8"/>
  <c r="D112" i="8"/>
  <c r="N112" i="8"/>
  <c r="J112" i="8"/>
  <c r="M92" i="5"/>
  <c r="H94" i="5"/>
  <c r="I94" i="5" s="1"/>
  <c r="E94" i="5"/>
  <c r="B94" i="5"/>
  <c r="A95" i="5"/>
  <c r="L95" i="5" s="1"/>
  <c r="J93" i="5"/>
  <c r="K93" i="5" s="1"/>
  <c r="D93" i="5"/>
  <c r="C93" i="5"/>
  <c r="G93" i="5"/>
  <c r="F93" i="5"/>
  <c r="M92" i="2"/>
  <c r="B94" i="2"/>
  <c r="H94" i="2"/>
  <c r="I94" i="2" s="1"/>
  <c r="E94" i="2"/>
  <c r="A95" i="2"/>
  <c r="L95" i="2" s="1"/>
  <c r="F93" i="2"/>
  <c r="G93" i="2"/>
  <c r="D93" i="2"/>
  <c r="C93" i="2"/>
  <c r="J93" i="2"/>
  <c r="K93" i="2" s="1"/>
  <c r="G113" i="8" l="1"/>
  <c r="O113" i="8"/>
  <c r="F114" i="8"/>
  <c r="K114" i="8"/>
  <c r="L114" i="8" s="1"/>
  <c r="E114" i="8"/>
  <c r="E117" i="9"/>
  <c r="B117" i="9"/>
  <c r="I117" i="9"/>
  <c r="N117" i="9"/>
  <c r="F117" i="9"/>
  <c r="L117" i="9"/>
  <c r="M117" i="9" s="1"/>
  <c r="A118" i="9"/>
  <c r="C116" i="9"/>
  <c r="J116" i="9"/>
  <c r="D116" i="9"/>
  <c r="K116" i="9"/>
  <c r="O116" i="9"/>
  <c r="H114" i="8"/>
  <c r="A115" i="8"/>
  <c r="M114" i="8"/>
  <c r="B114" i="8"/>
  <c r="D113" i="8"/>
  <c r="N113" i="8"/>
  <c r="J113" i="8"/>
  <c r="I113" i="8"/>
  <c r="C113" i="8"/>
  <c r="M93" i="5"/>
  <c r="H95" i="5"/>
  <c r="I95" i="5" s="1"/>
  <c r="E95" i="5"/>
  <c r="B95" i="5"/>
  <c r="A96" i="5"/>
  <c r="L96" i="5" s="1"/>
  <c r="C94" i="5"/>
  <c r="F94" i="5"/>
  <c r="D94" i="5"/>
  <c r="G94" i="5"/>
  <c r="J94" i="5"/>
  <c r="K94" i="5" s="1"/>
  <c r="M93" i="2"/>
  <c r="J94" i="2"/>
  <c r="K94" i="2" s="1"/>
  <c r="H95" i="2"/>
  <c r="I95" i="2" s="1"/>
  <c r="B95" i="2"/>
  <c r="E95" i="2"/>
  <c r="A96" i="2"/>
  <c r="L96" i="2" s="1"/>
  <c r="C94" i="2"/>
  <c r="G94" i="2"/>
  <c r="F94" i="2"/>
  <c r="D94" i="2"/>
  <c r="G114" i="8" l="1"/>
  <c r="O114" i="8"/>
  <c r="F115" i="8"/>
  <c r="K115" i="8"/>
  <c r="L115" i="8" s="1"/>
  <c r="E115" i="8"/>
  <c r="A119" i="9"/>
  <c r="I118" i="9"/>
  <c r="E118" i="9"/>
  <c r="B118" i="9"/>
  <c r="L118" i="9"/>
  <c r="M118" i="9" s="1"/>
  <c r="N118" i="9"/>
  <c r="F118" i="9"/>
  <c r="K117" i="9"/>
  <c r="J117" i="9"/>
  <c r="D117" i="9"/>
  <c r="C117" i="9"/>
  <c r="O117" i="9"/>
  <c r="C114" i="8"/>
  <c r="J114" i="8"/>
  <c r="I114" i="8"/>
  <c r="D114" i="8"/>
  <c r="N114" i="8"/>
  <c r="B115" i="8"/>
  <c r="M115" i="8"/>
  <c r="H115" i="8"/>
  <c r="A116" i="8"/>
  <c r="M94" i="5"/>
  <c r="E96" i="5"/>
  <c r="B96" i="5"/>
  <c r="H96" i="5"/>
  <c r="I96" i="5" s="1"/>
  <c r="A97" i="5"/>
  <c r="L97" i="5" s="1"/>
  <c r="G95" i="5"/>
  <c r="D95" i="5"/>
  <c r="F95" i="5"/>
  <c r="C95" i="5"/>
  <c r="J95" i="5"/>
  <c r="K95" i="5" s="1"/>
  <c r="M94" i="2"/>
  <c r="B96" i="2"/>
  <c r="H96" i="2"/>
  <c r="I96" i="2" s="1"/>
  <c r="E96" i="2"/>
  <c r="A97" i="2"/>
  <c r="L97" i="2" s="1"/>
  <c r="C95" i="2"/>
  <c r="G95" i="2"/>
  <c r="F95" i="2"/>
  <c r="D95" i="2"/>
  <c r="J95" i="2"/>
  <c r="K95" i="2" s="1"/>
  <c r="G115" i="8" l="1"/>
  <c r="O115" i="8"/>
  <c r="F116" i="8"/>
  <c r="K116" i="8"/>
  <c r="L116" i="8" s="1"/>
  <c r="E116" i="8"/>
  <c r="C118" i="9"/>
  <c r="D118" i="9"/>
  <c r="K118" i="9"/>
  <c r="O118" i="9"/>
  <c r="J118" i="9"/>
  <c r="I119" i="9"/>
  <c r="A120" i="9"/>
  <c r="N119" i="9"/>
  <c r="E119" i="9"/>
  <c r="L119" i="9"/>
  <c r="M119" i="9" s="1"/>
  <c r="B119" i="9"/>
  <c r="F119" i="9"/>
  <c r="H116" i="8"/>
  <c r="A117" i="8"/>
  <c r="M116" i="8"/>
  <c r="B116" i="8"/>
  <c r="C115" i="8"/>
  <c r="N115" i="8"/>
  <c r="J115" i="8"/>
  <c r="D115" i="8"/>
  <c r="I115" i="8"/>
  <c r="M95" i="5"/>
  <c r="B97" i="5"/>
  <c r="H97" i="5"/>
  <c r="I97" i="5" s="1"/>
  <c r="E97" i="5"/>
  <c r="A98" i="5"/>
  <c r="L98" i="5" s="1"/>
  <c r="J96" i="5"/>
  <c r="K96" i="5" s="1"/>
  <c r="F96" i="5"/>
  <c r="D96" i="5"/>
  <c r="C96" i="5"/>
  <c r="G96" i="5"/>
  <c r="M95" i="2"/>
  <c r="H97" i="2"/>
  <c r="I97" i="2" s="1"/>
  <c r="B97" i="2"/>
  <c r="E97" i="2"/>
  <c r="A98" i="2"/>
  <c r="L98" i="2" s="1"/>
  <c r="J96" i="2"/>
  <c r="K96" i="2" s="1"/>
  <c r="C96" i="2"/>
  <c r="G96" i="2"/>
  <c r="F96" i="2"/>
  <c r="D96" i="2"/>
  <c r="G116" i="8" l="1"/>
  <c r="O116" i="8"/>
  <c r="F117" i="8"/>
  <c r="K117" i="8"/>
  <c r="L117" i="8" s="1"/>
  <c r="E117" i="8"/>
  <c r="D119" i="9"/>
  <c r="O119" i="9"/>
  <c r="C119" i="9"/>
  <c r="J119" i="9"/>
  <c r="K119" i="9"/>
  <c r="I120" i="9"/>
  <c r="A121" i="9"/>
  <c r="E120" i="9"/>
  <c r="L120" i="9"/>
  <c r="M120" i="9" s="1"/>
  <c r="N120" i="9"/>
  <c r="F120" i="9"/>
  <c r="B120" i="9"/>
  <c r="C116" i="8"/>
  <c r="J116" i="8"/>
  <c r="I116" i="8"/>
  <c r="N116" i="8"/>
  <c r="D116" i="8"/>
  <c r="A118" i="8"/>
  <c r="M117" i="8"/>
  <c r="H117" i="8"/>
  <c r="B117" i="8"/>
  <c r="M96" i="5"/>
  <c r="H98" i="5"/>
  <c r="I98" i="5" s="1"/>
  <c r="E98" i="5"/>
  <c r="B98" i="5"/>
  <c r="A99" i="5"/>
  <c r="L99" i="5" s="1"/>
  <c r="F97" i="5"/>
  <c r="D97" i="5"/>
  <c r="C97" i="5"/>
  <c r="G97" i="5"/>
  <c r="J97" i="5"/>
  <c r="K97" i="5" s="1"/>
  <c r="M96" i="2"/>
  <c r="B98" i="2"/>
  <c r="H98" i="2"/>
  <c r="I98" i="2" s="1"/>
  <c r="E98" i="2"/>
  <c r="A99" i="2"/>
  <c r="L99" i="2" s="1"/>
  <c r="D97" i="2"/>
  <c r="G97" i="2"/>
  <c r="F97" i="2"/>
  <c r="C97" i="2"/>
  <c r="J97" i="2"/>
  <c r="K97" i="2" s="1"/>
  <c r="G117" i="8" l="1"/>
  <c r="O117" i="8"/>
  <c r="F118" i="8"/>
  <c r="K118" i="8"/>
  <c r="L118" i="8" s="1"/>
  <c r="E118" i="8"/>
  <c r="C120" i="9"/>
  <c r="K120" i="9"/>
  <c r="J120" i="9"/>
  <c r="O120" i="9"/>
  <c r="D120" i="9"/>
  <c r="B121" i="9"/>
  <c r="F121" i="9"/>
  <c r="N121" i="9"/>
  <c r="E121" i="9"/>
  <c r="L121" i="9"/>
  <c r="M121" i="9" s="1"/>
  <c r="I121" i="9"/>
  <c r="A122" i="9"/>
  <c r="J117" i="8"/>
  <c r="I117" i="8"/>
  <c r="N117" i="8"/>
  <c r="D117" i="8"/>
  <c r="C117" i="8"/>
  <c r="H118" i="8"/>
  <c r="B118" i="8"/>
  <c r="A119" i="8"/>
  <c r="M118" i="8"/>
  <c r="M97" i="5"/>
  <c r="G98" i="5"/>
  <c r="D98" i="5"/>
  <c r="C98" i="5"/>
  <c r="F98" i="5"/>
  <c r="B99" i="5"/>
  <c r="H99" i="5"/>
  <c r="I99" i="5" s="1"/>
  <c r="E99" i="5"/>
  <c r="A100" i="5"/>
  <c r="L100" i="5" s="1"/>
  <c r="J98" i="5"/>
  <c r="K98" i="5" s="1"/>
  <c r="M97" i="2"/>
  <c r="H99" i="2"/>
  <c r="I99" i="2" s="1"/>
  <c r="E99" i="2"/>
  <c r="B99" i="2"/>
  <c r="A100" i="2"/>
  <c r="L100" i="2" s="1"/>
  <c r="J98" i="2"/>
  <c r="K98" i="2" s="1"/>
  <c r="C98" i="2"/>
  <c r="G98" i="2"/>
  <c r="F98" i="2"/>
  <c r="D98" i="2"/>
  <c r="G118" i="8" l="1"/>
  <c r="O118" i="8"/>
  <c r="F119" i="8"/>
  <c r="K119" i="8"/>
  <c r="L119" i="8" s="1"/>
  <c r="E119" i="8"/>
  <c r="N122" i="9"/>
  <c r="L122" i="9"/>
  <c r="M122" i="9" s="1"/>
  <c r="F122" i="9"/>
  <c r="E122" i="9"/>
  <c r="A123" i="9"/>
  <c r="I122" i="9"/>
  <c r="B122" i="9"/>
  <c r="K121" i="9"/>
  <c r="C121" i="9"/>
  <c r="J121" i="9"/>
  <c r="D121" i="9"/>
  <c r="O121" i="9"/>
  <c r="C118" i="8"/>
  <c r="J118" i="8"/>
  <c r="I118" i="8"/>
  <c r="D118" i="8"/>
  <c r="N118" i="8"/>
  <c r="M119" i="8"/>
  <c r="A120" i="8"/>
  <c r="H119" i="8"/>
  <c r="B119" i="8"/>
  <c r="M98" i="5"/>
  <c r="J99" i="5"/>
  <c r="K99" i="5" s="1"/>
  <c r="F99" i="5"/>
  <c r="D99" i="5"/>
  <c r="C99" i="5"/>
  <c r="G99" i="5"/>
  <c r="H100" i="5"/>
  <c r="I100" i="5" s="1"/>
  <c r="E100" i="5"/>
  <c r="B100" i="5"/>
  <c r="A101" i="5"/>
  <c r="L101" i="5" s="1"/>
  <c r="M98" i="2"/>
  <c r="G99" i="2"/>
  <c r="F99" i="2"/>
  <c r="D99" i="2"/>
  <c r="C99" i="2"/>
  <c r="B100" i="2"/>
  <c r="H100" i="2"/>
  <c r="I100" i="2" s="1"/>
  <c r="E100" i="2"/>
  <c r="A101" i="2"/>
  <c r="L101" i="2" s="1"/>
  <c r="J99" i="2"/>
  <c r="K99" i="2" s="1"/>
  <c r="G119" i="8" l="1"/>
  <c r="O119" i="8"/>
  <c r="F120" i="8"/>
  <c r="K120" i="8"/>
  <c r="E120" i="8"/>
  <c r="C122" i="9"/>
  <c r="O122" i="9"/>
  <c r="K122" i="9"/>
  <c r="J122" i="9"/>
  <c r="D122" i="9"/>
  <c r="A124" i="9"/>
  <c r="I123" i="9"/>
  <c r="L123" i="9"/>
  <c r="M123" i="9" s="1"/>
  <c r="N123" i="9"/>
  <c r="F123" i="9"/>
  <c r="B123" i="9"/>
  <c r="E123" i="9"/>
  <c r="L120" i="8"/>
  <c r="N119" i="8"/>
  <c r="J119" i="8"/>
  <c r="I119" i="8"/>
  <c r="C119" i="8"/>
  <c r="D119" i="8"/>
  <c r="A121" i="8"/>
  <c r="M120" i="8"/>
  <c r="H120" i="8"/>
  <c r="B120" i="8"/>
  <c r="M99" i="5"/>
  <c r="B101" i="5"/>
  <c r="H101" i="5"/>
  <c r="I101" i="5" s="1"/>
  <c r="E101" i="5"/>
  <c r="A102" i="5"/>
  <c r="L102" i="5" s="1"/>
  <c r="F100" i="5"/>
  <c r="D100" i="5"/>
  <c r="C100" i="5"/>
  <c r="G100" i="5"/>
  <c r="J100" i="5"/>
  <c r="K100" i="5" s="1"/>
  <c r="M99" i="2"/>
  <c r="J100" i="2"/>
  <c r="K100" i="2" s="1"/>
  <c r="H101" i="2"/>
  <c r="I101" i="2" s="1"/>
  <c r="E101" i="2"/>
  <c r="B101" i="2"/>
  <c r="A102" i="2"/>
  <c r="L102" i="2" s="1"/>
  <c r="C100" i="2"/>
  <c r="D100" i="2"/>
  <c r="G100" i="2"/>
  <c r="F100" i="2"/>
  <c r="G120" i="8" l="1"/>
  <c r="O120" i="8"/>
  <c r="F121" i="8"/>
  <c r="K121" i="8"/>
  <c r="L121" i="8" s="1"/>
  <c r="E121" i="8"/>
  <c r="C123" i="9"/>
  <c r="J123" i="9"/>
  <c r="O123" i="9"/>
  <c r="K123" i="9"/>
  <c r="D123" i="9"/>
  <c r="A125" i="9"/>
  <c r="N124" i="9"/>
  <c r="F124" i="9"/>
  <c r="E124" i="9"/>
  <c r="B124" i="9"/>
  <c r="I124" i="9"/>
  <c r="L124" i="9"/>
  <c r="M124" i="9" s="1"/>
  <c r="C120" i="8"/>
  <c r="J120" i="8"/>
  <c r="N120" i="8"/>
  <c r="D120" i="8"/>
  <c r="I120" i="8"/>
  <c r="A122" i="8"/>
  <c r="B121" i="8"/>
  <c r="H121" i="8"/>
  <c r="M121" i="8"/>
  <c r="M100" i="5"/>
  <c r="H102" i="5"/>
  <c r="I102" i="5" s="1"/>
  <c r="E102" i="5"/>
  <c r="B102" i="5"/>
  <c r="A103" i="5"/>
  <c r="L103" i="5" s="1"/>
  <c r="J101" i="5"/>
  <c r="K101" i="5" s="1"/>
  <c r="C101" i="5"/>
  <c r="G101" i="5"/>
  <c r="F101" i="5"/>
  <c r="D101" i="5"/>
  <c r="M100" i="2"/>
  <c r="B102" i="2"/>
  <c r="H102" i="2"/>
  <c r="I102" i="2" s="1"/>
  <c r="E102" i="2"/>
  <c r="A103" i="2"/>
  <c r="L103" i="2" s="1"/>
  <c r="J101" i="2"/>
  <c r="K101" i="2" s="1"/>
  <c r="G101" i="2"/>
  <c r="F101" i="2"/>
  <c r="D101" i="2"/>
  <c r="C101" i="2"/>
  <c r="G121" i="8" l="1"/>
  <c r="O121" i="8"/>
  <c r="F122" i="8"/>
  <c r="K122" i="8"/>
  <c r="L122" i="8" s="1"/>
  <c r="E122" i="8"/>
  <c r="C124" i="9"/>
  <c r="O124" i="9"/>
  <c r="K124" i="9"/>
  <c r="J124" i="9"/>
  <c r="D124" i="9"/>
  <c r="L125" i="9"/>
  <c r="M125" i="9" s="1"/>
  <c r="I125" i="9"/>
  <c r="F125" i="9"/>
  <c r="E125" i="9"/>
  <c r="N125" i="9"/>
  <c r="A126" i="9"/>
  <c r="B125" i="9"/>
  <c r="B122" i="8"/>
  <c r="H122" i="8"/>
  <c r="A123" i="8"/>
  <c r="M122" i="8"/>
  <c r="J121" i="8"/>
  <c r="I121" i="8"/>
  <c r="D121" i="8"/>
  <c r="C121" i="8"/>
  <c r="N121" i="8"/>
  <c r="M101" i="5"/>
  <c r="G102" i="5"/>
  <c r="D102" i="5"/>
  <c r="F102" i="5"/>
  <c r="C102" i="5"/>
  <c r="B103" i="5"/>
  <c r="H103" i="5"/>
  <c r="I103" i="5" s="1"/>
  <c r="E103" i="5"/>
  <c r="A104" i="5"/>
  <c r="L104" i="5" s="1"/>
  <c r="J102" i="5"/>
  <c r="K102" i="5" s="1"/>
  <c r="M101" i="2"/>
  <c r="E103" i="2"/>
  <c r="H103" i="2"/>
  <c r="I103" i="2" s="1"/>
  <c r="B103" i="2"/>
  <c r="A104" i="2"/>
  <c r="L104" i="2" s="1"/>
  <c r="J102" i="2"/>
  <c r="K102" i="2" s="1"/>
  <c r="C102" i="2"/>
  <c r="G102" i="2"/>
  <c r="D102" i="2"/>
  <c r="F102" i="2"/>
  <c r="G122" i="8" l="1"/>
  <c r="O122" i="8"/>
  <c r="F123" i="8"/>
  <c r="K123" i="8"/>
  <c r="L123" i="8" s="1"/>
  <c r="E123" i="8"/>
  <c r="D125" i="9"/>
  <c r="O125" i="9"/>
  <c r="C125" i="9"/>
  <c r="J125" i="9"/>
  <c r="K125" i="9"/>
  <c r="I126" i="9"/>
  <c r="N126" i="9"/>
  <c r="L126" i="9"/>
  <c r="M126" i="9" s="1"/>
  <c r="F126" i="9"/>
  <c r="E126" i="9"/>
  <c r="B126" i="9"/>
  <c r="A127" i="9"/>
  <c r="H123" i="8"/>
  <c r="A124" i="8"/>
  <c r="M123" i="8"/>
  <c r="B123" i="8"/>
  <c r="C122" i="8"/>
  <c r="J122" i="8"/>
  <c r="I122" i="8"/>
  <c r="D122" i="8"/>
  <c r="N122" i="8"/>
  <c r="M102" i="5"/>
  <c r="H104" i="5"/>
  <c r="I104" i="5" s="1"/>
  <c r="B104" i="5"/>
  <c r="E104" i="5"/>
  <c r="A105" i="5"/>
  <c r="L105" i="5" s="1"/>
  <c r="G103" i="5"/>
  <c r="C103" i="5"/>
  <c r="D103" i="5"/>
  <c r="F103" i="5"/>
  <c r="J103" i="5"/>
  <c r="K103" i="5" s="1"/>
  <c r="M102" i="2"/>
  <c r="D103" i="2"/>
  <c r="C103" i="2"/>
  <c r="G103" i="2"/>
  <c r="F103" i="2"/>
  <c r="J103" i="2"/>
  <c r="K103" i="2" s="1"/>
  <c r="B104" i="2"/>
  <c r="H104" i="2"/>
  <c r="I104" i="2" s="1"/>
  <c r="E104" i="2"/>
  <c r="A105" i="2"/>
  <c r="L105" i="2" s="1"/>
  <c r="G123" i="8" l="1"/>
  <c r="O123" i="8"/>
  <c r="F124" i="8"/>
  <c r="K124" i="8"/>
  <c r="L124" i="8" s="1"/>
  <c r="E124" i="8"/>
  <c r="E127" i="9"/>
  <c r="N127" i="9"/>
  <c r="F127" i="9"/>
  <c r="A128" i="9"/>
  <c r="L127" i="9"/>
  <c r="M127" i="9" s="1"/>
  <c r="B127" i="9"/>
  <c r="I127" i="9"/>
  <c r="C126" i="9"/>
  <c r="O126" i="9"/>
  <c r="K126" i="9"/>
  <c r="J126" i="9"/>
  <c r="D126" i="9"/>
  <c r="J123" i="8"/>
  <c r="D123" i="8"/>
  <c r="N123" i="8"/>
  <c r="I123" i="8"/>
  <c r="C123" i="8"/>
  <c r="M124" i="8"/>
  <c r="H124" i="8"/>
  <c r="B124" i="8"/>
  <c r="A125" i="8"/>
  <c r="M103" i="5"/>
  <c r="B105" i="5"/>
  <c r="H105" i="5"/>
  <c r="I105" i="5" s="1"/>
  <c r="E105" i="5"/>
  <c r="A106" i="5"/>
  <c r="L106" i="5" s="1"/>
  <c r="G104" i="5"/>
  <c r="D104" i="5"/>
  <c r="C104" i="5"/>
  <c r="F104" i="5"/>
  <c r="J104" i="5"/>
  <c r="K104" i="5" s="1"/>
  <c r="M103" i="2"/>
  <c r="B105" i="2"/>
  <c r="H105" i="2"/>
  <c r="I105" i="2" s="1"/>
  <c r="E105" i="2"/>
  <c r="A106" i="2"/>
  <c r="L106" i="2" s="1"/>
  <c r="J104" i="2"/>
  <c r="K104" i="2" s="1"/>
  <c r="C104" i="2"/>
  <c r="G104" i="2"/>
  <c r="F104" i="2"/>
  <c r="D104" i="2"/>
  <c r="G124" i="8" l="1"/>
  <c r="O124" i="8"/>
  <c r="F125" i="8"/>
  <c r="K125" i="8"/>
  <c r="L125" i="8" s="1"/>
  <c r="E125" i="8"/>
  <c r="J127" i="9"/>
  <c r="D127" i="9"/>
  <c r="C127" i="9"/>
  <c r="O127" i="9"/>
  <c r="K127" i="9"/>
  <c r="L128" i="9"/>
  <c r="M128" i="9" s="1"/>
  <c r="I128" i="9"/>
  <c r="A129" i="9"/>
  <c r="N128" i="9"/>
  <c r="F128" i="9"/>
  <c r="E128" i="9"/>
  <c r="B128" i="9"/>
  <c r="C124" i="8"/>
  <c r="J124" i="8"/>
  <c r="I124" i="8"/>
  <c r="D124" i="8"/>
  <c r="N124" i="8"/>
  <c r="A126" i="8"/>
  <c r="M125" i="8"/>
  <c r="H125" i="8"/>
  <c r="B125" i="8"/>
  <c r="M104" i="5"/>
  <c r="H106" i="5"/>
  <c r="I106" i="5" s="1"/>
  <c r="B106" i="5"/>
  <c r="E106" i="5"/>
  <c r="A107" i="5"/>
  <c r="L107" i="5" s="1"/>
  <c r="J105" i="5"/>
  <c r="K105" i="5" s="1"/>
  <c r="F105" i="5"/>
  <c r="D105" i="5"/>
  <c r="C105" i="5"/>
  <c r="G105" i="5"/>
  <c r="M104" i="2"/>
  <c r="B106" i="2"/>
  <c r="H106" i="2"/>
  <c r="I106" i="2" s="1"/>
  <c r="E106" i="2"/>
  <c r="A107" i="2"/>
  <c r="L107" i="2" s="1"/>
  <c r="J105" i="2"/>
  <c r="K105" i="2" s="1"/>
  <c r="G105" i="2"/>
  <c r="F105" i="2"/>
  <c r="D105" i="2"/>
  <c r="C105" i="2"/>
  <c r="G125" i="8" l="1"/>
  <c r="O125" i="8"/>
  <c r="F126" i="8"/>
  <c r="K126" i="8"/>
  <c r="L126" i="8" s="1"/>
  <c r="E126" i="8"/>
  <c r="C128" i="9"/>
  <c r="J128" i="9"/>
  <c r="K128" i="9"/>
  <c r="O128" i="9"/>
  <c r="D128" i="9"/>
  <c r="F129" i="9"/>
  <c r="A130" i="9"/>
  <c r="N129" i="9"/>
  <c r="L129" i="9"/>
  <c r="M129" i="9" s="1"/>
  <c r="I129" i="9"/>
  <c r="E129" i="9"/>
  <c r="B129" i="9"/>
  <c r="M126" i="8"/>
  <c r="A127" i="8"/>
  <c r="B126" i="8"/>
  <c r="H126" i="8"/>
  <c r="N125" i="8"/>
  <c r="J125" i="8"/>
  <c r="I125" i="8"/>
  <c r="D125" i="8"/>
  <c r="C125" i="8"/>
  <c r="M105" i="5"/>
  <c r="H107" i="5"/>
  <c r="I107" i="5" s="1"/>
  <c r="B107" i="5"/>
  <c r="E107" i="5"/>
  <c r="A108" i="5"/>
  <c r="L108" i="5" s="1"/>
  <c r="D106" i="5"/>
  <c r="G106" i="5"/>
  <c r="F106" i="5"/>
  <c r="C106" i="5"/>
  <c r="J106" i="5"/>
  <c r="K106" i="5" s="1"/>
  <c r="M105" i="2"/>
  <c r="H107" i="2"/>
  <c r="I107" i="2" s="1"/>
  <c r="B107" i="2"/>
  <c r="E107" i="2"/>
  <c r="A108" i="2"/>
  <c r="L108" i="2" s="1"/>
  <c r="J106" i="2"/>
  <c r="K106" i="2" s="1"/>
  <c r="C106" i="2"/>
  <c r="G106" i="2"/>
  <c r="F106" i="2"/>
  <c r="D106" i="2"/>
  <c r="G126" i="8" l="1"/>
  <c r="O126" i="8"/>
  <c r="F127" i="8"/>
  <c r="K127" i="8"/>
  <c r="L127" i="8" s="1"/>
  <c r="E127" i="8"/>
  <c r="K129" i="9"/>
  <c r="J129" i="9"/>
  <c r="D129" i="9"/>
  <c r="O129" i="9"/>
  <c r="C129" i="9"/>
  <c r="L130" i="9"/>
  <c r="M130" i="9" s="1"/>
  <c r="F130" i="9"/>
  <c r="E130" i="9"/>
  <c r="B130" i="9"/>
  <c r="N130" i="9"/>
  <c r="A131" i="9"/>
  <c r="I130" i="9"/>
  <c r="H127" i="8"/>
  <c r="A128" i="8"/>
  <c r="M127" i="8"/>
  <c r="B127" i="8"/>
  <c r="C126" i="8"/>
  <c r="N126" i="8"/>
  <c r="J126" i="8"/>
  <c r="D126" i="8"/>
  <c r="I126" i="8"/>
  <c r="M106" i="5"/>
  <c r="F107" i="5"/>
  <c r="G107" i="5"/>
  <c r="D107" i="5"/>
  <c r="C107" i="5"/>
  <c r="B108" i="5"/>
  <c r="H108" i="5"/>
  <c r="I108" i="5" s="1"/>
  <c r="E108" i="5"/>
  <c r="A109" i="5"/>
  <c r="L109" i="5" s="1"/>
  <c r="J107" i="5"/>
  <c r="K107" i="5" s="1"/>
  <c r="M107" i="5" s="1"/>
  <c r="M106" i="2"/>
  <c r="B108" i="2"/>
  <c r="H108" i="2"/>
  <c r="I108" i="2" s="1"/>
  <c r="E108" i="2"/>
  <c r="A109" i="2"/>
  <c r="L109" i="2" s="1"/>
  <c r="G107" i="2"/>
  <c r="D107" i="2"/>
  <c r="C107" i="2"/>
  <c r="F107" i="2"/>
  <c r="J107" i="2"/>
  <c r="K107" i="2" s="1"/>
  <c r="G127" i="8" l="1"/>
  <c r="O127" i="8"/>
  <c r="F128" i="8"/>
  <c r="K128" i="8"/>
  <c r="L128" i="8" s="1"/>
  <c r="E128" i="8"/>
  <c r="I131" i="9"/>
  <c r="A132" i="9"/>
  <c r="N131" i="9"/>
  <c r="E131" i="9"/>
  <c r="L131" i="9"/>
  <c r="M131" i="9" s="1"/>
  <c r="B131" i="9"/>
  <c r="F131" i="9"/>
  <c r="C130" i="9"/>
  <c r="K130" i="9"/>
  <c r="J130" i="9"/>
  <c r="D130" i="9"/>
  <c r="O130" i="9"/>
  <c r="J127" i="8"/>
  <c r="I127" i="8"/>
  <c r="N127" i="8"/>
  <c r="D127" i="8"/>
  <c r="C127" i="8"/>
  <c r="M128" i="8"/>
  <c r="H128" i="8"/>
  <c r="A129" i="8"/>
  <c r="B128" i="8"/>
  <c r="H109" i="5"/>
  <c r="I109" i="5" s="1"/>
  <c r="E109" i="5"/>
  <c r="B109" i="5"/>
  <c r="A110" i="5"/>
  <c r="L110" i="5" s="1"/>
  <c r="J108" i="5"/>
  <c r="K108" i="5" s="1"/>
  <c r="C108" i="5"/>
  <c r="G108" i="5"/>
  <c r="F108" i="5"/>
  <c r="D108" i="5"/>
  <c r="M107" i="2"/>
  <c r="B109" i="2"/>
  <c r="E109" i="2"/>
  <c r="H109" i="2"/>
  <c r="I109" i="2" s="1"/>
  <c r="A110" i="2"/>
  <c r="L110" i="2" s="1"/>
  <c r="C108" i="2"/>
  <c r="G108" i="2"/>
  <c r="F108" i="2"/>
  <c r="D108" i="2"/>
  <c r="J108" i="2"/>
  <c r="K108" i="2" s="1"/>
  <c r="G128" i="8" l="1"/>
  <c r="O128" i="8"/>
  <c r="F129" i="8"/>
  <c r="K129" i="8"/>
  <c r="L129" i="8" s="1"/>
  <c r="E129" i="8"/>
  <c r="O131" i="9"/>
  <c r="K131" i="9"/>
  <c r="J131" i="9"/>
  <c r="D131" i="9"/>
  <c r="C131" i="9"/>
  <c r="A133" i="9"/>
  <c r="N132" i="9"/>
  <c r="L132" i="9"/>
  <c r="M132" i="9" s="1"/>
  <c r="I132" i="9"/>
  <c r="F132" i="9"/>
  <c r="E132" i="9"/>
  <c r="B132" i="9"/>
  <c r="C128" i="8"/>
  <c r="N128" i="8"/>
  <c r="I128" i="8"/>
  <c r="J128" i="8"/>
  <c r="D128" i="8"/>
  <c r="H129" i="8"/>
  <c r="M129" i="8"/>
  <c r="B129" i="8"/>
  <c r="A130" i="8"/>
  <c r="M108" i="5"/>
  <c r="E110" i="5"/>
  <c r="B110" i="5"/>
  <c r="H110" i="5"/>
  <c r="I110" i="5" s="1"/>
  <c r="A111" i="5"/>
  <c r="L111" i="5" s="1"/>
  <c r="G109" i="5"/>
  <c r="D109" i="5"/>
  <c r="C109" i="5"/>
  <c r="F109" i="5"/>
  <c r="J109" i="5"/>
  <c r="K109" i="5" s="1"/>
  <c r="M108" i="2"/>
  <c r="J109" i="2"/>
  <c r="K109" i="2" s="1"/>
  <c r="B110" i="2"/>
  <c r="E110" i="2"/>
  <c r="H110" i="2"/>
  <c r="I110" i="2" s="1"/>
  <c r="A111" i="2"/>
  <c r="L111" i="2" s="1"/>
  <c r="F109" i="2"/>
  <c r="D109" i="2"/>
  <c r="C109" i="2"/>
  <c r="G109" i="2"/>
  <c r="G129" i="8" l="1"/>
  <c r="O129" i="8"/>
  <c r="F130" i="8"/>
  <c r="K130" i="8"/>
  <c r="L130" i="8" s="1"/>
  <c r="E130" i="8"/>
  <c r="C132" i="9"/>
  <c r="D132" i="9"/>
  <c r="O132" i="9"/>
  <c r="K132" i="9"/>
  <c r="J132" i="9"/>
  <c r="A134" i="9"/>
  <c r="B133" i="9"/>
  <c r="F133" i="9"/>
  <c r="E133" i="9"/>
  <c r="N133" i="9"/>
  <c r="L133" i="9"/>
  <c r="M133" i="9" s="1"/>
  <c r="I133" i="9"/>
  <c r="M130" i="8"/>
  <c r="A131" i="8"/>
  <c r="H130" i="8"/>
  <c r="B130" i="8"/>
  <c r="I129" i="8"/>
  <c r="D129" i="8"/>
  <c r="J129" i="8"/>
  <c r="C129" i="8"/>
  <c r="N129" i="8"/>
  <c r="M109" i="5"/>
  <c r="B111" i="5"/>
  <c r="E111" i="5"/>
  <c r="H111" i="5"/>
  <c r="I111" i="5" s="1"/>
  <c r="A112" i="5"/>
  <c r="L112" i="5" s="1"/>
  <c r="J110" i="5"/>
  <c r="K110" i="5" s="1"/>
  <c r="C110" i="5"/>
  <c r="D110" i="5"/>
  <c r="F110" i="5"/>
  <c r="G110" i="5"/>
  <c r="M109" i="2"/>
  <c r="E111" i="2"/>
  <c r="B111" i="2"/>
  <c r="H111" i="2"/>
  <c r="I111" i="2" s="1"/>
  <c r="A112" i="2"/>
  <c r="L112" i="2" s="1"/>
  <c r="J110" i="2"/>
  <c r="K110" i="2" s="1"/>
  <c r="C110" i="2"/>
  <c r="G110" i="2"/>
  <c r="F110" i="2"/>
  <c r="D110" i="2"/>
  <c r="G130" i="8" l="1"/>
  <c r="O130" i="8"/>
  <c r="F131" i="8"/>
  <c r="K131" i="8"/>
  <c r="E131" i="8"/>
  <c r="J133" i="9"/>
  <c r="D133" i="9"/>
  <c r="C133" i="9"/>
  <c r="O133" i="9"/>
  <c r="K133" i="9"/>
  <c r="F134" i="9"/>
  <c r="B134" i="9"/>
  <c r="I134" i="9"/>
  <c r="N134" i="9"/>
  <c r="L134" i="9"/>
  <c r="M134" i="9" s="1"/>
  <c r="A135" i="9"/>
  <c r="E134" i="9"/>
  <c r="L131" i="8"/>
  <c r="B131" i="8"/>
  <c r="M131" i="8"/>
  <c r="H131" i="8"/>
  <c r="A132" i="8"/>
  <c r="C130" i="8"/>
  <c r="N130" i="8"/>
  <c r="J130" i="8"/>
  <c r="I130" i="8"/>
  <c r="D130" i="8"/>
  <c r="M110" i="5"/>
  <c r="J111" i="5"/>
  <c r="K111" i="5" s="1"/>
  <c r="E112" i="5"/>
  <c r="H112" i="5"/>
  <c r="I112" i="5" s="1"/>
  <c r="B112" i="5"/>
  <c r="A113" i="5"/>
  <c r="L113" i="5" s="1"/>
  <c r="C111" i="5"/>
  <c r="G111" i="5"/>
  <c r="F111" i="5"/>
  <c r="D111" i="5"/>
  <c r="M110" i="2"/>
  <c r="B112" i="2"/>
  <c r="E112" i="2"/>
  <c r="H112" i="2"/>
  <c r="I112" i="2" s="1"/>
  <c r="A113" i="2"/>
  <c r="L113" i="2" s="1"/>
  <c r="C111" i="2"/>
  <c r="G111" i="2"/>
  <c r="F111" i="2"/>
  <c r="D111" i="2"/>
  <c r="J111" i="2"/>
  <c r="K111" i="2" s="1"/>
  <c r="G131" i="8" l="1"/>
  <c r="O131" i="8"/>
  <c r="F132" i="8"/>
  <c r="K132" i="8"/>
  <c r="E132" i="8"/>
  <c r="L135" i="9"/>
  <c r="M135" i="9" s="1"/>
  <c r="F135" i="9"/>
  <c r="E135" i="9"/>
  <c r="N135" i="9"/>
  <c r="A136" i="9"/>
  <c r="I135" i="9"/>
  <c r="B135" i="9"/>
  <c r="C134" i="9"/>
  <c r="D134" i="9"/>
  <c r="O134" i="9"/>
  <c r="K134" i="9"/>
  <c r="J134" i="9"/>
  <c r="L132" i="8"/>
  <c r="M132" i="8"/>
  <c r="A133" i="8"/>
  <c r="B132" i="8"/>
  <c r="H132" i="8"/>
  <c r="J131" i="8"/>
  <c r="I131" i="8"/>
  <c r="D131" i="8"/>
  <c r="N131" i="8"/>
  <c r="C131" i="8"/>
  <c r="M111" i="5"/>
  <c r="E113" i="5"/>
  <c r="B113" i="5"/>
  <c r="H113" i="5"/>
  <c r="I113" i="5" s="1"/>
  <c r="A114" i="5"/>
  <c r="L114" i="5" s="1"/>
  <c r="J112" i="5"/>
  <c r="K112" i="5" s="1"/>
  <c r="C112" i="5"/>
  <c r="F112" i="5"/>
  <c r="D112" i="5"/>
  <c r="G112" i="5"/>
  <c r="M111" i="2"/>
  <c r="H113" i="2"/>
  <c r="I113" i="2" s="1"/>
  <c r="E113" i="2"/>
  <c r="B113" i="2"/>
  <c r="A114" i="2"/>
  <c r="L114" i="2" s="1"/>
  <c r="J112" i="2"/>
  <c r="K112" i="2" s="1"/>
  <c r="C112" i="2"/>
  <c r="G112" i="2"/>
  <c r="F112" i="2"/>
  <c r="D112" i="2"/>
  <c r="G132" i="8" l="1"/>
  <c r="O132" i="8"/>
  <c r="F133" i="8"/>
  <c r="K133" i="8"/>
  <c r="L133" i="8" s="1"/>
  <c r="E133" i="8"/>
  <c r="K135" i="9"/>
  <c r="J135" i="9"/>
  <c r="O135" i="9"/>
  <c r="D135" i="9"/>
  <c r="C135" i="9"/>
  <c r="E136" i="9"/>
  <c r="I136" i="9"/>
  <c r="F136" i="9"/>
  <c r="L136" i="9"/>
  <c r="M136" i="9" s="1"/>
  <c r="B136" i="9"/>
  <c r="N136" i="9"/>
  <c r="A137" i="9"/>
  <c r="C132" i="8"/>
  <c r="N132" i="8"/>
  <c r="J132" i="8"/>
  <c r="I132" i="8"/>
  <c r="D132" i="8"/>
  <c r="A134" i="8"/>
  <c r="M133" i="8"/>
  <c r="H133" i="8"/>
  <c r="B133" i="8"/>
  <c r="M112" i="5"/>
  <c r="J113" i="5"/>
  <c r="K113" i="5" s="1"/>
  <c r="A115" i="5"/>
  <c r="L115" i="5" s="1"/>
  <c r="H114" i="5"/>
  <c r="I114" i="5" s="1"/>
  <c r="E114" i="5"/>
  <c r="B114" i="5"/>
  <c r="F113" i="5"/>
  <c r="C113" i="5"/>
  <c r="G113" i="5"/>
  <c r="D113" i="5"/>
  <c r="M112" i="2"/>
  <c r="F113" i="2"/>
  <c r="C113" i="2"/>
  <c r="D113" i="2"/>
  <c r="G113" i="2"/>
  <c r="B114" i="2"/>
  <c r="A115" i="2"/>
  <c r="L115" i="2" s="1"/>
  <c r="H114" i="2"/>
  <c r="I114" i="2" s="1"/>
  <c r="E114" i="2"/>
  <c r="J113" i="2"/>
  <c r="K113" i="2" s="1"/>
  <c r="G133" i="8" l="1"/>
  <c r="O133" i="8"/>
  <c r="F134" i="8"/>
  <c r="K134" i="8"/>
  <c r="L134" i="8" s="1"/>
  <c r="E134" i="8"/>
  <c r="L137" i="9"/>
  <c r="M137" i="9" s="1"/>
  <c r="A138" i="9"/>
  <c r="I137" i="9"/>
  <c r="B137" i="9"/>
  <c r="E137" i="9"/>
  <c r="N137" i="9"/>
  <c r="F137" i="9"/>
  <c r="C136" i="9"/>
  <c r="J136" i="9"/>
  <c r="K136" i="9"/>
  <c r="D136" i="9"/>
  <c r="O136" i="9"/>
  <c r="A135" i="8"/>
  <c r="B134" i="8"/>
  <c r="H134" i="8"/>
  <c r="M134" i="8"/>
  <c r="J133" i="8"/>
  <c r="I133" i="8"/>
  <c r="D133" i="8"/>
  <c r="N133" i="8"/>
  <c r="C133" i="8"/>
  <c r="M113" i="5"/>
  <c r="A116" i="5"/>
  <c r="L116" i="5" s="1"/>
  <c r="H115" i="5"/>
  <c r="I115" i="5" s="1"/>
  <c r="E115" i="5"/>
  <c r="B115" i="5"/>
  <c r="J114" i="5"/>
  <c r="K114" i="5" s="1"/>
  <c r="C114" i="5"/>
  <c r="G114" i="5"/>
  <c r="F114" i="5"/>
  <c r="D114" i="5"/>
  <c r="M113" i="2"/>
  <c r="H115" i="2"/>
  <c r="I115" i="2" s="1"/>
  <c r="E115" i="2"/>
  <c r="B115" i="2"/>
  <c r="A116" i="2"/>
  <c r="L116" i="2" s="1"/>
  <c r="J114" i="2"/>
  <c r="K114" i="2" s="1"/>
  <c r="C114" i="2"/>
  <c r="F114" i="2"/>
  <c r="G114" i="2"/>
  <c r="D114" i="2"/>
  <c r="G134" i="8" l="1"/>
  <c r="O134" i="8"/>
  <c r="F135" i="8"/>
  <c r="K135" i="8"/>
  <c r="L135" i="8" s="1"/>
  <c r="E135" i="8"/>
  <c r="K137" i="9"/>
  <c r="C137" i="9"/>
  <c r="D137" i="9"/>
  <c r="O137" i="9"/>
  <c r="J137" i="9"/>
  <c r="L138" i="9"/>
  <c r="M138" i="9" s="1"/>
  <c r="I138" i="9"/>
  <c r="N138" i="9"/>
  <c r="B138" i="9"/>
  <c r="A139" i="9"/>
  <c r="F138" i="9"/>
  <c r="E138" i="9"/>
  <c r="A136" i="8"/>
  <c r="H135" i="8"/>
  <c r="B135" i="8"/>
  <c r="M135" i="8"/>
  <c r="C134" i="8"/>
  <c r="D134" i="8"/>
  <c r="N134" i="8"/>
  <c r="J134" i="8"/>
  <c r="I134" i="8"/>
  <c r="M114" i="5"/>
  <c r="F115" i="5"/>
  <c r="D115" i="5"/>
  <c r="C115" i="5"/>
  <c r="G115" i="5"/>
  <c r="J115" i="5"/>
  <c r="K115" i="5" s="1"/>
  <c r="E116" i="5"/>
  <c r="A117" i="5"/>
  <c r="L117" i="5" s="1"/>
  <c r="H116" i="5"/>
  <c r="B116" i="5"/>
  <c r="M114" i="2"/>
  <c r="B116" i="2"/>
  <c r="H116" i="2"/>
  <c r="I116" i="2" s="1"/>
  <c r="A117" i="2"/>
  <c r="L117" i="2" s="1"/>
  <c r="E116" i="2"/>
  <c r="F115" i="2"/>
  <c r="G115" i="2"/>
  <c r="D115" i="2"/>
  <c r="C115" i="2"/>
  <c r="J115" i="2"/>
  <c r="K115" i="2" s="1"/>
  <c r="G135" i="8" l="1"/>
  <c r="O135" i="8"/>
  <c r="F136" i="8"/>
  <c r="K136" i="8"/>
  <c r="L136" i="8" s="1"/>
  <c r="E136" i="8"/>
  <c r="N139" i="9"/>
  <c r="I139" i="9"/>
  <c r="F139" i="9"/>
  <c r="E139" i="9"/>
  <c r="B139" i="9"/>
  <c r="L139" i="9"/>
  <c r="M139" i="9" s="1"/>
  <c r="A140" i="9"/>
  <c r="C138" i="9"/>
  <c r="O138" i="9"/>
  <c r="D138" i="9"/>
  <c r="K138" i="9"/>
  <c r="J138" i="9"/>
  <c r="N135" i="8"/>
  <c r="J135" i="8"/>
  <c r="I135" i="8"/>
  <c r="D135" i="8"/>
  <c r="C135" i="8"/>
  <c r="A137" i="8"/>
  <c r="H136" i="8"/>
  <c r="B136" i="8"/>
  <c r="M136" i="8"/>
  <c r="M115" i="5"/>
  <c r="J116" i="5"/>
  <c r="K116" i="5"/>
  <c r="C116" i="5"/>
  <c r="M116" i="5"/>
  <c r="G116" i="5"/>
  <c r="F116" i="5"/>
  <c r="D116" i="5"/>
  <c r="A118" i="5"/>
  <c r="L118" i="5" s="1"/>
  <c r="B117" i="5"/>
  <c r="H117" i="5"/>
  <c r="I117" i="5" s="1"/>
  <c r="E117" i="5"/>
  <c r="I116" i="5"/>
  <c r="M115" i="2"/>
  <c r="K116" i="2"/>
  <c r="J116" i="2"/>
  <c r="A118" i="2"/>
  <c r="L118" i="2" s="1"/>
  <c r="H117" i="2"/>
  <c r="I117" i="2" s="1"/>
  <c r="B117" i="2"/>
  <c r="E117" i="2"/>
  <c r="C116" i="2"/>
  <c r="D116" i="2"/>
  <c r="M116" i="2"/>
  <c r="G116" i="2"/>
  <c r="F116" i="2"/>
  <c r="G136" i="8" l="1"/>
  <c r="O136" i="8"/>
  <c r="F137" i="8"/>
  <c r="K137" i="8"/>
  <c r="L137" i="8" s="1"/>
  <c r="E137" i="8"/>
  <c r="L140" i="9"/>
  <c r="M140" i="9" s="1"/>
  <c r="A141" i="9"/>
  <c r="N140" i="9"/>
  <c r="I140" i="9"/>
  <c r="F140" i="9"/>
  <c r="E140" i="9"/>
  <c r="B140" i="9"/>
  <c r="J139" i="9"/>
  <c r="D139" i="9"/>
  <c r="C139" i="9"/>
  <c r="O139" i="9"/>
  <c r="K139" i="9"/>
  <c r="C136" i="8"/>
  <c r="I136" i="8"/>
  <c r="D136" i="8"/>
  <c r="J136" i="8"/>
  <c r="N136" i="8"/>
  <c r="B137" i="8"/>
  <c r="M137" i="8"/>
  <c r="H137" i="8"/>
  <c r="A138" i="8"/>
  <c r="D117" i="5"/>
  <c r="M117" i="5"/>
  <c r="G117" i="5"/>
  <c r="F117" i="5"/>
  <c r="C117" i="5"/>
  <c r="H118" i="5"/>
  <c r="I118" i="5" s="1"/>
  <c r="E118" i="5"/>
  <c r="B118" i="5"/>
  <c r="A119" i="5"/>
  <c r="L119" i="5" s="1"/>
  <c r="K117" i="5"/>
  <c r="J117" i="5"/>
  <c r="K117" i="2"/>
  <c r="J117" i="2"/>
  <c r="B118" i="2"/>
  <c r="E118" i="2"/>
  <c r="H118" i="2"/>
  <c r="A119" i="2"/>
  <c r="L119" i="2" s="1"/>
  <c r="M117" i="2"/>
  <c r="C117" i="2"/>
  <c r="F117" i="2"/>
  <c r="D117" i="2"/>
  <c r="G117" i="2"/>
  <c r="G137" i="8" l="1"/>
  <c r="O137" i="8"/>
  <c r="F138" i="8"/>
  <c r="K138" i="8"/>
  <c r="L138" i="8" s="1"/>
  <c r="E138" i="8"/>
  <c r="C140" i="9"/>
  <c r="O140" i="9"/>
  <c r="K140" i="9"/>
  <c r="J140" i="9"/>
  <c r="D140" i="9"/>
  <c r="N141" i="9"/>
  <c r="B141" i="9"/>
  <c r="A142" i="9"/>
  <c r="E141" i="9"/>
  <c r="I141" i="9"/>
  <c r="L141" i="9"/>
  <c r="M141" i="9" s="1"/>
  <c r="F141" i="9"/>
  <c r="A139" i="8"/>
  <c r="M138" i="8"/>
  <c r="H138" i="8"/>
  <c r="B138" i="8"/>
  <c r="C137" i="8"/>
  <c r="N137" i="8"/>
  <c r="J137" i="8"/>
  <c r="I137" i="8"/>
  <c r="D137" i="8"/>
  <c r="C118" i="5"/>
  <c r="M118" i="5"/>
  <c r="G118" i="5"/>
  <c r="F118" i="5"/>
  <c r="D118" i="5"/>
  <c r="A120" i="5"/>
  <c r="L120" i="5" s="1"/>
  <c r="E119" i="5"/>
  <c r="B119" i="5"/>
  <c r="H119" i="5"/>
  <c r="K118" i="5"/>
  <c r="J118" i="5"/>
  <c r="J118" i="2"/>
  <c r="K118" i="2"/>
  <c r="I118" i="2"/>
  <c r="A120" i="2"/>
  <c r="L120" i="2" s="1"/>
  <c r="E119" i="2"/>
  <c r="H119" i="2"/>
  <c r="B119" i="2"/>
  <c r="C118" i="2"/>
  <c r="M118" i="2"/>
  <c r="G118" i="2"/>
  <c r="F118" i="2"/>
  <c r="D118" i="2"/>
  <c r="G138" i="8" l="1"/>
  <c r="O138" i="8"/>
  <c r="F139" i="8"/>
  <c r="K139" i="8"/>
  <c r="L139" i="8" s="1"/>
  <c r="E139" i="8"/>
  <c r="I142" i="9"/>
  <c r="F142" i="9"/>
  <c r="E142" i="9"/>
  <c r="B142" i="9"/>
  <c r="L142" i="9"/>
  <c r="M142" i="9" s="1"/>
  <c r="A143" i="9"/>
  <c r="N142" i="9"/>
  <c r="O141" i="9"/>
  <c r="D141" i="9"/>
  <c r="C141" i="9"/>
  <c r="K141" i="9"/>
  <c r="J141" i="9"/>
  <c r="C138" i="8"/>
  <c r="N138" i="8"/>
  <c r="J138" i="8"/>
  <c r="I138" i="8"/>
  <c r="D138" i="8"/>
  <c r="B139" i="8"/>
  <c r="A140" i="8"/>
  <c r="M139" i="8"/>
  <c r="H139" i="8"/>
  <c r="M119" i="5"/>
  <c r="C119" i="5"/>
  <c r="F119" i="5"/>
  <c r="D119" i="5"/>
  <c r="G119" i="5"/>
  <c r="J119" i="5"/>
  <c r="K119" i="5"/>
  <c r="I119" i="5"/>
  <c r="H120" i="5"/>
  <c r="B120" i="5"/>
  <c r="E120" i="5"/>
  <c r="A121" i="5"/>
  <c r="L121" i="5" s="1"/>
  <c r="K119" i="2"/>
  <c r="J119" i="2"/>
  <c r="B120" i="2"/>
  <c r="A121" i="2"/>
  <c r="L121" i="2" s="1"/>
  <c r="E120" i="2"/>
  <c r="H120" i="2"/>
  <c r="M119" i="2"/>
  <c r="F119" i="2"/>
  <c r="G119" i="2"/>
  <c r="D119" i="2"/>
  <c r="C119" i="2"/>
  <c r="I119" i="2"/>
  <c r="G139" i="8" l="1"/>
  <c r="O139" i="8"/>
  <c r="F140" i="8"/>
  <c r="K140" i="8"/>
  <c r="L140" i="8" s="1"/>
  <c r="E140" i="8"/>
  <c r="I143" i="9"/>
  <c r="F143" i="9"/>
  <c r="E143" i="9"/>
  <c r="N143" i="9"/>
  <c r="L143" i="9"/>
  <c r="M143" i="9" s="1"/>
  <c r="A144" i="9"/>
  <c r="B143" i="9"/>
  <c r="C142" i="9"/>
  <c r="O142" i="9"/>
  <c r="K142" i="9"/>
  <c r="J142" i="9"/>
  <c r="D142" i="9"/>
  <c r="C139" i="8"/>
  <c r="J139" i="8"/>
  <c r="I139" i="8"/>
  <c r="D139" i="8"/>
  <c r="N139" i="8"/>
  <c r="A141" i="8"/>
  <c r="M140" i="8"/>
  <c r="H140" i="8"/>
  <c r="B140" i="8"/>
  <c r="A122" i="5"/>
  <c r="L122" i="5" s="1"/>
  <c r="H121" i="5"/>
  <c r="B121" i="5"/>
  <c r="E121" i="5"/>
  <c r="J120" i="5"/>
  <c r="K120" i="5"/>
  <c r="C120" i="5"/>
  <c r="M120" i="5"/>
  <c r="G120" i="5"/>
  <c r="F120" i="5"/>
  <c r="D120" i="5"/>
  <c r="I120" i="5"/>
  <c r="K120" i="2"/>
  <c r="J120" i="2"/>
  <c r="I120" i="2"/>
  <c r="A122" i="2"/>
  <c r="L122" i="2" s="1"/>
  <c r="E121" i="2"/>
  <c r="B121" i="2"/>
  <c r="H121" i="2"/>
  <c r="C120" i="2"/>
  <c r="M120" i="2"/>
  <c r="F120" i="2"/>
  <c r="G120" i="2"/>
  <c r="D120" i="2"/>
  <c r="G140" i="8" l="1"/>
  <c r="O140" i="8"/>
  <c r="F141" i="8"/>
  <c r="K141" i="8"/>
  <c r="E141" i="8"/>
  <c r="O143" i="9"/>
  <c r="K143" i="9"/>
  <c r="D143" i="9"/>
  <c r="C143" i="9"/>
  <c r="J143" i="9"/>
  <c r="A145" i="9"/>
  <c r="F144" i="9"/>
  <c r="E144" i="9"/>
  <c r="B144" i="9"/>
  <c r="N144" i="9"/>
  <c r="I144" i="9"/>
  <c r="L144" i="9"/>
  <c r="M144" i="9" s="1"/>
  <c r="L141" i="8"/>
  <c r="B141" i="8"/>
  <c r="M141" i="8"/>
  <c r="A142" i="8"/>
  <c r="H141" i="8"/>
  <c r="C140" i="8"/>
  <c r="N140" i="8"/>
  <c r="I140" i="8"/>
  <c r="D140" i="8"/>
  <c r="J140" i="8"/>
  <c r="G121" i="5"/>
  <c r="M121" i="5"/>
  <c r="F121" i="5"/>
  <c r="D121" i="5"/>
  <c r="C121" i="5"/>
  <c r="K121" i="5"/>
  <c r="J121" i="5"/>
  <c r="I121" i="5"/>
  <c r="B122" i="5"/>
  <c r="E122" i="5"/>
  <c r="A123" i="5"/>
  <c r="L123" i="5" s="1"/>
  <c r="H122" i="5"/>
  <c r="K121" i="2"/>
  <c r="J121" i="2"/>
  <c r="I121" i="2"/>
  <c r="B122" i="2"/>
  <c r="A123" i="2"/>
  <c r="L123" i="2" s="1"/>
  <c r="E122" i="2"/>
  <c r="H122" i="2"/>
  <c r="I122" i="2" s="1"/>
  <c r="C121" i="2"/>
  <c r="D121" i="2"/>
  <c r="M121" i="2"/>
  <c r="G121" i="2"/>
  <c r="F121" i="2"/>
  <c r="G141" i="8" l="1"/>
  <c r="O141" i="8"/>
  <c r="F142" i="8"/>
  <c r="K142" i="8"/>
  <c r="L142" i="8" s="1"/>
  <c r="E142" i="8"/>
  <c r="C144" i="9"/>
  <c r="D144" i="9"/>
  <c r="K144" i="9"/>
  <c r="J144" i="9"/>
  <c r="O144" i="9"/>
  <c r="N145" i="9"/>
  <c r="L145" i="9"/>
  <c r="M145" i="9" s="1"/>
  <c r="I145" i="9"/>
  <c r="F145" i="9"/>
  <c r="B145" i="9"/>
  <c r="E145" i="9"/>
  <c r="A146" i="9"/>
  <c r="M142" i="8"/>
  <c r="A143" i="8"/>
  <c r="B142" i="8"/>
  <c r="H142" i="8"/>
  <c r="D141" i="8"/>
  <c r="C141" i="8"/>
  <c r="J141" i="8"/>
  <c r="N141" i="8"/>
  <c r="I141" i="8"/>
  <c r="K122" i="5"/>
  <c r="J122" i="5"/>
  <c r="I122" i="5"/>
  <c r="A124" i="5"/>
  <c r="L124" i="5" s="1"/>
  <c r="B123" i="5"/>
  <c r="E123" i="5"/>
  <c r="H123" i="5"/>
  <c r="I123" i="5" s="1"/>
  <c r="C122" i="5"/>
  <c r="D122" i="5"/>
  <c r="M122" i="5"/>
  <c r="F122" i="5"/>
  <c r="G122" i="5"/>
  <c r="C122" i="2"/>
  <c r="G122" i="2"/>
  <c r="D122" i="2"/>
  <c r="M122" i="2"/>
  <c r="F122" i="2"/>
  <c r="K122" i="2"/>
  <c r="J122" i="2"/>
  <c r="A124" i="2"/>
  <c r="L124" i="2" s="1"/>
  <c r="E123" i="2"/>
  <c r="H123" i="2"/>
  <c r="B123" i="2"/>
  <c r="G142" i="8" l="1"/>
  <c r="O142" i="8"/>
  <c r="F143" i="8"/>
  <c r="K143" i="8"/>
  <c r="E143" i="8"/>
  <c r="I146" i="9"/>
  <c r="F146" i="9"/>
  <c r="B146" i="9"/>
  <c r="A147" i="9"/>
  <c r="L146" i="9"/>
  <c r="M146" i="9" s="1"/>
  <c r="N146" i="9"/>
  <c r="E146" i="9"/>
  <c r="C145" i="9"/>
  <c r="K145" i="9"/>
  <c r="J145" i="9"/>
  <c r="D145" i="9"/>
  <c r="O145" i="9"/>
  <c r="L143" i="8"/>
  <c r="C142" i="8"/>
  <c r="N142" i="8"/>
  <c r="I142" i="8"/>
  <c r="D142" i="8"/>
  <c r="J142" i="8"/>
  <c r="H143" i="8"/>
  <c r="B143" i="8"/>
  <c r="A144" i="8"/>
  <c r="M143" i="8"/>
  <c r="C123" i="5"/>
  <c r="D123" i="5"/>
  <c r="M123" i="5"/>
  <c r="G123" i="5"/>
  <c r="F123" i="5"/>
  <c r="A125" i="5"/>
  <c r="L125" i="5" s="1"/>
  <c r="B124" i="5"/>
  <c r="H124" i="5"/>
  <c r="E124" i="5"/>
  <c r="K123" i="5"/>
  <c r="J123" i="5"/>
  <c r="C123" i="2"/>
  <c r="M123" i="2"/>
  <c r="G123" i="2"/>
  <c r="F123" i="2"/>
  <c r="D123" i="2"/>
  <c r="K123" i="2"/>
  <c r="J123" i="2"/>
  <c r="B124" i="2"/>
  <c r="H124" i="2"/>
  <c r="I124" i="2" s="1"/>
  <c r="A125" i="2"/>
  <c r="L125" i="2" s="1"/>
  <c r="E124" i="2"/>
  <c r="I123" i="2"/>
  <c r="G143" i="8" l="1"/>
  <c r="O143" i="8"/>
  <c r="F144" i="8"/>
  <c r="K144" i="8"/>
  <c r="E144" i="8"/>
  <c r="F147" i="9"/>
  <c r="A148" i="9"/>
  <c r="E147" i="9"/>
  <c r="I147" i="9"/>
  <c r="B147" i="9"/>
  <c r="L147" i="9"/>
  <c r="M147" i="9" s="1"/>
  <c r="N147" i="9"/>
  <c r="C146" i="9"/>
  <c r="J146" i="9"/>
  <c r="D146" i="9"/>
  <c r="K146" i="9"/>
  <c r="O146" i="9"/>
  <c r="L144" i="8"/>
  <c r="D143" i="8"/>
  <c r="C143" i="8"/>
  <c r="J143" i="8"/>
  <c r="N143" i="8"/>
  <c r="I143" i="8"/>
  <c r="H144" i="8"/>
  <c r="B144" i="8"/>
  <c r="A145" i="8"/>
  <c r="M144" i="8"/>
  <c r="K124" i="5"/>
  <c r="J124" i="5"/>
  <c r="I124" i="5"/>
  <c r="A126" i="5"/>
  <c r="L126" i="5" s="1"/>
  <c r="H125" i="5"/>
  <c r="E125" i="5"/>
  <c r="B125" i="5"/>
  <c r="C124" i="5"/>
  <c r="G124" i="5"/>
  <c r="F124" i="5"/>
  <c r="D124" i="5"/>
  <c r="M124" i="5"/>
  <c r="A126" i="2"/>
  <c r="L126" i="2" s="1"/>
  <c r="H125" i="2"/>
  <c r="I125" i="2" s="1"/>
  <c r="B125" i="2"/>
  <c r="E125" i="2"/>
  <c r="C124" i="2"/>
  <c r="M124" i="2"/>
  <c r="D124" i="2"/>
  <c r="G124" i="2"/>
  <c r="F124" i="2"/>
  <c r="K124" i="2"/>
  <c r="J124" i="2"/>
  <c r="G144" i="8" l="1"/>
  <c r="O144" i="8"/>
  <c r="F145" i="8"/>
  <c r="K145" i="8"/>
  <c r="E145" i="8"/>
  <c r="C147" i="9"/>
  <c r="D147" i="9"/>
  <c r="K147" i="9"/>
  <c r="J147" i="9"/>
  <c r="O147" i="9"/>
  <c r="F148" i="9"/>
  <c r="B148" i="9"/>
  <c r="A149" i="9"/>
  <c r="N148" i="9"/>
  <c r="E148" i="9"/>
  <c r="L148" i="9"/>
  <c r="M148" i="9" s="1"/>
  <c r="I148" i="9"/>
  <c r="L145" i="8"/>
  <c r="H145" i="8"/>
  <c r="M145" i="8"/>
  <c r="A146" i="8"/>
  <c r="B145" i="8"/>
  <c r="C144" i="8"/>
  <c r="J144" i="8"/>
  <c r="D144" i="8"/>
  <c r="N144" i="8"/>
  <c r="I144" i="8"/>
  <c r="G125" i="5"/>
  <c r="D125" i="5"/>
  <c r="M125" i="5"/>
  <c r="F125" i="5"/>
  <c r="C125" i="5"/>
  <c r="K125" i="5"/>
  <c r="J125" i="5"/>
  <c r="I125" i="5"/>
  <c r="A127" i="5"/>
  <c r="L127" i="5" s="1"/>
  <c r="H126" i="5"/>
  <c r="I126" i="5" s="1"/>
  <c r="E126" i="5"/>
  <c r="B126" i="5"/>
  <c r="G125" i="2"/>
  <c r="D125" i="2"/>
  <c r="F125" i="2"/>
  <c r="C125" i="2"/>
  <c r="M125" i="2"/>
  <c r="J125" i="2"/>
  <c r="K125" i="2"/>
  <c r="B126" i="2"/>
  <c r="A127" i="2"/>
  <c r="L127" i="2" s="1"/>
  <c r="H126" i="2"/>
  <c r="E126" i="2"/>
  <c r="G145" i="8" l="1"/>
  <c r="O145" i="8"/>
  <c r="F146" i="8"/>
  <c r="K146" i="8"/>
  <c r="E146" i="8"/>
  <c r="A150" i="9"/>
  <c r="F149" i="9"/>
  <c r="B149" i="9"/>
  <c r="N149" i="9"/>
  <c r="L149" i="9"/>
  <c r="M149" i="9" s="1"/>
  <c r="I149" i="9"/>
  <c r="E149" i="9"/>
  <c r="C148" i="9"/>
  <c r="D148" i="9"/>
  <c r="O148" i="9"/>
  <c r="K148" i="9"/>
  <c r="J148" i="9"/>
  <c r="L146" i="8"/>
  <c r="I145" i="8"/>
  <c r="D145" i="8"/>
  <c r="C145" i="8"/>
  <c r="N145" i="8"/>
  <c r="J145" i="8"/>
  <c r="M146" i="8"/>
  <c r="H146" i="8"/>
  <c r="B146" i="8"/>
  <c r="A147" i="8"/>
  <c r="C126" i="5"/>
  <c r="G126" i="5"/>
  <c r="M126" i="5"/>
  <c r="F126" i="5"/>
  <c r="D126" i="5"/>
  <c r="A128" i="5"/>
  <c r="L128" i="5" s="1"/>
  <c r="H127" i="5"/>
  <c r="E127" i="5"/>
  <c r="B127" i="5"/>
  <c r="J126" i="5"/>
  <c r="K126" i="5"/>
  <c r="K126" i="2"/>
  <c r="J126" i="2"/>
  <c r="I126" i="2"/>
  <c r="C126" i="2"/>
  <c r="D126" i="2"/>
  <c r="M126" i="2"/>
  <c r="G126" i="2"/>
  <c r="F126" i="2"/>
  <c r="A128" i="2"/>
  <c r="L128" i="2" s="1"/>
  <c r="E127" i="2"/>
  <c r="H127" i="2"/>
  <c r="I127" i="2" s="1"/>
  <c r="B127" i="2"/>
  <c r="G146" i="8" l="1"/>
  <c r="O146" i="8"/>
  <c r="F147" i="8"/>
  <c r="K147" i="8"/>
  <c r="E147" i="8"/>
  <c r="K149" i="9"/>
  <c r="C149" i="9"/>
  <c r="O149" i="9"/>
  <c r="J149" i="9"/>
  <c r="D149" i="9"/>
  <c r="I150" i="9"/>
  <c r="L150" i="9"/>
  <c r="M150" i="9" s="1"/>
  <c r="F150" i="9"/>
  <c r="A151" i="9"/>
  <c r="E150" i="9"/>
  <c r="B150" i="9"/>
  <c r="N150" i="9"/>
  <c r="L147" i="8"/>
  <c r="H147" i="8"/>
  <c r="A148" i="8"/>
  <c r="M147" i="8"/>
  <c r="B147" i="8"/>
  <c r="C146" i="8"/>
  <c r="N146" i="8"/>
  <c r="I146" i="8"/>
  <c r="D146" i="8"/>
  <c r="J146" i="8"/>
  <c r="J127" i="5"/>
  <c r="K127" i="5"/>
  <c r="C127" i="5"/>
  <c r="M127" i="5"/>
  <c r="D127" i="5"/>
  <c r="G127" i="5"/>
  <c r="F127" i="5"/>
  <c r="E128" i="5"/>
  <c r="B128" i="5"/>
  <c r="H128" i="5"/>
  <c r="A129" i="5"/>
  <c r="L129" i="5" s="1"/>
  <c r="I127" i="5"/>
  <c r="M127" i="2"/>
  <c r="G127" i="2"/>
  <c r="F127" i="2"/>
  <c r="C127" i="2"/>
  <c r="D127" i="2"/>
  <c r="K127" i="2"/>
  <c r="J127" i="2"/>
  <c r="B128" i="2"/>
  <c r="E128" i="2"/>
  <c r="A129" i="2"/>
  <c r="L129" i="2" s="1"/>
  <c r="H128" i="2"/>
  <c r="G147" i="8" l="1"/>
  <c r="O147" i="8"/>
  <c r="F148" i="8"/>
  <c r="K148" i="8"/>
  <c r="E148" i="8"/>
  <c r="C150" i="9"/>
  <c r="K150" i="9"/>
  <c r="J150" i="9"/>
  <c r="D150" i="9"/>
  <c r="O150" i="9"/>
  <c r="A152" i="9"/>
  <c r="N151" i="9"/>
  <c r="L151" i="9"/>
  <c r="M151" i="9" s="1"/>
  <c r="F151" i="9"/>
  <c r="E151" i="9"/>
  <c r="I151" i="9"/>
  <c r="B151" i="9"/>
  <c r="L148" i="8"/>
  <c r="J147" i="8"/>
  <c r="I147" i="8"/>
  <c r="D147" i="8"/>
  <c r="N147" i="8"/>
  <c r="C147" i="8"/>
  <c r="B148" i="8"/>
  <c r="A149" i="8"/>
  <c r="M148" i="8"/>
  <c r="H148" i="8"/>
  <c r="A130" i="5"/>
  <c r="L130" i="5" s="1"/>
  <c r="E129" i="5"/>
  <c r="H129" i="5"/>
  <c r="B129" i="5"/>
  <c r="J128" i="5"/>
  <c r="K128" i="5"/>
  <c r="C128" i="5"/>
  <c r="M128" i="5"/>
  <c r="D128" i="5"/>
  <c r="G128" i="5"/>
  <c r="F128" i="5"/>
  <c r="I128" i="5"/>
  <c r="K128" i="2"/>
  <c r="J128" i="2"/>
  <c r="I128" i="2"/>
  <c r="A130" i="2"/>
  <c r="L130" i="2" s="1"/>
  <c r="H129" i="2"/>
  <c r="B129" i="2"/>
  <c r="E129" i="2"/>
  <c r="C128" i="2"/>
  <c r="G128" i="2"/>
  <c r="M128" i="2"/>
  <c r="F128" i="2"/>
  <c r="D128" i="2"/>
  <c r="G148" i="8" l="1"/>
  <c r="O148" i="8"/>
  <c r="F149" i="8"/>
  <c r="K149" i="8"/>
  <c r="E149" i="8"/>
  <c r="K151" i="9"/>
  <c r="J151" i="9"/>
  <c r="D151" i="9"/>
  <c r="O151" i="9"/>
  <c r="C151" i="9"/>
  <c r="B152" i="9"/>
  <c r="N152" i="9"/>
  <c r="F152" i="9"/>
  <c r="E152" i="9"/>
  <c r="A153" i="9"/>
  <c r="L152" i="9"/>
  <c r="M152" i="9" s="1"/>
  <c r="I152" i="9"/>
  <c r="L149" i="8"/>
  <c r="C148" i="8"/>
  <c r="D148" i="8"/>
  <c r="N148" i="8"/>
  <c r="I148" i="8"/>
  <c r="J148" i="8"/>
  <c r="H149" i="8"/>
  <c r="M149" i="8"/>
  <c r="B149" i="8"/>
  <c r="A150" i="8"/>
  <c r="F129" i="5"/>
  <c r="M129" i="5"/>
  <c r="G129" i="5"/>
  <c r="D129" i="5"/>
  <c r="C129" i="5"/>
  <c r="J129" i="5"/>
  <c r="K129" i="5"/>
  <c r="I129" i="5"/>
  <c r="B130" i="5"/>
  <c r="A131" i="5"/>
  <c r="L131" i="5" s="1"/>
  <c r="H130" i="5"/>
  <c r="E130" i="5"/>
  <c r="K129" i="2"/>
  <c r="J129" i="2"/>
  <c r="D129" i="2"/>
  <c r="C129" i="2"/>
  <c r="G129" i="2"/>
  <c r="M129" i="2"/>
  <c r="F129" i="2"/>
  <c r="I129" i="2"/>
  <c r="B130" i="2"/>
  <c r="E130" i="2"/>
  <c r="H130" i="2"/>
  <c r="A131" i="2"/>
  <c r="L131" i="2" s="1"/>
  <c r="G149" i="8" l="1"/>
  <c r="O149" i="8"/>
  <c r="F150" i="8"/>
  <c r="K150" i="8"/>
  <c r="E150" i="8"/>
  <c r="N153" i="9"/>
  <c r="A154" i="9"/>
  <c r="F153" i="9"/>
  <c r="B153" i="9"/>
  <c r="L153" i="9"/>
  <c r="M153" i="9" s="1"/>
  <c r="I153" i="9"/>
  <c r="E153" i="9"/>
  <c r="C152" i="9"/>
  <c r="O152" i="9"/>
  <c r="D152" i="9"/>
  <c r="J152" i="9"/>
  <c r="K152" i="9"/>
  <c r="L150" i="8"/>
  <c r="J149" i="8"/>
  <c r="I149" i="8"/>
  <c r="D149" i="8"/>
  <c r="C149" i="8"/>
  <c r="N149" i="8"/>
  <c r="H150" i="8"/>
  <c r="B150" i="8"/>
  <c r="A151" i="8"/>
  <c r="M150" i="8"/>
  <c r="K130" i="5"/>
  <c r="J130" i="5"/>
  <c r="A132" i="5"/>
  <c r="L132" i="5" s="1"/>
  <c r="B131" i="5"/>
  <c r="E131" i="5"/>
  <c r="H131" i="5"/>
  <c r="I131" i="5" s="1"/>
  <c r="I130" i="5"/>
  <c r="C130" i="5"/>
  <c r="M130" i="5"/>
  <c r="G130" i="5"/>
  <c r="F130" i="5"/>
  <c r="D130" i="5"/>
  <c r="C130" i="2"/>
  <c r="M130" i="2"/>
  <c r="D130" i="2"/>
  <c r="G130" i="2"/>
  <c r="F130" i="2"/>
  <c r="J130" i="2"/>
  <c r="K130" i="2"/>
  <c r="A132" i="2"/>
  <c r="L132" i="2" s="1"/>
  <c r="H131" i="2"/>
  <c r="I131" i="2" s="1"/>
  <c r="B131" i="2"/>
  <c r="E131" i="2"/>
  <c r="I130" i="2"/>
  <c r="G150" i="8" l="1"/>
  <c r="O150" i="8"/>
  <c r="F151" i="8"/>
  <c r="K151" i="8"/>
  <c r="E151" i="8"/>
  <c r="K153" i="9"/>
  <c r="J153" i="9"/>
  <c r="C153" i="9"/>
  <c r="O153" i="9"/>
  <c r="D153" i="9"/>
  <c r="B154" i="9"/>
  <c r="A155" i="9"/>
  <c r="I154" i="9"/>
  <c r="F154" i="9"/>
  <c r="N154" i="9"/>
  <c r="L154" i="9"/>
  <c r="M154" i="9" s="1"/>
  <c r="E154" i="9"/>
  <c r="L151" i="8"/>
  <c r="C150" i="8"/>
  <c r="J150" i="8"/>
  <c r="I150" i="8"/>
  <c r="D150" i="8"/>
  <c r="N150" i="8"/>
  <c r="A152" i="8"/>
  <c r="M151" i="8"/>
  <c r="H151" i="8"/>
  <c r="B151" i="8"/>
  <c r="J131" i="5"/>
  <c r="K131" i="5"/>
  <c r="A133" i="5"/>
  <c r="L133" i="5" s="1"/>
  <c r="H132" i="5"/>
  <c r="B132" i="5"/>
  <c r="E132" i="5"/>
  <c r="G131" i="5"/>
  <c r="M131" i="5"/>
  <c r="C131" i="5"/>
  <c r="F131" i="5"/>
  <c r="D131" i="5"/>
  <c r="K131" i="2"/>
  <c r="J131" i="2"/>
  <c r="G131" i="2"/>
  <c r="D131" i="2"/>
  <c r="M131" i="2"/>
  <c r="F131" i="2"/>
  <c r="C131" i="2"/>
  <c r="B132" i="2"/>
  <c r="A133" i="2"/>
  <c r="L133" i="2" s="1"/>
  <c r="H132" i="2"/>
  <c r="E132" i="2"/>
  <c r="G151" i="8" l="1"/>
  <c r="O151" i="8"/>
  <c r="F152" i="8"/>
  <c r="K152" i="8"/>
  <c r="E152" i="8"/>
  <c r="E155" i="9"/>
  <c r="B155" i="9"/>
  <c r="I155" i="9"/>
  <c r="F155" i="9"/>
  <c r="N155" i="9"/>
  <c r="L155" i="9"/>
  <c r="M155" i="9" s="1"/>
  <c r="A156" i="9"/>
  <c r="C154" i="9"/>
  <c r="D154" i="9"/>
  <c r="J154" i="9"/>
  <c r="O154" i="9"/>
  <c r="K154" i="9"/>
  <c r="L152" i="8"/>
  <c r="J151" i="8"/>
  <c r="I151" i="8"/>
  <c r="N151" i="8"/>
  <c r="D151" i="8"/>
  <c r="C151" i="8"/>
  <c r="M152" i="8"/>
  <c r="H152" i="8"/>
  <c r="B152" i="8"/>
  <c r="A153" i="8"/>
  <c r="K132" i="5"/>
  <c r="J132" i="5"/>
  <c r="I132" i="5"/>
  <c r="C132" i="5"/>
  <c r="D132" i="5"/>
  <c r="G132" i="5"/>
  <c r="F132" i="5"/>
  <c r="M132" i="5"/>
  <c r="A134" i="5"/>
  <c r="L134" i="5" s="1"/>
  <c r="B133" i="5"/>
  <c r="H133" i="5"/>
  <c r="E133" i="5"/>
  <c r="K132" i="2"/>
  <c r="J132" i="2"/>
  <c r="A134" i="2"/>
  <c r="L134" i="2" s="1"/>
  <c r="H133" i="2"/>
  <c r="E133" i="2"/>
  <c r="B133" i="2"/>
  <c r="I132" i="2"/>
  <c r="C132" i="2"/>
  <c r="F132" i="2"/>
  <c r="G132" i="2"/>
  <c r="M132" i="2"/>
  <c r="D132" i="2"/>
  <c r="G152" i="8" l="1"/>
  <c r="O152" i="8"/>
  <c r="F153" i="8"/>
  <c r="K153" i="8"/>
  <c r="E153" i="8"/>
  <c r="E156" i="9"/>
  <c r="B156" i="9"/>
  <c r="A157" i="9"/>
  <c r="N156" i="9"/>
  <c r="L156" i="9"/>
  <c r="M156" i="9" s="1"/>
  <c r="I156" i="9"/>
  <c r="F156" i="9"/>
  <c r="C155" i="9"/>
  <c r="J155" i="9"/>
  <c r="D155" i="9"/>
  <c r="O155" i="9"/>
  <c r="K155" i="9"/>
  <c r="L153" i="8"/>
  <c r="C152" i="8"/>
  <c r="N152" i="8"/>
  <c r="D152" i="8"/>
  <c r="J152" i="8"/>
  <c r="I152" i="8"/>
  <c r="A154" i="8"/>
  <c r="M153" i="8"/>
  <c r="H153" i="8"/>
  <c r="B153" i="8"/>
  <c r="H134" i="5"/>
  <c r="E134" i="5"/>
  <c r="B134" i="5"/>
  <c r="A135" i="5"/>
  <c r="L135" i="5" s="1"/>
  <c r="K133" i="5"/>
  <c r="J133" i="5"/>
  <c r="I133" i="5"/>
  <c r="C133" i="5"/>
  <c r="G133" i="5"/>
  <c r="F133" i="5"/>
  <c r="D133" i="5"/>
  <c r="M133" i="5"/>
  <c r="K133" i="2"/>
  <c r="J133" i="2"/>
  <c r="B134" i="2"/>
  <c r="A135" i="2"/>
  <c r="L135" i="2" s="1"/>
  <c r="H134" i="2"/>
  <c r="I134" i="2" s="1"/>
  <c r="E134" i="2"/>
  <c r="C133" i="2"/>
  <c r="M133" i="2"/>
  <c r="F133" i="2"/>
  <c r="G133" i="2"/>
  <c r="D133" i="2"/>
  <c r="I133" i="2"/>
  <c r="G153" i="8" l="1"/>
  <c r="O153" i="8"/>
  <c r="F154" i="8"/>
  <c r="K154" i="8"/>
  <c r="E154" i="8"/>
  <c r="L157" i="9"/>
  <c r="M157" i="9" s="1"/>
  <c r="I157" i="9"/>
  <c r="F157" i="9"/>
  <c r="A158" i="9"/>
  <c r="N157" i="9"/>
  <c r="E157" i="9"/>
  <c r="B157" i="9"/>
  <c r="C156" i="9"/>
  <c r="D156" i="9"/>
  <c r="O156" i="9"/>
  <c r="K156" i="9"/>
  <c r="J156" i="9"/>
  <c r="L154" i="8"/>
  <c r="A155" i="8"/>
  <c r="M154" i="8"/>
  <c r="B154" i="8"/>
  <c r="H154" i="8"/>
  <c r="J153" i="8"/>
  <c r="N153" i="8"/>
  <c r="I153" i="8"/>
  <c r="D153" i="8"/>
  <c r="C153" i="8"/>
  <c r="A136" i="5"/>
  <c r="L136" i="5" s="1"/>
  <c r="E135" i="5"/>
  <c r="B135" i="5"/>
  <c r="H135" i="5"/>
  <c r="C134" i="5"/>
  <c r="F134" i="5"/>
  <c r="M134" i="5"/>
  <c r="G134" i="5"/>
  <c r="D134" i="5"/>
  <c r="K134" i="5"/>
  <c r="J134" i="5"/>
  <c r="I134" i="5"/>
  <c r="K134" i="2"/>
  <c r="J134" i="2"/>
  <c r="A136" i="2"/>
  <c r="L136" i="2" s="1"/>
  <c r="H135" i="2"/>
  <c r="I135" i="2" s="1"/>
  <c r="E135" i="2"/>
  <c r="B135" i="2"/>
  <c r="C134" i="2"/>
  <c r="M134" i="2"/>
  <c r="G134" i="2"/>
  <c r="F134" i="2"/>
  <c r="D134" i="2"/>
  <c r="G154" i="8" l="1"/>
  <c r="O154" i="8"/>
  <c r="F155" i="8"/>
  <c r="K155" i="8"/>
  <c r="E155" i="8"/>
  <c r="J157" i="9"/>
  <c r="O157" i="9"/>
  <c r="D157" i="9"/>
  <c r="K157" i="9"/>
  <c r="C157" i="9"/>
  <c r="F158" i="9"/>
  <c r="E158" i="9"/>
  <c r="B158" i="9"/>
  <c r="L158" i="9"/>
  <c r="M158" i="9" s="1"/>
  <c r="I158" i="9"/>
  <c r="N158" i="9"/>
  <c r="A159" i="9"/>
  <c r="L155" i="8"/>
  <c r="C154" i="8"/>
  <c r="N154" i="8"/>
  <c r="J154" i="8"/>
  <c r="D154" i="8"/>
  <c r="I154" i="8"/>
  <c r="B155" i="8"/>
  <c r="A156" i="8"/>
  <c r="M155" i="8"/>
  <c r="H155" i="8"/>
  <c r="K135" i="5"/>
  <c r="J135" i="5"/>
  <c r="F135" i="5"/>
  <c r="C135" i="5"/>
  <c r="M135" i="5"/>
  <c r="G135" i="5"/>
  <c r="D135" i="5"/>
  <c r="I135" i="5"/>
  <c r="B136" i="5"/>
  <c r="A137" i="5"/>
  <c r="L137" i="5" s="1"/>
  <c r="H136" i="5"/>
  <c r="I136" i="5" s="1"/>
  <c r="E136" i="5"/>
  <c r="M135" i="2"/>
  <c r="F135" i="2"/>
  <c r="D135" i="2"/>
  <c r="C135" i="2"/>
  <c r="G135" i="2"/>
  <c r="J135" i="2"/>
  <c r="K135" i="2"/>
  <c r="B136" i="2"/>
  <c r="H136" i="2"/>
  <c r="E136" i="2"/>
  <c r="A137" i="2"/>
  <c r="L137" i="2" s="1"/>
  <c r="G155" i="8" l="1"/>
  <c r="O155" i="8"/>
  <c r="F156" i="8"/>
  <c r="K156" i="8"/>
  <c r="E156" i="8"/>
  <c r="N159" i="9"/>
  <c r="L159" i="9"/>
  <c r="M159" i="9" s="1"/>
  <c r="F159" i="9"/>
  <c r="E159" i="9"/>
  <c r="A160" i="9"/>
  <c r="I159" i="9"/>
  <c r="B159" i="9"/>
  <c r="C158" i="9"/>
  <c r="J158" i="9"/>
  <c r="K158" i="9"/>
  <c r="D158" i="9"/>
  <c r="O158" i="9"/>
  <c r="L156" i="8"/>
  <c r="A157" i="8"/>
  <c r="B156" i="8"/>
  <c r="H156" i="8"/>
  <c r="M156" i="8"/>
  <c r="C155" i="8"/>
  <c r="I155" i="8"/>
  <c r="N155" i="8"/>
  <c r="J155" i="8"/>
  <c r="D155" i="8"/>
  <c r="A138" i="5"/>
  <c r="L138" i="5" s="1"/>
  <c r="H137" i="5"/>
  <c r="B137" i="5"/>
  <c r="E137" i="5"/>
  <c r="K136" i="5"/>
  <c r="J136" i="5"/>
  <c r="C136" i="5"/>
  <c r="G136" i="5"/>
  <c r="M136" i="5"/>
  <c r="F136" i="5"/>
  <c r="D136" i="5"/>
  <c r="A138" i="2"/>
  <c r="L138" i="2" s="1"/>
  <c r="B137" i="2"/>
  <c r="E137" i="2"/>
  <c r="H137" i="2"/>
  <c r="J136" i="2"/>
  <c r="K136" i="2"/>
  <c r="I136" i="2"/>
  <c r="C136" i="2"/>
  <c r="D136" i="2"/>
  <c r="G136" i="2"/>
  <c r="M136" i="2"/>
  <c r="F136" i="2"/>
  <c r="G156" i="8" l="1"/>
  <c r="O156" i="8"/>
  <c r="F157" i="8"/>
  <c r="K157" i="8"/>
  <c r="E157" i="8"/>
  <c r="O159" i="9"/>
  <c r="K159" i="9"/>
  <c r="J159" i="9"/>
  <c r="D159" i="9"/>
  <c r="C159" i="9"/>
  <c r="I160" i="9"/>
  <c r="F160" i="9"/>
  <c r="A161" i="9"/>
  <c r="B160" i="9"/>
  <c r="N160" i="9"/>
  <c r="E160" i="9"/>
  <c r="L160" i="9"/>
  <c r="M160" i="9" s="1"/>
  <c r="L157" i="8"/>
  <c r="C156" i="8"/>
  <c r="N156" i="8"/>
  <c r="J156" i="8"/>
  <c r="I156" i="8"/>
  <c r="D156" i="8"/>
  <c r="M157" i="8"/>
  <c r="H157" i="8"/>
  <c r="B157" i="8"/>
  <c r="A158" i="8"/>
  <c r="K137" i="5"/>
  <c r="J137" i="5"/>
  <c r="I137" i="5"/>
  <c r="M137" i="5"/>
  <c r="F137" i="5"/>
  <c r="D137" i="5"/>
  <c r="G137" i="5"/>
  <c r="C137" i="5"/>
  <c r="H138" i="5"/>
  <c r="I138" i="5" s="1"/>
  <c r="E138" i="5"/>
  <c r="A139" i="5"/>
  <c r="L139" i="5" s="1"/>
  <c r="B138" i="5"/>
  <c r="M137" i="2"/>
  <c r="F137" i="2"/>
  <c r="D137" i="2"/>
  <c r="C137" i="2"/>
  <c r="G137" i="2"/>
  <c r="K137" i="2"/>
  <c r="J137" i="2"/>
  <c r="I137" i="2"/>
  <c r="B138" i="2"/>
  <c r="H138" i="2"/>
  <c r="E138" i="2"/>
  <c r="A139" i="2"/>
  <c r="L139" i="2" s="1"/>
  <c r="G157" i="8" l="1"/>
  <c r="O157" i="8"/>
  <c r="F158" i="8"/>
  <c r="K158" i="8"/>
  <c r="E158" i="8"/>
  <c r="C160" i="9"/>
  <c r="J160" i="9"/>
  <c r="D160" i="9"/>
  <c r="K160" i="9"/>
  <c r="O160" i="9"/>
  <c r="A162" i="9"/>
  <c r="I161" i="9"/>
  <c r="F161" i="9"/>
  <c r="E161" i="9"/>
  <c r="B161" i="9"/>
  <c r="L161" i="9"/>
  <c r="M161" i="9" s="1"/>
  <c r="N161" i="9"/>
  <c r="L158" i="8"/>
  <c r="A159" i="8"/>
  <c r="H158" i="8"/>
  <c r="B158" i="8"/>
  <c r="M158" i="8"/>
  <c r="J157" i="8"/>
  <c r="I157" i="8"/>
  <c r="D157" i="8"/>
  <c r="N157" i="8"/>
  <c r="C157" i="8"/>
  <c r="A140" i="5"/>
  <c r="L140" i="5" s="1"/>
  <c r="B139" i="5"/>
  <c r="H139" i="5"/>
  <c r="I139" i="5" s="1"/>
  <c r="E139" i="5"/>
  <c r="C138" i="5"/>
  <c r="M138" i="5"/>
  <c r="G138" i="5"/>
  <c r="F138" i="5"/>
  <c r="D138" i="5"/>
  <c r="K138" i="5"/>
  <c r="J138" i="5"/>
  <c r="A140" i="2"/>
  <c r="L140" i="2" s="1"/>
  <c r="H139" i="2"/>
  <c r="E139" i="2"/>
  <c r="B139" i="2"/>
  <c r="J138" i="2"/>
  <c r="K138" i="2"/>
  <c r="C138" i="2"/>
  <c r="G138" i="2"/>
  <c r="D138" i="2"/>
  <c r="F138" i="2"/>
  <c r="M138" i="2"/>
  <c r="I138" i="2"/>
  <c r="G158" i="8" l="1"/>
  <c r="O158" i="8"/>
  <c r="F159" i="8"/>
  <c r="K159" i="8"/>
  <c r="E159" i="8"/>
  <c r="K161" i="9"/>
  <c r="J161" i="9"/>
  <c r="C161" i="9"/>
  <c r="D161" i="9"/>
  <c r="O161" i="9"/>
  <c r="I162" i="9"/>
  <c r="E162" i="9"/>
  <c r="B162" i="9"/>
  <c r="L162" i="9"/>
  <c r="M162" i="9" s="1"/>
  <c r="F162" i="9"/>
  <c r="N162" i="9"/>
  <c r="A163" i="9"/>
  <c r="L159" i="8"/>
  <c r="C158" i="8"/>
  <c r="N158" i="8"/>
  <c r="I158" i="8"/>
  <c r="D158" i="8"/>
  <c r="J158" i="8"/>
  <c r="M159" i="8"/>
  <c r="A160" i="8"/>
  <c r="H159" i="8"/>
  <c r="B159" i="8"/>
  <c r="K139" i="5"/>
  <c r="J139" i="5"/>
  <c r="F139" i="5"/>
  <c r="D139" i="5"/>
  <c r="C139" i="5"/>
  <c r="M139" i="5"/>
  <c r="G139" i="5"/>
  <c r="A141" i="5"/>
  <c r="L141" i="5" s="1"/>
  <c r="H140" i="5"/>
  <c r="B140" i="5"/>
  <c r="E140" i="5"/>
  <c r="J139" i="2"/>
  <c r="K139" i="2"/>
  <c r="M139" i="2"/>
  <c r="G139" i="2"/>
  <c r="F139" i="2"/>
  <c r="D139" i="2"/>
  <c r="C139" i="2"/>
  <c r="I139" i="2"/>
  <c r="B140" i="2"/>
  <c r="H140" i="2"/>
  <c r="I140" i="2" s="1"/>
  <c r="A141" i="2"/>
  <c r="L141" i="2" s="1"/>
  <c r="E140" i="2"/>
  <c r="G159" i="8" l="1"/>
  <c r="O159" i="8"/>
  <c r="F160" i="8"/>
  <c r="K160" i="8"/>
  <c r="E160" i="8"/>
  <c r="A164" i="9"/>
  <c r="F163" i="9"/>
  <c r="E163" i="9"/>
  <c r="L163" i="9"/>
  <c r="M163" i="9" s="1"/>
  <c r="B163" i="9"/>
  <c r="I163" i="9"/>
  <c r="N163" i="9"/>
  <c r="C162" i="9"/>
  <c r="J162" i="9"/>
  <c r="K162" i="9"/>
  <c r="D162" i="9"/>
  <c r="O162" i="9"/>
  <c r="L160" i="8"/>
  <c r="N159" i="8"/>
  <c r="J159" i="8"/>
  <c r="I159" i="8"/>
  <c r="D159" i="8"/>
  <c r="C159" i="8"/>
  <c r="H160" i="8"/>
  <c r="A161" i="8"/>
  <c r="M160" i="8"/>
  <c r="B160" i="8"/>
  <c r="J140" i="5"/>
  <c r="K140" i="5"/>
  <c r="I140" i="5"/>
  <c r="C140" i="5"/>
  <c r="M140" i="5"/>
  <c r="G140" i="5"/>
  <c r="F140" i="5"/>
  <c r="D140" i="5"/>
  <c r="A142" i="5"/>
  <c r="L142" i="5" s="1"/>
  <c r="H141" i="5"/>
  <c r="I141" i="5" s="1"/>
  <c r="B141" i="5"/>
  <c r="E141" i="5"/>
  <c r="K140" i="2"/>
  <c r="J140" i="2"/>
  <c r="C140" i="2"/>
  <c r="M140" i="2"/>
  <c r="G140" i="2"/>
  <c r="F140" i="2"/>
  <c r="D140" i="2"/>
  <c r="A142" i="2"/>
  <c r="L142" i="2" s="1"/>
  <c r="E141" i="2"/>
  <c r="H141" i="2"/>
  <c r="I141" i="2" s="1"/>
  <c r="B141" i="2"/>
  <c r="G160" i="8" l="1"/>
  <c r="O160" i="8"/>
  <c r="F161" i="8"/>
  <c r="K161" i="8"/>
  <c r="E161" i="8"/>
  <c r="C163" i="9"/>
  <c r="K163" i="9"/>
  <c r="J163" i="9"/>
  <c r="D163" i="9"/>
  <c r="O163" i="9"/>
  <c r="I164" i="9"/>
  <c r="L164" i="9"/>
  <c r="M164" i="9" s="1"/>
  <c r="F164" i="9"/>
  <c r="A165" i="9"/>
  <c r="N164" i="9"/>
  <c r="E164" i="9"/>
  <c r="B164" i="9"/>
  <c r="L161" i="8"/>
  <c r="C160" i="8"/>
  <c r="D160" i="8"/>
  <c r="N160" i="8"/>
  <c r="J160" i="8"/>
  <c r="I160" i="8"/>
  <c r="M161" i="8"/>
  <c r="A162" i="8"/>
  <c r="H161" i="8"/>
  <c r="B161" i="8"/>
  <c r="B142" i="5"/>
  <c r="A143" i="5"/>
  <c r="L143" i="5" s="1"/>
  <c r="E142" i="5"/>
  <c r="H142" i="5"/>
  <c r="C141" i="5"/>
  <c r="D141" i="5"/>
  <c r="G141" i="5"/>
  <c r="F141" i="5"/>
  <c r="M141" i="5"/>
  <c r="K141" i="5"/>
  <c r="J141" i="5"/>
  <c r="G141" i="2"/>
  <c r="F141" i="2"/>
  <c r="D141" i="2"/>
  <c r="C141" i="2"/>
  <c r="M141" i="2"/>
  <c r="K141" i="2"/>
  <c r="J141" i="2"/>
  <c r="B142" i="2"/>
  <c r="A143" i="2"/>
  <c r="L143" i="2" s="1"/>
  <c r="E142" i="2"/>
  <c r="H142" i="2"/>
  <c r="G161" i="8" l="1"/>
  <c r="O161" i="8"/>
  <c r="F162" i="8"/>
  <c r="K162" i="8"/>
  <c r="E162" i="8"/>
  <c r="C164" i="9"/>
  <c r="K164" i="9"/>
  <c r="J164" i="9"/>
  <c r="O164" i="9"/>
  <c r="D164" i="9"/>
  <c r="B165" i="9"/>
  <c r="F165" i="9"/>
  <c r="E165" i="9"/>
  <c r="A166" i="9"/>
  <c r="N165" i="9"/>
  <c r="L165" i="9"/>
  <c r="M165" i="9" s="1"/>
  <c r="I165" i="9"/>
  <c r="L162" i="8"/>
  <c r="H162" i="8"/>
  <c r="M162" i="8"/>
  <c r="B162" i="8"/>
  <c r="A163" i="8"/>
  <c r="N161" i="8"/>
  <c r="J161" i="8"/>
  <c r="I161" i="8"/>
  <c r="D161" i="8"/>
  <c r="C161" i="8"/>
  <c r="J142" i="5"/>
  <c r="K142" i="5"/>
  <c r="I142" i="5"/>
  <c r="A144" i="5"/>
  <c r="L144" i="5" s="1"/>
  <c r="H143" i="5"/>
  <c r="E143" i="5"/>
  <c r="B143" i="5"/>
  <c r="C142" i="5"/>
  <c r="G142" i="5"/>
  <c r="D142" i="5"/>
  <c r="M142" i="5"/>
  <c r="F142" i="5"/>
  <c r="K142" i="2"/>
  <c r="J142" i="2"/>
  <c r="I142" i="2"/>
  <c r="A144" i="2"/>
  <c r="L144" i="2" s="1"/>
  <c r="H143" i="2"/>
  <c r="I143" i="2" s="1"/>
  <c r="E143" i="2"/>
  <c r="B143" i="2"/>
  <c r="C142" i="2"/>
  <c r="M142" i="2"/>
  <c r="D142" i="2"/>
  <c r="G142" i="2"/>
  <c r="F142" i="2"/>
  <c r="G162" i="8" l="1"/>
  <c r="O162" i="8"/>
  <c r="F163" i="8"/>
  <c r="K163" i="8"/>
  <c r="E163" i="8"/>
  <c r="L166" i="9"/>
  <c r="M166" i="9" s="1"/>
  <c r="A167" i="9"/>
  <c r="F166" i="9"/>
  <c r="E166" i="9"/>
  <c r="B166" i="9"/>
  <c r="I166" i="9"/>
  <c r="N166" i="9"/>
  <c r="D165" i="9"/>
  <c r="C165" i="9"/>
  <c r="O165" i="9"/>
  <c r="K165" i="9"/>
  <c r="J165" i="9"/>
  <c r="L163" i="8"/>
  <c r="M163" i="8"/>
  <c r="A164" i="8"/>
  <c r="H163" i="8"/>
  <c r="B163" i="8"/>
  <c r="C162" i="8"/>
  <c r="J162" i="8"/>
  <c r="I162" i="8"/>
  <c r="N162" i="8"/>
  <c r="D162" i="8"/>
  <c r="K143" i="5"/>
  <c r="J143" i="5"/>
  <c r="G143" i="5"/>
  <c r="F143" i="5"/>
  <c r="D143" i="5"/>
  <c r="M143" i="5"/>
  <c r="C143" i="5"/>
  <c r="I143" i="5"/>
  <c r="E144" i="5"/>
  <c r="B144" i="5"/>
  <c r="A145" i="5"/>
  <c r="L145" i="5" s="1"/>
  <c r="H144" i="5"/>
  <c r="I144" i="5" s="1"/>
  <c r="F143" i="2"/>
  <c r="D143" i="2"/>
  <c r="G143" i="2"/>
  <c r="M143" i="2"/>
  <c r="C143" i="2"/>
  <c r="B144" i="2"/>
  <c r="H144" i="2"/>
  <c r="I144" i="2" s="1"/>
  <c r="E144" i="2"/>
  <c r="A145" i="2"/>
  <c r="L145" i="2" s="1"/>
  <c r="K143" i="2"/>
  <c r="J143" i="2"/>
  <c r="G163" i="8" l="1"/>
  <c r="O163" i="8"/>
  <c r="F164" i="8"/>
  <c r="K164" i="8"/>
  <c r="E164" i="8"/>
  <c r="C166" i="9"/>
  <c r="K166" i="9"/>
  <c r="J166" i="9"/>
  <c r="D166" i="9"/>
  <c r="O166" i="9"/>
  <c r="F167" i="9"/>
  <c r="N167" i="9"/>
  <c r="A168" i="9"/>
  <c r="L167" i="9"/>
  <c r="M167" i="9" s="1"/>
  <c r="I167" i="9"/>
  <c r="E167" i="9"/>
  <c r="B167" i="9"/>
  <c r="L164" i="8"/>
  <c r="M164" i="8"/>
  <c r="A165" i="8"/>
  <c r="H164" i="8"/>
  <c r="B164" i="8"/>
  <c r="N163" i="8"/>
  <c r="J163" i="8"/>
  <c r="I163" i="8"/>
  <c r="D163" i="8"/>
  <c r="C163" i="8"/>
  <c r="C144" i="5"/>
  <c r="D144" i="5"/>
  <c r="F144" i="5"/>
  <c r="G144" i="5"/>
  <c r="M144" i="5"/>
  <c r="A146" i="5"/>
  <c r="L146" i="5" s="1"/>
  <c r="B145" i="5"/>
  <c r="H145" i="5"/>
  <c r="E145" i="5"/>
  <c r="K144" i="5"/>
  <c r="J144" i="5"/>
  <c r="C144" i="2"/>
  <c r="G144" i="2"/>
  <c r="F144" i="2"/>
  <c r="D144" i="2"/>
  <c r="M144" i="2"/>
  <c r="A146" i="2"/>
  <c r="L146" i="2" s="1"/>
  <c r="E145" i="2"/>
  <c r="B145" i="2"/>
  <c r="H145" i="2"/>
  <c r="K144" i="2"/>
  <c r="J144" i="2"/>
  <c r="G164" i="8" l="1"/>
  <c r="O164" i="8"/>
  <c r="F165" i="8"/>
  <c r="K165" i="8"/>
  <c r="E165" i="8"/>
  <c r="C167" i="9"/>
  <c r="D167" i="9"/>
  <c r="O167" i="9"/>
  <c r="K167" i="9"/>
  <c r="J167" i="9"/>
  <c r="L168" i="9"/>
  <c r="M168" i="9" s="1"/>
  <c r="F168" i="9"/>
  <c r="E168" i="9"/>
  <c r="B168" i="9"/>
  <c r="N168" i="9"/>
  <c r="A169" i="9"/>
  <c r="I168" i="9"/>
  <c r="L165" i="8"/>
  <c r="H165" i="8"/>
  <c r="B165" i="8"/>
  <c r="A166" i="8"/>
  <c r="M165" i="8"/>
  <c r="C164" i="8"/>
  <c r="N164" i="8"/>
  <c r="J164" i="8"/>
  <c r="I164" i="8"/>
  <c r="D164" i="8"/>
  <c r="M145" i="5"/>
  <c r="G145" i="5"/>
  <c r="D145" i="5"/>
  <c r="C145" i="5"/>
  <c r="F145" i="5"/>
  <c r="H146" i="5"/>
  <c r="I146" i="5" s="1"/>
  <c r="E146" i="5"/>
  <c r="B146" i="5"/>
  <c r="A147" i="5"/>
  <c r="L147" i="5" s="1"/>
  <c r="J145" i="5"/>
  <c r="K145" i="5"/>
  <c r="I145" i="5"/>
  <c r="D145" i="2"/>
  <c r="C145" i="2"/>
  <c r="M145" i="2"/>
  <c r="G145" i="2"/>
  <c r="F145" i="2"/>
  <c r="K145" i="2"/>
  <c r="J145" i="2"/>
  <c r="I145" i="2"/>
  <c r="B146" i="2"/>
  <c r="A147" i="2"/>
  <c r="L147" i="2" s="1"/>
  <c r="E146" i="2"/>
  <c r="H146" i="2"/>
  <c r="G165" i="8" l="1"/>
  <c r="O165" i="8"/>
  <c r="F166" i="8"/>
  <c r="K166" i="8"/>
  <c r="E166" i="8"/>
  <c r="L169" i="9"/>
  <c r="M169" i="9" s="1"/>
  <c r="I169" i="9"/>
  <c r="F169" i="9"/>
  <c r="E169" i="9"/>
  <c r="B169" i="9"/>
  <c r="A170" i="9"/>
  <c r="N169" i="9"/>
  <c r="C168" i="9"/>
  <c r="K168" i="9"/>
  <c r="D168" i="9"/>
  <c r="O168" i="9"/>
  <c r="J168" i="9"/>
  <c r="L166" i="8"/>
  <c r="A167" i="8"/>
  <c r="H166" i="8"/>
  <c r="B166" i="8"/>
  <c r="M166" i="8"/>
  <c r="N165" i="8"/>
  <c r="D165" i="8"/>
  <c r="J165" i="8"/>
  <c r="C165" i="8"/>
  <c r="I165" i="8"/>
  <c r="A148" i="5"/>
  <c r="L148" i="5" s="1"/>
  <c r="H147" i="5"/>
  <c r="E147" i="5"/>
  <c r="B147" i="5"/>
  <c r="C146" i="5"/>
  <c r="G146" i="5"/>
  <c r="F146" i="5"/>
  <c r="D146" i="5"/>
  <c r="M146" i="5"/>
  <c r="J146" i="5"/>
  <c r="K146" i="5"/>
  <c r="A148" i="2"/>
  <c r="L148" i="2" s="1"/>
  <c r="H147" i="2"/>
  <c r="I147" i="2" s="1"/>
  <c r="E147" i="2"/>
  <c r="B147" i="2"/>
  <c r="C146" i="2"/>
  <c r="G146" i="2"/>
  <c r="M146" i="2"/>
  <c r="F146" i="2"/>
  <c r="D146" i="2"/>
  <c r="K146" i="2"/>
  <c r="J146" i="2"/>
  <c r="I146" i="2"/>
  <c r="G166" i="8" l="1"/>
  <c r="O166" i="8"/>
  <c r="F167" i="8"/>
  <c r="K167" i="8"/>
  <c r="E167" i="8"/>
  <c r="N170" i="9"/>
  <c r="L170" i="9"/>
  <c r="M170" i="9" s="1"/>
  <c r="I170" i="9"/>
  <c r="F170" i="9"/>
  <c r="A171" i="9"/>
  <c r="B170" i="9"/>
  <c r="E170" i="9"/>
  <c r="J169" i="9"/>
  <c r="O169" i="9"/>
  <c r="K169" i="9"/>
  <c r="C169" i="9"/>
  <c r="D169" i="9"/>
  <c r="L167" i="8"/>
  <c r="C166" i="8"/>
  <c r="I166" i="8"/>
  <c r="J166" i="8"/>
  <c r="D166" i="8"/>
  <c r="N166" i="8"/>
  <c r="A168" i="8"/>
  <c r="M167" i="8"/>
  <c r="H167" i="8"/>
  <c r="B167" i="8"/>
  <c r="G147" i="5"/>
  <c r="D147" i="5"/>
  <c r="M147" i="5"/>
  <c r="F147" i="5"/>
  <c r="C147" i="5"/>
  <c r="J147" i="5"/>
  <c r="K147" i="5"/>
  <c r="I147" i="5"/>
  <c r="H148" i="5"/>
  <c r="A149" i="5"/>
  <c r="L149" i="5" s="1"/>
  <c r="E148" i="5"/>
  <c r="B148" i="5"/>
  <c r="G147" i="2"/>
  <c r="D147" i="2"/>
  <c r="C147" i="2"/>
  <c r="M147" i="2"/>
  <c r="F147" i="2"/>
  <c r="K147" i="2"/>
  <c r="J147" i="2"/>
  <c r="B148" i="2"/>
  <c r="H148" i="2"/>
  <c r="I148" i="2" s="1"/>
  <c r="A149" i="2"/>
  <c r="L149" i="2" s="1"/>
  <c r="E148" i="2"/>
  <c r="G167" i="8" l="1"/>
  <c r="O167" i="8"/>
  <c r="F168" i="8"/>
  <c r="K168" i="8"/>
  <c r="E168" i="8"/>
  <c r="C170" i="9"/>
  <c r="O170" i="9"/>
  <c r="K170" i="9"/>
  <c r="J170" i="9"/>
  <c r="D170" i="9"/>
  <c r="A172" i="9"/>
  <c r="N171" i="9"/>
  <c r="I171" i="9"/>
  <c r="F171" i="9"/>
  <c r="E171" i="9"/>
  <c r="B171" i="9"/>
  <c r="L171" i="9"/>
  <c r="M171" i="9" s="1"/>
  <c r="L168" i="8"/>
  <c r="N167" i="8"/>
  <c r="J167" i="8"/>
  <c r="I167" i="8"/>
  <c r="D167" i="8"/>
  <c r="C167" i="8"/>
  <c r="M168" i="8"/>
  <c r="A169" i="8"/>
  <c r="H168" i="8"/>
  <c r="B168" i="8"/>
  <c r="A150" i="5"/>
  <c r="L150" i="5" s="1"/>
  <c r="B149" i="5"/>
  <c r="H149" i="5"/>
  <c r="I149" i="5" s="1"/>
  <c r="E149" i="5"/>
  <c r="C148" i="5"/>
  <c r="G148" i="5"/>
  <c r="M148" i="5"/>
  <c r="F148" i="5"/>
  <c r="D148" i="5"/>
  <c r="K148" i="5"/>
  <c r="J148" i="5"/>
  <c r="I148" i="5"/>
  <c r="A150" i="2"/>
  <c r="L150" i="2" s="1"/>
  <c r="H149" i="2"/>
  <c r="E149" i="2"/>
  <c r="B149" i="2"/>
  <c r="J148" i="2"/>
  <c r="K148" i="2"/>
  <c r="C148" i="2"/>
  <c r="G148" i="2"/>
  <c r="F148" i="2"/>
  <c r="M148" i="2"/>
  <c r="D148" i="2"/>
  <c r="G168" i="8" l="1"/>
  <c r="O168" i="8"/>
  <c r="F169" i="8"/>
  <c r="K169" i="8"/>
  <c r="E169" i="8"/>
  <c r="O171" i="9"/>
  <c r="J171" i="9"/>
  <c r="D171" i="9"/>
  <c r="C171" i="9"/>
  <c r="K171" i="9"/>
  <c r="N172" i="9"/>
  <c r="A173" i="9"/>
  <c r="F172" i="9"/>
  <c r="E172" i="9"/>
  <c r="B172" i="9"/>
  <c r="L172" i="9"/>
  <c r="M172" i="9" s="1"/>
  <c r="I172" i="9"/>
  <c r="L169" i="8"/>
  <c r="C168" i="8"/>
  <c r="N168" i="8"/>
  <c r="J168" i="8"/>
  <c r="I168" i="8"/>
  <c r="D168" i="8"/>
  <c r="A170" i="8"/>
  <c r="H169" i="8"/>
  <c r="M169" i="8"/>
  <c r="B169" i="8"/>
  <c r="K149" i="5"/>
  <c r="J149" i="5"/>
  <c r="C149" i="5"/>
  <c r="M149" i="5"/>
  <c r="F149" i="5"/>
  <c r="G149" i="5"/>
  <c r="D149" i="5"/>
  <c r="A151" i="5"/>
  <c r="L151" i="5" s="1"/>
  <c r="B150" i="5"/>
  <c r="H150" i="5"/>
  <c r="I150" i="5" s="1"/>
  <c r="E150" i="5"/>
  <c r="M149" i="2"/>
  <c r="G149" i="2"/>
  <c r="F149" i="2"/>
  <c r="C149" i="2"/>
  <c r="D149" i="2"/>
  <c r="K149" i="2"/>
  <c r="J149" i="2"/>
  <c r="I149" i="2"/>
  <c r="B150" i="2"/>
  <c r="H150" i="2"/>
  <c r="I150" i="2" s="1"/>
  <c r="E150" i="2"/>
  <c r="A151" i="2"/>
  <c r="L151" i="2" s="1"/>
  <c r="G169" i="8" l="1"/>
  <c r="O169" i="8"/>
  <c r="F170" i="8"/>
  <c r="K170" i="8"/>
  <c r="E170" i="8"/>
  <c r="C172" i="9"/>
  <c r="O172" i="9"/>
  <c r="J172" i="9"/>
  <c r="K172" i="9"/>
  <c r="D172" i="9"/>
  <c r="I173" i="9"/>
  <c r="F173" i="9"/>
  <c r="A174" i="9"/>
  <c r="L173" i="9"/>
  <c r="M173" i="9" s="1"/>
  <c r="B173" i="9"/>
  <c r="N173" i="9"/>
  <c r="E173" i="9"/>
  <c r="L170" i="8"/>
  <c r="I169" i="8"/>
  <c r="D169" i="8"/>
  <c r="N169" i="8"/>
  <c r="C169" i="8"/>
  <c r="J169" i="8"/>
  <c r="B170" i="8"/>
  <c r="H170" i="8"/>
  <c r="A171" i="8"/>
  <c r="M170" i="8"/>
  <c r="K150" i="5"/>
  <c r="J150" i="5"/>
  <c r="A152" i="5"/>
  <c r="L152" i="5" s="1"/>
  <c r="H151" i="5"/>
  <c r="I151" i="5" s="1"/>
  <c r="E151" i="5"/>
  <c r="B151" i="5"/>
  <c r="C150" i="5"/>
  <c r="M150" i="5"/>
  <c r="D150" i="5"/>
  <c r="G150" i="5"/>
  <c r="F150" i="5"/>
  <c r="A152" i="2"/>
  <c r="L152" i="2" s="1"/>
  <c r="B151" i="2"/>
  <c r="H151" i="2"/>
  <c r="I151" i="2" s="1"/>
  <c r="E151" i="2"/>
  <c r="K150" i="2"/>
  <c r="J150" i="2"/>
  <c r="C150" i="2"/>
  <c r="G150" i="2"/>
  <c r="F150" i="2"/>
  <c r="D150" i="2"/>
  <c r="M150" i="2"/>
  <c r="G170" i="8" l="1"/>
  <c r="O170" i="8"/>
  <c r="F171" i="8"/>
  <c r="K171" i="8"/>
  <c r="E171" i="8"/>
  <c r="J173" i="9"/>
  <c r="D173" i="9"/>
  <c r="C173" i="9"/>
  <c r="O173" i="9"/>
  <c r="K173" i="9"/>
  <c r="N174" i="9"/>
  <c r="B174" i="9"/>
  <c r="F174" i="9"/>
  <c r="E174" i="9"/>
  <c r="A175" i="9"/>
  <c r="L174" i="9"/>
  <c r="M174" i="9" s="1"/>
  <c r="I174" i="9"/>
  <c r="L171" i="8"/>
  <c r="A172" i="8"/>
  <c r="M171" i="8"/>
  <c r="H171" i="8"/>
  <c r="B171" i="8"/>
  <c r="C170" i="8"/>
  <c r="J170" i="8"/>
  <c r="I170" i="8"/>
  <c r="D170" i="8"/>
  <c r="N170" i="8"/>
  <c r="F151" i="5"/>
  <c r="G151" i="5"/>
  <c r="D151" i="5"/>
  <c r="C151" i="5"/>
  <c r="M151" i="5"/>
  <c r="K151" i="5"/>
  <c r="J151" i="5"/>
  <c r="A153" i="5"/>
  <c r="L153" i="5" s="1"/>
  <c r="H152" i="5"/>
  <c r="E152" i="5"/>
  <c r="B152" i="5"/>
  <c r="M151" i="2"/>
  <c r="F151" i="2"/>
  <c r="G151" i="2"/>
  <c r="D151" i="2"/>
  <c r="C151" i="2"/>
  <c r="J151" i="2"/>
  <c r="K151" i="2"/>
  <c r="B152" i="2"/>
  <c r="E152" i="2"/>
  <c r="A153" i="2"/>
  <c r="L153" i="2" s="1"/>
  <c r="H152" i="2"/>
  <c r="G171" i="8" l="1"/>
  <c r="O171" i="8"/>
  <c r="F172" i="8"/>
  <c r="K172" i="8"/>
  <c r="E172" i="8"/>
  <c r="A176" i="9"/>
  <c r="E175" i="9"/>
  <c r="B175" i="9"/>
  <c r="I175" i="9"/>
  <c r="N175" i="9"/>
  <c r="L175" i="9"/>
  <c r="M175" i="9" s="1"/>
  <c r="F175" i="9"/>
  <c r="C174" i="9"/>
  <c r="O174" i="9"/>
  <c r="J174" i="9"/>
  <c r="D174" i="9"/>
  <c r="K174" i="9"/>
  <c r="L172" i="8"/>
  <c r="N171" i="8"/>
  <c r="J171" i="8"/>
  <c r="I171" i="8"/>
  <c r="D171" i="8"/>
  <c r="C171" i="8"/>
  <c r="B172" i="8"/>
  <c r="A173" i="8"/>
  <c r="H172" i="8"/>
  <c r="M172" i="8"/>
  <c r="K152" i="5"/>
  <c r="J152" i="5"/>
  <c r="A154" i="5"/>
  <c r="L154" i="5" s="1"/>
  <c r="B153" i="5"/>
  <c r="H153" i="5"/>
  <c r="E153" i="5"/>
  <c r="C152" i="5"/>
  <c r="M152" i="5"/>
  <c r="F152" i="5"/>
  <c r="G152" i="5"/>
  <c r="D152" i="5"/>
  <c r="I152" i="5"/>
  <c r="J152" i="2"/>
  <c r="K152" i="2"/>
  <c r="I152" i="2"/>
  <c r="A154" i="2"/>
  <c r="L154" i="2" s="1"/>
  <c r="H153" i="2"/>
  <c r="I153" i="2" s="1"/>
  <c r="E153" i="2"/>
  <c r="B153" i="2"/>
  <c r="C152" i="2"/>
  <c r="F152" i="2"/>
  <c r="G152" i="2"/>
  <c r="D152" i="2"/>
  <c r="M152" i="2"/>
  <c r="G172" i="8" l="1"/>
  <c r="O172" i="8"/>
  <c r="F173" i="8"/>
  <c r="K173" i="8"/>
  <c r="E173" i="8"/>
  <c r="O175" i="9"/>
  <c r="D175" i="9"/>
  <c r="C175" i="9"/>
  <c r="J175" i="9"/>
  <c r="K175" i="9"/>
  <c r="I176" i="9"/>
  <c r="A177" i="9"/>
  <c r="N176" i="9"/>
  <c r="L176" i="9"/>
  <c r="M176" i="9" s="1"/>
  <c r="B176" i="9"/>
  <c r="F176" i="9"/>
  <c r="E176" i="9"/>
  <c r="L173" i="8"/>
  <c r="A174" i="8"/>
  <c r="H173" i="8"/>
  <c r="B173" i="8"/>
  <c r="M173" i="8"/>
  <c r="C172" i="8"/>
  <c r="D172" i="8"/>
  <c r="N172" i="8"/>
  <c r="J172" i="8"/>
  <c r="I172" i="8"/>
  <c r="K153" i="5"/>
  <c r="J153" i="5"/>
  <c r="M153" i="5"/>
  <c r="D153" i="5"/>
  <c r="C153" i="5"/>
  <c r="G153" i="5"/>
  <c r="F153" i="5"/>
  <c r="E154" i="5"/>
  <c r="B154" i="5"/>
  <c r="A155" i="5"/>
  <c r="L155" i="5" s="1"/>
  <c r="H154" i="5"/>
  <c r="I153" i="5"/>
  <c r="M153" i="2"/>
  <c r="G153" i="2"/>
  <c r="F153" i="2"/>
  <c r="D153" i="2"/>
  <c r="C153" i="2"/>
  <c r="B154" i="2"/>
  <c r="A155" i="2"/>
  <c r="L155" i="2" s="1"/>
  <c r="E154" i="2"/>
  <c r="H154" i="2"/>
  <c r="I154" i="2" s="1"/>
  <c r="J153" i="2"/>
  <c r="K153" i="2"/>
  <c r="G173" i="8" l="1"/>
  <c r="O173" i="8"/>
  <c r="F174" i="8"/>
  <c r="K174" i="8"/>
  <c r="E174" i="8"/>
  <c r="C176" i="9"/>
  <c r="O176" i="9"/>
  <c r="D176" i="9"/>
  <c r="J176" i="9"/>
  <c r="K176" i="9"/>
  <c r="N177" i="9"/>
  <c r="L177" i="9"/>
  <c r="M177" i="9" s="1"/>
  <c r="I177" i="9"/>
  <c r="A178" i="9"/>
  <c r="F177" i="9"/>
  <c r="B177" i="9"/>
  <c r="E177" i="9"/>
  <c r="L174" i="8"/>
  <c r="D173" i="8"/>
  <c r="C173" i="8"/>
  <c r="J173" i="8"/>
  <c r="I173" i="8"/>
  <c r="N173" i="8"/>
  <c r="H174" i="8"/>
  <c r="B174" i="8"/>
  <c r="A175" i="8"/>
  <c r="M174" i="8"/>
  <c r="J154" i="5"/>
  <c r="K154" i="5"/>
  <c r="I154" i="5"/>
  <c r="A156" i="5"/>
  <c r="L156" i="5" s="1"/>
  <c r="E155" i="5"/>
  <c r="H155" i="5"/>
  <c r="B155" i="5"/>
  <c r="C154" i="5"/>
  <c r="F154" i="5"/>
  <c r="D154" i="5"/>
  <c r="M154" i="5"/>
  <c r="G154" i="5"/>
  <c r="K154" i="2"/>
  <c r="J154" i="2"/>
  <c r="C154" i="2"/>
  <c r="G154" i="2"/>
  <c r="D154" i="2"/>
  <c r="M154" i="2"/>
  <c r="F154" i="2"/>
  <c r="A156" i="2"/>
  <c r="L156" i="2" s="1"/>
  <c r="H155" i="2"/>
  <c r="I155" i="2" s="1"/>
  <c r="E155" i="2"/>
  <c r="B155" i="2"/>
  <c r="G174" i="8" l="1"/>
  <c r="O174" i="8"/>
  <c r="F175" i="8"/>
  <c r="K175" i="8"/>
  <c r="E175" i="8"/>
  <c r="O177" i="9"/>
  <c r="K177" i="9"/>
  <c r="J177" i="9"/>
  <c r="D177" i="9"/>
  <c r="C177" i="9"/>
  <c r="A179" i="9"/>
  <c r="L178" i="9"/>
  <c r="M178" i="9" s="1"/>
  <c r="N178" i="9"/>
  <c r="I178" i="9"/>
  <c r="F178" i="9"/>
  <c r="E178" i="9"/>
  <c r="B178" i="9"/>
  <c r="L175" i="8"/>
  <c r="C174" i="8"/>
  <c r="D174" i="8"/>
  <c r="J174" i="8"/>
  <c r="I174" i="8"/>
  <c r="N174" i="8"/>
  <c r="A176" i="8"/>
  <c r="M175" i="8"/>
  <c r="H175" i="8"/>
  <c r="B175" i="8"/>
  <c r="F155" i="5"/>
  <c r="C155" i="5"/>
  <c r="G155" i="5"/>
  <c r="M155" i="5"/>
  <c r="D155" i="5"/>
  <c r="J155" i="5"/>
  <c r="K155" i="5"/>
  <c r="I155" i="5"/>
  <c r="A157" i="5"/>
  <c r="L157" i="5" s="1"/>
  <c r="H156" i="5"/>
  <c r="I156" i="5" s="1"/>
  <c r="E156" i="5"/>
  <c r="B156" i="5"/>
  <c r="M155" i="2"/>
  <c r="G155" i="2"/>
  <c r="F155" i="2"/>
  <c r="D155" i="2"/>
  <c r="C155" i="2"/>
  <c r="K155" i="2"/>
  <c r="J155" i="2"/>
  <c r="B156" i="2"/>
  <c r="E156" i="2"/>
  <c r="H156" i="2"/>
  <c r="A157" i="2"/>
  <c r="L157" i="2" s="1"/>
  <c r="G175" i="8" l="1"/>
  <c r="O175" i="8"/>
  <c r="F176" i="8"/>
  <c r="K176" i="8"/>
  <c r="E176" i="8"/>
  <c r="C178" i="9"/>
  <c r="J178" i="9"/>
  <c r="O178" i="9"/>
  <c r="K178" i="9"/>
  <c r="D178" i="9"/>
  <c r="I179" i="9"/>
  <c r="E179" i="9"/>
  <c r="B179" i="9"/>
  <c r="N179" i="9"/>
  <c r="A180" i="9"/>
  <c r="L179" i="9"/>
  <c r="M179" i="9" s="1"/>
  <c r="F179" i="9"/>
  <c r="L176" i="8"/>
  <c r="N175" i="8"/>
  <c r="J175" i="8"/>
  <c r="I175" i="8"/>
  <c r="D175" i="8"/>
  <c r="C175" i="8"/>
  <c r="H176" i="8"/>
  <c r="B176" i="8"/>
  <c r="M176" i="8"/>
  <c r="A177" i="8"/>
  <c r="A158" i="5"/>
  <c r="L158" i="5" s="1"/>
  <c r="B157" i="5"/>
  <c r="H157" i="5"/>
  <c r="E157" i="5"/>
  <c r="C156" i="5"/>
  <c r="F156" i="5"/>
  <c r="M156" i="5"/>
  <c r="G156" i="5"/>
  <c r="D156" i="5"/>
  <c r="K156" i="5"/>
  <c r="J156" i="5"/>
  <c r="K156" i="2"/>
  <c r="J156" i="2"/>
  <c r="A158" i="2"/>
  <c r="L158" i="2" s="1"/>
  <c r="H157" i="2"/>
  <c r="I157" i="2" s="1"/>
  <c r="E157" i="2"/>
  <c r="B157" i="2"/>
  <c r="I156" i="2"/>
  <c r="C156" i="2"/>
  <c r="G156" i="2"/>
  <c r="D156" i="2"/>
  <c r="M156" i="2"/>
  <c r="F156" i="2"/>
  <c r="G176" i="8" l="1"/>
  <c r="O176" i="8"/>
  <c r="F177" i="8"/>
  <c r="K177" i="8"/>
  <c r="E177" i="8"/>
  <c r="A181" i="9"/>
  <c r="N180" i="9"/>
  <c r="L180" i="9"/>
  <c r="M180" i="9" s="1"/>
  <c r="I180" i="9"/>
  <c r="B180" i="9"/>
  <c r="E180" i="9"/>
  <c r="F180" i="9"/>
  <c r="D179" i="9"/>
  <c r="C179" i="9"/>
  <c r="O179" i="9"/>
  <c r="K179" i="9"/>
  <c r="J179" i="9"/>
  <c r="L177" i="8"/>
  <c r="A178" i="8"/>
  <c r="M177" i="8"/>
  <c r="H177" i="8"/>
  <c r="B177" i="8"/>
  <c r="C176" i="8"/>
  <c r="I176" i="8"/>
  <c r="D176" i="8"/>
  <c r="N176" i="8"/>
  <c r="J176" i="8"/>
  <c r="J157" i="5"/>
  <c r="K157" i="5"/>
  <c r="I157" i="5"/>
  <c r="G157" i="5"/>
  <c r="M157" i="5"/>
  <c r="F157" i="5"/>
  <c r="D157" i="5"/>
  <c r="C157" i="5"/>
  <c r="H158" i="5"/>
  <c r="A159" i="5"/>
  <c r="L159" i="5" s="1"/>
  <c r="E158" i="5"/>
  <c r="B158" i="5"/>
  <c r="M157" i="2"/>
  <c r="D157" i="2"/>
  <c r="G157" i="2"/>
  <c r="C157" i="2"/>
  <c r="F157" i="2"/>
  <c r="K157" i="2"/>
  <c r="J157" i="2"/>
  <c r="B158" i="2"/>
  <c r="A159" i="2"/>
  <c r="L159" i="2" s="1"/>
  <c r="H158" i="2"/>
  <c r="I158" i="2" s="1"/>
  <c r="E158" i="2"/>
  <c r="G177" i="8" l="1"/>
  <c r="O177" i="8"/>
  <c r="F178" i="8"/>
  <c r="K178" i="8"/>
  <c r="E178" i="8"/>
  <c r="C180" i="9"/>
  <c r="J180" i="9"/>
  <c r="O180" i="9"/>
  <c r="K180" i="9"/>
  <c r="D180" i="9"/>
  <c r="B181" i="9"/>
  <c r="L181" i="9"/>
  <c r="M181" i="9" s="1"/>
  <c r="I181" i="9"/>
  <c r="E181" i="9"/>
  <c r="A182" i="9"/>
  <c r="N181" i="9"/>
  <c r="F181" i="9"/>
  <c r="L178" i="8"/>
  <c r="N177" i="8"/>
  <c r="J177" i="8"/>
  <c r="I177" i="8"/>
  <c r="D177" i="8"/>
  <c r="C177" i="8"/>
  <c r="H178" i="8"/>
  <c r="B178" i="8"/>
  <c r="M178" i="8"/>
  <c r="A179" i="8"/>
  <c r="C158" i="5"/>
  <c r="M158" i="5"/>
  <c r="D158" i="5"/>
  <c r="G158" i="5"/>
  <c r="F158" i="5"/>
  <c r="A160" i="5"/>
  <c r="L160" i="5" s="1"/>
  <c r="H159" i="5"/>
  <c r="I159" i="5" s="1"/>
  <c r="E159" i="5"/>
  <c r="B159" i="5"/>
  <c r="K158" i="5"/>
  <c r="J158" i="5"/>
  <c r="I158" i="5"/>
  <c r="K158" i="2"/>
  <c r="J158" i="2"/>
  <c r="A160" i="2"/>
  <c r="L160" i="2" s="1"/>
  <c r="E159" i="2"/>
  <c r="H159" i="2"/>
  <c r="B159" i="2"/>
  <c r="C158" i="2"/>
  <c r="M158" i="2"/>
  <c r="G158" i="2"/>
  <c r="F158" i="2"/>
  <c r="D158" i="2"/>
  <c r="G178" i="8" l="1"/>
  <c r="O178" i="8"/>
  <c r="F179" i="8"/>
  <c r="K179" i="8"/>
  <c r="E179" i="8"/>
  <c r="A183" i="9"/>
  <c r="L182" i="9"/>
  <c r="M182" i="9" s="1"/>
  <c r="I182" i="9"/>
  <c r="E182" i="9"/>
  <c r="N182" i="9"/>
  <c r="F182" i="9"/>
  <c r="B182" i="9"/>
  <c r="O181" i="9"/>
  <c r="K181" i="9"/>
  <c r="J181" i="9"/>
  <c r="D181" i="9"/>
  <c r="C181" i="9"/>
  <c r="L179" i="8"/>
  <c r="B179" i="8"/>
  <c r="H179" i="8"/>
  <c r="A180" i="8"/>
  <c r="M179" i="8"/>
  <c r="C178" i="8"/>
  <c r="J178" i="8"/>
  <c r="I178" i="8"/>
  <c r="D178" i="8"/>
  <c r="N178" i="8"/>
  <c r="D159" i="5"/>
  <c r="C159" i="5"/>
  <c r="M159" i="5"/>
  <c r="G159" i="5"/>
  <c r="F159" i="5"/>
  <c r="H160" i="5"/>
  <c r="A161" i="5"/>
  <c r="L161" i="5" s="1"/>
  <c r="E160" i="5"/>
  <c r="B160" i="5"/>
  <c r="K159" i="5"/>
  <c r="J159" i="5"/>
  <c r="M159" i="2"/>
  <c r="D159" i="2"/>
  <c r="F159" i="2"/>
  <c r="G159" i="2"/>
  <c r="C159" i="2"/>
  <c r="K159" i="2"/>
  <c r="J159" i="2"/>
  <c r="I159" i="2"/>
  <c r="B160" i="2"/>
  <c r="H160" i="2"/>
  <c r="I160" i="2" s="1"/>
  <c r="E160" i="2"/>
  <c r="A161" i="2"/>
  <c r="L161" i="2" s="1"/>
  <c r="G179" i="8" l="1"/>
  <c r="O179" i="8"/>
  <c r="F180" i="8"/>
  <c r="K180" i="8"/>
  <c r="E180" i="8"/>
  <c r="C182" i="9"/>
  <c r="O182" i="9"/>
  <c r="J182" i="9"/>
  <c r="D182" i="9"/>
  <c r="K182" i="9"/>
  <c r="B183" i="9"/>
  <c r="I183" i="9"/>
  <c r="A184" i="9"/>
  <c r="N183" i="9"/>
  <c r="E183" i="9"/>
  <c r="L183" i="9"/>
  <c r="M183" i="9" s="1"/>
  <c r="F183" i="9"/>
  <c r="L180" i="8"/>
  <c r="H180" i="8"/>
  <c r="A181" i="8"/>
  <c r="B180" i="8"/>
  <c r="M180" i="8"/>
  <c r="D179" i="8"/>
  <c r="C179" i="8"/>
  <c r="J179" i="8"/>
  <c r="I179" i="8"/>
  <c r="N179" i="8"/>
  <c r="K160" i="5"/>
  <c r="J160" i="5"/>
  <c r="C160" i="5"/>
  <c r="M160" i="5"/>
  <c r="F160" i="5"/>
  <c r="D160" i="5"/>
  <c r="G160" i="5"/>
  <c r="I160" i="5"/>
  <c r="A162" i="5"/>
  <c r="L162" i="5" s="1"/>
  <c r="E161" i="5"/>
  <c r="B161" i="5"/>
  <c r="H161" i="5"/>
  <c r="I161" i="5" s="1"/>
  <c r="A162" i="2"/>
  <c r="L162" i="2" s="1"/>
  <c r="H161" i="2"/>
  <c r="I161" i="2" s="1"/>
  <c r="E161" i="2"/>
  <c r="B161" i="2"/>
  <c r="K160" i="2"/>
  <c r="J160" i="2"/>
  <c r="C160" i="2"/>
  <c r="G160" i="2"/>
  <c r="F160" i="2"/>
  <c r="D160" i="2"/>
  <c r="M160" i="2"/>
  <c r="G180" i="8" l="1"/>
  <c r="O180" i="8"/>
  <c r="F181" i="8"/>
  <c r="K181" i="8"/>
  <c r="E181" i="8"/>
  <c r="A185" i="9"/>
  <c r="E184" i="9"/>
  <c r="B184" i="9"/>
  <c r="N184" i="9"/>
  <c r="L184" i="9"/>
  <c r="M184" i="9" s="1"/>
  <c r="I184" i="9"/>
  <c r="F184" i="9"/>
  <c r="D183" i="9"/>
  <c r="O183" i="9"/>
  <c r="C183" i="9"/>
  <c r="K183" i="9"/>
  <c r="J183" i="9"/>
  <c r="L181" i="8"/>
  <c r="C180" i="8"/>
  <c r="J180" i="8"/>
  <c r="I180" i="8"/>
  <c r="D180" i="8"/>
  <c r="N180" i="8"/>
  <c r="H181" i="8"/>
  <c r="B181" i="8"/>
  <c r="A182" i="8"/>
  <c r="M181" i="8"/>
  <c r="K161" i="5"/>
  <c r="J161" i="5"/>
  <c r="B162" i="5"/>
  <c r="H162" i="5"/>
  <c r="E162" i="5"/>
  <c r="A163" i="5"/>
  <c r="L163" i="5" s="1"/>
  <c r="F161" i="5"/>
  <c r="D161" i="5"/>
  <c r="M161" i="5"/>
  <c r="G161" i="5"/>
  <c r="C161" i="5"/>
  <c r="M161" i="2"/>
  <c r="F161" i="2"/>
  <c r="D161" i="2"/>
  <c r="C161" i="2"/>
  <c r="G161" i="2"/>
  <c r="J161" i="2"/>
  <c r="K161" i="2"/>
  <c r="B162" i="2"/>
  <c r="E162" i="2"/>
  <c r="A163" i="2"/>
  <c r="L163" i="2" s="1"/>
  <c r="H162" i="2"/>
  <c r="G181" i="8" l="1"/>
  <c r="O181" i="8"/>
  <c r="F182" i="8"/>
  <c r="K182" i="8"/>
  <c r="E182" i="8"/>
  <c r="C184" i="9"/>
  <c r="J184" i="9"/>
  <c r="O184" i="9"/>
  <c r="K184" i="9"/>
  <c r="D184" i="9"/>
  <c r="B185" i="9"/>
  <c r="N185" i="9"/>
  <c r="A186" i="9"/>
  <c r="L185" i="9"/>
  <c r="M185" i="9" s="1"/>
  <c r="I185" i="9"/>
  <c r="F185" i="9"/>
  <c r="E185" i="9"/>
  <c r="L182" i="8"/>
  <c r="D181" i="8"/>
  <c r="C181" i="8"/>
  <c r="N181" i="8"/>
  <c r="J181" i="8"/>
  <c r="I181" i="8"/>
  <c r="H182" i="8"/>
  <c r="M182" i="8"/>
  <c r="B182" i="8"/>
  <c r="A183" i="8"/>
  <c r="K162" i="5"/>
  <c r="J162" i="5"/>
  <c r="C162" i="5"/>
  <c r="D162" i="5"/>
  <c r="G162" i="5"/>
  <c r="F162" i="5"/>
  <c r="M162" i="5"/>
  <c r="I162" i="5"/>
  <c r="A164" i="5"/>
  <c r="L164" i="5" s="1"/>
  <c r="H163" i="5"/>
  <c r="I163" i="5" s="1"/>
  <c r="E163" i="5"/>
  <c r="B163" i="5"/>
  <c r="K162" i="2"/>
  <c r="J162" i="2"/>
  <c r="A164" i="2"/>
  <c r="L164" i="2" s="1"/>
  <c r="H163" i="2"/>
  <c r="I163" i="2" s="1"/>
  <c r="E163" i="2"/>
  <c r="B163" i="2"/>
  <c r="I162" i="2"/>
  <c r="C162" i="2"/>
  <c r="M162" i="2"/>
  <c r="F162" i="2"/>
  <c r="D162" i="2"/>
  <c r="G162" i="2"/>
  <c r="G182" i="8" l="1"/>
  <c r="O182" i="8"/>
  <c r="F183" i="8"/>
  <c r="K183" i="8"/>
  <c r="E183" i="8"/>
  <c r="N186" i="9"/>
  <c r="L186" i="9"/>
  <c r="M186" i="9" s="1"/>
  <c r="E186" i="9"/>
  <c r="F186" i="9"/>
  <c r="B186" i="9"/>
  <c r="A187" i="9"/>
  <c r="I186" i="9"/>
  <c r="C185" i="9"/>
  <c r="K185" i="9"/>
  <c r="D185" i="9"/>
  <c r="O185" i="9"/>
  <c r="J185" i="9"/>
  <c r="L183" i="8"/>
  <c r="C182" i="8"/>
  <c r="J182" i="8"/>
  <c r="I182" i="8"/>
  <c r="N182" i="8"/>
  <c r="D182" i="8"/>
  <c r="A184" i="8"/>
  <c r="M183" i="8"/>
  <c r="H183" i="8"/>
  <c r="B183" i="8"/>
  <c r="G163" i="5"/>
  <c r="M163" i="5"/>
  <c r="F163" i="5"/>
  <c r="D163" i="5"/>
  <c r="C163" i="5"/>
  <c r="J163" i="5"/>
  <c r="K163" i="5"/>
  <c r="H164" i="5"/>
  <c r="I164" i="5" s="1"/>
  <c r="E164" i="5"/>
  <c r="A165" i="5"/>
  <c r="L165" i="5" s="1"/>
  <c r="B164" i="5"/>
  <c r="M163" i="2"/>
  <c r="G163" i="2"/>
  <c r="F163" i="2"/>
  <c r="D163" i="2"/>
  <c r="C163" i="2"/>
  <c r="K163" i="2"/>
  <c r="J163" i="2"/>
  <c r="B164" i="2"/>
  <c r="E164" i="2"/>
  <c r="H164" i="2"/>
  <c r="I164" i="2" s="1"/>
  <c r="A165" i="2"/>
  <c r="L165" i="2" s="1"/>
  <c r="G183" i="8" l="1"/>
  <c r="O183" i="8"/>
  <c r="F184" i="8"/>
  <c r="K184" i="8"/>
  <c r="E184" i="8"/>
  <c r="B187" i="9"/>
  <c r="A188" i="9"/>
  <c r="L187" i="9"/>
  <c r="M187" i="9" s="1"/>
  <c r="I187" i="9"/>
  <c r="F187" i="9"/>
  <c r="N187" i="9"/>
  <c r="E187" i="9"/>
  <c r="C186" i="9"/>
  <c r="K186" i="9"/>
  <c r="J186" i="9"/>
  <c r="D186" i="9"/>
  <c r="O186" i="9"/>
  <c r="L184" i="8"/>
  <c r="N183" i="8"/>
  <c r="J183" i="8"/>
  <c r="I183" i="8"/>
  <c r="D183" i="8"/>
  <c r="C183" i="8"/>
  <c r="A185" i="8"/>
  <c r="M184" i="8"/>
  <c r="B184" i="8"/>
  <c r="H184" i="8"/>
  <c r="C164" i="5"/>
  <c r="G164" i="5"/>
  <c r="M164" i="5"/>
  <c r="F164" i="5"/>
  <c r="D164" i="5"/>
  <c r="A166" i="5"/>
  <c r="L166" i="5" s="1"/>
  <c r="H165" i="5"/>
  <c r="I165" i="5" s="1"/>
  <c r="B165" i="5"/>
  <c r="E165" i="5"/>
  <c r="K164" i="5"/>
  <c r="J164" i="5"/>
  <c r="C164" i="2"/>
  <c r="D164" i="2"/>
  <c r="G164" i="2"/>
  <c r="F164" i="2"/>
  <c r="M164" i="2"/>
  <c r="A166" i="2"/>
  <c r="L166" i="2" s="1"/>
  <c r="H165" i="2"/>
  <c r="B165" i="2"/>
  <c r="E165" i="2"/>
  <c r="K164" i="2"/>
  <c r="J164" i="2"/>
  <c r="G184" i="8" l="1"/>
  <c r="O184" i="8"/>
  <c r="F185" i="8"/>
  <c r="K185" i="8"/>
  <c r="E185" i="8"/>
  <c r="A189" i="9"/>
  <c r="F188" i="9"/>
  <c r="E188" i="9"/>
  <c r="B188" i="9"/>
  <c r="N188" i="9"/>
  <c r="L188" i="9"/>
  <c r="M188" i="9" s="1"/>
  <c r="I188" i="9"/>
  <c r="D187" i="9"/>
  <c r="C187" i="9"/>
  <c r="K187" i="9"/>
  <c r="J187" i="9"/>
  <c r="O187" i="9"/>
  <c r="L185" i="8"/>
  <c r="A186" i="8"/>
  <c r="M185" i="8"/>
  <c r="H185" i="8"/>
  <c r="B185" i="8"/>
  <c r="C184" i="8"/>
  <c r="J184" i="8"/>
  <c r="I184" i="8"/>
  <c r="N184" i="8"/>
  <c r="D184" i="8"/>
  <c r="M165" i="5"/>
  <c r="G165" i="5"/>
  <c r="F165" i="5"/>
  <c r="C165" i="5"/>
  <c r="D165" i="5"/>
  <c r="J165" i="5"/>
  <c r="K165" i="5"/>
  <c r="A167" i="5"/>
  <c r="L167" i="5" s="1"/>
  <c r="E166" i="5"/>
  <c r="H166" i="5"/>
  <c r="B166" i="5"/>
  <c r="M165" i="2"/>
  <c r="D165" i="2"/>
  <c r="C165" i="2"/>
  <c r="G165" i="2"/>
  <c r="F165" i="2"/>
  <c r="K165" i="2"/>
  <c r="J165" i="2"/>
  <c r="I165" i="2"/>
  <c r="B166" i="2"/>
  <c r="H166" i="2"/>
  <c r="E166" i="2"/>
  <c r="A167" i="2"/>
  <c r="L167" i="2" s="1"/>
  <c r="G185" i="8" l="1"/>
  <c r="O185" i="8"/>
  <c r="F186" i="8"/>
  <c r="K186" i="8"/>
  <c r="E186" i="8"/>
  <c r="C188" i="9"/>
  <c r="D188" i="9"/>
  <c r="O188" i="9"/>
  <c r="K188" i="9"/>
  <c r="J188" i="9"/>
  <c r="E189" i="9"/>
  <c r="I189" i="9"/>
  <c r="B189" i="9"/>
  <c r="A190" i="9"/>
  <c r="N189" i="9"/>
  <c r="L189" i="9"/>
  <c r="M189" i="9" s="1"/>
  <c r="F189" i="9"/>
  <c r="L186" i="8"/>
  <c r="N185" i="8"/>
  <c r="J185" i="8"/>
  <c r="I185" i="8"/>
  <c r="D185" i="8"/>
  <c r="C185" i="8"/>
  <c r="M186" i="8"/>
  <c r="H186" i="8"/>
  <c r="B186" i="8"/>
  <c r="A187" i="8"/>
  <c r="C166" i="5"/>
  <c r="F166" i="5"/>
  <c r="D166" i="5"/>
  <c r="G166" i="5"/>
  <c r="M166" i="5"/>
  <c r="A168" i="5"/>
  <c r="L168" i="5" s="1"/>
  <c r="H167" i="5"/>
  <c r="I167" i="5" s="1"/>
  <c r="E167" i="5"/>
  <c r="B167" i="5"/>
  <c r="K166" i="5"/>
  <c r="J166" i="5"/>
  <c r="I166" i="5"/>
  <c r="K166" i="2"/>
  <c r="J166" i="2"/>
  <c r="A168" i="2"/>
  <c r="L168" i="2" s="1"/>
  <c r="B167" i="2"/>
  <c r="H167" i="2"/>
  <c r="E167" i="2"/>
  <c r="I166" i="2"/>
  <c r="C166" i="2"/>
  <c r="M166" i="2"/>
  <c r="G166" i="2"/>
  <c r="D166" i="2"/>
  <c r="F166" i="2"/>
  <c r="G186" i="8" l="1"/>
  <c r="O186" i="8"/>
  <c r="F187" i="8"/>
  <c r="K187" i="8"/>
  <c r="E187" i="8"/>
  <c r="I190" i="9"/>
  <c r="F190" i="9"/>
  <c r="B190" i="9"/>
  <c r="A191" i="9"/>
  <c r="L190" i="9"/>
  <c r="M190" i="9" s="1"/>
  <c r="N190" i="9"/>
  <c r="E190" i="9"/>
  <c r="D189" i="9"/>
  <c r="C189" i="9"/>
  <c r="O189" i="9"/>
  <c r="K189" i="9"/>
  <c r="J189" i="9"/>
  <c r="L187" i="8"/>
  <c r="A188" i="8"/>
  <c r="M187" i="8"/>
  <c r="H187" i="8"/>
  <c r="B187" i="8"/>
  <c r="C186" i="8"/>
  <c r="J186" i="8"/>
  <c r="I186" i="8"/>
  <c r="N186" i="8"/>
  <c r="D186" i="8"/>
  <c r="G167" i="5"/>
  <c r="F167" i="5"/>
  <c r="D167" i="5"/>
  <c r="C167" i="5"/>
  <c r="M167" i="5"/>
  <c r="K167" i="5"/>
  <c r="J167" i="5"/>
  <c r="A169" i="5"/>
  <c r="L169" i="5" s="1"/>
  <c r="H168" i="5"/>
  <c r="E168" i="5"/>
  <c r="B168" i="5"/>
  <c r="K167" i="2"/>
  <c r="J167" i="2"/>
  <c r="M167" i="2"/>
  <c r="C167" i="2"/>
  <c r="G167" i="2"/>
  <c r="F167" i="2"/>
  <c r="D167" i="2"/>
  <c r="B168" i="2"/>
  <c r="A169" i="2"/>
  <c r="L169" i="2" s="1"/>
  <c r="H168" i="2"/>
  <c r="E168" i="2"/>
  <c r="I167" i="2"/>
  <c r="G187" i="8" l="1"/>
  <c r="O187" i="8"/>
  <c r="F188" i="8"/>
  <c r="K188" i="8"/>
  <c r="E188" i="8"/>
  <c r="F191" i="9"/>
  <c r="E191" i="9"/>
  <c r="B191" i="9"/>
  <c r="N191" i="9"/>
  <c r="L191" i="9"/>
  <c r="M191" i="9" s="1"/>
  <c r="I191" i="9"/>
  <c r="A192" i="9"/>
  <c r="C190" i="9"/>
  <c r="D190" i="9"/>
  <c r="K190" i="9"/>
  <c r="J190" i="9"/>
  <c r="O190" i="9"/>
  <c r="L188" i="8"/>
  <c r="N187" i="8"/>
  <c r="J187" i="8"/>
  <c r="I187" i="8"/>
  <c r="D187" i="8"/>
  <c r="C187" i="8"/>
  <c r="M188" i="8"/>
  <c r="A189" i="8"/>
  <c r="B188" i="8"/>
  <c r="H188" i="8"/>
  <c r="C168" i="5"/>
  <c r="M168" i="5"/>
  <c r="G168" i="5"/>
  <c r="F168" i="5"/>
  <c r="D168" i="5"/>
  <c r="K168" i="5"/>
  <c r="J168" i="5"/>
  <c r="I168" i="5"/>
  <c r="A170" i="5"/>
  <c r="L170" i="5" s="1"/>
  <c r="B169" i="5"/>
  <c r="E169" i="5"/>
  <c r="H169" i="5"/>
  <c r="I169" i="5" s="1"/>
  <c r="J168" i="2"/>
  <c r="K168" i="2"/>
  <c r="C168" i="2"/>
  <c r="M168" i="2"/>
  <c r="F168" i="2"/>
  <c r="G168" i="2"/>
  <c r="D168" i="2"/>
  <c r="I168" i="2"/>
  <c r="A170" i="2"/>
  <c r="L170" i="2" s="1"/>
  <c r="E169" i="2"/>
  <c r="H169" i="2"/>
  <c r="B169" i="2"/>
  <c r="G188" i="8" l="1"/>
  <c r="O188" i="8"/>
  <c r="F189" i="8"/>
  <c r="K189" i="8"/>
  <c r="E189" i="8"/>
  <c r="N192" i="9"/>
  <c r="A193" i="9"/>
  <c r="B192" i="9"/>
  <c r="I192" i="9"/>
  <c r="F192" i="9"/>
  <c r="E192" i="9"/>
  <c r="L192" i="9"/>
  <c r="M192" i="9" s="1"/>
  <c r="D191" i="9"/>
  <c r="O191" i="9"/>
  <c r="K191" i="9"/>
  <c r="J191" i="9"/>
  <c r="C191" i="9"/>
  <c r="L189" i="8"/>
  <c r="B189" i="8"/>
  <c r="H189" i="8"/>
  <c r="A190" i="8"/>
  <c r="M189" i="8"/>
  <c r="C188" i="8"/>
  <c r="N188" i="8"/>
  <c r="J188" i="8"/>
  <c r="D188" i="8"/>
  <c r="I188" i="8"/>
  <c r="M169" i="5"/>
  <c r="C169" i="5"/>
  <c r="D169" i="5"/>
  <c r="G169" i="5"/>
  <c r="F169" i="5"/>
  <c r="A171" i="5"/>
  <c r="L171" i="5" s="1"/>
  <c r="H170" i="5"/>
  <c r="I170" i="5" s="1"/>
  <c r="E170" i="5"/>
  <c r="B170" i="5"/>
  <c r="K169" i="5"/>
  <c r="J169" i="5"/>
  <c r="K169" i="2"/>
  <c r="J169" i="2"/>
  <c r="B170" i="2"/>
  <c r="E170" i="2"/>
  <c r="A171" i="2"/>
  <c r="L171" i="2" s="1"/>
  <c r="H170" i="2"/>
  <c r="I170" i="2" s="1"/>
  <c r="M169" i="2"/>
  <c r="G169" i="2"/>
  <c r="F169" i="2"/>
  <c r="D169" i="2"/>
  <c r="C169" i="2"/>
  <c r="I169" i="2"/>
  <c r="G189" i="8" l="1"/>
  <c r="O189" i="8"/>
  <c r="F190" i="8"/>
  <c r="K190" i="8"/>
  <c r="E190" i="8"/>
  <c r="C192" i="9"/>
  <c r="K192" i="9"/>
  <c r="O192" i="9"/>
  <c r="D192" i="9"/>
  <c r="J192" i="9"/>
  <c r="I193" i="9"/>
  <c r="F193" i="9"/>
  <c r="E193" i="9"/>
  <c r="A194" i="9"/>
  <c r="B193" i="9"/>
  <c r="N193" i="9"/>
  <c r="L193" i="9"/>
  <c r="M193" i="9" s="1"/>
  <c r="L190" i="8"/>
  <c r="M190" i="8"/>
  <c r="B190" i="8"/>
  <c r="A191" i="8"/>
  <c r="H190" i="8"/>
  <c r="J189" i="8"/>
  <c r="I189" i="8"/>
  <c r="D189" i="8"/>
  <c r="C189" i="8"/>
  <c r="N189" i="8"/>
  <c r="C170" i="5"/>
  <c r="G170" i="5"/>
  <c r="F170" i="5"/>
  <c r="D170" i="5"/>
  <c r="M170" i="5"/>
  <c r="A172" i="5"/>
  <c r="L172" i="5" s="1"/>
  <c r="B171" i="5"/>
  <c r="H171" i="5"/>
  <c r="I171" i="5" s="1"/>
  <c r="E171" i="5"/>
  <c r="K170" i="5"/>
  <c r="J170" i="5"/>
  <c r="J170" i="2"/>
  <c r="K170" i="2"/>
  <c r="A172" i="2"/>
  <c r="L172" i="2" s="1"/>
  <c r="B171" i="2"/>
  <c r="H171" i="2"/>
  <c r="I171" i="2" s="1"/>
  <c r="E171" i="2"/>
  <c r="C170" i="2"/>
  <c r="M170" i="2"/>
  <c r="D170" i="2"/>
  <c r="G170" i="2"/>
  <c r="F170" i="2"/>
  <c r="G190" i="8" l="1"/>
  <c r="O190" i="8"/>
  <c r="F191" i="8"/>
  <c r="K191" i="8"/>
  <c r="E191" i="8"/>
  <c r="C193" i="9"/>
  <c r="J193" i="9"/>
  <c r="D193" i="9"/>
  <c r="K193" i="9"/>
  <c r="O193" i="9"/>
  <c r="A195" i="9"/>
  <c r="F194" i="9"/>
  <c r="B194" i="9"/>
  <c r="N194" i="9"/>
  <c r="L194" i="9"/>
  <c r="M194" i="9" s="1"/>
  <c r="I194" i="9"/>
  <c r="E194" i="9"/>
  <c r="L191" i="8"/>
  <c r="C190" i="8"/>
  <c r="N190" i="8"/>
  <c r="J190" i="8"/>
  <c r="I190" i="8"/>
  <c r="D190" i="8"/>
  <c r="A192" i="8"/>
  <c r="M191" i="8"/>
  <c r="B191" i="8"/>
  <c r="H191" i="8"/>
  <c r="D171" i="5"/>
  <c r="C171" i="5"/>
  <c r="M171" i="5"/>
  <c r="F171" i="5"/>
  <c r="G171" i="5"/>
  <c r="J171" i="5"/>
  <c r="K171" i="5"/>
  <c r="A173" i="5"/>
  <c r="L173" i="5" s="1"/>
  <c r="H172" i="5"/>
  <c r="I172" i="5" s="1"/>
  <c r="B172" i="5"/>
  <c r="E172" i="5"/>
  <c r="B172" i="2"/>
  <c r="H172" i="2"/>
  <c r="I172" i="2" s="1"/>
  <c r="A173" i="2"/>
  <c r="L173" i="2" s="1"/>
  <c r="E172" i="2"/>
  <c r="M171" i="2"/>
  <c r="C171" i="2"/>
  <c r="G171" i="2"/>
  <c r="F171" i="2"/>
  <c r="D171" i="2"/>
  <c r="K171" i="2"/>
  <c r="J171" i="2"/>
  <c r="G191" i="8" l="1"/>
  <c r="O191" i="8"/>
  <c r="F192" i="8"/>
  <c r="K192" i="8"/>
  <c r="E192" i="8"/>
  <c r="C194" i="9"/>
  <c r="D194" i="9"/>
  <c r="O194" i="9"/>
  <c r="K194" i="9"/>
  <c r="J194" i="9"/>
  <c r="I195" i="9"/>
  <c r="F195" i="9"/>
  <c r="A196" i="9"/>
  <c r="N195" i="9"/>
  <c r="B195" i="9"/>
  <c r="L195" i="9"/>
  <c r="M195" i="9" s="1"/>
  <c r="E195" i="9"/>
  <c r="L192" i="8"/>
  <c r="J191" i="8"/>
  <c r="I191" i="8"/>
  <c r="N191" i="8"/>
  <c r="D191" i="8"/>
  <c r="C191" i="8"/>
  <c r="M192" i="8"/>
  <c r="B192" i="8"/>
  <c r="A193" i="8"/>
  <c r="H192" i="8"/>
  <c r="C172" i="5"/>
  <c r="M172" i="5"/>
  <c r="D172" i="5"/>
  <c r="G172" i="5"/>
  <c r="F172" i="5"/>
  <c r="K172" i="5"/>
  <c r="J172" i="5"/>
  <c r="A174" i="5"/>
  <c r="L174" i="5" s="1"/>
  <c r="H173" i="5"/>
  <c r="I173" i="5" s="1"/>
  <c r="E173" i="5"/>
  <c r="B173" i="5"/>
  <c r="A174" i="2"/>
  <c r="L174" i="2" s="1"/>
  <c r="H173" i="2"/>
  <c r="I173" i="2" s="1"/>
  <c r="E173" i="2"/>
  <c r="B173" i="2"/>
  <c r="J172" i="2"/>
  <c r="K172" i="2"/>
  <c r="C172" i="2"/>
  <c r="G172" i="2"/>
  <c r="D172" i="2"/>
  <c r="M172" i="2"/>
  <c r="F172" i="2"/>
  <c r="G192" i="8" l="1"/>
  <c r="O192" i="8"/>
  <c r="F193" i="8"/>
  <c r="K193" i="8"/>
  <c r="L193" i="8" s="1"/>
  <c r="E193" i="8"/>
  <c r="J195" i="9"/>
  <c r="D195" i="9"/>
  <c r="O195" i="9"/>
  <c r="C195" i="9"/>
  <c r="K195" i="9"/>
  <c r="L196" i="9"/>
  <c r="M196" i="9" s="1"/>
  <c r="B196" i="9"/>
  <c r="I196" i="9"/>
  <c r="A197" i="9"/>
  <c r="N196" i="9"/>
  <c r="F196" i="9"/>
  <c r="E196" i="9"/>
  <c r="C192" i="8"/>
  <c r="N192" i="8"/>
  <c r="J192" i="8"/>
  <c r="I192" i="8"/>
  <c r="D192" i="8"/>
  <c r="M193" i="8"/>
  <c r="H193" i="8"/>
  <c r="B193" i="8"/>
  <c r="A194" i="8"/>
  <c r="G173" i="5"/>
  <c r="F173" i="5"/>
  <c r="M173" i="5"/>
  <c r="D173" i="5"/>
  <c r="C173" i="5"/>
  <c r="B174" i="5"/>
  <c r="E174" i="5"/>
  <c r="H174" i="5"/>
  <c r="A175" i="5"/>
  <c r="L175" i="5" s="1"/>
  <c r="K173" i="5"/>
  <c r="J173" i="5"/>
  <c r="M173" i="2"/>
  <c r="G173" i="2"/>
  <c r="D173" i="2"/>
  <c r="F173" i="2"/>
  <c r="C173" i="2"/>
  <c r="K173" i="2"/>
  <c r="J173" i="2"/>
  <c r="B174" i="2"/>
  <c r="H174" i="2"/>
  <c r="A175" i="2"/>
  <c r="L175" i="2" s="1"/>
  <c r="E174" i="2"/>
  <c r="G193" i="8" l="1"/>
  <c r="O193" i="8"/>
  <c r="F194" i="8"/>
  <c r="K194" i="8"/>
  <c r="E194" i="8"/>
  <c r="I197" i="9"/>
  <c r="E197" i="9"/>
  <c r="L197" i="9"/>
  <c r="M197" i="9" s="1"/>
  <c r="A198" i="9"/>
  <c r="F197" i="9"/>
  <c r="B197" i="9"/>
  <c r="N197" i="9"/>
  <c r="C196" i="9"/>
  <c r="O196" i="9"/>
  <c r="K196" i="9"/>
  <c r="D196" i="9"/>
  <c r="J196" i="9"/>
  <c r="L194" i="8"/>
  <c r="M194" i="8"/>
  <c r="A195" i="8"/>
  <c r="H194" i="8"/>
  <c r="B194" i="8"/>
  <c r="N193" i="8"/>
  <c r="J193" i="8"/>
  <c r="I193" i="8"/>
  <c r="C193" i="8"/>
  <c r="D193" i="8"/>
  <c r="K174" i="5"/>
  <c r="J174" i="5"/>
  <c r="A176" i="5"/>
  <c r="L176" i="5" s="1"/>
  <c r="H175" i="5"/>
  <c r="E175" i="5"/>
  <c r="B175" i="5"/>
  <c r="C174" i="5"/>
  <c r="D174" i="5"/>
  <c r="G174" i="5"/>
  <c r="F174" i="5"/>
  <c r="M174" i="5"/>
  <c r="I174" i="5"/>
  <c r="K174" i="2"/>
  <c r="J174" i="2"/>
  <c r="A176" i="2"/>
  <c r="L176" i="2" s="1"/>
  <c r="E175" i="2"/>
  <c r="B175" i="2"/>
  <c r="H175" i="2"/>
  <c r="I174" i="2"/>
  <c r="C174" i="2"/>
  <c r="D174" i="2"/>
  <c r="M174" i="2"/>
  <c r="G174" i="2"/>
  <c r="F174" i="2"/>
  <c r="G194" i="8" l="1"/>
  <c r="O194" i="8"/>
  <c r="F195" i="8"/>
  <c r="K195" i="8"/>
  <c r="E195" i="8"/>
  <c r="K197" i="9"/>
  <c r="J197" i="9"/>
  <c r="C197" i="9"/>
  <c r="O197" i="9"/>
  <c r="D197" i="9"/>
  <c r="A199" i="9"/>
  <c r="N198" i="9"/>
  <c r="L198" i="9"/>
  <c r="M198" i="9" s="1"/>
  <c r="I198" i="9"/>
  <c r="F198" i="9"/>
  <c r="E198" i="9"/>
  <c r="B198" i="9"/>
  <c r="L195" i="8"/>
  <c r="C194" i="8"/>
  <c r="N194" i="8"/>
  <c r="J194" i="8"/>
  <c r="I194" i="8"/>
  <c r="D194" i="8"/>
  <c r="A196" i="8"/>
  <c r="M195" i="8"/>
  <c r="H195" i="8"/>
  <c r="B195" i="8"/>
  <c r="K175" i="5"/>
  <c r="J175" i="5"/>
  <c r="E176" i="5"/>
  <c r="H176" i="5"/>
  <c r="I176" i="5" s="1"/>
  <c r="A177" i="5"/>
  <c r="L177" i="5" s="1"/>
  <c r="B176" i="5"/>
  <c r="M175" i="5"/>
  <c r="G175" i="5"/>
  <c r="F175" i="5"/>
  <c r="D175" i="5"/>
  <c r="C175" i="5"/>
  <c r="I175" i="5"/>
  <c r="K175" i="2"/>
  <c r="J175" i="2"/>
  <c r="M175" i="2"/>
  <c r="C175" i="2"/>
  <c r="F175" i="2"/>
  <c r="D175" i="2"/>
  <c r="G175" i="2"/>
  <c r="I175" i="2"/>
  <c r="B176" i="2"/>
  <c r="A177" i="2"/>
  <c r="L177" i="2" s="1"/>
  <c r="E176" i="2"/>
  <c r="H176" i="2"/>
  <c r="I176" i="2" s="1"/>
  <c r="G195" i="8" l="1"/>
  <c r="O195" i="8"/>
  <c r="F196" i="8"/>
  <c r="K196" i="8"/>
  <c r="E196" i="8"/>
  <c r="C198" i="9"/>
  <c r="O198" i="9"/>
  <c r="D198" i="9"/>
  <c r="K198" i="9"/>
  <c r="J198" i="9"/>
  <c r="L199" i="9"/>
  <c r="M199" i="9" s="1"/>
  <c r="F199" i="9"/>
  <c r="N199" i="9"/>
  <c r="B199" i="9"/>
  <c r="A200" i="9"/>
  <c r="I199" i="9"/>
  <c r="E199" i="9"/>
  <c r="L196" i="8"/>
  <c r="N195" i="8"/>
  <c r="J195" i="8"/>
  <c r="I195" i="8"/>
  <c r="D195" i="8"/>
  <c r="C195" i="8"/>
  <c r="B196" i="8"/>
  <c r="A197" i="8"/>
  <c r="H196" i="8"/>
  <c r="M196" i="8"/>
  <c r="C176" i="5"/>
  <c r="F176" i="5"/>
  <c r="M176" i="5"/>
  <c r="G176" i="5"/>
  <c r="D176" i="5"/>
  <c r="A178" i="5"/>
  <c r="L178" i="5" s="1"/>
  <c r="E177" i="5"/>
  <c r="B177" i="5"/>
  <c r="H177" i="5"/>
  <c r="I177" i="5" s="1"/>
  <c r="K176" i="5"/>
  <c r="J176" i="5"/>
  <c r="A178" i="2"/>
  <c r="L178" i="2" s="1"/>
  <c r="H177" i="2"/>
  <c r="I177" i="2" s="1"/>
  <c r="B177" i="2"/>
  <c r="E177" i="2"/>
  <c r="C176" i="2"/>
  <c r="F176" i="2"/>
  <c r="D176" i="2"/>
  <c r="M176" i="2"/>
  <c r="G176" i="2"/>
  <c r="K176" i="2"/>
  <c r="J176" i="2"/>
  <c r="G196" i="8" l="1"/>
  <c r="O196" i="8"/>
  <c r="F197" i="8"/>
  <c r="K197" i="8"/>
  <c r="E197" i="8"/>
  <c r="A201" i="9"/>
  <c r="I200" i="9"/>
  <c r="F200" i="9"/>
  <c r="L200" i="9"/>
  <c r="M200" i="9" s="1"/>
  <c r="E200" i="9"/>
  <c r="N200" i="9"/>
  <c r="B200" i="9"/>
  <c r="K199" i="9"/>
  <c r="J199" i="9"/>
  <c r="D199" i="9"/>
  <c r="C199" i="9"/>
  <c r="O199" i="9"/>
  <c r="L197" i="8"/>
  <c r="C196" i="8"/>
  <c r="N196" i="8"/>
  <c r="I196" i="8"/>
  <c r="D196" i="8"/>
  <c r="J196" i="8"/>
  <c r="H197" i="8"/>
  <c r="M197" i="8"/>
  <c r="B197" i="8"/>
  <c r="A198" i="8"/>
  <c r="J177" i="5"/>
  <c r="K177" i="5"/>
  <c r="H178" i="5"/>
  <c r="I178" i="5" s="1"/>
  <c r="E178" i="5"/>
  <c r="B178" i="5"/>
  <c r="A179" i="5"/>
  <c r="L179" i="5" s="1"/>
  <c r="M177" i="5"/>
  <c r="D177" i="5"/>
  <c r="G177" i="5"/>
  <c r="F177" i="5"/>
  <c r="C177" i="5"/>
  <c r="K177" i="2"/>
  <c r="J177" i="2"/>
  <c r="M177" i="2"/>
  <c r="G177" i="2"/>
  <c r="D177" i="2"/>
  <c r="C177" i="2"/>
  <c r="F177" i="2"/>
  <c r="B178" i="2"/>
  <c r="A179" i="2"/>
  <c r="L179" i="2" s="1"/>
  <c r="H178" i="2"/>
  <c r="I178" i="2" s="1"/>
  <c r="E178" i="2"/>
  <c r="G197" i="8" l="1"/>
  <c r="O197" i="8"/>
  <c r="F198" i="8"/>
  <c r="K198" i="8"/>
  <c r="E198" i="8"/>
  <c r="C200" i="9"/>
  <c r="D200" i="9"/>
  <c r="K200" i="9"/>
  <c r="O200" i="9"/>
  <c r="J200" i="9"/>
  <c r="L201" i="9"/>
  <c r="M201" i="9" s="1"/>
  <c r="I201" i="9"/>
  <c r="A202" i="9"/>
  <c r="N201" i="9"/>
  <c r="F201" i="9"/>
  <c r="E201" i="9"/>
  <c r="B201" i="9"/>
  <c r="L198" i="8"/>
  <c r="J197" i="8"/>
  <c r="I197" i="8"/>
  <c r="D197" i="8"/>
  <c r="C197" i="8"/>
  <c r="N197" i="8"/>
  <c r="B198" i="8"/>
  <c r="A199" i="8"/>
  <c r="M198" i="8"/>
  <c r="H198" i="8"/>
  <c r="A180" i="5"/>
  <c r="L180" i="5" s="1"/>
  <c r="E179" i="5"/>
  <c r="H179" i="5"/>
  <c r="B179" i="5"/>
  <c r="C178" i="5"/>
  <c r="G178" i="5"/>
  <c r="M178" i="5"/>
  <c r="F178" i="5"/>
  <c r="D178" i="5"/>
  <c r="K178" i="5"/>
  <c r="J178" i="5"/>
  <c r="C178" i="2"/>
  <c r="G178" i="2"/>
  <c r="F178" i="2"/>
  <c r="D178" i="2"/>
  <c r="M178" i="2"/>
  <c r="J178" i="2"/>
  <c r="K178" i="2"/>
  <c r="A180" i="2"/>
  <c r="L180" i="2" s="1"/>
  <c r="H179" i="2"/>
  <c r="E179" i="2"/>
  <c r="B179" i="2"/>
  <c r="G198" i="8" l="1"/>
  <c r="O198" i="8"/>
  <c r="F199" i="8"/>
  <c r="K199" i="8"/>
  <c r="E199" i="8"/>
  <c r="K201" i="9"/>
  <c r="O201" i="9"/>
  <c r="J201" i="9"/>
  <c r="D201" i="9"/>
  <c r="C201" i="9"/>
  <c r="E202" i="9"/>
  <c r="B202" i="9"/>
  <c r="I202" i="9"/>
  <c r="F202" i="9"/>
  <c r="A203" i="9"/>
  <c r="N202" i="9"/>
  <c r="L202" i="9"/>
  <c r="M202" i="9" s="1"/>
  <c r="L199" i="8"/>
  <c r="C198" i="8"/>
  <c r="N198" i="8"/>
  <c r="J198" i="8"/>
  <c r="I198" i="8"/>
  <c r="D198" i="8"/>
  <c r="B199" i="8"/>
  <c r="A200" i="8"/>
  <c r="M199" i="8"/>
  <c r="H199" i="8"/>
  <c r="K179" i="5"/>
  <c r="J179" i="5"/>
  <c r="M179" i="5"/>
  <c r="G179" i="5"/>
  <c r="F179" i="5"/>
  <c r="D179" i="5"/>
  <c r="C179" i="5"/>
  <c r="I179" i="5"/>
  <c r="E180" i="5"/>
  <c r="B180" i="5"/>
  <c r="A181" i="5"/>
  <c r="L181" i="5" s="1"/>
  <c r="H180" i="5"/>
  <c r="I180" i="5" s="1"/>
  <c r="M179" i="2"/>
  <c r="D179" i="2"/>
  <c r="C179" i="2"/>
  <c r="G179" i="2"/>
  <c r="F179" i="2"/>
  <c r="K179" i="2"/>
  <c r="J179" i="2"/>
  <c r="I179" i="2"/>
  <c r="B180" i="2"/>
  <c r="H180" i="2"/>
  <c r="E180" i="2"/>
  <c r="A181" i="2"/>
  <c r="L181" i="2" s="1"/>
  <c r="G199" i="8" l="1"/>
  <c r="O199" i="8"/>
  <c r="F200" i="8"/>
  <c r="K200" i="8"/>
  <c r="E200" i="8"/>
  <c r="N203" i="9"/>
  <c r="L203" i="9"/>
  <c r="M203" i="9" s="1"/>
  <c r="I203" i="9"/>
  <c r="E203" i="9"/>
  <c r="F203" i="9"/>
  <c r="B203" i="9"/>
  <c r="A204" i="9"/>
  <c r="C202" i="9"/>
  <c r="D202" i="9"/>
  <c r="K202" i="9"/>
  <c r="J202" i="9"/>
  <c r="O202" i="9"/>
  <c r="L200" i="8"/>
  <c r="D199" i="8"/>
  <c r="C199" i="8"/>
  <c r="N199" i="8"/>
  <c r="I199" i="8"/>
  <c r="J199" i="8"/>
  <c r="B200" i="8"/>
  <c r="A201" i="8"/>
  <c r="H200" i="8"/>
  <c r="M200" i="8"/>
  <c r="C180" i="5"/>
  <c r="F180" i="5"/>
  <c r="D180" i="5"/>
  <c r="M180" i="5"/>
  <c r="G180" i="5"/>
  <c r="J180" i="5"/>
  <c r="K180" i="5"/>
  <c r="A182" i="5"/>
  <c r="L182" i="5" s="1"/>
  <c r="H181" i="5"/>
  <c r="I181" i="5" s="1"/>
  <c r="E181" i="5"/>
  <c r="B181" i="5"/>
  <c r="A182" i="2"/>
  <c r="L182" i="2" s="1"/>
  <c r="H181" i="2"/>
  <c r="E181" i="2"/>
  <c r="B181" i="2"/>
  <c r="K180" i="2"/>
  <c r="J180" i="2"/>
  <c r="C180" i="2"/>
  <c r="D180" i="2"/>
  <c r="G180" i="2"/>
  <c r="F180" i="2"/>
  <c r="M180" i="2"/>
  <c r="I180" i="2"/>
  <c r="G200" i="8" l="1"/>
  <c r="O200" i="8"/>
  <c r="F201" i="8"/>
  <c r="K201" i="8"/>
  <c r="E201" i="8"/>
  <c r="L204" i="9"/>
  <c r="M204" i="9" s="1"/>
  <c r="I204" i="9"/>
  <c r="E204" i="9"/>
  <c r="B204" i="9"/>
  <c r="N204" i="9"/>
  <c r="F204" i="9"/>
  <c r="J203" i="9"/>
  <c r="K203" i="9"/>
  <c r="D203" i="9"/>
  <c r="C203" i="9"/>
  <c r="O203" i="9"/>
  <c r="L201" i="8"/>
  <c r="C200" i="8"/>
  <c r="J200" i="8"/>
  <c r="I200" i="8"/>
  <c r="D200" i="8"/>
  <c r="N200" i="8"/>
  <c r="H201" i="8"/>
  <c r="M201" i="8"/>
  <c r="B201" i="8"/>
  <c r="A202" i="8"/>
  <c r="M181" i="5"/>
  <c r="G181" i="5"/>
  <c r="F181" i="5"/>
  <c r="D181" i="5"/>
  <c r="C181" i="5"/>
  <c r="K181" i="5"/>
  <c r="J181" i="5"/>
  <c r="H182" i="5"/>
  <c r="I182" i="5" s="1"/>
  <c r="A183" i="5"/>
  <c r="L183" i="5" s="1"/>
  <c r="E182" i="5"/>
  <c r="B182" i="5"/>
  <c r="K181" i="2"/>
  <c r="J181" i="2"/>
  <c r="M181" i="2"/>
  <c r="G181" i="2"/>
  <c r="F181" i="2"/>
  <c r="D181" i="2"/>
  <c r="C181" i="2"/>
  <c r="I181" i="2"/>
  <c r="B182" i="2"/>
  <c r="A183" i="2"/>
  <c r="L183" i="2" s="1"/>
  <c r="H182" i="2"/>
  <c r="E182" i="2"/>
  <c r="G201" i="8" l="1"/>
  <c r="O201" i="8"/>
  <c r="F202" i="8"/>
  <c r="K202" i="8"/>
  <c r="L202" i="8" s="1"/>
  <c r="E202" i="8"/>
  <c r="C204" i="9"/>
  <c r="J204" i="9"/>
  <c r="D204" i="9"/>
  <c r="O204" i="9"/>
  <c r="K204" i="9"/>
  <c r="J201" i="8"/>
  <c r="I201" i="8"/>
  <c r="D201" i="8"/>
  <c r="C201" i="8"/>
  <c r="N201" i="8"/>
  <c r="B202" i="8"/>
  <c r="A203" i="8"/>
  <c r="H202" i="8"/>
  <c r="M202" i="8"/>
  <c r="A184" i="5"/>
  <c r="L184" i="5" s="1"/>
  <c r="H183" i="5"/>
  <c r="B183" i="5"/>
  <c r="E183" i="5"/>
  <c r="C182" i="5"/>
  <c r="G182" i="5"/>
  <c r="M182" i="5"/>
  <c r="F182" i="5"/>
  <c r="D182" i="5"/>
  <c r="K182" i="5"/>
  <c r="J182" i="5"/>
  <c r="K182" i="2"/>
  <c r="J182" i="2"/>
  <c r="A184" i="2"/>
  <c r="L184" i="2" s="1"/>
  <c r="B183" i="2"/>
  <c r="H183" i="2"/>
  <c r="I183" i="2" s="1"/>
  <c r="E183" i="2"/>
  <c r="C182" i="2"/>
  <c r="M182" i="2"/>
  <c r="G182" i="2"/>
  <c r="F182" i="2"/>
  <c r="D182" i="2"/>
  <c r="I182" i="2"/>
  <c r="G202" i="8" l="1"/>
  <c r="O202" i="8"/>
  <c r="F203" i="8"/>
  <c r="K203" i="8"/>
  <c r="L203" i="8" s="1"/>
  <c r="E203" i="8"/>
  <c r="M203" i="8"/>
  <c r="H203" i="8"/>
  <c r="B203" i="8"/>
  <c r="A204" i="8"/>
  <c r="C202" i="8"/>
  <c r="D202" i="8"/>
  <c r="N202" i="8"/>
  <c r="J202" i="8"/>
  <c r="I202" i="8"/>
  <c r="K183" i="5"/>
  <c r="J183" i="5"/>
  <c r="M183" i="5"/>
  <c r="G183" i="5"/>
  <c r="F183" i="5"/>
  <c r="D183" i="5"/>
  <c r="C183" i="5"/>
  <c r="I183" i="5"/>
  <c r="E184" i="5"/>
  <c r="B184" i="5"/>
  <c r="H184" i="5"/>
  <c r="I184" i="5" s="1"/>
  <c r="A185" i="5"/>
  <c r="L185" i="5" s="1"/>
  <c r="K183" i="2"/>
  <c r="J183" i="2"/>
  <c r="M183" i="2"/>
  <c r="C183" i="2"/>
  <c r="G183" i="2"/>
  <c r="F183" i="2"/>
  <c r="D183" i="2"/>
  <c r="B184" i="2"/>
  <c r="A185" i="2"/>
  <c r="L185" i="2" s="1"/>
  <c r="E184" i="2"/>
  <c r="H184" i="2"/>
  <c r="I184" i="2" s="1"/>
  <c r="G203" i="8" l="1"/>
  <c r="O203" i="8"/>
  <c r="F204" i="8"/>
  <c r="K204" i="8"/>
  <c r="L204" i="8" s="1"/>
  <c r="E204" i="8"/>
  <c r="B204" i="8"/>
  <c r="M204" i="8"/>
  <c r="H204" i="8"/>
  <c r="J203" i="8"/>
  <c r="I203" i="8"/>
  <c r="D203" i="8"/>
  <c r="C203" i="8"/>
  <c r="N203" i="8"/>
  <c r="A186" i="5"/>
  <c r="L186" i="5" s="1"/>
  <c r="H185" i="5"/>
  <c r="I185" i="5" s="1"/>
  <c r="E185" i="5"/>
  <c r="B185" i="5"/>
  <c r="C184" i="5"/>
  <c r="M184" i="5"/>
  <c r="G184" i="5"/>
  <c r="D184" i="5"/>
  <c r="F184" i="5"/>
  <c r="K184" i="5"/>
  <c r="J184" i="5"/>
  <c r="K184" i="2"/>
  <c r="J184" i="2"/>
  <c r="A186" i="2"/>
  <c r="L186" i="2" s="1"/>
  <c r="E185" i="2"/>
  <c r="B185" i="2"/>
  <c r="H185" i="2"/>
  <c r="I185" i="2" s="1"/>
  <c r="C184" i="2"/>
  <c r="M184" i="2"/>
  <c r="G184" i="2"/>
  <c r="F184" i="2"/>
  <c r="D184" i="2"/>
  <c r="G204" i="8" l="1"/>
  <c r="O204" i="8"/>
  <c r="C204" i="8"/>
  <c r="J204" i="8"/>
  <c r="N204" i="8"/>
  <c r="I204" i="8"/>
  <c r="D204" i="8"/>
  <c r="G185" i="5"/>
  <c r="F185" i="5"/>
  <c r="M185" i="5"/>
  <c r="D185" i="5"/>
  <c r="C185" i="5"/>
  <c r="K185" i="5"/>
  <c r="J185" i="5"/>
  <c r="A187" i="5"/>
  <c r="L187" i="5" s="1"/>
  <c r="H186" i="5"/>
  <c r="E186" i="5"/>
  <c r="B186" i="5"/>
  <c r="M185" i="2"/>
  <c r="F185" i="2"/>
  <c r="G185" i="2"/>
  <c r="D185" i="2"/>
  <c r="C185" i="2"/>
  <c r="J185" i="2"/>
  <c r="K185" i="2"/>
  <c r="B186" i="2"/>
  <c r="H186" i="2"/>
  <c r="E186" i="2"/>
  <c r="A187" i="2"/>
  <c r="L187" i="2" s="1"/>
  <c r="J186" i="5" l="1"/>
  <c r="K186" i="5"/>
  <c r="C186" i="5"/>
  <c r="M186" i="5"/>
  <c r="G186" i="5"/>
  <c r="F186" i="5"/>
  <c r="D186" i="5"/>
  <c r="I186" i="5"/>
  <c r="A188" i="5"/>
  <c r="L188" i="5" s="1"/>
  <c r="B187" i="5"/>
  <c r="E187" i="5"/>
  <c r="H187" i="5"/>
  <c r="A188" i="2"/>
  <c r="L188" i="2" s="1"/>
  <c r="H187" i="2"/>
  <c r="I187" i="2" s="1"/>
  <c r="E187" i="2"/>
  <c r="B187" i="2"/>
  <c r="K186" i="2"/>
  <c r="J186" i="2"/>
  <c r="I186" i="2"/>
  <c r="C186" i="2"/>
  <c r="G186" i="2"/>
  <c r="F186" i="2"/>
  <c r="D186" i="2"/>
  <c r="M186" i="2"/>
  <c r="J187" i="5" l="1"/>
  <c r="K187" i="5"/>
  <c r="D187" i="5"/>
  <c r="C187" i="5"/>
  <c r="F187" i="5"/>
  <c r="G187" i="5"/>
  <c r="M187" i="5"/>
  <c r="A189" i="5"/>
  <c r="L189" i="5" s="1"/>
  <c r="E188" i="5"/>
  <c r="B188" i="5"/>
  <c r="H188" i="5"/>
  <c r="I188" i="5" s="1"/>
  <c r="I187" i="5"/>
  <c r="M187" i="2"/>
  <c r="G187" i="2"/>
  <c r="F187" i="2"/>
  <c r="D187" i="2"/>
  <c r="C187" i="2"/>
  <c r="K187" i="2"/>
  <c r="J187" i="2"/>
  <c r="B188" i="2"/>
  <c r="E188" i="2"/>
  <c r="A189" i="2"/>
  <c r="L189" i="2" s="1"/>
  <c r="H188" i="2"/>
  <c r="C188" i="5" l="1"/>
  <c r="G188" i="5"/>
  <c r="F188" i="5"/>
  <c r="D188" i="5"/>
  <c r="M188" i="5"/>
  <c r="K188" i="5"/>
  <c r="J188" i="5"/>
  <c r="A190" i="5"/>
  <c r="L190" i="5" s="1"/>
  <c r="B189" i="5"/>
  <c r="H189" i="5"/>
  <c r="I189" i="5" s="1"/>
  <c r="E189" i="5"/>
  <c r="A190" i="2"/>
  <c r="L190" i="2" s="1"/>
  <c r="H189" i="2"/>
  <c r="E189" i="2"/>
  <c r="B189" i="2"/>
  <c r="K188" i="2"/>
  <c r="J188" i="2"/>
  <c r="I188" i="2"/>
  <c r="C188" i="2"/>
  <c r="D188" i="2"/>
  <c r="M188" i="2"/>
  <c r="F188" i="2"/>
  <c r="G188" i="2"/>
  <c r="G189" i="5" l="1"/>
  <c r="F189" i="5"/>
  <c r="M189" i="5"/>
  <c r="D189" i="5"/>
  <c r="C189" i="5"/>
  <c r="K189" i="5"/>
  <c r="J189" i="5"/>
  <c r="A191" i="5"/>
  <c r="L191" i="5" s="1"/>
  <c r="H190" i="5"/>
  <c r="I190" i="5" s="1"/>
  <c r="E190" i="5"/>
  <c r="B190" i="5"/>
  <c r="K189" i="2"/>
  <c r="J189" i="2"/>
  <c r="M189" i="2"/>
  <c r="G189" i="2"/>
  <c r="F189" i="2"/>
  <c r="D189" i="2"/>
  <c r="C189" i="2"/>
  <c r="I189" i="2"/>
  <c r="B190" i="2"/>
  <c r="E190" i="2"/>
  <c r="H190" i="2"/>
  <c r="A191" i="2"/>
  <c r="L191" i="2" s="1"/>
  <c r="C190" i="5" l="1"/>
  <c r="M190" i="5"/>
  <c r="G190" i="5"/>
  <c r="F190" i="5"/>
  <c r="D190" i="5"/>
  <c r="K190" i="5"/>
  <c r="J190" i="5"/>
  <c r="A192" i="5"/>
  <c r="L192" i="5" s="1"/>
  <c r="H191" i="5"/>
  <c r="I191" i="5" s="1"/>
  <c r="E191" i="5"/>
  <c r="B191" i="5"/>
  <c r="C190" i="2"/>
  <c r="D190" i="2"/>
  <c r="M190" i="2"/>
  <c r="G190" i="2"/>
  <c r="F190" i="2"/>
  <c r="J190" i="2"/>
  <c r="K190" i="2"/>
  <c r="A192" i="2"/>
  <c r="L192" i="2" s="1"/>
  <c r="H191" i="2"/>
  <c r="I191" i="2" s="1"/>
  <c r="E191" i="2"/>
  <c r="B191" i="2"/>
  <c r="I190" i="2"/>
  <c r="D191" i="5" l="1"/>
  <c r="C191" i="5"/>
  <c r="M191" i="5"/>
  <c r="G191" i="5"/>
  <c r="F191" i="5"/>
  <c r="H192" i="5"/>
  <c r="E192" i="5"/>
  <c r="B192" i="5"/>
  <c r="A193" i="5"/>
  <c r="L193" i="5" s="1"/>
  <c r="K191" i="5"/>
  <c r="J191" i="5"/>
  <c r="M191" i="2"/>
  <c r="G191" i="2"/>
  <c r="F191" i="2"/>
  <c r="D191" i="2"/>
  <c r="C191" i="2"/>
  <c r="J191" i="2"/>
  <c r="K191" i="2"/>
  <c r="B192" i="2"/>
  <c r="A193" i="2"/>
  <c r="L193" i="2" s="1"/>
  <c r="H192" i="2"/>
  <c r="I192" i="2" s="1"/>
  <c r="E192" i="2"/>
  <c r="C192" i="5" l="1"/>
  <c r="G192" i="5"/>
  <c r="F192" i="5"/>
  <c r="D192" i="5"/>
  <c r="M192" i="5"/>
  <c r="K192" i="5"/>
  <c r="J192" i="5"/>
  <c r="A194" i="5"/>
  <c r="L194" i="5" s="1"/>
  <c r="E193" i="5"/>
  <c r="H193" i="5"/>
  <c r="B193" i="5"/>
  <c r="I192" i="5"/>
  <c r="C192" i="2"/>
  <c r="F192" i="2"/>
  <c r="M192" i="2"/>
  <c r="G192" i="2"/>
  <c r="D192" i="2"/>
  <c r="J192" i="2"/>
  <c r="K192" i="2"/>
  <c r="A194" i="2"/>
  <c r="L194" i="2" s="1"/>
  <c r="E193" i="2"/>
  <c r="H193" i="2"/>
  <c r="B193" i="2"/>
  <c r="F193" i="5" l="1"/>
  <c r="M193" i="5"/>
  <c r="G193" i="5"/>
  <c r="D193" i="5"/>
  <c r="C193" i="5"/>
  <c r="K193" i="5"/>
  <c r="J193" i="5"/>
  <c r="I193" i="5"/>
  <c r="A195" i="5"/>
  <c r="L195" i="5" s="1"/>
  <c r="B194" i="5"/>
  <c r="E194" i="5"/>
  <c r="H194" i="5"/>
  <c r="I194" i="5" s="1"/>
  <c r="J193" i="2"/>
  <c r="K193" i="2"/>
  <c r="I193" i="2"/>
  <c r="M193" i="2"/>
  <c r="D193" i="2"/>
  <c r="G193" i="2"/>
  <c r="F193" i="2"/>
  <c r="C193" i="2"/>
  <c r="B194" i="2"/>
  <c r="H194" i="2"/>
  <c r="I194" i="2" s="1"/>
  <c r="E194" i="2"/>
  <c r="A195" i="2"/>
  <c r="L195" i="2" s="1"/>
  <c r="J194" i="5" l="1"/>
  <c r="K194" i="5"/>
  <c r="C194" i="5"/>
  <c r="M194" i="5"/>
  <c r="F194" i="5"/>
  <c r="D194" i="5"/>
  <c r="G194" i="5"/>
  <c r="A196" i="5"/>
  <c r="L196" i="5" s="1"/>
  <c r="H195" i="5"/>
  <c r="I195" i="5" s="1"/>
  <c r="E195" i="5"/>
  <c r="B195" i="5"/>
  <c r="C194" i="2"/>
  <c r="G194" i="2"/>
  <c r="F194" i="2"/>
  <c r="D194" i="2"/>
  <c r="M194" i="2"/>
  <c r="A196" i="2"/>
  <c r="L196" i="2" s="1"/>
  <c r="H195" i="2"/>
  <c r="I195" i="2" s="1"/>
  <c r="E195" i="2"/>
  <c r="B195" i="2"/>
  <c r="K194" i="2"/>
  <c r="J194" i="2"/>
  <c r="G195" i="5" l="1"/>
  <c r="F195" i="5"/>
  <c r="D195" i="5"/>
  <c r="C195" i="5"/>
  <c r="M195" i="5"/>
  <c r="K195" i="5"/>
  <c r="J195" i="5"/>
  <c r="E196" i="5"/>
  <c r="B196" i="5"/>
  <c r="H196" i="5"/>
  <c r="A197" i="5"/>
  <c r="L197" i="5" s="1"/>
  <c r="M195" i="2"/>
  <c r="G195" i="2"/>
  <c r="F195" i="2"/>
  <c r="D195" i="2"/>
  <c r="C195" i="2"/>
  <c r="K195" i="2"/>
  <c r="J195" i="2"/>
  <c r="B196" i="2"/>
  <c r="H196" i="2"/>
  <c r="I196" i="2" s="1"/>
  <c r="A197" i="2"/>
  <c r="L197" i="2" s="1"/>
  <c r="E196" i="2"/>
  <c r="K196" i="5" l="1"/>
  <c r="J196" i="5"/>
  <c r="A198" i="5"/>
  <c r="L198" i="5" s="1"/>
  <c r="B197" i="5"/>
  <c r="H197" i="5"/>
  <c r="E197" i="5"/>
  <c r="I196" i="5"/>
  <c r="C196" i="5"/>
  <c r="F196" i="5"/>
  <c r="D196" i="5"/>
  <c r="M196" i="5"/>
  <c r="G196" i="5"/>
  <c r="K196" i="2"/>
  <c r="J196" i="2"/>
  <c r="A198" i="2"/>
  <c r="L198" i="2" s="1"/>
  <c r="E197" i="2"/>
  <c r="B197" i="2"/>
  <c r="H197" i="2"/>
  <c r="C196" i="2"/>
  <c r="M196" i="2"/>
  <c r="F196" i="2"/>
  <c r="D196" i="2"/>
  <c r="G196" i="2"/>
  <c r="J197" i="5" l="1"/>
  <c r="K197" i="5"/>
  <c r="G197" i="5"/>
  <c r="M197" i="5"/>
  <c r="F197" i="5"/>
  <c r="C197" i="5"/>
  <c r="D197" i="5"/>
  <c r="I197" i="5"/>
  <c r="H198" i="5"/>
  <c r="B198" i="5"/>
  <c r="A199" i="5"/>
  <c r="L199" i="5" s="1"/>
  <c r="E198" i="5"/>
  <c r="K197" i="2"/>
  <c r="J197" i="2"/>
  <c r="I197" i="2"/>
  <c r="B198" i="2"/>
  <c r="E198" i="2"/>
  <c r="A199" i="2"/>
  <c r="L199" i="2" s="1"/>
  <c r="H198" i="2"/>
  <c r="M197" i="2"/>
  <c r="D197" i="2"/>
  <c r="C197" i="2"/>
  <c r="G197" i="2"/>
  <c r="F197" i="2"/>
  <c r="A200" i="5" l="1"/>
  <c r="L200" i="5" s="1"/>
  <c r="E199" i="5"/>
  <c r="B199" i="5"/>
  <c r="H199" i="5"/>
  <c r="C198" i="5"/>
  <c r="G198" i="5"/>
  <c r="D198" i="5"/>
  <c r="M198" i="5"/>
  <c r="F198" i="5"/>
  <c r="J198" i="5"/>
  <c r="K198" i="5"/>
  <c r="I198" i="5"/>
  <c r="J198" i="2"/>
  <c r="K198" i="2"/>
  <c r="A200" i="2"/>
  <c r="L200" i="2" s="1"/>
  <c r="H199" i="2"/>
  <c r="E199" i="2"/>
  <c r="B199" i="2"/>
  <c r="I198" i="2"/>
  <c r="C198" i="2"/>
  <c r="F198" i="2"/>
  <c r="D198" i="2"/>
  <c r="M198" i="2"/>
  <c r="G198" i="2"/>
  <c r="K199" i="5" l="1"/>
  <c r="J199" i="5"/>
  <c r="I199" i="5"/>
  <c r="G199" i="5"/>
  <c r="F199" i="5"/>
  <c r="D199" i="5"/>
  <c r="C199" i="5"/>
  <c r="M199" i="5"/>
  <c r="B200" i="5"/>
  <c r="A201" i="5"/>
  <c r="L201" i="5" s="1"/>
  <c r="H200" i="5"/>
  <c r="E200" i="5"/>
  <c r="M199" i="2"/>
  <c r="F199" i="2"/>
  <c r="C199" i="2"/>
  <c r="D199" i="2"/>
  <c r="G199" i="2"/>
  <c r="J199" i="2"/>
  <c r="K199" i="2"/>
  <c r="I199" i="2"/>
  <c r="B200" i="2"/>
  <c r="A201" i="2"/>
  <c r="L201" i="2" s="1"/>
  <c r="H200" i="2"/>
  <c r="I200" i="2" s="1"/>
  <c r="E200" i="2"/>
  <c r="K200" i="5" l="1"/>
  <c r="J200" i="5"/>
  <c r="C200" i="5"/>
  <c r="M200" i="5"/>
  <c r="G200" i="5"/>
  <c r="F200" i="5"/>
  <c r="D200" i="5"/>
  <c r="I200" i="5"/>
  <c r="A202" i="5"/>
  <c r="L202" i="5" s="1"/>
  <c r="B201" i="5"/>
  <c r="H201" i="5"/>
  <c r="E201" i="5"/>
  <c r="A202" i="2"/>
  <c r="L202" i="2" s="1"/>
  <c r="B201" i="2"/>
  <c r="H201" i="2"/>
  <c r="E201" i="2"/>
  <c r="C200" i="2"/>
  <c r="M200" i="2"/>
  <c r="G200" i="2"/>
  <c r="F200" i="2"/>
  <c r="D200" i="2"/>
  <c r="K200" i="2"/>
  <c r="J200" i="2"/>
  <c r="K201" i="5" l="1"/>
  <c r="J201" i="5"/>
  <c r="M201" i="5"/>
  <c r="C201" i="5"/>
  <c r="G201" i="5"/>
  <c r="F201" i="5"/>
  <c r="D201" i="5"/>
  <c r="I201" i="5"/>
  <c r="A203" i="5"/>
  <c r="L203" i="5" s="1"/>
  <c r="E202" i="5"/>
  <c r="B202" i="5"/>
  <c r="H202" i="5"/>
  <c r="J201" i="2"/>
  <c r="K201" i="2"/>
  <c r="I201" i="2"/>
  <c r="M201" i="2"/>
  <c r="G201" i="2"/>
  <c r="F201" i="2"/>
  <c r="D201" i="2"/>
  <c r="C201" i="2"/>
  <c r="B202" i="2"/>
  <c r="A203" i="2"/>
  <c r="L203" i="2" s="1"/>
  <c r="E202" i="2"/>
  <c r="H202" i="2"/>
  <c r="K202" i="5" l="1"/>
  <c r="J202" i="5"/>
  <c r="I202" i="5"/>
  <c r="C202" i="5"/>
  <c r="F202" i="5"/>
  <c r="D202" i="5"/>
  <c r="M202" i="5"/>
  <c r="G202" i="5"/>
  <c r="A204" i="5"/>
  <c r="L204" i="5" s="1"/>
  <c r="B203" i="5"/>
  <c r="H203" i="5"/>
  <c r="E203" i="5"/>
  <c r="J202" i="2"/>
  <c r="K202" i="2"/>
  <c r="A204" i="2"/>
  <c r="L204" i="2" s="1"/>
  <c r="E203" i="2"/>
  <c r="B203" i="2"/>
  <c r="H203" i="2"/>
  <c r="I202" i="2"/>
  <c r="C202" i="2"/>
  <c r="F202" i="2"/>
  <c r="D202" i="2"/>
  <c r="M202" i="2"/>
  <c r="G202" i="2"/>
  <c r="K203" i="5" l="1"/>
  <c r="J203" i="5"/>
  <c r="G203" i="5"/>
  <c r="F203" i="5"/>
  <c r="D203" i="5"/>
  <c r="C203" i="5"/>
  <c r="M203" i="5"/>
  <c r="I203" i="5"/>
  <c r="H204" i="5"/>
  <c r="E204" i="5"/>
  <c r="B204" i="5"/>
  <c r="J203" i="2"/>
  <c r="K203" i="2"/>
  <c r="I203" i="2"/>
  <c r="M203" i="2"/>
  <c r="F203" i="2"/>
  <c r="D203" i="2"/>
  <c r="C203" i="2"/>
  <c r="G203" i="2"/>
  <c r="B204" i="2"/>
  <c r="H204" i="2"/>
  <c r="E204" i="2"/>
  <c r="C204" i="5" l="1"/>
  <c r="M204" i="5"/>
  <c r="G204" i="5"/>
  <c r="F204" i="5"/>
  <c r="D204" i="5"/>
  <c r="K204" i="5"/>
  <c r="J204" i="5"/>
  <c r="I204" i="5"/>
  <c r="C204" i="2"/>
  <c r="G204" i="2"/>
  <c r="D204" i="2"/>
  <c r="F204" i="2"/>
  <c r="M204" i="2"/>
  <c r="J204" i="2"/>
  <c r="K204" i="2"/>
  <c r="I204" i="2"/>
  <c r="G122" i="7" l="1"/>
  <c r="E122" i="7"/>
  <c r="D122" i="7"/>
  <c r="C122" i="7"/>
  <c r="B122" i="7"/>
  <c r="G121" i="7"/>
  <c r="E121" i="7"/>
  <c r="D121" i="7"/>
  <c r="C121" i="7"/>
  <c r="B121" i="7"/>
  <c r="G120" i="7"/>
  <c r="E120" i="7"/>
  <c r="D120" i="7"/>
  <c r="C120" i="7"/>
  <c r="B120" i="7"/>
  <c r="G119" i="7"/>
  <c r="E119" i="7"/>
  <c r="D119" i="7"/>
  <c r="C119" i="7"/>
  <c r="B119" i="7"/>
  <c r="G118" i="7"/>
  <c r="E118" i="7"/>
  <c r="D118" i="7"/>
  <c r="C118" i="7"/>
  <c r="B118" i="7"/>
  <c r="G117" i="7"/>
  <c r="E117" i="7"/>
  <c r="D117" i="7"/>
  <c r="C117" i="7"/>
  <c r="B117" i="7"/>
  <c r="G116" i="7"/>
  <c r="E116" i="7"/>
  <c r="D116" i="7"/>
  <c r="C116" i="7"/>
  <c r="B116" i="7"/>
  <c r="G115" i="7"/>
  <c r="E115" i="7"/>
  <c r="D115" i="7"/>
  <c r="C115" i="7"/>
  <c r="B115" i="7"/>
  <c r="G114" i="7"/>
  <c r="E114" i="7"/>
  <c r="D114" i="7"/>
  <c r="C114" i="7"/>
  <c r="B114" i="7"/>
  <c r="G113" i="7"/>
  <c r="E113" i="7"/>
  <c r="D113" i="7"/>
  <c r="C113" i="7"/>
  <c r="B113" i="7"/>
  <c r="G112" i="7"/>
  <c r="E112" i="7"/>
  <c r="D112" i="7"/>
  <c r="C112" i="7"/>
  <c r="B112" i="7"/>
  <c r="G111" i="7"/>
  <c r="E111" i="7"/>
  <c r="D111" i="7"/>
  <c r="C111" i="7"/>
  <c r="B111" i="7"/>
  <c r="G110" i="7"/>
  <c r="E110" i="7"/>
  <c r="D110" i="7"/>
  <c r="C110" i="7"/>
  <c r="B110" i="7"/>
  <c r="G109" i="7"/>
  <c r="E109" i="7"/>
  <c r="D109" i="7"/>
  <c r="C109" i="7"/>
  <c r="B109" i="7"/>
  <c r="G108" i="7"/>
  <c r="E108" i="7"/>
  <c r="D108" i="7"/>
  <c r="C108" i="7"/>
  <c r="B108" i="7"/>
  <c r="G107" i="7"/>
  <c r="E107" i="7"/>
  <c r="D107" i="7"/>
  <c r="C107" i="7"/>
  <c r="B107" i="7"/>
  <c r="G106" i="7"/>
  <c r="E106" i="7"/>
  <c r="D106" i="7"/>
  <c r="C106" i="7"/>
  <c r="B106" i="7"/>
  <c r="G105" i="7"/>
  <c r="E105" i="7"/>
  <c r="D105" i="7"/>
  <c r="C105" i="7"/>
  <c r="B105" i="7"/>
  <c r="G104" i="7"/>
  <c r="E104" i="7"/>
  <c r="D104" i="7"/>
  <c r="C104" i="7"/>
  <c r="B104" i="7"/>
  <c r="G103" i="7"/>
  <c r="E103" i="7"/>
  <c r="D103" i="7"/>
  <c r="C103" i="7"/>
  <c r="B103" i="7"/>
  <c r="G102" i="7"/>
  <c r="E102" i="7"/>
  <c r="D102" i="7"/>
  <c r="C102" i="7"/>
  <c r="B102" i="7"/>
  <c r="G101" i="7"/>
  <c r="E101" i="7"/>
  <c r="D101" i="7"/>
  <c r="C101" i="7"/>
  <c r="B101" i="7"/>
  <c r="G100" i="7"/>
  <c r="E100" i="7"/>
  <c r="D100" i="7"/>
  <c r="C100" i="7"/>
  <c r="B100" i="7"/>
  <c r="G99" i="7"/>
  <c r="E99" i="7"/>
  <c r="D99" i="7"/>
  <c r="C99" i="7"/>
  <c r="B99" i="7"/>
  <c r="G98" i="7"/>
  <c r="E98" i="7"/>
  <c r="D98" i="7"/>
  <c r="C98" i="7"/>
  <c r="B98" i="7"/>
  <c r="G97" i="7"/>
  <c r="E97" i="7"/>
  <c r="D97" i="7"/>
  <c r="C97" i="7"/>
  <c r="B97" i="7"/>
  <c r="G96" i="7"/>
  <c r="E96" i="7"/>
  <c r="D96" i="7"/>
  <c r="C96" i="7"/>
  <c r="B96" i="7"/>
  <c r="G95" i="7"/>
  <c r="E95" i="7"/>
  <c r="D95" i="7"/>
  <c r="C95" i="7"/>
  <c r="B95" i="7"/>
  <c r="G94" i="7"/>
  <c r="E94" i="7"/>
  <c r="D94" i="7"/>
  <c r="C94" i="7"/>
  <c r="B94" i="7"/>
  <c r="G93" i="7"/>
  <c r="E93" i="7"/>
  <c r="D93" i="7"/>
  <c r="C93" i="7"/>
  <c r="B93" i="7"/>
  <c r="G92" i="7"/>
  <c r="E92" i="7"/>
  <c r="D92" i="7"/>
  <c r="C92" i="7"/>
  <c r="B92" i="7"/>
  <c r="G91" i="7"/>
  <c r="E91" i="7"/>
  <c r="D91" i="7"/>
  <c r="C91" i="7"/>
  <c r="B91" i="7"/>
  <c r="G90" i="7"/>
  <c r="E90" i="7"/>
  <c r="D90" i="7"/>
  <c r="C90" i="7"/>
  <c r="B90" i="7"/>
  <c r="G89" i="7"/>
  <c r="E89" i="7"/>
  <c r="D89" i="7"/>
  <c r="C89" i="7"/>
  <c r="B89" i="7"/>
  <c r="G88" i="7"/>
  <c r="E88" i="7"/>
  <c r="D88" i="7"/>
  <c r="C88" i="7"/>
  <c r="B88" i="7"/>
  <c r="G87" i="7"/>
  <c r="E87" i="7"/>
  <c r="D87" i="7"/>
  <c r="C87" i="7"/>
  <c r="B87" i="7"/>
  <c r="G86" i="7"/>
  <c r="E86" i="7"/>
  <c r="D86" i="7"/>
  <c r="C86" i="7"/>
  <c r="B86" i="7"/>
  <c r="G85" i="7"/>
  <c r="E85" i="7"/>
  <c r="D85" i="7"/>
  <c r="C85" i="7"/>
  <c r="B85" i="7"/>
  <c r="G84" i="7"/>
  <c r="E84" i="7"/>
  <c r="D84" i="7"/>
  <c r="C84" i="7"/>
  <c r="B84" i="7"/>
  <c r="G83" i="7"/>
  <c r="E83" i="7"/>
  <c r="D83" i="7"/>
  <c r="C83" i="7"/>
  <c r="B83" i="7"/>
  <c r="G82" i="7"/>
  <c r="E82" i="7"/>
  <c r="D82" i="7"/>
  <c r="C82" i="7"/>
  <c r="B82" i="7"/>
  <c r="G81" i="7"/>
  <c r="E81" i="7"/>
  <c r="D81" i="7"/>
  <c r="C81" i="7"/>
  <c r="B81" i="7"/>
  <c r="G80" i="7"/>
  <c r="E80" i="7"/>
  <c r="D80" i="7"/>
  <c r="C80" i="7"/>
  <c r="B80" i="7"/>
  <c r="G79" i="7"/>
  <c r="E79" i="7"/>
  <c r="D79" i="7"/>
  <c r="C79" i="7"/>
  <c r="B79" i="7"/>
  <c r="G78" i="7"/>
  <c r="E78" i="7"/>
  <c r="D78" i="7"/>
  <c r="C78" i="7"/>
  <c r="B78" i="7"/>
  <c r="G77" i="7"/>
  <c r="E77" i="7"/>
  <c r="D77" i="7"/>
  <c r="C77" i="7"/>
  <c r="B77" i="7"/>
  <c r="G76" i="7"/>
  <c r="E76" i="7"/>
  <c r="D76" i="7"/>
  <c r="C76" i="7"/>
  <c r="B76" i="7"/>
  <c r="G75" i="7"/>
  <c r="E75" i="7"/>
  <c r="D75" i="7"/>
  <c r="C75" i="7"/>
  <c r="B75" i="7"/>
  <c r="G74" i="7"/>
  <c r="E74" i="7"/>
  <c r="D74" i="7"/>
  <c r="C74" i="7"/>
  <c r="B74" i="7"/>
  <c r="G73" i="7"/>
  <c r="E73" i="7"/>
  <c r="D73" i="7"/>
  <c r="C73" i="7"/>
  <c r="B73" i="7"/>
  <c r="G72" i="7"/>
  <c r="E72" i="7"/>
  <c r="D72" i="7"/>
  <c r="C72" i="7"/>
  <c r="B72" i="7"/>
  <c r="G71" i="7"/>
  <c r="E71" i="7"/>
  <c r="D71" i="7"/>
  <c r="C71" i="7"/>
  <c r="B71" i="7"/>
  <c r="G70" i="7"/>
  <c r="E70" i="7"/>
  <c r="D70" i="7"/>
  <c r="C70" i="7"/>
  <c r="B70" i="7"/>
  <c r="G69" i="7"/>
  <c r="E69" i="7"/>
  <c r="D69" i="7"/>
  <c r="C69" i="7"/>
  <c r="B69" i="7"/>
  <c r="G68" i="7"/>
  <c r="E68" i="7"/>
  <c r="D68" i="7"/>
  <c r="C68" i="7"/>
  <c r="B68" i="7"/>
  <c r="G67" i="7"/>
  <c r="E67" i="7"/>
  <c r="D67" i="7"/>
  <c r="C67" i="7"/>
  <c r="B67" i="7"/>
  <c r="G66" i="7"/>
  <c r="E66" i="7"/>
  <c r="D66" i="7"/>
  <c r="C66" i="7"/>
  <c r="B66" i="7"/>
  <c r="G65" i="7"/>
  <c r="E65" i="7"/>
  <c r="D65" i="7"/>
  <c r="C65" i="7"/>
  <c r="B65" i="7"/>
  <c r="G64" i="7"/>
  <c r="E64" i="7"/>
  <c r="D64" i="7"/>
  <c r="C64" i="7"/>
  <c r="B64" i="7"/>
  <c r="G63" i="7"/>
  <c r="E63" i="7"/>
  <c r="D63" i="7"/>
  <c r="C63" i="7"/>
  <c r="B63" i="7"/>
  <c r="G62" i="7"/>
  <c r="E62" i="7"/>
  <c r="D62" i="7"/>
  <c r="C62" i="7"/>
  <c r="B62" i="7"/>
  <c r="G61" i="7"/>
  <c r="E61" i="7"/>
  <c r="D61" i="7"/>
  <c r="C61" i="7"/>
  <c r="B61" i="7"/>
  <c r="G60" i="7"/>
  <c r="E60" i="7"/>
  <c r="D60" i="7"/>
  <c r="C60" i="7"/>
  <c r="B60" i="7"/>
  <c r="G59" i="7"/>
  <c r="E59" i="7"/>
  <c r="D59" i="7"/>
  <c r="C59" i="7"/>
  <c r="B59" i="7"/>
  <c r="G58" i="7"/>
  <c r="E58" i="7"/>
  <c r="D58" i="7"/>
  <c r="C58" i="7"/>
  <c r="B58" i="7"/>
  <c r="G57" i="7"/>
  <c r="E57" i="7"/>
  <c r="D57" i="7"/>
  <c r="C57" i="7"/>
  <c r="B57" i="7"/>
  <c r="G56" i="7"/>
  <c r="E56" i="7"/>
  <c r="D56" i="7"/>
  <c r="C56" i="7"/>
  <c r="B56" i="7"/>
  <c r="G55" i="7"/>
  <c r="E55" i="7"/>
  <c r="D55" i="7"/>
  <c r="C55" i="7"/>
  <c r="B55" i="7"/>
  <c r="G54" i="7"/>
  <c r="E54" i="7"/>
  <c r="D54" i="7"/>
  <c r="C54" i="7"/>
  <c r="B54" i="7"/>
  <c r="G53" i="7"/>
  <c r="E53" i="7"/>
  <c r="D53" i="7"/>
  <c r="C53" i="7"/>
  <c r="B53" i="7"/>
  <c r="G52" i="7"/>
  <c r="E52" i="7"/>
  <c r="D52" i="7"/>
  <c r="C52" i="7"/>
  <c r="B52" i="7"/>
  <c r="G51" i="7"/>
  <c r="E51" i="7"/>
  <c r="D51" i="7"/>
  <c r="C51" i="7"/>
  <c r="B51" i="7"/>
  <c r="G50" i="7"/>
  <c r="E50" i="7"/>
  <c r="D50" i="7"/>
  <c r="C50" i="7"/>
  <c r="B50" i="7"/>
  <c r="G49" i="7"/>
  <c r="E49" i="7"/>
  <c r="D49" i="7"/>
  <c r="C49" i="7"/>
  <c r="B49" i="7"/>
  <c r="G48" i="7"/>
  <c r="E48" i="7"/>
  <c r="D48" i="7"/>
  <c r="C48" i="7"/>
  <c r="B48" i="7"/>
  <c r="G47" i="7"/>
  <c r="E47" i="7"/>
  <c r="D47" i="7"/>
  <c r="C47" i="7"/>
  <c r="B47" i="7"/>
  <c r="G46" i="7"/>
  <c r="E46" i="7"/>
  <c r="D46" i="7"/>
  <c r="C46" i="7"/>
  <c r="B46" i="7"/>
  <c r="G45" i="7"/>
  <c r="E45" i="7"/>
  <c r="D45" i="7"/>
  <c r="C45" i="7"/>
  <c r="B45" i="7"/>
  <c r="G44" i="7"/>
  <c r="E44" i="7"/>
  <c r="D44" i="7"/>
  <c r="C44" i="7"/>
  <c r="B44" i="7"/>
  <c r="G43" i="7"/>
  <c r="E43" i="7"/>
  <c r="D43" i="7"/>
  <c r="C43" i="7"/>
  <c r="B43" i="7"/>
  <c r="G42" i="7"/>
  <c r="E42" i="7"/>
  <c r="D42" i="7"/>
  <c r="C42" i="7"/>
  <c r="B42" i="7"/>
  <c r="G41" i="7"/>
  <c r="E41" i="7"/>
  <c r="D41" i="7"/>
  <c r="C41" i="7"/>
  <c r="B41" i="7"/>
  <c r="G40" i="7"/>
  <c r="E40" i="7"/>
  <c r="D40" i="7"/>
  <c r="C40" i="7"/>
  <c r="B40" i="7"/>
  <c r="G39" i="7"/>
  <c r="E39" i="7"/>
  <c r="D39" i="7"/>
  <c r="C39" i="7"/>
  <c r="B39" i="7"/>
  <c r="G38" i="7"/>
  <c r="E38" i="7"/>
  <c r="D38" i="7"/>
  <c r="C38" i="7"/>
  <c r="B38" i="7"/>
  <c r="G37" i="7"/>
  <c r="E37" i="7"/>
  <c r="D37" i="7"/>
  <c r="C37" i="7"/>
  <c r="B37" i="7"/>
  <c r="G36" i="7"/>
  <c r="E36" i="7"/>
  <c r="D36" i="7"/>
  <c r="C36" i="7"/>
  <c r="B36" i="7"/>
  <c r="G35" i="7"/>
  <c r="E35" i="7"/>
  <c r="D35" i="7"/>
  <c r="C35" i="7"/>
  <c r="B35" i="7"/>
  <c r="G34" i="7"/>
  <c r="E34" i="7"/>
  <c r="D34" i="7"/>
  <c r="C34" i="7"/>
  <c r="B34" i="7"/>
  <c r="G33" i="7"/>
  <c r="E33" i="7"/>
  <c r="D33" i="7"/>
  <c r="C33" i="7"/>
  <c r="B33" i="7"/>
  <c r="G32" i="7"/>
  <c r="E32" i="7"/>
  <c r="D32" i="7"/>
  <c r="C32" i="7"/>
  <c r="B32" i="7"/>
  <c r="G31" i="7"/>
  <c r="E31" i="7"/>
  <c r="D31" i="7"/>
  <c r="C31" i="7"/>
  <c r="B31" i="7"/>
  <c r="G30" i="7"/>
  <c r="E30" i="7"/>
  <c r="D30" i="7"/>
  <c r="C30" i="7"/>
  <c r="B30" i="7"/>
  <c r="G29" i="7"/>
  <c r="E29" i="7"/>
  <c r="D29" i="7"/>
  <c r="C29" i="7"/>
  <c r="B29" i="7"/>
  <c r="G28" i="7"/>
  <c r="E28" i="7"/>
  <c r="D28" i="7"/>
  <c r="C28" i="7"/>
  <c r="B28" i="7"/>
  <c r="G27" i="7"/>
  <c r="E27" i="7"/>
  <c r="D27" i="7"/>
  <c r="C27" i="7"/>
  <c r="B27" i="7"/>
  <c r="G26" i="7"/>
  <c r="E26" i="7"/>
  <c r="D26" i="7"/>
  <c r="C26" i="7"/>
  <c r="B26" i="7"/>
  <c r="G25" i="7"/>
  <c r="E25" i="7"/>
  <c r="D25" i="7"/>
  <c r="C25" i="7"/>
  <c r="B25" i="7"/>
  <c r="G24" i="7"/>
  <c r="E24" i="7"/>
  <c r="D24" i="7"/>
  <c r="C24" i="7"/>
  <c r="B24" i="7"/>
  <c r="G23" i="7"/>
  <c r="E23" i="7"/>
  <c r="D23" i="7"/>
  <c r="C23" i="7"/>
  <c r="B23" i="7"/>
  <c r="G22" i="7"/>
  <c r="E22" i="7"/>
  <c r="D22" i="7"/>
  <c r="C22" i="7"/>
  <c r="B22" i="7"/>
  <c r="E21" i="7"/>
  <c r="D21" i="7"/>
  <c r="C21" i="7"/>
  <c r="B21" i="7"/>
  <c r="B17" i="7"/>
  <c r="B16" i="7"/>
  <c r="B15" i="7"/>
  <c r="F79" i="7" s="1"/>
  <c r="B14" i="7"/>
  <c r="B13" i="7"/>
  <c r="B12" i="7"/>
  <c r="B11" i="7"/>
  <c r="B10" i="7"/>
  <c r="B9" i="7"/>
  <c r="B8" i="7"/>
  <c r="B7" i="7"/>
  <c r="B5" i="7"/>
  <c r="F104" i="7" l="1"/>
  <c r="F61" i="7"/>
  <c r="F93" i="7"/>
  <c r="F72" i="7"/>
  <c r="F56" i="7"/>
  <c r="F120" i="7"/>
  <c r="F111" i="7"/>
  <c r="F74" i="7"/>
  <c r="F88" i="7"/>
  <c r="F108" i="7"/>
  <c r="F58" i="7"/>
  <c r="F77" i="7"/>
  <c r="F109" i="7"/>
  <c r="F71" i="7"/>
  <c r="F87" i="7"/>
  <c r="F103" i="7"/>
  <c r="F119" i="7"/>
  <c r="F66" i="7"/>
  <c r="F82" i="7"/>
  <c r="F98" i="7"/>
  <c r="F114" i="7"/>
  <c r="F99" i="7"/>
  <c r="F115" i="7"/>
  <c r="F83" i="7"/>
  <c r="F67" i="7"/>
  <c r="F62" i="7"/>
  <c r="F78" i="7"/>
  <c r="F94" i="7"/>
  <c r="F110" i="7"/>
  <c r="F57" i="7"/>
  <c r="F73" i="7"/>
  <c r="F89" i="7"/>
  <c r="F105" i="7"/>
  <c r="F121" i="7"/>
  <c r="F68" i="7"/>
  <c r="F84" i="7"/>
  <c r="F100" i="7"/>
  <c r="F116" i="7"/>
  <c r="F90" i="7"/>
  <c r="F106" i="7"/>
  <c r="F122" i="7"/>
  <c r="F69" i="7"/>
  <c r="F85" i="7"/>
  <c r="F101" i="7"/>
  <c r="F117" i="7"/>
  <c r="F95" i="7"/>
  <c r="F64" i="7"/>
  <c r="F80" i="7"/>
  <c r="F96" i="7"/>
  <c r="F112" i="7"/>
  <c r="F63" i="7"/>
  <c r="F59" i="7"/>
  <c r="F75" i="7"/>
  <c r="F91" i="7"/>
  <c r="F107" i="7"/>
  <c r="F70" i="7"/>
  <c r="F86" i="7"/>
  <c r="F102" i="7"/>
  <c r="F118" i="7"/>
  <c r="F65" i="7"/>
  <c r="F81" i="7"/>
  <c r="F97" i="7"/>
  <c r="F113" i="7"/>
  <c r="F60" i="7"/>
  <c r="F76" i="7"/>
  <c r="F92" i="7"/>
  <c r="W1" i="4" l="1" a="1"/>
  <c r="W1" i="4" s="1"/>
  <c r="A15" i="4" s="1"/>
  <c r="W1" i="3" a="1"/>
  <c r="W1" i="3" s="1"/>
  <c r="A15" i="3" s="1"/>
  <c r="B15" i="3" l="1"/>
  <c r="H15" i="3"/>
  <c r="E15" i="3"/>
  <c r="I15" i="3"/>
  <c r="A16" i="3"/>
  <c r="I15" i="4"/>
  <c r="B15" i="4"/>
  <c r="C15" i="4" s="1"/>
  <c r="H15" i="4"/>
  <c r="E15" i="4"/>
  <c r="A16" i="4"/>
  <c r="G15" i="4" l="1"/>
  <c r="F15" i="4"/>
  <c r="C15" i="3"/>
  <c r="G15" i="3"/>
  <c r="F15" i="3"/>
  <c r="E16" i="4"/>
  <c r="I16" i="4"/>
  <c r="H16" i="4"/>
  <c r="A17" i="4"/>
  <c r="B16" i="4"/>
  <c r="J15" i="4"/>
  <c r="K15" i="4" s="1"/>
  <c r="H16" i="3"/>
  <c r="E16" i="3"/>
  <c r="I16" i="3"/>
  <c r="B16" i="3"/>
  <c r="A17" i="3"/>
  <c r="J15" i="3"/>
  <c r="K15" i="3" s="1"/>
  <c r="M15" i="3" l="1"/>
  <c r="M15" i="4"/>
  <c r="F22" i="7" s="1"/>
  <c r="C16" i="4"/>
  <c r="G16" i="4"/>
  <c r="F16" i="4"/>
  <c r="B17" i="4"/>
  <c r="I17" i="4"/>
  <c r="E17" i="4"/>
  <c r="H17" i="4"/>
  <c r="A18" i="4"/>
  <c r="J16" i="4"/>
  <c r="K16" i="4" s="1"/>
  <c r="F16" i="3"/>
  <c r="G16" i="3"/>
  <c r="C16" i="3"/>
  <c r="B17" i="3"/>
  <c r="I17" i="3"/>
  <c r="H17" i="3"/>
  <c r="E17" i="3"/>
  <c r="A18" i="3"/>
  <c r="J16" i="3"/>
  <c r="K16" i="3" s="1"/>
  <c r="M16" i="3" l="1"/>
  <c r="M16" i="4"/>
  <c r="F23" i="7" s="1"/>
  <c r="J17" i="3"/>
  <c r="K17" i="3" s="1"/>
  <c r="C17" i="3"/>
  <c r="F17" i="3"/>
  <c r="G17" i="3"/>
  <c r="J17" i="4"/>
  <c r="K17" i="4" s="1"/>
  <c r="B18" i="4"/>
  <c r="I18" i="4"/>
  <c r="E18" i="4"/>
  <c r="A19" i="4"/>
  <c r="H18" i="4"/>
  <c r="G17" i="4"/>
  <c r="C17" i="4"/>
  <c r="F17" i="4"/>
  <c r="H18" i="3"/>
  <c r="I18" i="3"/>
  <c r="E18" i="3"/>
  <c r="B18" i="3"/>
  <c r="A19" i="3"/>
  <c r="M17" i="4" l="1"/>
  <c r="F24" i="7" s="1"/>
  <c r="M17" i="3"/>
  <c r="J18" i="3"/>
  <c r="K18" i="3" s="1"/>
  <c r="J18" i="4"/>
  <c r="K18" i="4" s="1"/>
  <c r="E19" i="4"/>
  <c r="I19" i="4"/>
  <c r="H19" i="4"/>
  <c r="B19" i="4"/>
  <c r="A20" i="4"/>
  <c r="F18" i="4"/>
  <c r="G18" i="4"/>
  <c r="C18" i="4"/>
  <c r="I19" i="3"/>
  <c r="H19" i="3"/>
  <c r="E19" i="3"/>
  <c r="B19" i="3"/>
  <c r="A20" i="3"/>
  <c r="C18" i="3"/>
  <c r="G18" i="3"/>
  <c r="F18" i="3"/>
  <c r="M18" i="3" l="1"/>
  <c r="M18" i="4"/>
  <c r="F25" i="7" s="1"/>
  <c r="J19" i="3"/>
  <c r="K19" i="3" s="1"/>
  <c r="C19" i="4"/>
  <c r="G19" i="4"/>
  <c r="F19" i="4"/>
  <c r="J19" i="4"/>
  <c r="K19" i="4" s="1"/>
  <c r="H20" i="3"/>
  <c r="I20" i="3"/>
  <c r="B20" i="3"/>
  <c r="E20" i="3"/>
  <c r="A21" i="3"/>
  <c r="I20" i="4"/>
  <c r="H20" i="4"/>
  <c r="E20" i="4"/>
  <c r="B20" i="4"/>
  <c r="A21" i="4"/>
  <c r="G19" i="3"/>
  <c r="C19" i="3"/>
  <c r="F19" i="3"/>
  <c r="M19" i="4" l="1"/>
  <c r="F26" i="7" s="1"/>
  <c r="M19" i="3"/>
  <c r="I21" i="4"/>
  <c r="H21" i="4"/>
  <c r="B21" i="4"/>
  <c r="E21" i="4"/>
  <c r="A22" i="4"/>
  <c r="B21" i="3"/>
  <c r="A22" i="3"/>
  <c r="H21" i="3"/>
  <c r="I21" i="3"/>
  <c r="E21" i="3"/>
  <c r="G20" i="4"/>
  <c r="C20" i="4"/>
  <c r="F20" i="4"/>
  <c r="J20" i="4"/>
  <c r="K20" i="4" s="1"/>
  <c r="G20" i="3"/>
  <c r="F20" i="3"/>
  <c r="C20" i="3"/>
  <c r="J20" i="3"/>
  <c r="K20" i="3" s="1"/>
  <c r="M20" i="3" l="1"/>
  <c r="M20" i="4"/>
  <c r="F27" i="7" s="1"/>
  <c r="B22" i="3"/>
  <c r="H22" i="3"/>
  <c r="E22" i="3"/>
  <c r="A23" i="3"/>
  <c r="I22" i="3"/>
  <c r="J21" i="3"/>
  <c r="K21" i="3" s="1"/>
  <c r="F21" i="3"/>
  <c r="C21" i="3"/>
  <c r="G21" i="3"/>
  <c r="B22" i="4"/>
  <c r="I22" i="4"/>
  <c r="E22" i="4"/>
  <c r="H22" i="4"/>
  <c r="A23" i="4"/>
  <c r="G21" i="4"/>
  <c r="C21" i="4"/>
  <c r="F21" i="4"/>
  <c r="J21" i="4"/>
  <c r="K21" i="4" s="1"/>
  <c r="M21" i="4" l="1"/>
  <c r="M21" i="3"/>
  <c r="J22" i="4"/>
  <c r="K22" i="4" s="1"/>
  <c r="I23" i="3"/>
  <c r="A24" i="3"/>
  <c r="B23" i="3"/>
  <c r="E23" i="3"/>
  <c r="H23" i="3"/>
  <c r="B23" i="4"/>
  <c r="H23" i="4"/>
  <c r="E23" i="4"/>
  <c r="I23" i="4"/>
  <c r="A24" i="4"/>
  <c r="G22" i="4"/>
  <c r="F22" i="4"/>
  <c r="C22" i="4"/>
  <c r="J22" i="3"/>
  <c r="K22" i="3" s="1"/>
  <c r="F22" i="3"/>
  <c r="C22" i="3"/>
  <c r="G22" i="3"/>
  <c r="M22" i="3" l="1"/>
  <c r="M22" i="4"/>
  <c r="J23" i="4"/>
  <c r="K23" i="4" s="1"/>
  <c r="C23" i="4"/>
  <c r="F23" i="4"/>
  <c r="G23" i="4"/>
  <c r="J23" i="3"/>
  <c r="K23" i="3" s="1"/>
  <c r="C23" i="3"/>
  <c r="F23" i="3"/>
  <c r="G23" i="3"/>
  <c r="E24" i="4"/>
  <c r="I24" i="4"/>
  <c r="B24" i="4"/>
  <c r="H24" i="4"/>
  <c r="A25" i="4"/>
  <c r="E24" i="3"/>
  <c r="I24" i="3"/>
  <c r="H24" i="3"/>
  <c r="A25" i="3"/>
  <c r="B24" i="3"/>
  <c r="M23" i="4" l="1"/>
  <c r="M23" i="3"/>
  <c r="H25" i="4"/>
  <c r="I25" i="4"/>
  <c r="E25" i="4"/>
  <c r="B25" i="4"/>
  <c r="A26" i="4"/>
  <c r="E25" i="3"/>
  <c r="I25" i="3"/>
  <c r="H25" i="3"/>
  <c r="B25" i="3"/>
  <c r="A26" i="3"/>
  <c r="G24" i="4"/>
  <c r="F24" i="4"/>
  <c r="C24" i="4"/>
  <c r="G24" i="3"/>
  <c r="C24" i="3"/>
  <c r="F24" i="3"/>
  <c r="J24" i="4"/>
  <c r="K24" i="4" s="1"/>
  <c r="J24" i="3"/>
  <c r="K24" i="3" s="1"/>
  <c r="M24" i="3" l="1"/>
  <c r="M24" i="4"/>
  <c r="J25" i="3"/>
  <c r="K25" i="3" s="1"/>
  <c r="B26" i="4"/>
  <c r="H26" i="4"/>
  <c r="E26" i="4"/>
  <c r="I26" i="4"/>
  <c r="A27" i="4"/>
  <c r="B26" i="3"/>
  <c r="H26" i="3"/>
  <c r="I26" i="3"/>
  <c r="E26" i="3"/>
  <c r="A27" i="3"/>
  <c r="C25" i="4"/>
  <c r="F25" i="4"/>
  <c r="G25" i="4"/>
  <c r="G25" i="3"/>
  <c r="F25" i="3"/>
  <c r="C25" i="3"/>
  <c r="J25" i="4"/>
  <c r="K25" i="4" s="1"/>
  <c r="M25" i="3" l="1"/>
  <c r="M25" i="4"/>
  <c r="F26" i="3"/>
  <c r="C26" i="3"/>
  <c r="G26" i="3"/>
  <c r="E27" i="4"/>
  <c r="I27" i="4"/>
  <c r="H27" i="4"/>
  <c r="B27" i="4"/>
  <c r="A28" i="4"/>
  <c r="E27" i="3"/>
  <c r="H27" i="3"/>
  <c r="A28" i="3"/>
  <c r="B27" i="3"/>
  <c r="I27" i="3"/>
  <c r="J26" i="4"/>
  <c r="K26" i="4" s="1"/>
  <c r="J26" i="3"/>
  <c r="K26" i="3" s="1"/>
  <c r="C26" i="4"/>
  <c r="F26" i="4"/>
  <c r="G26" i="4"/>
  <c r="M26" i="4" l="1"/>
  <c r="M26" i="3"/>
  <c r="J27" i="3"/>
  <c r="K27" i="3" s="1"/>
  <c r="I28" i="4"/>
  <c r="E28" i="4"/>
  <c r="B28" i="4"/>
  <c r="H28" i="4"/>
  <c r="A29" i="4"/>
  <c r="C27" i="4"/>
  <c r="F27" i="4"/>
  <c r="G27" i="4"/>
  <c r="G27" i="3"/>
  <c r="C27" i="3"/>
  <c r="F27" i="3"/>
  <c r="H28" i="3"/>
  <c r="I28" i="3"/>
  <c r="E28" i="3"/>
  <c r="A29" i="3"/>
  <c r="B28" i="3"/>
  <c r="J27" i="4"/>
  <c r="K27" i="4" s="1"/>
  <c r="M27" i="4" l="1"/>
  <c r="M27" i="3"/>
  <c r="J28" i="3"/>
  <c r="K28" i="3" s="1"/>
  <c r="F28" i="3"/>
  <c r="G28" i="3"/>
  <c r="C28" i="3"/>
  <c r="E29" i="4"/>
  <c r="I29" i="4"/>
  <c r="H29" i="4"/>
  <c r="A30" i="4"/>
  <c r="B29" i="4"/>
  <c r="J28" i="4"/>
  <c r="K28" i="4" s="1"/>
  <c r="C28" i="4"/>
  <c r="F28" i="4"/>
  <c r="G28" i="4"/>
  <c r="B29" i="3"/>
  <c r="I29" i="3"/>
  <c r="E29" i="3"/>
  <c r="H29" i="3"/>
  <c r="A30" i="3"/>
  <c r="M28" i="4" l="1"/>
  <c r="M28" i="3"/>
  <c r="E30" i="3"/>
  <c r="I30" i="3"/>
  <c r="H30" i="3"/>
  <c r="B30" i="3"/>
  <c r="A31" i="3"/>
  <c r="F29" i="4"/>
  <c r="G29" i="4"/>
  <c r="C29" i="4"/>
  <c r="C29" i="3"/>
  <c r="G29" i="3"/>
  <c r="F29" i="3"/>
  <c r="B30" i="4"/>
  <c r="E30" i="4"/>
  <c r="A31" i="4"/>
  <c r="I30" i="4"/>
  <c r="H30" i="4"/>
  <c r="J29" i="3"/>
  <c r="K29" i="3" s="1"/>
  <c r="J29" i="4"/>
  <c r="K29" i="4" s="1"/>
  <c r="M29" i="3" l="1"/>
  <c r="M29" i="4"/>
  <c r="J30" i="4"/>
  <c r="K30" i="4" s="1"/>
  <c r="I31" i="4"/>
  <c r="E31" i="4"/>
  <c r="H31" i="4"/>
  <c r="B31" i="4"/>
  <c r="A32" i="4"/>
  <c r="B31" i="3"/>
  <c r="H31" i="3"/>
  <c r="A32" i="3"/>
  <c r="E31" i="3"/>
  <c r="I31" i="3"/>
  <c r="F30" i="3"/>
  <c r="C30" i="3"/>
  <c r="G30" i="3"/>
  <c r="J30" i="3"/>
  <c r="K30" i="3" s="1"/>
  <c r="F30" i="4"/>
  <c r="G30" i="4"/>
  <c r="C30" i="4"/>
  <c r="M30" i="4" l="1"/>
  <c r="M30" i="3"/>
  <c r="I32" i="3"/>
  <c r="E32" i="3"/>
  <c r="B32" i="3"/>
  <c r="A33" i="3"/>
  <c r="H32" i="3"/>
  <c r="J31" i="3"/>
  <c r="K31" i="3" s="1"/>
  <c r="B32" i="4"/>
  <c r="H32" i="4"/>
  <c r="I32" i="4"/>
  <c r="E32" i="4"/>
  <c r="A33" i="4"/>
  <c r="C31" i="4"/>
  <c r="F31" i="4"/>
  <c r="G31" i="4"/>
  <c r="J31" i="4"/>
  <c r="K31" i="4" s="1"/>
  <c r="C31" i="3"/>
  <c r="G31" i="3"/>
  <c r="F31" i="3"/>
  <c r="M31" i="3" l="1"/>
  <c r="M31" i="4"/>
  <c r="J32" i="4"/>
  <c r="K32" i="4" s="1"/>
  <c r="C32" i="4"/>
  <c r="G32" i="4"/>
  <c r="F32" i="4"/>
  <c r="E33" i="3"/>
  <c r="I33" i="3"/>
  <c r="H33" i="3"/>
  <c r="B33" i="3"/>
  <c r="A34" i="3"/>
  <c r="A34" i="4"/>
  <c r="H33" i="4"/>
  <c r="B33" i="4"/>
  <c r="I33" i="4"/>
  <c r="E33" i="4"/>
  <c r="G32" i="3"/>
  <c r="F32" i="3"/>
  <c r="C32" i="3"/>
  <c r="J32" i="3"/>
  <c r="K32" i="3" s="1"/>
  <c r="M32" i="3" l="1"/>
  <c r="M32" i="4"/>
  <c r="H34" i="4"/>
  <c r="A35" i="4"/>
  <c r="E34" i="4"/>
  <c r="I34" i="4"/>
  <c r="B34" i="4"/>
  <c r="J33" i="4"/>
  <c r="K33" i="4" s="1"/>
  <c r="B34" i="3"/>
  <c r="A35" i="3"/>
  <c r="E34" i="3"/>
  <c r="I34" i="3"/>
  <c r="H34" i="3"/>
  <c r="C33" i="3"/>
  <c r="G33" i="3"/>
  <c r="F33" i="3"/>
  <c r="J33" i="3"/>
  <c r="K33" i="3" s="1"/>
  <c r="F33" i="4"/>
  <c r="G33" i="4"/>
  <c r="C33" i="4"/>
  <c r="M33" i="4" l="1"/>
  <c r="M33" i="3"/>
  <c r="I35" i="3"/>
  <c r="E35" i="3"/>
  <c r="A36" i="3"/>
  <c r="H35" i="3"/>
  <c r="B35" i="3"/>
  <c r="G34" i="4"/>
  <c r="F34" i="4"/>
  <c r="C34" i="4"/>
  <c r="J34" i="3"/>
  <c r="K34" i="3" s="1"/>
  <c r="H35" i="4"/>
  <c r="A36" i="4"/>
  <c r="I35" i="4"/>
  <c r="E35" i="4"/>
  <c r="B35" i="4"/>
  <c r="F34" i="3"/>
  <c r="C34" i="3"/>
  <c r="G34" i="3"/>
  <c r="J34" i="4"/>
  <c r="K34" i="4" s="1"/>
  <c r="M34" i="3" l="1"/>
  <c r="M34" i="4"/>
  <c r="C35" i="4"/>
  <c r="G35" i="4"/>
  <c r="F35" i="4"/>
  <c r="E36" i="4"/>
  <c r="I36" i="4"/>
  <c r="B36" i="4"/>
  <c r="H36" i="4"/>
  <c r="A37" i="4"/>
  <c r="J35" i="3"/>
  <c r="K35" i="3" s="1"/>
  <c r="G35" i="3"/>
  <c r="C35" i="3"/>
  <c r="F35" i="3"/>
  <c r="H36" i="3"/>
  <c r="B36" i="3"/>
  <c r="A37" i="3"/>
  <c r="E36" i="3"/>
  <c r="I36" i="3"/>
  <c r="J35" i="4"/>
  <c r="K35" i="4" s="1"/>
  <c r="M35" i="4" s="1"/>
  <c r="M35" i="3" l="1"/>
  <c r="H37" i="3"/>
  <c r="I37" i="3"/>
  <c r="B37" i="3"/>
  <c r="A38" i="3"/>
  <c r="E37" i="3"/>
  <c r="H37" i="4"/>
  <c r="B37" i="4"/>
  <c r="I37" i="4"/>
  <c r="E37" i="4"/>
  <c r="A38" i="4"/>
  <c r="J36" i="4"/>
  <c r="K36" i="4" s="1"/>
  <c r="J36" i="3"/>
  <c r="K36" i="3" s="1"/>
  <c r="F36" i="4"/>
  <c r="G36" i="4"/>
  <c r="C36" i="4"/>
  <c r="C36" i="3"/>
  <c r="G36" i="3"/>
  <c r="F36" i="3"/>
  <c r="M36" i="4" l="1"/>
  <c r="M36" i="3"/>
  <c r="F37" i="4"/>
  <c r="G37" i="4"/>
  <c r="C37" i="4"/>
  <c r="B38" i="3"/>
  <c r="I38" i="3"/>
  <c r="H38" i="3"/>
  <c r="E38" i="3"/>
  <c r="A39" i="3"/>
  <c r="I38" i="4"/>
  <c r="H38" i="4"/>
  <c r="B38" i="4"/>
  <c r="A39" i="4"/>
  <c r="E38" i="4"/>
  <c r="C37" i="3"/>
  <c r="F37" i="3"/>
  <c r="G37" i="3"/>
  <c r="J37" i="4"/>
  <c r="K37" i="4" s="1"/>
  <c r="J37" i="3"/>
  <c r="K37" i="3" s="1"/>
  <c r="M37" i="4" l="1"/>
  <c r="M37" i="3"/>
  <c r="I39" i="4"/>
  <c r="B39" i="4"/>
  <c r="E39" i="4"/>
  <c r="H39" i="4"/>
  <c r="A40" i="4"/>
  <c r="J38" i="4"/>
  <c r="K38" i="4" s="1"/>
  <c r="C38" i="4"/>
  <c r="G38" i="4"/>
  <c r="F38" i="4"/>
  <c r="H39" i="3"/>
  <c r="I39" i="3"/>
  <c r="E39" i="3"/>
  <c r="B39" i="3"/>
  <c r="A40" i="3"/>
  <c r="J38" i="3"/>
  <c r="K38" i="3" s="1"/>
  <c r="G38" i="3"/>
  <c r="C38" i="3"/>
  <c r="F38" i="3"/>
  <c r="M38" i="4" l="1"/>
  <c r="M38" i="3"/>
  <c r="J39" i="3"/>
  <c r="K39" i="3" s="1"/>
  <c r="H40" i="3"/>
  <c r="B40" i="3"/>
  <c r="I40" i="3"/>
  <c r="E40" i="3"/>
  <c r="A41" i="3"/>
  <c r="J39" i="4"/>
  <c r="K39" i="4" s="1"/>
  <c r="E40" i="4"/>
  <c r="I40" i="4"/>
  <c r="A41" i="4"/>
  <c r="B40" i="4"/>
  <c r="H40" i="4"/>
  <c r="C39" i="3"/>
  <c r="G39" i="3"/>
  <c r="F39" i="3"/>
  <c r="C39" i="4"/>
  <c r="F39" i="4"/>
  <c r="G39" i="4"/>
  <c r="M39" i="4" l="1"/>
  <c r="M39" i="3"/>
  <c r="J40" i="4"/>
  <c r="K40" i="4" s="1"/>
  <c r="F40" i="3"/>
  <c r="C40" i="3"/>
  <c r="G40" i="3"/>
  <c r="G40" i="4"/>
  <c r="C40" i="4"/>
  <c r="F40" i="4"/>
  <c r="B41" i="4"/>
  <c r="I41" i="4"/>
  <c r="H41" i="4"/>
  <c r="A42" i="4"/>
  <c r="E41" i="4"/>
  <c r="B41" i="3"/>
  <c r="H41" i="3"/>
  <c r="E41" i="3"/>
  <c r="I41" i="3"/>
  <c r="A42" i="3"/>
  <c r="J40" i="3"/>
  <c r="K40" i="3" s="1"/>
  <c r="M40" i="4" l="1"/>
  <c r="M40" i="3"/>
  <c r="G41" i="3"/>
  <c r="C41" i="3"/>
  <c r="F41" i="3"/>
  <c r="J41" i="4"/>
  <c r="K41" i="4" s="1"/>
  <c r="B42" i="3"/>
  <c r="H42" i="3"/>
  <c r="E42" i="3"/>
  <c r="I42" i="3"/>
  <c r="A43" i="3"/>
  <c r="J41" i="3"/>
  <c r="K41" i="3" s="1"/>
  <c r="B42" i="4"/>
  <c r="H42" i="4"/>
  <c r="I42" i="4"/>
  <c r="E42" i="4"/>
  <c r="A43" i="4"/>
  <c r="C41" i="4"/>
  <c r="G41" i="4"/>
  <c r="F41" i="4"/>
  <c r="M41" i="4" l="1"/>
  <c r="M41" i="3"/>
  <c r="J42" i="4"/>
  <c r="K42" i="4" s="1"/>
  <c r="H43" i="3"/>
  <c r="E43" i="3"/>
  <c r="I43" i="3"/>
  <c r="B43" i="3"/>
  <c r="A44" i="3"/>
  <c r="F42" i="4"/>
  <c r="G42" i="4"/>
  <c r="C42" i="4"/>
  <c r="H43" i="4"/>
  <c r="E43" i="4"/>
  <c r="I43" i="4"/>
  <c r="A44" i="4"/>
  <c r="B43" i="4"/>
  <c r="J42" i="3"/>
  <c r="K42" i="3" s="1"/>
  <c r="F42" i="3"/>
  <c r="C42" i="3"/>
  <c r="G42" i="3"/>
  <c r="M42" i="3" l="1"/>
  <c r="M42" i="4"/>
  <c r="J43" i="4"/>
  <c r="K43" i="4" s="1"/>
  <c r="F43" i="4"/>
  <c r="G43" i="4"/>
  <c r="C43" i="4"/>
  <c r="F43" i="3"/>
  <c r="G43" i="3"/>
  <c r="C43" i="3"/>
  <c r="H44" i="4"/>
  <c r="I44" i="4"/>
  <c r="E44" i="4"/>
  <c r="A45" i="4"/>
  <c r="B44" i="4"/>
  <c r="B44" i="3"/>
  <c r="I44" i="3"/>
  <c r="H44" i="3"/>
  <c r="E44" i="3"/>
  <c r="A45" i="3"/>
  <c r="J43" i="3"/>
  <c r="K43" i="3" s="1"/>
  <c r="M43" i="3" l="1"/>
  <c r="M43" i="4"/>
  <c r="J44" i="3"/>
  <c r="K44" i="3" s="1"/>
  <c r="G44" i="4"/>
  <c r="F44" i="4"/>
  <c r="C44" i="4"/>
  <c r="F44" i="3"/>
  <c r="C44" i="3"/>
  <c r="G44" i="3"/>
  <c r="H45" i="4"/>
  <c r="B45" i="4"/>
  <c r="A46" i="4"/>
  <c r="I45" i="4"/>
  <c r="E45" i="4"/>
  <c r="J44" i="4"/>
  <c r="K44" i="4" s="1"/>
  <c r="I45" i="3"/>
  <c r="H45" i="3"/>
  <c r="E45" i="3"/>
  <c r="B45" i="3"/>
  <c r="A46" i="3"/>
  <c r="M44" i="3" l="1"/>
  <c r="M44" i="4"/>
  <c r="B46" i="3"/>
  <c r="A47" i="3"/>
  <c r="E46" i="3"/>
  <c r="H46" i="3"/>
  <c r="I46" i="3"/>
  <c r="J45" i="3"/>
  <c r="K45" i="3" s="1"/>
  <c r="H46" i="4"/>
  <c r="I46" i="4"/>
  <c r="E46" i="4"/>
  <c r="A47" i="4"/>
  <c r="B46" i="4"/>
  <c r="F45" i="3"/>
  <c r="C45" i="3"/>
  <c r="G45" i="3"/>
  <c r="F45" i="4"/>
  <c r="G45" i="4"/>
  <c r="C45" i="4"/>
  <c r="J45" i="4"/>
  <c r="K45" i="4" s="1"/>
  <c r="M45" i="4" l="1"/>
  <c r="M45" i="3"/>
  <c r="J46" i="4"/>
  <c r="K46" i="4" s="1"/>
  <c r="F46" i="4"/>
  <c r="C46" i="4"/>
  <c r="G46" i="4"/>
  <c r="B47" i="4"/>
  <c r="H47" i="4"/>
  <c r="E47" i="4"/>
  <c r="I47" i="4"/>
  <c r="A48" i="4"/>
  <c r="J46" i="3"/>
  <c r="K46" i="3" s="1"/>
  <c r="E47" i="3"/>
  <c r="I47" i="3"/>
  <c r="H47" i="3"/>
  <c r="B47" i="3"/>
  <c r="A48" i="3"/>
  <c r="G46" i="3"/>
  <c r="C46" i="3"/>
  <c r="F46" i="3"/>
  <c r="M46" i="3" l="1"/>
  <c r="M46" i="4"/>
  <c r="J47" i="3"/>
  <c r="K47" i="3" s="1"/>
  <c r="E48" i="3"/>
  <c r="I48" i="3"/>
  <c r="A49" i="3"/>
  <c r="H48" i="3"/>
  <c r="B48" i="3"/>
  <c r="F47" i="3"/>
  <c r="C47" i="3"/>
  <c r="G47" i="3"/>
  <c r="B48" i="4"/>
  <c r="A49" i="4"/>
  <c r="H48" i="4"/>
  <c r="E48" i="4"/>
  <c r="I48" i="4"/>
  <c r="J47" i="4"/>
  <c r="K47" i="4" s="1"/>
  <c r="G47" i="4"/>
  <c r="F47" i="4"/>
  <c r="C47" i="4"/>
  <c r="M47" i="4" l="1"/>
  <c r="M47" i="3"/>
  <c r="J48" i="4"/>
  <c r="K48" i="4" s="1"/>
  <c r="B49" i="4"/>
  <c r="H49" i="4"/>
  <c r="I49" i="4"/>
  <c r="E49" i="4"/>
  <c r="A50" i="4"/>
  <c r="C48" i="3"/>
  <c r="F48" i="3"/>
  <c r="G48" i="3"/>
  <c r="J48" i="3"/>
  <c r="K48" i="3" s="1"/>
  <c r="B49" i="3"/>
  <c r="I49" i="3"/>
  <c r="A50" i="3"/>
  <c r="H49" i="3"/>
  <c r="E49" i="3"/>
  <c r="F48" i="4"/>
  <c r="G48" i="4"/>
  <c r="C48" i="4"/>
  <c r="M48" i="4" l="1"/>
  <c r="M48" i="3"/>
  <c r="J49" i="3"/>
  <c r="K49" i="3" s="1"/>
  <c r="F49" i="3"/>
  <c r="C49" i="3"/>
  <c r="G49" i="3"/>
  <c r="J49" i="4"/>
  <c r="K49" i="4" s="1"/>
  <c r="B50" i="3"/>
  <c r="A51" i="3"/>
  <c r="H50" i="3"/>
  <c r="E50" i="3"/>
  <c r="I50" i="3"/>
  <c r="H50" i="4"/>
  <c r="B50" i="4"/>
  <c r="E50" i="4"/>
  <c r="A51" i="4"/>
  <c r="C49" i="4"/>
  <c r="F49" i="4"/>
  <c r="G49" i="4"/>
  <c r="M49" i="4" l="1"/>
  <c r="M49" i="3"/>
  <c r="I50" i="4"/>
  <c r="J50" i="4" s="1"/>
  <c r="K50" i="4" s="1"/>
  <c r="H51" i="3"/>
  <c r="B51" i="3"/>
  <c r="I51" i="3"/>
  <c r="E51" i="3"/>
  <c r="A52" i="3"/>
  <c r="G50" i="4"/>
  <c r="F50" i="4"/>
  <c r="C50" i="4"/>
  <c r="J50" i="3"/>
  <c r="K50" i="3" s="1"/>
  <c r="H51" i="4"/>
  <c r="I51" i="4" s="1"/>
  <c r="E51" i="4"/>
  <c r="B51" i="4"/>
  <c r="A52" i="4"/>
  <c r="G50" i="3"/>
  <c r="F50" i="3"/>
  <c r="C50" i="3"/>
  <c r="M50" i="3" l="1"/>
  <c r="M50" i="4"/>
  <c r="B52" i="4"/>
  <c r="E52" i="4"/>
  <c r="H52" i="4"/>
  <c r="A53" i="4"/>
  <c r="B52" i="3"/>
  <c r="H52" i="3"/>
  <c r="I52" i="3"/>
  <c r="E52" i="3"/>
  <c r="A53" i="3"/>
  <c r="K51" i="4"/>
  <c r="J51" i="4"/>
  <c r="G51" i="3"/>
  <c r="C51" i="3"/>
  <c r="F51" i="3"/>
  <c r="F51" i="4"/>
  <c r="G51" i="4"/>
  <c r="M51" i="4"/>
  <c r="C51" i="4"/>
  <c r="J51" i="3"/>
  <c r="K51" i="3" s="1"/>
  <c r="M51" i="3" l="1"/>
  <c r="I53" i="3"/>
  <c r="E53" i="3"/>
  <c r="H53" i="3"/>
  <c r="B53" i="3"/>
  <c r="A54" i="3"/>
  <c r="K52" i="4"/>
  <c r="J52" i="4"/>
  <c r="G52" i="3"/>
  <c r="C52" i="3"/>
  <c r="F52" i="3"/>
  <c r="H53" i="4"/>
  <c r="E53" i="4"/>
  <c r="B53" i="4"/>
  <c r="A54" i="4"/>
  <c r="I52" i="4"/>
  <c r="J52" i="3"/>
  <c r="K52" i="3" s="1"/>
  <c r="C52" i="4"/>
  <c r="G52" i="4"/>
  <c r="F52" i="4"/>
  <c r="M52" i="4"/>
  <c r="M52" i="3" l="1"/>
  <c r="G53" i="4"/>
  <c r="C53" i="4"/>
  <c r="F53" i="4"/>
  <c r="M53" i="4"/>
  <c r="H54" i="4"/>
  <c r="B54" i="4"/>
  <c r="E54" i="4"/>
  <c r="A55" i="4"/>
  <c r="F53" i="3"/>
  <c r="G53" i="3"/>
  <c r="C53" i="3"/>
  <c r="J53" i="4"/>
  <c r="K53" i="4"/>
  <c r="J53" i="3"/>
  <c r="K53" i="3" s="1"/>
  <c r="I53" i="4"/>
  <c r="E54" i="3"/>
  <c r="I54" i="3"/>
  <c r="H54" i="3"/>
  <c r="B54" i="3"/>
  <c r="A55" i="3"/>
  <c r="M53" i="3" l="1"/>
  <c r="B55" i="3"/>
  <c r="I55" i="3"/>
  <c r="H55" i="3"/>
  <c r="E55" i="3"/>
  <c r="A56" i="3"/>
  <c r="J54" i="3"/>
  <c r="K54" i="3" s="1"/>
  <c r="B55" i="4"/>
  <c r="E55" i="4"/>
  <c r="H55" i="4"/>
  <c r="I55" i="4" s="1"/>
  <c r="A56" i="4"/>
  <c r="K54" i="4"/>
  <c r="J54" i="4"/>
  <c r="I54" i="4"/>
  <c r="C54" i="3"/>
  <c r="G54" i="3"/>
  <c r="F54" i="3"/>
  <c r="G54" i="4"/>
  <c r="M54" i="4"/>
  <c r="F54" i="4"/>
  <c r="C54" i="4"/>
  <c r="M54" i="3" l="1"/>
  <c r="B56" i="3"/>
  <c r="E56" i="3"/>
  <c r="I56" i="3"/>
  <c r="H56" i="3"/>
  <c r="A57" i="3"/>
  <c r="B56" i="4"/>
  <c r="E56" i="4"/>
  <c r="H56" i="4"/>
  <c r="I56" i="4" s="1"/>
  <c r="A57" i="4"/>
  <c r="J55" i="3"/>
  <c r="K55" i="3" s="1"/>
  <c r="J55" i="4"/>
  <c r="K55" i="4"/>
  <c r="C55" i="4"/>
  <c r="F55" i="4"/>
  <c r="G55" i="4"/>
  <c r="M55" i="4"/>
  <c r="F55" i="3"/>
  <c r="G55" i="3"/>
  <c r="C55" i="3"/>
  <c r="M55" i="3" l="1"/>
  <c r="H57" i="3"/>
  <c r="I57" i="3"/>
  <c r="B57" i="3"/>
  <c r="E57" i="3"/>
  <c r="A58" i="3"/>
  <c r="J56" i="3"/>
  <c r="K56" i="3" s="1"/>
  <c r="H57" i="4"/>
  <c r="I57" i="4" s="1"/>
  <c r="B57" i="4"/>
  <c r="E57" i="4"/>
  <c r="A58" i="4"/>
  <c r="J56" i="4"/>
  <c r="K56" i="4"/>
  <c r="F56" i="4"/>
  <c r="C56" i="4"/>
  <c r="G56" i="4"/>
  <c r="M56" i="4"/>
  <c r="F56" i="3"/>
  <c r="C56" i="3"/>
  <c r="G56" i="3"/>
  <c r="M56" i="3" l="1"/>
  <c r="B58" i="3"/>
  <c r="I58" i="3"/>
  <c r="H58" i="3"/>
  <c r="E58" i="3"/>
  <c r="A59" i="3"/>
  <c r="E58" i="4"/>
  <c r="B58" i="4"/>
  <c r="H58" i="4"/>
  <c r="I58" i="4" s="1"/>
  <c r="A59" i="4"/>
  <c r="G57" i="3"/>
  <c r="F57" i="3"/>
  <c r="C57" i="3"/>
  <c r="M57" i="4"/>
  <c r="C57" i="4"/>
  <c r="G57" i="4"/>
  <c r="F57" i="4"/>
  <c r="J57" i="4"/>
  <c r="K57" i="4"/>
  <c r="J57" i="3"/>
  <c r="K57" i="3" s="1"/>
  <c r="M57" i="3" l="1"/>
  <c r="K58" i="4"/>
  <c r="J58" i="4"/>
  <c r="B59" i="3"/>
  <c r="E59" i="3"/>
  <c r="I59" i="3"/>
  <c r="H59" i="3"/>
  <c r="A60" i="3"/>
  <c r="H59" i="4"/>
  <c r="E59" i="4"/>
  <c r="B59" i="4"/>
  <c r="A60" i="4"/>
  <c r="J58" i="3"/>
  <c r="K58" i="3" s="1"/>
  <c r="G58" i="4"/>
  <c r="F58" i="4"/>
  <c r="M58" i="4"/>
  <c r="C58" i="4"/>
  <c r="C58" i="3"/>
  <c r="F58" i="3"/>
  <c r="G58" i="3"/>
  <c r="M58" i="3" l="1"/>
  <c r="K59" i="4"/>
  <c r="J59" i="4"/>
  <c r="E60" i="3"/>
  <c r="I60" i="3"/>
  <c r="B60" i="3"/>
  <c r="H60" i="3"/>
  <c r="A61" i="3"/>
  <c r="J59" i="3"/>
  <c r="K59" i="3" s="1"/>
  <c r="H60" i="4"/>
  <c r="I60" i="4" s="1"/>
  <c r="E60" i="4"/>
  <c r="B60" i="4"/>
  <c r="A61" i="4"/>
  <c r="C59" i="4"/>
  <c r="M59" i="4"/>
  <c r="G59" i="4"/>
  <c r="F59" i="4"/>
  <c r="I59" i="4"/>
  <c r="C59" i="3"/>
  <c r="F59" i="3"/>
  <c r="G59" i="3"/>
  <c r="M59" i="3" l="1"/>
  <c r="H61" i="3"/>
  <c r="A62" i="3"/>
  <c r="E61" i="3"/>
  <c r="I61" i="3"/>
  <c r="B61" i="3"/>
  <c r="J60" i="3"/>
  <c r="K60" i="3" s="1"/>
  <c r="G60" i="4"/>
  <c r="M60" i="4"/>
  <c r="C60" i="4"/>
  <c r="F60" i="4"/>
  <c r="H61" i="4"/>
  <c r="I61" i="4" s="1"/>
  <c r="B61" i="4"/>
  <c r="E61" i="4"/>
  <c r="A62" i="4"/>
  <c r="G60" i="3"/>
  <c r="C60" i="3"/>
  <c r="F60" i="3"/>
  <c r="J60" i="4"/>
  <c r="K60" i="4"/>
  <c r="M60" i="3" l="1"/>
  <c r="H62" i="4"/>
  <c r="I62" i="4" s="1"/>
  <c r="A63" i="4"/>
  <c r="E62" i="4"/>
  <c r="B62" i="4"/>
  <c r="G61" i="3"/>
  <c r="C61" i="3"/>
  <c r="F61" i="3"/>
  <c r="F61" i="4"/>
  <c r="G61" i="4"/>
  <c r="M61" i="4"/>
  <c r="C61" i="4"/>
  <c r="H62" i="3"/>
  <c r="E62" i="3"/>
  <c r="I62" i="3"/>
  <c r="A63" i="3"/>
  <c r="B62" i="3"/>
  <c r="K61" i="4"/>
  <c r="J61" i="4"/>
  <c r="J61" i="3"/>
  <c r="K61" i="3" s="1"/>
  <c r="M61" i="3" l="1"/>
  <c r="J62" i="3"/>
  <c r="K62" i="3" s="1"/>
  <c r="F62" i="4"/>
  <c r="M62" i="4"/>
  <c r="G62" i="4"/>
  <c r="C62" i="4"/>
  <c r="H63" i="4"/>
  <c r="I63" i="4" s="1"/>
  <c r="A64" i="4"/>
  <c r="B63" i="4"/>
  <c r="E63" i="4"/>
  <c r="G62" i="3"/>
  <c r="F62" i="3"/>
  <c r="C62" i="3"/>
  <c r="H63" i="3"/>
  <c r="E63" i="3"/>
  <c r="I63" i="3"/>
  <c r="B63" i="3"/>
  <c r="A64" i="3"/>
  <c r="J62" i="4"/>
  <c r="K62" i="4"/>
  <c r="M62" i="3" l="1"/>
  <c r="J63" i="3"/>
  <c r="K63" i="3" s="1"/>
  <c r="B64" i="3"/>
  <c r="E64" i="3"/>
  <c r="H64" i="3"/>
  <c r="A65" i="3"/>
  <c r="M63" i="4"/>
  <c r="C63" i="4"/>
  <c r="G63" i="4"/>
  <c r="F63" i="4"/>
  <c r="A65" i="4"/>
  <c r="H64" i="4"/>
  <c r="E64" i="4"/>
  <c r="B64" i="4"/>
  <c r="G63" i="3"/>
  <c r="F63" i="3"/>
  <c r="C63" i="3"/>
  <c r="J63" i="4"/>
  <c r="K63" i="4"/>
  <c r="M63" i="3" l="1"/>
  <c r="C64" i="4"/>
  <c r="F64" i="4"/>
  <c r="G64" i="4"/>
  <c r="M64" i="4"/>
  <c r="B65" i="3"/>
  <c r="H65" i="3"/>
  <c r="I65" i="3" s="1"/>
  <c r="E65" i="3"/>
  <c r="A66" i="3"/>
  <c r="J64" i="4"/>
  <c r="K64" i="4"/>
  <c r="H65" i="4"/>
  <c r="I65" i="4" s="1"/>
  <c r="E65" i="4"/>
  <c r="A66" i="4"/>
  <c r="B65" i="4"/>
  <c r="I64" i="4"/>
  <c r="I64" i="3"/>
  <c r="J64" i="3" s="1"/>
  <c r="K64" i="3" s="1"/>
  <c r="C64" i="3"/>
  <c r="G64" i="3"/>
  <c r="F64" i="3"/>
  <c r="M64" i="3" l="1"/>
  <c r="K65" i="4"/>
  <c r="J65" i="4"/>
  <c r="E66" i="3"/>
  <c r="H66" i="3"/>
  <c r="I66" i="3" s="1"/>
  <c r="A67" i="3"/>
  <c r="B66" i="3"/>
  <c r="C65" i="3"/>
  <c r="F65" i="3"/>
  <c r="M65" i="3"/>
  <c r="G65" i="3"/>
  <c r="M65" i="4"/>
  <c r="G65" i="4"/>
  <c r="F65" i="4"/>
  <c r="C65" i="4"/>
  <c r="H66" i="4"/>
  <c r="A67" i="4"/>
  <c r="B66" i="4"/>
  <c r="E66" i="4"/>
  <c r="K65" i="3"/>
  <c r="J65" i="3"/>
  <c r="C66" i="4" l="1"/>
  <c r="M66" i="4"/>
  <c r="F66" i="4"/>
  <c r="G66" i="4"/>
  <c r="K66" i="4"/>
  <c r="J66" i="4"/>
  <c r="H67" i="4"/>
  <c r="I67" i="4" s="1"/>
  <c r="A68" i="4"/>
  <c r="E67" i="4"/>
  <c r="B67" i="4"/>
  <c r="H67" i="3"/>
  <c r="I67" i="3" s="1"/>
  <c r="B67" i="3"/>
  <c r="A68" i="3"/>
  <c r="E67" i="3"/>
  <c r="F66" i="3"/>
  <c r="G66" i="3"/>
  <c r="C66" i="3"/>
  <c r="M66" i="3"/>
  <c r="K66" i="3"/>
  <c r="J66" i="3"/>
  <c r="I66" i="4"/>
  <c r="J67" i="3" l="1"/>
  <c r="K67" i="3"/>
  <c r="M67" i="3"/>
  <c r="G67" i="3"/>
  <c r="F67" i="3"/>
  <c r="C67" i="3"/>
  <c r="F67" i="4"/>
  <c r="G67" i="4"/>
  <c r="M67" i="4"/>
  <c r="C67" i="4"/>
  <c r="E68" i="4"/>
  <c r="B68" i="4"/>
  <c r="A69" i="4"/>
  <c r="H68" i="4"/>
  <c r="A69" i="3"/>
  <c r="H68" i="3"/>
  <c r="I68" i="3" s="1"/>
  <c r="E68" i="3"/>
  <c r="B68" i="3"/>
  <c r="J67" i="4"/>
  <c r="K67" i="4"/>
  <c r="B69" i="3" l="1"/>
  <c r="H69" i="3"/>
  <c r="I69" i="3" s="1"/>
  <c r="E69" i="3"/>
  <c r="A70" i="3"/>
  <c r="G68" i="3"/>
  <c r="F68" i="3"/>
  <c r="M68" i="3"/>
  <c r="C68" i="3"/>
  <c r="A70" i="4"/>
  <c r="B69" i="4"/>
  <c r="E69" i="4"/>
  <c r="H69" i="4"/>
  <c r="I69" i="4" s="1"/>
  <c r="K68" i="4"/>
  <c r="J68" i="4"/>
  <c r="K68" i="3"/>
  <c r="J68" i="3"/>
  <c r="I68" i="4"/>
  <c r="C68" i="4"/>
  <c r="F68" i="4"/>
  <c r="M68" i="4"/>
  <c r="G68" i="4"/>
  <c r="B70" i="3" l="1"/>
  <c r="H70" i="3"/>
  <c r="I70" i="3" s="1"/>
  <c r="A71" i="3"/>
  <c r="E70" i="3"/>
  <c r="M69" i="4"/>
  <c r="C69" i="4"/>
  <c r="F69" i="4"/>
  <c r="G69" i="4"/>
  <c r="K69" i="4"/>
  <c r="J69" i="4"/>
  <c r="J69" i="3"/>
  <c r="K69" i="3"/>
  <c r="H70" i="4"/>
  <c r="E70" i="4"/>
  <c r="B70" i="4"/>
  <c r="A71" i="4"/>
  <c r="M69" i="3"/>
  <c r="C69" i="3"/>
  <c r="G69" i="3"/>
  <c r="F69" i="3"/>
  <c r="K70" i="4" l="1"/>
  <c r="J70" i="4"/>
  <c r="I70" i="4"/>
  <c r="E71" i="3"/>
  <c r="A72" i="3"/>
  <c r="H71" i="3"/>
  <c r="I71" i="3" s="1"/>
  <c r="B71" i="3"/>
  <c r="M70" i="4"/>
  <c r="F70" i="4"/>
  <c r="C70" i="4"/>
  <c r="G70" i="4"/>
  <c r="K70" i="3"/>
  <c r="J70" i="3"/>
  <c r="E71" i="4"/>
  <c r="H71" i="4"/>
  <c r="I71" i="4" s="1"/>
  <c r="B71" i="4"/>
  <c r="A72" i="4"/>
  <c r="G70" i="3"/>
  <c r="F70" i="3"/>
  <c r="C70" i="3"/>
  <c r="M70" i="3"/>
  <c r="J71" i="4" l="1"/>
  <c r="K71" i="4"/>
  <c r="G71" i="3"/>
  <c r="C71" i="3"/>
  <c r="M71" i="3"/>
  <c r="F71" i="3"/>
  <c r="H72" i="3"/>
  <c r="I72" i="3" s="1"/>
  <c r="B72" i="3"/>
  <c r="A73" i="3"/>
  <c r="E72" i="3"/>
  <c r="M71" i="4"/>
  <c r="C71" i="4"/>
  <c r="F71" i="4"/>
  <c r="G71" i="4"/>
  <c r="H72" i="4"/>
  <c r="B72" i="4"/>
  <c r="E72" i="4"/>
  <c r="A73" i="4"/>
  <c r="J71" i="3"/>
  <c r="K71" i="3"/>
  <c r="J72" i="4" l="1"/>
  <c r="K72" i="4"/>
  <c r="F72" i="3"/>
  <c r="C72" i="3"/>
  <c r="G72" i="3"/>
  <c r="M72" i="3"/>
  <c r="M72" i="4"/>
  <c r="F72" i="4"/>
  <c r="C72" i="4"/>
  <c r="G72" i="4"/>
  <c r="H73" i="3"/>
  <c r="I73" i="3" s="1"/>
  <c r="B73" i="3"/>
  <c r="E73" i="3"/>
  <c r="A74" i="3"/>
  <c r="H73" i="4"/>
  <c r="E73" i="4"/>
  <c r="B73" i="4"/>
  <c r="A74" i="4"/>
  <c r="I72" i="4"/>
  <c r="J72" i="3"/>
  <c r="K72" i="3"/>
  <c r="K73" i="4" l="1"/>
  <c r="J73" i="4"/>
  <c r="M73" i="4"/>
  <c r="G73" i="4"/>
  <c r="F73" i="4"/>
  <c r="C73" i="4"/>
  <c r="I73" i="4"/>
  <c r="E74" i="3"/>
  <c r="H74" i="3"/>
  <c r="B74" i="3"/>
  <c r="A75" i="3"/>
  <c r="G73" i="3"/>
  <c r="M73" i="3"/>
  <c r="C73" i="3"/>
  <c r="F73" i="3"/>
  <c r="B74" i="4"/>
  <c r="H74" i="4"/>
  <c r="E74" i="4"/>
  <c r="A75" i="4"/>
  <c r="J73" i="3"/>
  <c r="K73" i="3"/>
  <c r="J74" i="4" l="1"/>
  <c r="K74" i="4"/>
  <c r="H75" i="3"/>
  <c r="I75" i="3" s="1"/>
  <c r="B75" i="3"/>
  <c r="E75" i="3"/>
  <c r="A76" i="3"/>
  <c r="M74" i="3"/>
  <c r="C74" i="3"/>
  <c r="G74" i="3"/>
  <c r="F74" i="3"/>
  <c r="J74" i="3"/>
  <c r="K74" i="3"/>
  <c r="C74" i="4"/>
  <c r="F74" i="4"/>
  <c r="M74" i="4"/>
  <c r="G74" i="4"/>
  <c r="I74" i="3"/>
  <c r="B75" i="4"/>
  <c r="A76" i="4"/>
  <c r="E75" i="4"/>
  <c r="H75" i="4"/>
  <c r="I74" i="4"/>
  <c r="J75" i="4" l="1"/>
  <c r="K75" i="4"/>
  <c r="E76" i="4"/>
  <c r="A77" i="4"/>
  <c r="B76" i="4"/>
  <c r="H76" i="4"/>
  <c r="I75" i="4"/>
  <c r="E76" i="3"/>
  <c r="H76" i="3"/>
  <c r="I76" i="3" s="1"/>
  <c r="B76" i="3"/>
  <c r="A77" i="3"/>
  <c r="G75" i="3"/>
  <c r="F75" i="3"/>
  <c r="M75" i="3"/>
  <c r="C75" i="3"/>
  <c r="G75" i="4"/>
  <c r="M75" i="4"/>
  <c r="C75" i="4"/>
  <c r="F75" i="4"/>
  <c r="K75" i="3"/>
  <c r="J75" i="3"/>
  <c r="M76" i="3" l="1"/>
  <c r="G76" i="3"/>
  <c r="C76" i="3"/>
  <c r="F76" i="3"/>
  <c r="K76" i="4"/>
  <c r="J76" i="4"/>
  <c r="I76" i="4"/>
  <c r="E77" i="3"/>
  <c r="H77" i="3"/>
  <c r="I77" i="3" s="1"/>
  <c r="A78" i="3"/>
  <c r="B77" i="3"/>
  <c r="C76" i="4"/>
  <c r="G76" i="4"/>
  <c r="M76" i="4"/>
  <c r="F76" i="4"/>
  <c r="A78" i="4"/>
  <c r="H77" i="4"/>
  <c r="I77" i="4" s="1"/>
  <c r="B77" i="4"/>
  <c r="E77" i="4"/>
  <c r="J76" i="3"/>
  <c r="K76" i="3"/>
  <c r="E78" i="4" l="1"/>
  <c r="B78" i="4"/>
  <c r="A79" i="4"/>
  <c r="H78" i="4"/>
  <c r="G77" i="4"/>
  <c r="M77" i="4"/>
  <c r="C77" i="4"/>
  <c r="F77" i="4"/>
  <c r="B78" i="3"/>
  <c r="A79" i="3"/>
  <c r="E78" i="3"/>
  <c r="H78" i="3"/>
  <c r="K77" i="4"/>
  <c r="J77" i="4"/>
  <c r="K77" i="3"/>
  <c r="J77" i="3"/>
  <c r="C77" i="3"/>
  <c r="G77" i="3"/>
  <c r="F77" i="3"/>
  <c r="M77" i="3"/>
  <c r="K78" i="3" l="1"/>
  <c r="J78" i="3"/>
  <c r="H79" i="3"/>
  <c r="I79" i="3" s="1"/>
  <c r="E79" i="3"/>
  <c r="A80" i="3"/>
  <c r="B79" i="3"/>
  <c r="K78" i="4"/>
  <c r="J78" i="4"/>
  <c r="M78" i="3"/>
  <c r="F78" i="3"/>
  <c r="C78" i="3"/>
  <c r="G78" i="3"/>
  <c r="I78" i="4"/>
  <c r="H79" i="4"/>
  <c r="E79" i="4"/>
  <c r="B79" i="4"/>
  <c r="A80" i="4"/>
  <c r="G78" i="4"/>
  <c r="M78" i="4"/>
  <c r="C78" i="4"/>
  <c r="F78" i="4"/>
  <c r="I78" i="3"/>
  <c r="J79" i="4" l="1"/>
  <c r="K79" i="4"/>
  <c r="I79" i="4"/>
  <c r="E80" i="3"/>
  <c r="A81" i="3"/>
  <c r="B80" i="3"/>
  <c r="H80" i="3"/>
  <c r="G79" i="4"/>
  <c r="C79" i="4"/>
  <c r="F79" i="4"/>
  <c r="M79" i="4"/>
  <c r="E80" i="4"/>
  <c r="H80" i="4"/>
  <c r="I80" i="4" s="1"/>
  <c r="B80" i="4"/>
  <c r="A81" i="4"/>
  <c r="M79" i="3"/>
  <c r="C79" i="3"/>
  <c r="G79" i="3"/>
  <c r="F79" i="3"/>
  <c r="J79" i="3"/>
  <c r="K79" i="3"/>
  <c r="M80" i="4" l="1"/>
  <c r="C80" i="4"/>
  <c r="F80" i="4"/>
  <c r="G80" i="4"/>
  <c r="K80" i="4"/>
  <c r="J80" i="4"/>
  <c r="J80" i="3"/>
  <c r="K80" i="3"/>
  <c r="H81" i="4"/>
  <c r="I81" i="4" s="1"/>
  <c r="A82" i="4"/>
  <c r="E81" i="4"/>
  <c r="B81" i="4"/>
  <c r="F80" i="3"/>
  <c r="M80" i="3"/>
  <c r="G80" i="3"/>
  <c r="C80" i="3"/>
  <c r="E81" i="3"/>
  <c r="B81" i="3"/>
  <c r="H81" i="3"/>
  <c r="I81" i="3" s="1"/>
  <c r="A82" i="3"/>
  <c r="I80" i="3"/>
  <c r="H82" i="3" l="1"/>
  <c r="I82" i="3" s="1"/>
  <c r="E82" i="3"/>
  <c r="B82" i="3"/>
  <c r="A83" i="3"/>
  <c r="C81" i="4"/>
  <c r="G81" i="4"/>
  <c r="M81" i="4"/>
  <c r="F81" i="4"/>
  <c r="G81" i="3"/>
  <c r="C81" i="3"/>
  <c r="M81" i="3"/>
  <c r="F81" i="3"/>
  <c r="B82" i="4"/>
  <c r="A83" i="4"/>
  <c r="H82" i="4"/>
  <c r="E82" i="4"/>
  <c r="J81" i="3"/>
  <c r="K81" i="3"/>
  <c r="K81" i="4"/>
  <c r="J81" i="4"/>
  <c r="H83" i="4" l="1"/>
  <c r="I83" i="4" s="1"/>
  <c r="B83" i="4"/>
  <c r="A84" i="4"/>
  <c r="E83" i="4"/>
  <c r="H83" i="3"/>
  <c r="E83" i="3"/>
  <c r="A84" i="3"/>
  <c r="B83" i="3"/>
  <c r="F82" i="3"/>
  <c r="G82" i="3"/>
  <c r="C82" i="3"/>
  <c r="M82" i="3"/>
  <c r="J82" i="4"/>
  <c r="K82" i="4"/>
  <c r="I82" i="4"/>
  <c r="M82" i="4"/>
  <c r="F82" i="4"/>
  <c r="C82" i="4"/>
  <c r="G82" i="4"/>
  <c r="K82" i="3"/>
  <c r="J82" i="3"/>
  <c r="B84" i="3" l="1"/>
  <c r="H84" i="3"/>
  <c r="I84" i="3" s="1"/>
  <c r="A85" i="3"/>
  <c r="E84" i="3"/>
  <c r="J83" i="3"/>
  <c r="K83" i="3"/>
  <c r="M83" i="3"/>
  <c r="C83" i="3"/>
  <c r="G83" i="3"/>
  <c r="F83" i="3"/>
  <c r="I83" i="3"/>
  <c r="H84" i="4"/>
  <c r="I84" i="4" s="1"/>
  <c r="E84" i="4"/>
  <c r="B84" i="4"/>
  <c r="A85" i="4"/>
  <c r="F83" i="4"/>
  <c r="C83" i="4"/>
  <c r="G83" i="4"/>
  <c r="M83" i="4"/>
  <c r="K83" i="4"/>
  <c r="J83" i="4"/>
  <c r="G84" i="4" l="1"/>
  <c r="M84" i="4"/>
  <c r="C84" i="4"/>
  <c r="F84" i="4"/>
  <c r="B85" i="4"/>
  <c r="E85" i="4"/>
  <c r="H85" i="4"/>
  <c r="A86" i="4"/>
  <c r="H85" i="3"/>
  <c r="I85" i="3" s="1"/>
  <c r="B85" i="3"/>
  <c r="E85" i="3"/>
  <c r="A86" i="3"/>
  <c r="K84" i="3"/>
  <c r="J84" i="3"/>
  <c r="K84" i="4"/>
  <c r="J84" i="4"/>
  <c r="C84" i="3"/>
  <c r="M84" i="3"/>
  <c r="F84" i="3"/>
  <c r="G84" i="3"/>
  <c r="K85" i="3" l="1"/>
  <c r="J85" i="3"/>
  <c r="J85" i="4"/>
  <c r="K85" i="4"/>
  <c r="G85" i="3"/>
  <c r="C85" i="3"/>
  <c r="F85" i="3"/>
  <c r="M85" i="3"/>
  <c r="E86" i="4"/>
  <c r="B86" i="4"/>
  <c r="A87" i="4"/>
  <c r="H86" i="4"/>
  <c r="I85" i="4"/>
  <c r="B86" i="3"/>
  <c r="H86" i="3"/>
  <c r="E86" i="3"/>
  <c r="A87" i="3"/>
  <c r="C85" i="4"/>
  <c r="F85" i="4"/>
  <c r="G85" i="4"/>
  <c r="M85" i="4"/>
  <c r="K86" i="3" l="1"/>
  <c r="J86" i="3"/>
  <c r="G86" i="4"/>
  <c r="C86" i="4"/>
  <c r="M86" i="4"/>
  <c r="F86" i="4"/>
  <c r="M86" i="3"/>
  <c r="G86" i="3"/>
  <c r="C86" i="3"/>
  <c r="F86" i="3"/>
  <c r="E87" i="4"/>
  <c r="B87" i="4"/>
  <c r="H87" i="4"/>
  <c r="A88" i="4"/>
  <c r="I86" i="3"/>
  <c r="B87" i="3"/>
  <c r="H87" i="3"/>
  <c r="E87" i="3"/>
  <c r="A88" i="3"/>
  <c r="J86" i="4"/>
  <c r="K86" i="4"/>
  <c r="I86" i="4"/>
  <c r="K87" i="4" l="1"/>
  <c r="J87" i="4"/>
  <c r="K87" i="3"/>
  <c r="J87" i="3"/>
  <c r="M87" i="3"/>
  <c r="G87" i="3"/>
  <c r="F87" i="3"/>
  <c r="C87" i="3"/>
  <c r="E88" i="4"/>
  <c r="H88" i="4"/>
  <c r="B88" i="4"/>
  <c r="A89" i="4"/>
  <c r="I87" i="4"/>
  <c r="H88" i="3"/>
  <c r="I88" i="3" s="1"/>
  <c r="E88" i="3"/>
  <c r="B88" i="3"/>
  <c r="A89" i="3"/>
  <c r="C87" i="4"/>
  <c r="M87" i="4"/>
  <c r="F87" i="4"/>
  <c r="G87" i="4"/>
  <c r="I87" i="3"/>
  <c r="M88" i="3" l="1"/>
  <c r="G88" i="3"/>
  <c r="F88" i="3"/>
  <c r="C88" i="3"/>
  <c r="J88" i="4"/>
  <c r="K88" i="4"/>
  <c r="H89" i="3"/>
  <c r="I89" i="3" s="1"/>
  <c r="E89" i="3"/>
  <c r="B89" i="3"/>
  <c r="A90" i="3"/>
  <c r="M88" i="4"/>
  <c r="G88" i="4"/>
  <c r="F88" i="4"/>
  <c r="C88" i="4"/>
  <c r="K88" i="3"/>
  <c r="J88" i="3"/>
  <c r="B89" i="4"/>
  <c r="H89" i="4"/>
  <c r="I89" i="4" s="1"/>
  <c r="A90" i="4"/>
  <c r="E89" i="4"/>
  <c r="I88" i="4"/>
  <c r="H90" i="4" l="1"/>
  <c r="I90" i="4" s="1"/>
  <c r="B90" i="4"/>
  <c r="E90" i="4"/>
  <c r="A91" i="4"/>
  <c r="G89" i="4"/>
  <c r="F89" i="4"/>
  <c r="C89" i="4"/>
  <c r="M89" i="4"/>
  <c r="H90" i="3"/>
  <c r="E90" i="3"/>
  <c r="B90" i="3"/>
  <c r="A91" i="3"/>
  <c r="J89" i="4"/>
  <c r="K89" i="4"/>
  <c r="K89" i="3"/>
  <c r="J89" i="3"/>
  <c r="F89" i="3"/>
  <c r="C89" i="3"/>
  <c r="M89" i="3"/>
  <c r="G89" i="3"/>
  <c r="J90" i="3" l="1"/>
  <c r="K90" i="3"/>
  <c r="I90" i="3"/>
  <c r="H91" i="4"/>
  <c r="I91" i="4" s="1"/>
  <c r="B91" i="4"/>
  <c r="A92" i="4"/>
  <c r="E91" i="4"/>
  <c r="B91" i="3"/>
  <c r="E91" i="3"/>
  <c r="H91" i="3"/>
  <c r="I91" i="3" s="1"/>
  <c r="A92" i="3"/>
  <c r="G90" i="4"/>
  <c r="C90" i="4"/>
  <c r="M90" i="4"/>
  <c r="F90" i="4"/>
  <c r="F90" i="3"/>
  <c r="C90" i="3"/>
  <c r="M90" i="3"/>
  <c r="G90" i="3"/>
  <c r="J90" i="4"/>
  <c r="K90" i="4"/>
  <c r="C91" i="3" l="1"/>
  <c r="G91" i="3"/>
  <c r="M91" i="3"/>
  <c r="F91" i="3"/>
  <c r="B92" i="4"/>
  <c r="A93" i="4"/>
  <c r="H92" i="4"/>
  <c r="I92" i="4" s="1"/>
  <c r="E92" i="4"/>
  <c r="H92" i="3"/>
  <c r="B92" i="3"/>
  <c r="E92" i="3"/>
  <c r="A93" i="3"/>
  <c r="J91" i="4"/>
  <c r="K91" i="4"/>
  <c r="K91" i="3"/>
  <c r="J91" i="3"/>
  <c r="G91" i="4"/>
  <c r="F91" i="4"/>
  <c r="C91" i="4"/>
  <c r="M91" i="4"/>
  <c r="J92" i="3" l="1"/>
  <c r="K92" i="3"/>
  <c r="I92" i="3"/>
  <c r="G92" i="3"/>
  <c r="F92" i="3"/>
  <c r="M92" i="3"/>
  <c r="C92" i="3"/>
  <c r="M92" i="4"/>
  <c r="C92" i="4"/>
  <c r="G92" i="4"/>
  <c r="F92" i="4"/>
  <c r="B93" i="4"/>
  <c r="E93" i="4"/>
  <c r="A94" i="4"/>
  <c r="H93" i="4"/>
  <c r="E93" i="3"/>
  <c r="H93" i="3"/>
  <c r="I93" i="3" s="1"/>
  <c r="B93" i="3"/>
  <c r="A94" i="3"/>
  <c r="K92" i="4"/>
  <c r="J92" i="4"/>
  <c r="C93" i="3" l="1"/>
  <c r="G93" i="3"/>
  <c r="F93" i="3"/>
  <c r="M93" i="3"/>
  <c r="E94" i="3"/>
  <c r="B94" i="3"/>
  <c r="H94" i="3"/>
  <c r="A95" i="3"/>
  <c r="G93" i="4"/>
  <c r="C93" i="4"/>
  <c r="F93" i="4"/>
  <c r="M93" i="4"/>
  <c r="J93" i="4"/>
  <c r="K93" i="4"/>
  <c r="E94" i="4"/>
  <c r="B94" i="4"/>
  <c r="A95" i="4"/>
  <c r="H94" i="4"/>
  <c r="I94" i="4" s="1"/>
  <c r="K93" i="3"/>
  <c r="J93" i="3"/>
  <c r="I93" i="4"/>
  <c r="M94" i="4" l="1"/>
  <c r="C94" i="4"/>
  <c r="G94" i="4"/>
  <c r="F94" i="4"/>
  <c r="H95" i="3"/>
  <c r="I95" i="3" s="1"/>
  <c r="B95" i="3"/>
  <c r="A96" i="3"/>
  <c r="E95" i="3"/>
  <c r="J94" i="4"/>
  <c r="K94" i="4"/>
  <c r="G94" i="3"/>
  <c r="F94" i="3"/>
  <c r="C94" i="3"/>
  <c r="M94" i="3"/>
  <c r="B95" i="4"/>
  <c r="A96" i="4"/>
  <c r="H95" i="4"/>
  <c r="E95" i="4"/>
  <c r="J94" i="3"/>
  <c r="K94" i="3"/>
  <c r="I94" i="3"/>
  <c r="J95" i="4" l="1"/>
  <c r="K95" i="4"/>
  <c r="F95" i="4"/>
  <c r="M95" i="4"/>
  <c r="C95" i="4"/>
  <c r="G95" i="4"/>
  <c r="H96" i="3"/>
  <c r="I96" i="3" s="1"/>
  <c r="B96" i="3"/>
  <c r="E96" i="3"/>
  <c r="A97" i="3"/>
  <c r="C95" i="3"/>
  <c r="G95" i="3"/>
  <c r="F95" i="3"/>
  <c r="M95" i="3"/>
  <c r="I95" i="4"/>
  <c r="B96" i="4"/>
  <c r="A97" i="4"/>
  <c r="H96" i="4"/>
  <c r="E96" i="4"/>
  <c r="J95" i="3"/>
  <c r="K95" i="3"/>
  <c r="J96" i="4" l="1"/>
  <c r="K96" i="4"/>
  <c r="C96" i="3"/>
  <c r="M96" i="3"/>
  <c r="G96" i="3"/>
  <c r="F96" i="3"/>
  <c r="M96" i="4"/>
  <c r="C96" i="4"/>
  <c r="F96" i="4"/>
  <c r="G96" i="4"/>
  <c r="B97" i="4"/>
  <c r="E97" i="4"/>
  <c r="H97" i="4"/>
  <c r="A98" i="4"/>
  <c r="H97" i="3"/>
  <c r="E97" i="3"/>
  <c r="B97" i="3"/>
  <c r="A98" i="3"/>
  <c r="I96" i="4"/>
  <c r="J96" i="3"/>
  <c r="K96" i="3"/>
  <c r="K97" i="4" l="1"/>
  <c r="J97" i="4"/>
  <c r="M97" i="4"/>
  <c r="C97" i="4"/>
  <c r="F97" i="4"/>
  <c r="G97" i="4"/>
  <c r="J97" i="3"/>
  <c r="K97" i="3"/>
  <c r="M97" i="3"/>
  <c r="F97" i="3"/>
  <c r="G97" i="3"/>
  <c r="C97" i="3"/>
  <c r="I97" i="3"/>
  <c r="E98" i="4"/>
  <c r="H98" i="4"/>
  <c r="I98" i="4" s="1"/>
  <c r="A99" i="4"/>
  <c r="B98" i="4"/>
  <c r="I97" i="4"/>
  <c r="H98" i="3"/>
  <c r="B98" i="3"/>
  <c r="E98" i="3"/>
  <c r="A99" i="3"/>
  <c r="A100" i="3" l="1"/>
  <c r="H99" i="3"/>
  <c r="I99" i="3" s="1"/>
  <c r="E99" i="3"/>
  <c r="B99" i="3"/>
  <c r="K98" i="3"/>
  <c r="J98" i="3"/>
  <c r="H99" i="4"/>
  <c r="I99" i="4" s="1"/>
  <c r="E99" i="4"/>
  <c r="B99" i="4"/>
  <c r="A100" i="4"/>
  <c r="G98" i="4"/>
  <c r="C98" i="4"/>
  <c r="F98" i="4"/>
  <c r="M98" i="4"/>
  <c r="F98" i="3"/>
  <c r="C98" i="3"/>
  <c r="G98" i="3"/>
  <c r="M98" i="3"/>
  <c r="J98" i="4"/>
  <c r="K98" i="4"/>
  <c r="I98" i="3"/>
  <c r="C99" i="3" l="1"/>
  <c r="F99" i="3"/>
  <c r="M99" i="3"/>
  <c r="G99" i="3"/>
  <c r="J99" i="4"/>
  <c r="K99" i="4"/>
  <c r="C99" i="4"/>
  <c r="G99" i="4"/>
  <c r="M99" i="4"/>
  <c r="F99" i="4"/>
  <c r="J99" i="3"/>
  <c r="K99" i="3"/>
  <c r="E100" i="4"/>
  <c r="B100" i="4"/>
  <c r="H100" i="4"/>
  <c r="A101" i="4"/>
  <c r="H100" i="3"/>
  <c r="B100" i="3"/>
  <c r="E100" i="3"/>
  <c r="A101" i="3"/>
  <c r="B101" i="4" l="1"/>
  <c r="H101" i="4"/>
  <c r="I101" i="4" s="1"/>
  <c r="E101" i="4"/>
  <c r="A102" i="4"/>
  <c r="G100" i="4"/>
  <c r="M100" i="4"/>
  <c r="F100" i="4"/>
  <c r="C100" i="4"/>
  <c r="C100" i="3"/>
  <c r="M100" i="3"/>
  <c r="G100" i="3"/>
  <c r="F100" i="3"/>
  <c r="K100" i="4"/>
  <c r="J100" i="4"/>
  <c r="K100" i="3"/>
  <c r="J100" i="3"/>
  <c r="I100" i="4"/>
  <c r="I100" i="3"/>
  <c r="B101" i="3"/>
  <c r="A102" i="3"/>
  <c r="E101" i="3"/>
  <c r="H101" i="3"/>
  <c r="H102" i="3" l="1"/>
  <c r="I102" i="3" s="1"/>
  <c r="A103" i="3"/>
  <c r="E102" i="3"/>
  <c r="B102" i="3"/>
  <c r="M101" i="3"/>
  <c r="C101" i="3"/>
  <c r="G101" i="3"/>
  <c r="F101" i="3"/>
  <c r="K101" i="3"/>
  <c r="J101" i="3"/>
  <c r="I101" i="3"/>
  <c r="E102" i="4"/>
  <c r="H102" i="4"/>
  <c r="B102" i="4"/>
  <c r="A103" i="4"/>
  <c r="K101" i="4"/>
  <c r="J101" i="4"/>
  <c r="M101" i="4"/>
  <c r="F101" i="4"/>
  <c r="C101" i="4"/>
  <c r="G101" i="4"/>
  <c r="K102" i="4" l="1"/>
  <c r="J102" i="4"/>
  <c r="M102" i="3"/>
  <c r="C102" i="3"/>
  <c r="F102" i="3"/>
  <c r="G102" i="3"/>
  <c r="B103" i="3"/>
  <c r="H103" i="3"/>
  <c r="A104" i="3"/>
  <c r="E103" i="3"/>
  <c r="F102" i="4"/>
  <c r="M102" i="4"/>
  <c r="G102" i="4"/>
  <c r="C102" i="4"/>
  <c r="B103" i="4"/>
  <c r="E103" i="4"/>
  <c r="H103" i="4"/>
  <c r="A104" i="4"/>
  <c r="I102" i="4"/>
  <c r="J102" i="3"/>
  <c r="K102" i="3"/>
  <c r="M103" i="4" l="1"/>
  <c r="G103" i="4"/>
  <c r="F103" i="4"/>
  <c r="C103" i="4"/>
  <c r="J103" i="3"/>
  <c r="K103" i="3"/>
  <c r="B104" i="4"/>
  <c r="H104" i="4"/>
  <c r="I104" i="4" s="1"/>
  <c r="E104" i="4"/>
  <c r="A105" i="4"/>
  <c r="G103" i="3"/>
  <c r="F103" i="3"/>
  <c r="M103" i="3"/>
  <c r="C103" i="3"/>
  <c r="K103" i="4"/>
  <c r="J103" i="4"/>
  <c r="I103" i="4"/>
  <c r="B104" i="3"/>
  <c r="H104" i="3"/>
  <c r="I104" i="3" s="1"/>
  <c r="A105" i="3"/>
  <c r="E104" i="3"/>
  <c r="I103" i="3"/>
  <c r="C104" i="3" l="1"/>
  <c r="M104" i="3"/>
  <c r="G104" i="3"/>
  <c r="F104" i="3"/>
  <c r="B105" i="4"/>
  <c r="A106" i="4"/>
  <c r="E105" i="4"/>
  <c r="H105" i="4"/>
  <c r="H105" i="3"/>
  <c r="B105" i="3"/>
  <c r="A106" i="3"/>
  <c r="E105" i="3"/>
  <c r="F104" i="4"/>
  <c r="G104" i="4"/>
  <c r="M104" i="4"/>
  <c r="C104" i="4"/>
  <c r="J104" i="3"/>
  <c r="K104" i="3"/>
  <c r="K104" i="4"/>
  <c r="J104" i="4"/>
  <c r="C105" i="3" l="1"/>
  <c r="G105" i="3"/>
  <c r="F105" i="3"/>
  <c r="M105" i="3"/>
  <c r="K105" i="3"/>
  <c r="J105" i="3"/>
  <c r="K105" i="4"/>
  <c r="J105" i="4"/>
  <c r="F105" i="4"/>
  <c r="G105" i="4"/>
  <c r="M105" i="4"/>
  <c r="C105" i="4"/>
  <c r="E106" i="3"/>
  <c r="H106" i="3"/>
  <c r="B106" i="3"/>
  <c r="A107" i="3"/>
  <c r="I105" i="3"/>
  <c r="I105" i="4"/>
  <c r="E106" i="4"/>
  <c r="B106" i="4"/>
  <c r="H106" i="4"/>
  <c r="A107" i="4"/>
  <c r="B107" i="4" l="1"/>
  <c r="E107" i="4"/>
  <c r="H107" i="4"/>
  <c r="A108" i="4"/>
  <c r="J106" i="4"/>
  <c r="K106" i="4"/>
  <c r="J106" i="3"/>
  <c r="K106" i="3"/>
  <c r="F106" i="3"/>
  <c r="G106" i="3"/>
  <c r="C106" i="3"/>
  <c r="M106" i="3"/>
  <c r="G106" i="4"/>
  <c r="M106" i="4"/>
  <c r="C106" i="4"/>
  <c r="F106" i="4"/>
  <c r="B107" i="3"/>
  <c r="H107" i="3"/>
  <c r="A108" i="3"/>
  <c r="E107" i="3"/>
  <c r="I106" i="4"/>
  <c r="I106" i="3"/>
  <c r="K107" i="3" l="1"/>
  <c r="J107" i="3"/>
  <c r="H108" i="3"/>
  <c r="I108" i="3" s="1"/>
  <c r="E108" i="3"/>
  <c r="B108" i="3"/>
  <c r="A109" i="3"/>
  <c r="B108" i="4"/>
  <c r="H108" i="4"/>
  <c r="E108" i="4"/>
  <c r="A109" i="4"/>
  <c r="K107" i="4"/>
  <c r="J107" i="4"/>
  <c r="I107" i="3"/>
  <c r="I107" i="4"/>
  <c r="C107" i="3"/>
  <c r="M107" i="3"/>
  <c r="G107" i="3"/>
  <c r="F107" i="3"/>
  <c r="C107" i="4"/>
  <c r="M107" i="4"/>
  <c r="G107" i="4"/>
  <c r="F107" i="4"/>
  <c r="F108" i="4" l="1"/>
  <c r="M108" i="4"/>
  <c r="C108" i="4"/>
  <c r="G108" i="4"/>
  <c r="M108" i="3"/>
  <c r="G108" i="3"/>
  <c r="C108" i="3"/>
  <c r="F108" i="3"/>
  <c r="K108" i="4"/>
  <c r="J108" i="4"/>
  <c r="H109" i="3"/>
  <c r="I109" i="3" s="1"/>
  <c r="B109" i="3"/>
  <c r="A110" i="3"/>
  <c r="E109" i="3"/>
  <c r="E109" i="4"/>
  <c r="H109" i="4"/>
  <c r="B109" i="4"/>
  <c r="A110" i="4"/>
  <c r="I108" i="4"/>
  <c r="K108" i="3"/>
  <c r="J108" i="3"/>
  <c r="J109" i="4" l="1"/>
  <c r="K109" i="4"/>
  <c r="E110" i="4"/>
  <c r="B110" i="4"/>
  <c r="H110" i="4"/>
  <c r="A111" i="4"/>
  <c r="F109" i="3"/>
  <c r="G109" i="3"/>
  <c r="C109" i="3"/>
  <c r="M109" i="3"/>
  <c r="G109" i="4"/>
  <c r="F109" i="4"/>
  <c r="M109" i="4"/>
  <c r="C109" i="4"/>
  <c r="B110" i="3"/>
  <c r="A111" i="3"/>
  <c r="H110" i="3"/>
  <c r="I110" i="3" s="1"/>
  <c r="E110" i="3"/>
  <c r="I109" i="4"/>
  <c r="J109" i="3"/>
  <c r="K109" i="3"/>
  <c r="C110" i="3" l="1"/>
  <c r="G110" i="3"/>
  <c r="F110" i="3"/>
  <c r="M110" i="3"/>
  <c r="E111" i="3"/>
  <c r="B111" i="3"/>
  <c r="H111" i="3"/>
  <c r="A112" i="3"/>
  <c r="K110" i="4"/>
  <c r="J110" i="4"/>
  <c r="F110" i="4"/>
  <c r="G110" i="4"/>
  <c r="C110" i="4"/>
  <c r="M110" i="4"/>
  <c r="E111" i="4"/>
  <c r="H111" i="4"/>
  <c r="I111" i="4" s="1"/>
  <c r="B111" i="4"/>
  <c r="A112" i="4"/>
  <c r="I110" i="4"/>
  <c r="K110" i="3"/>
  <c r="J110" i="3"/>
  <c r="H112" i="4" l="1"/>
  <c r="E112" i="4"/>
  <c r="A113" i="4"/>
  <c r="B112" i="4"/>
  <c r="K111" i="3"/>
  <c r="J111" i="3"/>
  <c r="M111" i="3"/>
  <c r="C111" i="3"/>
  <c r="G111" i="3"/>
  <c r="F111" i="3"/>
  <c r="C111" i="4"/>
  <c r="M111" i="4"/>
  <c r="F111" i="4"/>
  <c r="G111" i="4"/>
  <c r="H112" i="3"/>
  <c r="I112" i="3" s="1"/>
  <c r="A113" i="3"/>
  <c r="B112" i="3"/>
  <c r="E112" i="3"/>
  <c r="I111" i="3"/>
  <c r="K111" i="4"/>
  <c r="J111" i="4"/>
  <c r="M112" i="4" l="1"/>
  <c r="F112" i="4"/>
  <c r="G112" i="4"/>
  <c r="C112" i="4"/>
  <c r="H113" i="3"/>
  <c r="E113" i="3"/>
  <c r="B113" i="3"/>
  <c r="A114" i="3"/>
  <c r="E113" i="4"/>
  <c r="H113" i="4"/>
  <c r="B113" i="4"/>
  <c r="A114" i="4"/>
  <c r="J112" i="3"/>
  <c r="K112" i="3"/>
  <c r="J112" i="4"/>
  <c r="K112" i="4"/>
  <c r="G112" i="3"/>
  <c r="M112" i="3"/>
  <c r="C112" i="3"/>
  <c r="F112" i="3"/>
  <c r="I112" i="4"/>
  <c r="K113" i="4" l="1"/>
  <c r="J113" i="4"/>
  <c r="I113" i="4"/>
  <c r="H114" i="3"/>
  <c r="E114" i="3"/>
  <c r="A115" i="3"/>
  <c r="B114" i="3"/>
  <c r="F113" i="4"/>
  <c r="C113" i="4"/>
  <c r="M113" i="4"/>
  <c r="G113" i="4"/>
  <c r="J113" i="3"/>
  <c r="K113" i="3"/>
  <c r="H114" i="4"/>
  <c r="I114" i="4" s="1"/>
  <c r="E114" i="4"/>
  <c r="B114" i="4"/>
  <c r="A115" i="4"/>
  <c r="G113" i="3"/>
  <c r="M113" i="3"/>
  <c r="F113" i="3"/>
  <c r="C113" i="3"/>
  <c r="I113" i="3"/>
  <c r="K114" i="4" l="1"/>
  <c r="J114" i="4"/>
  <c r="H115" i="3"/>
  <c r="I115" i="3" s="1"/>
  <c r="A116" i="3"/>
  <c r="E115" i="3"/>
  <c r="B115" i="3"/>
  <c r="K114" i="3"/>
  <c r="J114" i="3"/>
  <c r="M114" i="4"/>
  <c r="F114" i="4"/>
  <c r="C114" i="4"/>
  <c r="G114" i="4"/>
  <c r="H115" i="4"/>
  <c r="B115" i="4"/>
  <c r="E115" i="4"/>
  <c r="A116" i="4"/>
  <c r="F114" i="3"/>
  <c r="G114" i="3"/>
  <c r="C114" i="3"/>
  <c r="M114" i="3"/>
  <c r="I114" i="3"/>
  <c r="J115" i="4" l="1"/>
  <c r="K115" i="4"/>
  <c r="I115" i="4"/>
  <c r="B116" i="4"/>
  <c r="E116" i="4"/>
  <c r="A117" i="4"/>
  <c r="H116" i="4"/>
  <c r="G115" i="3"/>
  <c r="F115" i="3"/>
  <c r="M115" i="3"/>
  <c r="C115" i="3"/>
  <c r="B116" i="3"/>
  <c r="H116" i="3"/>
  <c r="I116" i="3" s="1"/>
  <c r="E116" i="3"/>
  <c r="A117" i="3"/>
  <c r="G115" i="4"/>
  <c r="F115" i="4"/>
  <c r="M115" i="4"/>
  <c r="C115" i="4"/>
  <c r="K115" i="3"/>
  <c r="J115" i="3"/>
  <c r="J116" i="3" l="1"/>
  <c r="K116" i="3"/>
  <c r="M116" i="3"/>
  <c r="C116" i="3"/>
  <c r="F116" i="3"/>
  <c r="G116" i="3"/>
  <c r="H117" i="4"/>
  <c r="I117" i="4" s="1"/>
  <c r="E117" i="4"/>
  <c r="A118" i="4"/>
  <c r="B117" i="4"/>
  <c r="H117" i="3"/>
  <c r="I117" i="3" s="1"/>
  <c r="E117" i="3"/>
  <c r="B117" i="3"/>
  <c r="A118" i="3"/>
  <c r="C116" i="4"/>
  <c r="M116" i="4"/>
  <c r="G116" i="4"/>
  <c r="F116" i="4"/>
  <c r="K116" i="4"/>
  <c r="J116" i="4"/>
  <c r="I116" i="4"/>
  <c r="F117" i="4" l="1"/>
  <c r="C117" i="4"/>
  <c r="M117" i="4"/>
  <c r="G117" i="4"/>
  <c r="G117" i="3"/>
  <c r="M117" i="3"/>
  <c r="C117" i="3"/>
  <c r="F117" i="3"/>
  <c r="K117" i="3"/>
  <c r="J117" i="3"/>
  <c r="B118" i="4"/>
  <c r="H118" i="4"/>
  <c r="A119" i="4"/>
  <c r="E118" i="4"/>
  <c r="E118" i="3"/>
  <c r="B118" i="3"/>
  <c r="H118" i="3"/>
  <c r="A119" i="3"/>
  <c r="K117" i="4"/>
  <c r="J117" i="4"/>
  <c r="C118" i="3" l="1"/>
  <c r="M118" i="3"/>
  <c r="G118" i="3"/>
  <c r="F118" i="3"/>
  <c r="E119" i="4"/>
  <c r="B119" i="4"/>
  <c r="H119" i="4"/>
  <c r="A120" i="4"/>
  <c r="F118" i="4"/>
  <c r="C118" i="4"/>
  <c r="G118" i="4"/>
  <c r="M118" i="4"/>
  <c r="E119" i="3"/>
  <c r="B119" i="3"/>
  <c r="H119" i="3"/>
  <c r="A120" i="3"/>
  <c r="K118" i="4"/>
  <c r="J118" i="4"/>
  <c r="K118" i="3"/>
  <c r="J118" i="3"/>
  <c r="I118" i="3"/>
  <c r="I118" i="4"/>
  <c r="J119" i="3" l="1"/>
  <c r="K119" i="3"/>
  <c r="J119" i="4"/>
  <c r="K119" i="4"/>
  <c r="A121" i="3"/>
  <c r="B120" i="3"/>
  <c r="H120" i="3"/>
  <c r="E120" i="3"/>
  <c r="F119" i="4"/>
  <c r="M119" i="4"/>
  <c r="C119" i="4"/>
  <c r="G119" i="4"/>
  <c r="C119" i="3"/>
  <c r="F119" i="3"/>
  <c r="G119" i="3"/>
  <c r="M119" i="3"/>
  <c r="I119" i="3"/>
  <c r="H120" i="4"/>
  <c r="B120" i="4"/>
  <c r="E120" i="4"/>
  <c r="A121" i="4"/>
  <c r="I119" i="4"/>
  <c r="F120" i="4" l="1"/>
  <c r="G120" i="4"/>
  <c r="M120" i="4"/>
  <c r="C120" i="4"/>
  <c r="B121" i="4"/>
  <c r="H121" i="4"/>
  <c r="I121" i="4" s="1"/>
  <c r="E121" i="4"/>
  <c r="A122" i="4"/>
  <c r="J120" i="3"/>
  <c r="K120" i="3"/>
  <c r="J120" i="4"/>
  <c r="K120" i="4"/>
  <c r="E121" i="3"/>
  <c r="H121" i="3"/>
  <c r="I121" i="3" s="1"/>
  <c r="B121" i="3"/>
  <c r="A122" i="3"/>
  <c r="I120" i="4"/>
  <c r="G120" i="3"/>
  <c r="M120" i="3"/>
  <c r="C120" i="3"/>
  <c r="F120" i="3"/>
  <c r="I120" i="3"/>
  <c r="E122" i="3" l="1"/>
  <c r="B122" i="3"/>
  <c r="H122" i="3"/>
  <c r="A123" i="3"/>
  <c r="B122" i="4"/>
  <c r="E122" i="4"/>
  <c r="A123" i="4"/>
  <c r="H122" i="4"/>
  <c r="I122" i="4" s="1"/>
  <c r="K121" i="4"/>
  <c r="J121" i="4"/>
  <c r="C121" i="3"/>
  <c r="G121" i="3"/>
  <c r="M121" i="3"/>
  <c r="F121" i="3"/>
  <c r="K121" i="3"/>
  <c r="J121" i="3"/>
  <c r="C121" i="4"/>
  <c r="G121" i="4"/>
  <c r="M121" i="4"/>
  <c r="F121" i="4"/>
  <c r="G122" i="4" l="1"/>
  <c r="M122" i="4"/>
  <c r="F122" i="4"/>
  <c r="C122" i="4"/>
  <c r="E123" i="3"/>
  <c r="B123" i="3"/>
  <c r="H123" i="3"/>
  <c r="A124" i="3"/>
  <c r="M122" i="3"/>
  <c r="F122" i="3"/>
  <c r="G122" i="3"/>
  <c r="C122" i="3"/>
  <c r="J122" i="3"/>
  <c r="K122" i="3"/>
  <c r="I122" i="3"/>
  <c r="K122" i="4"/>
  <c r="J122" i="4"/>
  <c r="H123" i="4"/>
  <c r="I123" i="4" s="1"/>
  <c r="B123" i="4"/>
  <c r="A124" i="4"/>
  <c r="E123" i="4"/>
  <c r="F123" i="4" l="1"/>
  <c r="M123" i="4"/>
  <c r="C123" i="4"/>
  <c r="G123" i="4"/>
  <c r="H124" i="4"/>
  <c r="I124" i="4" s="1"/>
  <c r="B124" i="4"/>
  <c r="E124" i="4"/>
  <c r="A125" i="4"/>
  <c r="J123" i="3"/>
  <c r="K123" i="3"/>
  <c r="C123" i="3"/>
  <c r="F123" i="3"/>
  <c r="G123" i="3"/>
  <c r="M123" i="3"/>
  <c r="J123" i="4"/>
  <c r="K123" i="4"/>
  <c r="H124" i="3"/>
  <c r="I124" i="3" s="1"/>
  <c r="B124" i="3"/>
  <c r="A125" i="3"/>
  <c r="E124" i="3"/>
  <c r="I123" i="3"/>
  <c r="F124" i="3" l="1"/>
  <c r="M124" i="3"/>
  <c r="C124" i="3"/>
  <c r="G124" i="3"/>
  <c r="E125" i="3"/>
  <c r="B125" i="3"/>
  <c r="H125" i="3"/>
  <c r="A126" i="3"/>
  <c r="A126" i="4"/>
  <c r="B125" i="4"/>
  <c r="H125" i="4"/>
  <c r="E125" i="4"/>
  <c r="K124" i="3"/>
  <c r="J124" i="3"/>
  <c r="G124" i="4"/>
  <c r="F124" i="4"/>
  <c r="C124" i="4"/>
  <c r="M124" i="4"/>
  <c r="J124" i="4"/>
  <c r="K124" i="4"/>
  <c r="G125" i="4" l="1"/>
  <c r="M125" i="4"/>
  <c r="F125" i="4"/>
  <c r="C125" i="4"/>
  <c r="K125" i="3"/>
  <c r="J125" i="3"/>
  <c r="G125" i="3"/>
  <c r="C125" i="3"/>
  <c r="F125" i="3"/>
  <c r="M125" i="3"/>
  <c r="J125" i="4"/>
  <c r="K125" i="4"/>
  <c r="I125" i="4"/>
  <c r="B126" i="4"/>
  <c r="H126" i="4"/>
  <c r="I126" i="4" s="1"/>
  <c r="A127" i="4"/>
  <c r="E126" i="4"/>
  <c r="E126" i="3"/>
  <c r="A127" i="3"/>
  <c r="H126" i="3"/>
  <c r="B126" i="3"/>
  <c r="I125" i="3"/>
  <c r="G126" i="4" l="1"/>
  <c r="F126" i="4"/>
  <c r="M126" i="4"/>
  <c r="C126" i="4"/>
  <c r="J126" i="3"/>
  <c r="K126" i="3"/>
  <c r="B127" i="3"/>
  <c r="E127" i="3"/>
  <c r="A128" i="3"/>
  <c r="H127" i="3"/>
  <c r="H127" i="4"/>
  <c r="I127" i="4" s="1"/>
  <c r="E127" i="4"/>
  <c r="A128" i="4"/>
  <c r="B127" i="4"/>
  <c r="M126" i="3"/>
  <c r="G126" i="3"/>
  <c r="F126" i="3"/>
  <c r="C126" i="3"/>
  <c r="I126" i="3"/>
  <c r="J126" i="4"/>
  <c r="K126" i="4"/>
  <c r="A129" i="4" l="1"/>
  <c r="E128" i="4"/>
  <c r="B128" i="4"/>
  <c r="H128" i="4"/>
  <c r="J127" i="4"/>
  <c r="K127" i="4"/>
  <c r="B128" i="3"/>
  <c r="E128" i="3"/>
  <c r="H128" i="3"/>
  <c r="I128" i="3" s="1"/>
  <c r="A129" i="3"/>
  <c r="M127" i="4"/>
  <c r="G127" i="4"/>
  <c r="F127" i="4"/>
  <c r="C127" i="4"/>
  <c r="F127" i="3"/>
  <c r="C127" i="3"/>
  <c r="M127" i="3"/>
  <c r="G127" i="3"/>
  <c r="J127" i="3"/>
  <c r="K127" i="3"/>
  <c r="I127" i="3"/>
  <c r="F128" i="3" l="1"/>
  <c r="G128" i="3"/>
  <c r="C128" i="3"/>
  <c r="M128" i="3"/>
  <c r="G128" i="4"/>
  <c r="F128" i="4"/>
  <c r="C128" i="4"/>
  <c r="M128" i="4"/>
  <c r="K128" i="3"/>
  <c r="J128" i="3"/>
  <c r="H129" i="3"/>
  <c r="I129" i="3" s="1"/>
  <c r="A130" i="3"/>
  <c r="E129" i="3"/>
  <c r="B129" i="3"/>
  <c r="K128" i="4"/>
  <c r="J128" i="4"/>
  <c r="I128" i="4"/>
  <c r="H129" i="4"/>
  <c r="I129" i="4" s="1"/>
  <c r="E129" i="4"/>
  <c r="B129" i="4"/>
  <c r="A130" i="4"/>
  <c r="J129" i="4" l="1"/>
  <c r="K129" i="4"/>
  <c r="C129" i="3"/>
  <c r="F129" i="3"/>
  <c r="G129" i="3"/>
  <c r="M129" i="3"/>
  <c r="F129" i="4"/>
  <c r="M129" i="4"/>
  <c r="G129" i="4"/>
  <c r="C129" i="4"/>
  <c r="H130" i="3"/>
  <c r="I130" i="3" s="1"/>
  <c r="E130" i="3"/>
  <c r="A131" i="3"/>
  <c r="B130" i="3"/>
  <c r="B130" i="4"/>
  <c r="H130" i="4"/>
  <c r="E130" i="4"/>
  <c r="A131" i="4"/>
  <c r="J129" i="3"/>
  <c r="K129" i="3"/>
  <c r="J130" i="4" l="1"/>
  <c r="K130" i="4"/>
  <c r="I130" i="4"/>
  <c r="C130" i="4"/>
  <c r="F130" i="4"/>
  <c r="G130" i="4"/>
  <c r="M130" i="4"/>
  <c r="B131" i="3"/>
  <c r="H131" i="3"/>
  <c r="E131" i="3"/>
  <c r="A132" i="3"/>
  <c r="M130" i="3"/>
  <c r="F130" i="3"/>
  <c r="G130" i="3"/>
  <c r="C130" i="3"/>
  <c r="B131" i="4"/>
  <c r="E131" i="4"/>
  <c r="A132" i="4"/>
  <c r="H131" i="4"/>
  <c r="I131" i="4" s="1"/>
  <c r="J130" i="3"/>
  <c r="K130" i="3"/>
  <c r="H132" i="4" l="1"/>
  <c r="I132" i="4" s="1"/>
  <c r="B132" i="4"/>
  <c r="A133" i="4"/>
  <c r="E132" i="4"/>
  <c r="K131" i="4"/>
  <c r="J131" i="4"/>
  <c r="K131" i="3"/>
  <c r="J131" i="3"/>
  <c r="C131" i="3"/>
  <c r="M131" i="3"/>
  <c r="F131" i="3"/>
  <c r="G131" i="3"/>
  <c r="C131" i="4"/>
  <c r="G131" i="4"/>
  <c r="F131" i="4"/>
  <c r="M131" i="4"/>
  <c r="H132" i="3"/>
  <c r="I132" i="3" s="1"/>
  <c r="E132" i="3"/>
  <c r="B132" i="3"/>
  <c r="A133" i="3"/>
  <c r="I131" i="3"/>
  <c r="B133" i="3" l="1"/>
  <c r="H133" i="3"/>
  <c r="I133" i="3" s="1"/>
  <c r="E133" i="3"/>
  <c r="A134" i="3"/>
  <c r="F132" i="3"/>
  <c r="C132" i="3"/>
  <c r="G132" i="3"/>
  <c r="M132" i="3"/>
  <c r="B133" i="4"/>
  <c r="H133" i="4"/>
  <c r="E133" i="4"/>
  <c r="A134" i="4"/>
  <c r="F132" i="4"/>
  <c r="G132" i="4"/>
  <c r="C132" i="4"/>
  <c r="M132" i="4"/>
  <c r="K132" i="3"/>
  <c r="J132" i="3"/>
  <c r="J132" i="4"/>
  <c r="K132" i="4"/>
  <c r="M133" i="4" l="1"/>
  <c r="G133" i="4"/>
  <c r="C133" i="4"/>
  <c r="F133" i="4"/>
  <c r="E134" i="3"/>
  <c r="B134" i="3"/>
  <c r="H134" i="3"/>
  <c r="A135" i="3"/>
  <c r="H134" i="4"/>
  <c r="B134" i="4"/>
  <c r="E134" i="4"/>
  <c r="A135" i="4"/>
  <c r="J133" i="4"/>
  <c r="K133" i="4"/>
  <c r="I133" i="4"/>
  <c r="K133" i="3"/>
  <c r="J133" i="3"/>
  <c r="G133" i="3"/>
  <c r="C133" i="3"/>
  <c r="F133" i="3"/>
  <c r="M133" i="3"/>
  <c r="G134" i="4" l="1"/>
  <c r="M134" i="4"/>
  <c r="C134" i="4"/>
  <c r="F134" i="4"/>
  <c r="K134" i="4"/>
  <c r="J134" i="4"/>
  <c r="I134" i="4"/>
  <c r="E135" i="4"/>
  <c r="B135" i="4"/>
  <c r="H135" i="4"/>
  <c r="A136" i="4"/>
  <c r="F134" i="3"/>
  <c r="M134" i="3"/>
  <c r="C134" i="3"/>
  <c r="G134" i="3"/>
  <c r="K134" i="3"/>
  <c r="J134" i="3"/>
  <c r="I134" i="3"/>
  <c r="H135" i="3"/>
  <c r="B135" i="3"/>
  <c r="E135" i="3"/>
  <c r="A136" i="3"/>
  <c r="K135" i="3" l="1"/>
  <c r="J135" i="3"/>
  <c r="H136" i="3"/>
  <c r="I136" i="3" s="1"/>
  <c r="B136" i="3"/>
  <c r="E136" i="3"/>
  <c r="A137" i="3"/>
  <c r="J135" i="4"/>
  <c r="K135" i="4"/>
  <c r="C135" i="4"/>
  <c r="G135" i="4"/>
  <c r="M135" i="4"/>
  <c r="F135" i="4"/>
  <c r="F135" i="3"/>
  <c r="M135" i="3"/>
  <c r="C135" i="3"/>
  <c r="G135" i="3"/>
  <c r="I135" i="3"/>
  <c r="B136" i="4"/>
  <c r="E136" i="4"/>
  <c r="H136" i="4"/>
  <c r="A137" i="4"/>
  <c r="I135" i="4"/>
  <c r="K136" i="4" l="1"/>
  <c r="J136" i="4"/>
  <c r="B137" i="4"/>
  <c r="E137" i="4"/>
  <c r="H137" i="4"/>
  <c r="A138" i="4"/>
  <c r="G136" i="3"/>
  <c r="C136" i="3"/>
  <c r="M136" i="3"/>
  <c r="F136" i="3"/>
  <c r="C136" i="4"/>
  <c r="F136" i="4"/>
  <c r="M136" i="4"/>
  <c r="G136" i="4"/>
  <c r="I136" i="4"/>
  <c r="H137" i="3"/>
  <c r="E137" i="3"/>
  <c r="A138" i="3"/>
  <c r="B137" i="3"/>
  <c r="J136" i="3"/>
  <c r="K136" i="3"/>
  <c r="F137" i="3" l="1"/>
  <c r="C137" i="3"/>
  <c r="M137" i="3"/>
  <c r="G137" i="3"/>
  <c r="J137" i="3"/>
  <c r="K137" i="3"/>
  <c r="B138" i="4"/>
  <c r="E138" i="4"/>
  <c r="H138" i="4"/>
  <c r="A139" i="4"/>
  <c r="J137" i="4"/>
  <c r="K137" i="4"/>
  <c r="I137" i="4"/>
  <c r="I137" i="3"/>
  <c r="H138" i="3"/>
  <c r="I138" i="3" s="1"/>
  <c r="E138" i="3"/>
  <c r="A139" i="3"/>
  <c r="B138" i="3"/>
  <c r="G137" i="4"/>
  <c r="C137" i="4"/>
  <c r="F137" i="4"/>
  <c r="M137" i="4"/>
  <c r="H139" i="3" l="1"/>
  <c r="I139" i="3" s="1"/>
  <c r="B139" i="3"/>
  <c r="E139" i="3"/>
  <c r="A140" i="3"/>
  <c r="F138" i="3"/>
  <c r="M138" i="3"/>
  <c r="G138" i="3"/>
  <c r="C138" i="3"/>
  <c r="H139" i="4"/>
  <c r="B139" i="4"/>
  <c r="E139" i="4"/>
  <c r="A140" i="4"/>
  <c r="J138" i="4"/>
  <c r="K138" i="4"/>
  <c r="K138" i="3"/>
  <c r="J138" i="3"/>
  <c r="I138" i="4"/>
  <c r="G138" i="4"/>
  <c r="C138" i="4"/>
  <c r="M138" i="4"/>
  <c r="F138" i="4"/>
  <c r="K139" i="4" l="1"/>
  <c r="J139" i="4"/>
  <c r="H140" i="4"/>
  <c r="I140" i="4" s="1"/>
  <c r="B140" i="4"/>
  <c r="E140" i="4"/>
  <c r="A141" i="4"/>
  <c r="I139" i="4"/>
  <c r="C139" i="3"/>
  <c r="M139" i="3"/>
  <c r="G139" i="3"/>
  <c r="F139" i="3"/>
  <c r="C139" i="4"/>
  <c r="M139" i="4"/>
  <c r="F139" i="4"/>
  <c r="G139" i="4"/>
  <c r="B140" i="3"/>
  <c r="H140" i="3"/>
  <c r="I140" i="3" s="1"/>
  <c r="E140" i="3"/>
  <c r="A141" i="3"/>
  <c r="K139" i="3"/>
  <c r="J139" i="3"/>
  <c r="H141" i="3" l="1"/>
  <c r="I141" i="3" s="1"/>
  <c r="E141" i="3"/>
  <c r="B141" i="3"/>
  <c r="A142" i="3"/>
  <c r="C140" i="3"/>
  <c r="G140" i="3"/>
  <c r="F140" i="3"/>
  <c r="M140" i="3"/>
  <c r="H141" i="4"/>
  <c r="E141" i="4"/>
  <c r="B141" i="4"/>
  <c r="A142" i="4"/>
  <c r="K140" i="3"/>
  <c r="J140" i="3"/>
  <c r="F140" i="4"/>
  <c r="M140" i="4"/>
  <c r="C140" i="4"/>
  <c r="G140" i="4"/>
  <c r="J140" i="4"/>
  <c r="K140" i="4"/>
  <c r="C141" i="3" l="1"/>
  <c r="M141" i="3"/>
  <c r="G141" i="3"/>
  <c r="F141" i="3"/>
  <c r="F141" i="4"/>
  <c r="C141" i="4"/>
  <c r="G141" i="4"/>
  <c r="M141" i="4"/>
  <c r="K141" i="4"/>
  <c r="J141" i="4"/>
  <c r="B142" i="3"/>
  <c r="E142" i="3"/>
  <c r="A143" i="3"/>
  <c r="H142" i="3"/>
  <c r="E142" i="4"/>
  <c r="B142" i="4"/>
  <c r="H142" i="4"/>
  <c r="A143" i="4"/>
  <c r="I141" i="4"/>
  <c r="J141" i="3"/>
  <c r="K141" i="3"/>
  <c r="K142" i="4" l="1"/>
  <c r="J142" i="4"/>
  <c r="F142" i="4"/>
  <c r="G142" i="4"/>
  <c r="M142" i="4"/>
  <c r="C142" i="4"/>
  <c r="H143" i="3"/>
  <c r="B143" i="3"/>
  <c r="E143" i="3"/>
  <c r="A144" i="3"/>
  <c r="K142" i="3"/>
  <c r="J142" i="3"/>
  <c r="M142" i="3"/>
  <c r="C142" i="3"/>
  <c r="F142" i="3"/>
  <c r="G142" i="3"/>
  <c r="I142" i="4"/>
  <c r="I142" i="3"/>
  <c r="H143" i="4"/>
  <c r="I143" i="4" s="1"/>
  <c r="E143" i="4"/>
  <c r="B143" i="4"/>
  <c r="A144" i="4"/>
  <c r="H144" i="3" l="1"/>
  <c r="I144" i="3" s="1"/>
  <c r="B144" i="3"/>
  <c r="E144" i="3"/>
  <c r="A145" i="3"/>
  <c r="C143" i="4"/>
  <c r="G143" i="4"/>
  <c r="M143" i="4"/>
  <c r="F143" i="4"/>
  <c r="M143" i="3"/>
  <c r="F143" i="3"/>
  <c r="G143" i="3"/>
  <c r="C143" i="3"/>
  <c r="H144" i="4"/>
  <c r="B144" i="4"/>
  <c r="E144" i="4"/>
  <c r="A145" i="4"/>
  <c r="J143" i="3"/>
  <c r="K143" i="3"/>
  <c r="K143" i="4"/>
  <c r="J143" i="4"/>
  <c r="I143" i="3"/>
  <c r="B145" i="4" l="1"/>
  <c r="H145" i="4"/>
  <c r="I145" i="4" s="1"/>
  <c r="A146" i="4"/>
  <c r="E145" i="4"/>
  <c r="H145" i="3"/>
  <c r="B145" i="3"/>
  <c r="A146" i="3"/>
  <c r="E145" i="3"/>
  <c r="J144" i="4"/>
  <c r="K144" i="4"/>
  <c r="F144" i="4"/>
  <c r="M144" i="4"/>
  <c r="G144" i="4"/>
  <c r="C144" i="4"/>
  <c r="M144" i="3"/>
  <c r="C144" i="3"/>
  <c r="F144" i="3"/>
  <c r="G144" i="3"/>
  <c r="I144" i="4"/>
  <c r="J144" i="3"/>
  <c r="K144" i="3"/>
  <c r="K145" i="3" l="1"/>
  <c r="J145" i="3"/>
  <c r="C145" i="3"/>
  <c r="F145" i="3"/>
  <c r="M145" i="3"/>
  <c r="G145" i="3"/>
  <c r="B146" i="4"/>
  <c r="H146" i="4"/>
  <c r="I146" i="4" s="1"/>
  <c r="E146" i="4"/>
  <c r="A147" i="4"/>
  <c r="K145" i="4"/>
  <c r="J145" i="4"/>
  <c r="I145" i="3"/>
  <c r="H146" i="3"/>
  <c r="E146" i="3"/>
  <c r="A147" i="3"/>
  <c r="B146" i="3"/>
  <c r="F145" i="4"/>
  <c r="M145" i="4"/>
  <c r="G145" i="4"/>
  <c r="C145" i="4"/>
  <c r="G146" i="3" l="1"/>
  <c r="C146" i="3"/>
  <c r="M146" i="3"/>
  <c r="F146" i="3"/>
  <c r="J146" i="3"/>
  <c r="K146" i="3"/>
  <c r="H147" i="3"/>
  <c r="A148" i="3"/>
  <c r="E147" i="3"/>
  <c r="B147" i="3"/>
  <c r="B147" i="4"/>
  <c r="E147" i="4"/>
  <c r="H147" i="4"/>
  <c r="I147" i="4" s="1"/>
  <c r="A148" i="4"/>
  <c r="I146" i="3"/>
  <c r="J146" i="4"/>
  <c r="K146" i="4"/>
  <c r="M146" i="4"/>
  <c r="G146" i="4"/>
  <c r="C146" i="4"/>
  <c r="F146" i="4"/>
  <c r="B148" i="4" l="1"/>
  <c r="H148" i="4"/>
  <c r="I148" i="4" s="1"/>
  <c r="E148" i="4"/>
  <c r="A149" i="4"/>
  <c r="C147" i="4"/>
  <c r="M147" i="4"/>
  <c r="G147" i="4"/>
  <c r="F147" i="4"/>
  <c r="H148" i="3"/>
  <c r="I148" i="3" s="1"/>
  <c r="B148" i="3"/>
  <c r="A149" i="3"/>
  <c r="E148" i="3"/>
  <c r="F147" i="3"/>
  <c r="M147" i="3"/>
  <c r="C147" i="3"/>
  <c r="G147" i="3"/>
  <c r="J147" i="3"/>
  <c r="K147" i="3"/>
  <c r="J147" i="4"/>
  <c r="K147" i="4"/>
  <c r="I147" i="3"/>
  <c r="B149" i="3" l="1"/>
  <c r="H149" i="3"/>
  <c r="I149" i="3" s="1"/>
  <c r="E149" i="3"/>
  <c r="A150" i="3"/>
  <c r="K148" i="3"/>
  <c r="J148" i="3"/>
  <c r="K148" i="4"/>
  <c r="J148" i="4"/>
  <c r="C148" i="3"/>
  <c r="F148" i="3"/>
  <c r="M148" i="3"/>
  <c r="G148" i="3"/>
  <c r="B149" i="4"/>
  <c r="E149" i="4"/>
  <c r="H149" i="4"/>
  <c r="I149" i="4" s="1"/>
  <c r="A150" i="4"/>
  <c r="C148" i="4"/>
  <c r="M148" i="4"/>
  <c r="G148" i="4"/>
  <c r="F148" i="4"/>
  <c r="H150" i="4" l="1"/>
  <c r="I150" i="4" s="1"/>
  <c r="B150" i="4"/>
  <c r="E150" i="4"/>
  <c r="A151" i="4"/>
  <c r="B150" i="3"/>
  <c r="A151" i="3"/>
  <c r="E150" i="3"/>
  <c r="H150" i="3"/>
  <c r="F149" i="4"/>
  <c r="M149" i="4"/>
  <c r="G149" i="4"/>
  <c r="C149" i="4"/>
  <c r="J149" i="3"/>
  <c r="K149" i="3"/>
  <c r="J149" i="4"/>
  <c r="K149" i="4"/>
  <c r="G149" i="3"/>
  <c r="M149" i="3"/>
  <c r="C149" i="3"/>
  <c r="F149" i="3"/>
  <c r="K150" i="3" l="1"/>
  <c r="J150" i="3"/>
  <c r="E151" i="3"/>
  <c r="H151" i="3"/>
  <c r="I151" i="3" s="1"/>
  <c r="A152" i="3"/>
  <c r="B151" i="3"/>
  <c r="E151" i="4"/>
  <c r="B151" i="4"/>
  <c r="H151" i="4"/>
  <c r="I151" i="4" s="1"/>
  <c r="A152" i="4"/>
  <c r="M150" i="3"/>
  <c r="F150" i="3"/>
  <c r="G150" i="3"/>
  <c r="C150" i="3"/>
  <c r="I150" i="3"/>
  <c r="M150" i="4"/>
  <c r="F150" i="4"/>
  <c r="G150" i="4"/>
  <c r="C150" i="4"/>
  <c r="K150" i="4"/>
  <c r="J150" i="4"/>
  <c r="F151" i="3" l="1"/>
  <c r="M151" i="3"/>
  <c r="C151" i="3"/>
  <c r="G151" i="3"/>
  <c r="H152" i="3"/>
  <c r="I152" i="3" s="1"/>
  <c r="E152" i="3"/>
  <c r="B152" i="3"/>
  <c r="A153" i="3"/>
  <c r="G151" i="4"/>
  <c r="F151" i="4"/>
  <c r="C151" i="4"/>
  <c r="M151" i="4"/>
  <c r="E152" i="4"/>
  <c r="H152" i="4"/>
  <c r="B152" i="4"/>
  <c r="A153" i="4"/>
  <c r="J151" i="3"/>
  <c r="K151" i="3"/>
  <c r="J151" i="4"/>
  <c r="K151" i="4"/>
  <c r="K152" i="4" l="1"/>
  <c r="J152" i="4"/>
  <c r="E153" i="3"/>
  <c r="H153" i="3"/>
  <c r="I153" i="3" s="1"/>
  <c r="A154" i="3"/>
  <c r="B153" i="3"/>
  <c r="F152" i="3"/>
  <c r="M152" i="3"/>
  <c r="G152" i="3"/>
  <c r="C152" i="3"/>
  <c r="F152" i="4"/>
  <c r="G152" i="4"/>
  <c r="C152" i="4"/>
  <c r="M152" i="4"/>
  <c r="H153" i="4"/>
  <c r="B153" i="4"/>
  <c r="A154" i="4"/>
  <c r="E153" i="4"/>
  <c r="I152" i="4"/>
  <c r="K152" i="3"/>
  <c r="J152" i="3"/>
  <c r="G153" i="3" l="1"/>
  <c r="C153" i="3"/>
  <c r="F153" i="3"/>
  <c r="M153" i="3"/>
  <c r="K153" i="4"/>
  <c r="J153" i="4"/>
  <c r="B154" i="3"/>
  <c r="E154" i="3"/>
  <c r="A155" i="3"/>
  <c r="H154" i="3"/>
  <c r="G153" i="4"/>
  <c r="C153" i="4"/>
  <c r="M153" i="4"/>
  <c r="F153" i="4"/>
  <c r="I153" i="4"/>
  <c r="K153" i="3"/>
  <c r="J153" i="3"/>
  <c r="H154" i="4"/>
  <c r="I154" i="4" s="1"/>
  <c r="B154" i="4"/>
  <c r="A155" i="4"/>
  <c r="E154" i="4"/>
  <c r="K154" i="3" l="1"/>
  <c r="J154" i="3"/>
  <c r="G154" i="4"/>
  <c r="F154" i="4"/>
  <c r="C154" i="4"/>
  <c r="M154" i="4"/>
  <c r="E155" i="3"/>
  <c r="B155" i="3"/>
  <c r="H155" i="3"/>
  <c r="A156" i="3"/>
  <c r="H155" i="4"/>
  <c r="I155" i="4" s="1"/>
  <c r="A156" i="4"/>
  <c r="E155" i="4"/>
  <c r="B155" i="4"/>
  <c r="F154" i="3"/>
  <c r="C154" i="3"/>
  <c r="G154" i="3"/>
  <c r="M154" i="3"/>
  <c r="J154" i="4"/>
  <c r="K154" i="4"/>
  <c r="I154" i="3"/>
  <c r="K155" i="4" l="1"/>
  <c r="J155" i="4"/>
  <c r="M155" i="3"/>
  <c r="G155" i="3"/>
  <c r="C155" i="3"/>
  <c r="F155" i="3"/>
  <c r="J155" i="3"/>
  <c r="K155" i="3"/>
  <c r="G155" i="4"/>
  <c r="M155" i="4"/>
  <c r="C155" i="4"/>
  <c r="F155" i="4"/>
  <c r="E156" i="4"/>
  <c r="A157" i="4"/>
  <c r="H156" i="4"/>
  <c r="I156" i="4" s="1"/>
  <c r="B156" i="4"/>
  <c r="B156" i="3"/>
  <c r="H156" i="3"/>
  <c r="I156" i="3" s="1"/>
  <c r="E156" i="3"/>
  <c r="A157" i="3"/>
  <c r="I155" i="3"/>
  <c r="C156" i="4" l="1"/>
  <c r="G156" i="4"/>
  <c r="M156" i="4"/>
  <c r="F156" i="4"/>
  <c r="G156" i="3"/>
  <c r="F156" i="3"/>
  <c r="C156" i="3"/>
  <c r="M156" i="3"/>
  <c r="K156" i="3"/>
  <c r="J156" i="3"/>
  <c r="K156" i="4"/>
  <c r="J156" i="4"/>
  <c r="B157" i="4"/>
  <c r="H157" i="4"/>
  <c r="I157" i="4" s="1"/>
  <c r="A158" i="4"/>
  <c r="E157" i="4"/>
  <c r="B157" i="3"/>
  <c r="A158" i="3"/>
  <c r="E157" i="3"/>
  <c r="H157" i="3"/>
  <c r="J157" i="3" l="1"/>
  <c r="K157" i="3"/>
  <c r="B158" i="3"/>
  <c r="E158" i="3"/>
  <c r="H158" i="3"/>
  <c r="A159" i="3"/>
  <c r="I157" i="3"/>
  <c r="B158" i="4"/>
  <c r="H158" i="4"/>
  <c r="I158" i="4" s="1"/>
  <c r="A159" i="4"/>
  <c r="E158" i="4"/>
  <c r="C157" i="3"/>
  <c r="M157" i="3"/>
  <c r="F157" i="3"/>
  <c r="G157" i="3"/>
  <c r="K157" i="4"/>
  <c r="J157" i="4"/>
  <c r="C157" i="4"/>
  <c r="M157" i="4"/>
  <c r="G157" i="4"/>
  <c r="F157" i="4"/>
  <c r="A160" i="4" l="1"/>
  <c r="B159" i="4"/>
  <c r="H159" i="4"/>
  <c r="I159" i="4" s="1"/>
  <c r="E159" i="4"/>
  <c r="K158" i="3"/>
  <c r="J158" i="3"/>
  <c r="G158" i="4"/>
  <c r="F158" i="4"/>
  <c r="M158" i="4"/>
  <c r="C158" i="4"/>
  <c r="H159" i="3"/>
  <c r="I159" i="3" s="1"/>
  <c r="B159" i="3"/>
  <c r="E159" i="3"/>
  <c r="A160" i="3"/>
  <c r="I158" i="3"/>
  <c r="J158" i="4"/>
  <c r="K158" i="4"/>
  <c r="M158" i="3"/>
  <c r="G158" i="3"/>
  <c r="F158" i="3"/>
  <c r="C158" i="3"/>
  <c r="E160" i="3" l="1"/>
  <c r="H160" i="3"/>
  <c r="B160" i="3"/>
  <c r="A161" i="3"/>
  <c r="M159" i="3"/>
  <c r="F159" i="3"/>
  <c r="G159" i="3"/>
  <c r="C159" i="3"/>
  <c r="K159" i="4"/>
  <c r="J159" i="4"/>
  <c r="K159" i="3"/>
  <c r="J159" i="3"/>
  <c r="G159" i="4"/>
  <c r="F159" i="4"/>
  <c r="C159" i="4"/>
  <c r="M159" i="4"/>
  <c r="E160" i="4"/>
  <c r="H160" i="4"/>
  <c r="B160" i="4"/>
  <c r="A161" i="4"/>
  <c r="B161" i="4" l="1"/>
  <c r="H161" i="4"/>
  <c r="I161" i="4" s="1"/>
  <c r="E161" i="4"/>
  <c r="A162" i="4"/>
  <c r="G160" i="3"/>
  <c r="M160" i="3"/>
  <c r="F160" i="3"/>
  <c r="C160" i="3"/>
  <c r="J160" i="4"/>
  <c r="K160" i="4"/>
  <c r="K160" i="3"/>
  <c r="J160" i="3"/>
  <c r="C160" i="4"/>
  <c r="M160" i="4"/>
  <c r="F160" i="4"/>
  <c r="G160" i="4"/>
  <c r="B161" i="3"/>
  <c r="H161" i="3"/>
  <c r="E161" i="3"/>
  <c r="A162" i="3"/>
  <c r="I160" i="3"/>
  <c r="I160" i="4"/>
  <c r="F161" i="3" l="1"/>
  <c r="C161" i="3"/>
  <c r="M161" i="3"/>
  <c r="G161" i="3"/>
  <c r="B162" i="3"/>
  <c r="H162" i="3"/>
  <c r="I162" i="3" s="1"/>
  <c r="E162" i="3"/>
  <c r="A163" i="3"/>
  <c r="K161" i="3"/>
  <c r="J161" i="3"/>
  <c r="H162" i="4"/>
  <c r="I162" i="4" s="1"/>
  <c r="B162" i="4"/>
  <c r="A163" i="4"/>
  <c r="E162" i="4"/>
  <c r="I161" i="3"/>
  <c r="J161" i="4"/>
  <c r="K161" i="4"/>
  <c r="G161" i="4"/>
  <c r="F161" i="4"/>
  <c r="M161" i="4"/>
  <c r="C161" i="4"/>
  <c r="K162" i="4" l="1"/>
  <c r="J162" i="4"/>
  <c r="E163" i="3"/>
  <c r="B163" i="3"/>
  <c r="H163" i="3"/>
  <c r="I163" i="3" s="1"/>
  <c r="A164" i="3"/>
  <c r="G162" i="4"/>
  <c r="C162" i="4"/>
  <c r="M162" i="4"/>
  <c r="F162" i="4"/>
  <c r="B163" i="4"/>
  <c r="H163" i="4"/>
  <c r="I163" i="4" s="1"/>
  <c r="E163" i="4"/>
  <c r="A164" i="4"/>
  <c r="J162" i="3"/>
  <c r="K162" i="3"/>
  <c r="F162" i="3"/>
  <c r="M162" i="3"/>
  <c r="G162" i="3"/>
  <c r="C162" i="3"/>
  <c r="F163" i="4" l="1"/>
  <c r="M163" i="4"/>
  <c r="G163" i="4"/>
  <c r="C163" i="4"/>
  <c r="H164" i="3"/>
  <c r="I164" i="3" s="1"/>
  <c r="E164" i="3"/>
  <c r="B164" i="3"/>
  <c r="A165" i="3"/>
  <c r="F163" i="3"/>
  <c r="G163" i="3"/>
  <c r="M163" i="3"/>
  <c r="C163" i="3"/>
  <c r="E164" i="4"/>
  <c r="B164" i="4"/>
  <c r="H164" i="4"/>
  <c r="A165" i="4"/>
  <c r="K163" i="3"/>
  <c r="J163" i="3"/>
  <c r="J163" i="4"/>
  <c r="K163" i="4"/>
  <c r="C164" i="4" l="1"/>
  <c r="M164" i="4"/>
  <c r="F164" i="4"/>
  <c r="G164" i="4"/>
  <c r="J164" i="4"/>
  <c r="K164" i="4"/>
  <c r="I164" i="4"/>
  <c r="E165" i="3"/>
  <c r="H165" i="3"/>
  <c r="A166" i="3"/>
  <c r="B165" i="3"/>
  <c r="M164" i="3"/>
  <c r="G164" i="3"/>
  <c r="F164" i="3"/>
  <c r="C164" i="3"/>
  <c r="B165" i="4"/>
  <c r="A166" i="4"/>
  <c r="H165" i="4"/>
  <c r="I165" i="4" s="1"/>
  <c r="E165" i="4"/>
  <c r="K164" i="3"/>
  <c r="J164" i="3"/>
  <c r="C165" i="3" l="1"/>
  <c r="M165" i="3"/>
  <c r="F165" i="3"/>
  <c r="G165" i="3"/>
  <c r="J165" i="3"/>
  <c r="K165" i="3"/>
  <c r="B166" i="4"/>
  <c r="A167" i="4"/>
  <c r="E166" i="4"/>
  <c r="H166" i="4"/>
  <c r="H166" i="3"/>
  <c r="B166" i="3"/>
  <c r="E166" i="3"/>
  <c r="A167" i="3"/>
  <c r="J165" i="4"/>
  <c r="K165" i="4"/>
  <c r="G165" i="4"/>
  <c r="F165" i="4"/>
  <c r="C165" i="4"/>
  <c r="M165" i="4"/>
  <c r="I165" i="3"/>
  <c r="J166" i="3" l="1"/>
  <c r="K166" i="3"/>
  <c r="J166" i="4"/>
  <c r="K166" i="4"/>
  <c r="G166" i="3"/>
  <c r="C166" i="3"/>
  <c r="M166" i="3"/>
  <c r="F166" i="3"/>
  <c r="I166" i="4"/>
  <c r="H167" i="4"/>
  <c r="E167" i="4"/>
  <c r="B167" i="4"/>
  <c r="B167" i="3"/>
  <c r="H167" i="3"/>
  <c r="E167" i="3"/>
  <c r="I166" i="3"/>
  <c r="M166" i="4"/>
  <c r="F166" i="4"/>
  <c r="C166" i="4"/>
  <c r="G166" i="4"/>
  <c r="G167" i="4" l="1"/>
  <c r="C167" i="4"/>
  <c r="F167" i="4"/>
  <c r="M167" i="4"/>
  <c r="K167" i="3"/>
  <c r="J167" i="3"/>
  <c r="I167" i="3"/>
  <c r="J167" i="4"/>
  <c r="K167" i="4"/>
  <c r="G167" i="3"/>
  <c r="F167" i="3"/>
  <c r="C167" i="3"/>
  <c r="M167" i="3"/>
  <c r="I167" i="4"/>
  <c r="F50" i="7" l="1"/>
  <c r="F32" i="7"/>
  <c r="F33" i="7"/>
  <c r="F52" i="7"/>
  <c r="F48" i="7"/>
  <c r="F49" i="7"/>
  <c r="F35" i="7"/>
  <c r="F53" i="7"/>
  <c r="F31" i="7"/>
  <c r="F29" i="7"/>
  <c r="F40" i="7"/>
  <c r="F34" i="7"/>
  <c r="F37" i="7"/>
  <c r="F28" i="7"/>
  <c r="F47" i="7"/>
  <c r="F51" i="7"/>
  <c r="F44" i="7"/>
  <c r="F42" i="7"/>
  <c r="F46" i="7"/>
  <c r="F36" i="7"/>
  <c r="F41" i="7"/>
  <c r="F45" i="7"/>
  <c r="F39" i="7"/>
  <c r="F54" i="7"/>
  <c r="F55" i="7"/>
  <c r="F38" i="7"/>
  <c r="F30" i="7"/>
  <c r="F43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<sst xmlns="http://schemas.openxmlformats.org/spreadsheetml/2006/main" count="346" uniqueCount="80">
  <si>
    <t>ERIXITXO INDEX</t>
  </si>
  <si>
    <t>Last ER Date =</t>
  </si>
  <si>
    <t>Long Risk</t>
  </si>
  <si>
    <t>Short Risk</t>
  </si>
  <si>
    <t>IHYG Units</t>
  </si>
  <si>
    <t>Last CDX =</t>
  </si>
  <si>
    <t>Name=</t>
  </si>
  <si>
    <t>IHYG</t>
  </si>
  <si>
    <t>OBL 2.4% 10/28</t>
  </si>
  <si>
    <t>Xover S44</t>
  </si>
  <si>
    <t>Dvd</t>
  </si>
  <si>
    <t>Last ER =</t>
  </si>
  <si>
    <t>BBG Ticker=</t>
  </si>
  <si>
    <t>IHYG LN EQUITY</t>
  </si>
  <si>
    <t xml:space="preserve">ZK885444@BGN Corp </t>
  </si>
  <si>
    <t>ITRX XOVER CDSI GEN 5Y CORP</t>
  </si>
  <si>
    <t>Carry Days =</t>
  </si>
  <si>
    <t>Not'l=</t>
  </si>
  <si>
    <t>Carry=</t>
  </si>
  <si>
    <t>Financing Rate=</t>
  </si>
  <si>
    <t>Initial Duration=</t>
  </si>
  <si>
    <t>-</t>
  </si>
  <si>
    <t>Live PX=</t>
  </si>
  <si>
    <t>Live ER =</t>
  </si>
  <si>
    <t>Date</t>
  </si>
  <si>
    <t>IHYG Dvd</t>
  </si>
  <si>
    <t>Net P/L</t>
  </si>
  <si>
    <t>Price</t>
  </si>
  <si>
    <t>Price P/L</t>
  </si>
  <si>
    <t>Carry P/L</t>
  </si>
  <si>
    <t>Sprd</t>
  </si>
  <si>
    <t>Index</t>
  </si>
  <si>
    <t>Adj. Index</t>
  </si>
  <si>
    <t>P/L</t>
  </si>
  <si>
    <t>Value of 1pt</t>
  </si>
  <si>
    <t>Single Contract Notional at Start</t>
  </si>
  <si>
    <t># of contracts</t>
  </si>
  <si>
    <t>EUR HY Fut</t>
  </si>
  <si>
    <t>Eur HY Fut=</t>
  </si>
  <si>
    <t>AHWM6 Index</t>
  </si>
  <si>
    <t>DIVIDEND HISTORY (live BDS — Bloomberg, Ex-Date + Amount)</t>
  </si>
  <si>
    <t>EMB</t>
  </si>
  <si>
    <t>VCIT</t>
  </si>
  <si>
    <t>EMB US EQUITY</t>
  </si>
  <si>
    <t>VCIT US EQUITY</t>
  </si>
  <si>
    <t>Ex-Date</t>
  </si>
  <si>
    <t>Amount</t>
  </si>
  <si>
    <t>IHYG vs AHW — continuous trade P/L comparison (roll-adjusted M6 → U6)</t>
  </si>
  <si>
    <t>Long EUR HY (AHW future vs IHYG ETF) hedged short OBL 2.4% 10/28 + short Xover S44. P/L recomputes on open in Excel; post-roll &amp; new dates auto-fill as Bloomberg extends the source columns.</t>
  </si>
  <si>
    <t>Assumptions (green = linked to source sheets, blue = input)</t>
  </si>
  <si>
    <t>Entry date</t>
  </si>
  <si>
    <t>Roll date</t>
  </si>
  <si>
    <t>Future entry px</t>
  </si>
  <si>
    <t>Value of 1 pt</t>
  </si>
  <si>
    <t># contracts</t>
  </si>
  <si>
    <t>M6 px @ roll</t>
  </si>
  <si>
    <t>U6 px @ roll</t>
  </si>
  <si>
    <t>OBL entry px</t>
  </si>
  <si>
    <t>OBL notional</t>
  </si>
  <si>
    <t>OBL carry</t>
  </si>
  <si>
    <t>OBL financing</t>
  </si>
  <si>
    <t>Xover entry index</t>
  </si>
  <si>
    <t>Xover notional</t>
  </si>
  <si>
    <t>M6 Px</t>
  </si>
  <si>
    <t>U6 Px</t>
  </si>
  <si>
    <t>OBL Px</t>
  </si>
  <si>
    <t>Xover Adj.Index</t>
  </si>
  <si>
    <t>AHW Net P/L</t>
  </si>
  <si>
    <t>IHYG Net P/L</t>
  </si>
  <si>
    <t>AHWU6 Index</t>
  </si>
  <si>
    <t>Combined AHW</t>
  </si>
  <si>
    <t>AHW</t>
  </si>
  <si>
    <t>Price M6</t>
  </si>
  <si>
    <t>Price U6</t>
  </si>
  <si>
    <t>AHWU6</t>
  </si>
  <si>
    <t>Raw AHW Starting PX =</t>
  </si>
  <si>
    <t>AHW Roll Sprd=</t>
  </si>
  <si>
    <t>Adj Price</t>
  </si>
  <si>
    <t>Net P/L IHYG</t>
  </si>
  <si>
    <t>Net P/L AHW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</si>
</sst>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mm/dd/yyyy\ hh:mm"/>
    <numFmt numFmtId="165" formatCode="_(&quot;$&quot;* #,##0_);_(&quot;$&quot;* \(#,##0\);_(&quot;$&quot;* &quot;-&quot;??_);_(@_)"/>
    <numFmt numFmtId="166" formatCode="0.000"/>
    <numFmt numFmtId="167" formatCode="0.0000"/>
    <numFmt numFmtId="168" formatCode="dd\-mmm\-yyyy"/>
    <numFmt numFmtId="169" formatCode="#,##0.000"/>
    <numFmt numFmtId="170" formatCode="#,##0;\(#,##0\);\-"/>
    <numFmt numFmtId="171" formatCode="0.0%"/>
    <numFmt numFmtId="172" formatCode="mm/dd/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4"/>
      <color rgb="FF1F3864"/>
      <name val="Calibri"/>
      <family val="2"/>
    </font>
    <font>
      <i/>
      <sz val="8"/>
      <color rgb="FF808080"/>
      <name val="Calibri"/>
      <family val="2"/>
    </font>
    <font>
      <b/>
      <sz val="10"/>
      <color rgb="FF1F3864"/>
      <name val="Calibri"/>
      <family val="2"/>
    </font>
    <font>
      <sz val="9"/>
      <name val="Calibri"/>
      <family val="2"/>
    </font>
    <font>
      <sz val="9"/>
      <color rgb="FF008000"/>
      <name val="Calibri"/>
      <family val="2"/>
    </font>
    <font>
      <b/>
      <sz val="9"/>
      <color rgb="FF0000FF"/>
      <name val="Calibri"/>
      <family val="2"/>
    </font>
    <font>
      <b/>
      <sz val="10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B5E6A2"/>
        <bgColor rgb="FF000000"/>
      </patternFill>
    </fill>
    <fill>
      <patternFill patternType="solid">
        <fgColor rgb="FFF5C6A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A983"/>
        <bgColor rgb="FF000000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16">
    <xf numFmtId="0" fontId="0" fillId="0" borderId="0" xfId="0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9" fontId="2" fillId="0" borderId="0" xfId="0" applyNumberFormat="1" applyFont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5" borderId="0" xfId="0" applyFont="1" applyFill="1" applyAlignment="1">
      <alignment horizontal="right" vertical="center" wrapText="1"/>
    </xf>
    <xf numFmtId="0" fontId="7" fillId="5" borderId="0" xfId="0" applyFont="1" applyFill="1" applyAlignment="1">
      <alignment horizontal="right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2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10" fontId="4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2" fontId="4" fillId="0" borderId="12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4" fontId="4" fillId="0" borderId="4" xfId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0" fillId="5" borderId="0" xfId="0" applyFill="1"/>
    <xf numFmtId="1" fontId="0" fillId="0" borderId="0" xfId="0" applyNumberFormat="1" applyAlignment="1">
      <alignment horizontal="center" vertical="center"/>
    </xf>
    <xf numFmtId="0" fontId="8" fillId="0" borderId="0" xfId="0" applyFont="1"/>
    <xf numFmtId="0" fontId="2" fillId="0" borderId="0" xfId="0" applyFont="1"/>
    <xf numFmtId="0" fontId="9" fillId="0" borderId="0" xfId="0" applyFont="1"/>
    <xf numFmtId="0" fontId="2" fillId="8" borderId="0" xfId="0" applyFont="1" applyFill="1"/>
    <xf numFmtId="14" fontId="0" fillId="0" borderId="0" xfId="0" applyNumberFormat="1"/>
    <xf numFmtId="167" fontId="0" fillId="0" borderId="0" xfId="0" applyNumberForma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8" fontId="14" fillId="0" borderId="0" xfId="0" applyNumberFormat="1" applyFont="1"/>
    <xf numFmtId="169" fontId="14" fillId="0" borderId="0" xfId="0" applyNumberFormat="1" applyFont="1"/>
    <xf numFmtId="3" fontId="14" fillId="0" borderId="0" xfId="0" applyNumberFormat="1" applyFont="1"/>
    <xf numFmtId="171" fontId="14" fillId="0" borderId="0" xfId="0" applyNumberFormat="1" applyFont="1"/>
    <xf numFmtId="168" fontId="15" fillId="0" borderId="0" xfId="0" applyNumberFormat="1" applyFont="1"/>
    <xf numFmtId="0" fontId="16" fillId="9" borderId="0" xfId="0" applyFont="1" applyFill="1" applyAlignment="1">
      <alignment horizontal="center" vertical="center" wrapText="1"/>
    </xf>
    <xf numFmtId="15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2" fontId="6" fillId="5" borderId="0" xfId="0" applyNumberFormat="1" applyFont="1" applyFill="1" applyAlignment="1">
      <alignment horizontal="right" vertical="center" wrapText="1"/>
    </xf>
    <xf numFmtId="172" fontId="7" fillId="5" borderId="0" xfId="0" applyNumberFormat="1" applyFont="1" applyFill="1" applyAlignment="1">
      <alignment horizontal="right" vertical="center" wrapText="1"/>
    </xf>
    <xf numFmtId="0" fontId="4" fillId="6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4" fontId="4" fillId="0" borderId="0" xfId="1" applyFont="1" applyBorder="1" applyAlignment="1">
      <alignment horizontal="center" vertical="center"/>
    </xf>
    <xf numFmtId="165" fontId="4" fillId="0" borderId="0" xfId="1" applyNumberFormat="1" applyFont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4" fontId="4" fillId="0" borderId="0" xfId="1" applyFont="1" applyFill="1" applyBorder="1" applyAlignment="1">
      <alignment horizontal="center" vertical="center"/>
    </xf>
    <xf numFmtId="165" fontId="4" fillId="0" borderId="0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65" fontId="4" fillId="0" borderId="0" xfId="0" applyNumberFormat="1" applyFont="1" applyBorder="1" applyAlignment="1">
      <alignment horizontal="center" vertical="center"/>
    </xf>
    <xf numFmtId="10" fontId="4" fillId="0" borderId="0" xfId="0" applyNumberFormat="1" applyFont="1" applyBorder="1" applyAlignment="1">
      <alignment horizontal="center" vertical="center"/>
    </xf>
    <xf numFmtId="2" fontId="4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2" fontId="4" fillId="6" borderId="12" xfId="0" applyNumberFormat="1" applyFont="1" applyFill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4" fillId="0" borderId="5" xfId="0" applyNumberFormat="1" applyFont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2" fontId="4" fillId="10" borderId="0" xfId="0" applyNumberFormat="1" applyFon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Data...3749011764</v>
        <stp/>
        <stp>BDP|18410541755614855691</stp>
        <tr r="B9" s="8"/>
        <tr r="B9" s="9"/>
        <tr r="B9" s="5"/>
        <tr r="B9" s="2"/>
      </tp>
      <tp t="s">
        <v>#N/A Requesting Data...2767526535</v>
        <stp/>
        <stp>BDH|18184423249770371529</stp>
        <tr r="AB3" s="8"/>
        <tr r="AC3" s="9"/>
        <tr r="Q3" s="4"/>
        <tr r="Q3" s="5"/>
        <tr r="Q3" s="2"/>
        <tr r="Q3" s="3"/>
      </tp>
      <tp t="s">
        <v>#N/A N/A</v>
        <stp/>
        <stp>BDP|11891903591831945397</stp>
        <tr r="E9" s="8"/>
        <tr r="E9" s="9"/>
      </tp>
      <tp t="s">
        <v>#N/A Requesting Data...1128980341</v>
        <stp/>
        <stp>BDH|14251558715388576990</stp>
        <tr r="O3" s="3"/>
        <tr r="O3" s="4"/>
      </tp>
      <tp t="s">
        <v>#N/A N/A</v>
        <stp/>
        <stp>BDH|13666179848749596952</stp>
        <tr r="AF3" s="8"/>
        <tr r="T2" s="8"/>
        <tr r="U2" s="9"/>
        <tr r="AG3" s="9"/>
      </tp>
      <tp t="e">
        <v>#N/A</v>
        <stp/>
        <stp>BDS|13234145445614250586</stp>
        <tr r="A6" s="6"/>
      </tp>
      <tp t="s">
        <v>#N/A Requesting Data...3317921226</v>
        <stp/>
        <stp>BDH|11420419140960972601</stp>
        <tr r="Z3" s="8"/>
        <tr r="AA3" s="9"/>
        <tr r="O3" s="5"/>
        <tr r="O3" s="2"/>
      </tp>
      <tp t="s">
        <v>#N/A Requesting Data...1333562194</v>
        <stp/>
        <stp>BDH|17673259562092041415</stp>
        <tr r="AI3" s="4"/>
      </tp>
    </main>
    <main first="bofaddin.rtdserver">
      <tp t="s">
        <v>#N/A Requesting Data...2271681572</v>
        <stp/>
        <stp>BDP|9205061806932778695</stp>
        <tr r="C7" s="8"/>
        <tr r="B7" s="8"/>
        <tr r="B7" s="9"/>
        <tr r="C7" s="9"/>
        <tr r="B7" s="5"/>
        <tr r="C7" s="5"/>
        <tr r="B7" s="2"/>
        <tr r="C7" s="2"/>
        <tr r="C7" s="4"/>
        <tr r="C7" s="3"/>
      </tp>
      <tp t="s">
        <v>#N/A Requesting Data...4240142210</v>
        <stp/>
        <stp>BDH|5738222547239921247</stp>
        <tr r="AM3" s="8"/>
        <tr r="AN3" s="9"/>
        <tr r="Z3" s="2"/>
        <tr r="Z3" s="4"/>
        <tr r="Z3" s="5"/>
        <tr r="Z3" s="3"/>
      </tp>
      <tp t="s">
        <v>#N/A Requesting Data...1578116740</v>
        <stp/>
        <stp>BDP|7527847438690910665</stp>
        <tr r="B9" s="4"/>
        <tr r="B9" s="3"/>
      </tp>
      <tp t="s">
        <v>#N/A Requesting Data...3194234770</v>
        <stp/>
        <stp>BDP|3398280159944498722</stp>
        <tr r="C9" s="8"/>
        <tr r="C9" s="9"/>
        <tr r="C9" s="5"/>
        <tr r="C9" s="2"/>
        <tr r="C9" s="4"/>
        <tr r="C9" s="3"/>
      </tp>
      <tp t="s">
        <v>#N/A Requesting Data...3763563728</v>
        <stp/>
        <stp>BDH|7551686963284503338</stp>
        <tr r="AO3" s="8"/>
        <tr r="AP3" s="9"/>
        <tr r="AB3" s="2"/>
        <tr r="AB3" s="5"/>
        <tr r="AB3" s="3"/>
        <tr r="AB3" s="4"/>
      </tp>
      <tp t="s">
        <v>#N/A Requesting Data...1872322011</v>
        <stp/>
        <stp>BDH|7903388716393043492</stp>
        <tr r="AK4" s="8"/>
        <tr r="AL4" s="9"/>
        <tr r="X4" s="5"/>
        <tr r="X4" s="4"/>
        <tr r="X4" s="2"/>
        <tr r="X4" s="3"/>
      </tp>
      <tp t="s">
        <v>#N/A Requesting Data...4172806799</v>
        <stp/>
        <stp>BDH|899788507367321551</stp>
        <tr r="AD3" s="8"/>
        <tr r="AE3" s="9"/>
        <tr r="S3" s="2"/>
        <tr r="S3" s="5"/>
        <tr r="S3" s="4"/>
        <tr r="S3" s="3"/>
      </tp>
      <tp t="e">
        <v>#N/A</v>
        <stp/>
        <stp>BDS|628454333387804475</stp>
        <tr r="D6" s="6"/>
      </tp>
      <tp t="e">
        <v>#N/A</v>
        <stp/>
        <stp>BDS|555018970554595542</stp>
        <tr r="G6" s="6"/>
      </tp>
      <tp t="s">
        <v>#N/A Requesting Data...2969305508</v>
        <stp/>
        <stp>BDP|391960776365176048</stp>
        <tr r="D9" s="8"/>
        <tr r="D9" s="9"/>
        <tr r="D9" s="5"/>
        <tr r="D9" s="2"/>
        <tr r="D9" s="4"/>
        <tr r="D9" s="3"/>
      </tp>
      <tp t="s">
        <v>#N/A N/A</v>
        <stp/>
        <stp>BDH|548584195164501240</stp>
        <tr r="AF55" s="8"/>
        <tr r="V2" s="8"/>
        <tr r="W2" s="9"/>
        <tr r="AG55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volatileDependencies" Target="volatileDependenci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200"/>
              <a:t>AHW (roll-adjusted) vs IHYG — cumulative trade P/L (€)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AHW (roll-adjusted)</c:v>
          </c:tx>
          <c:spPr>
            <a:ln w="28575" cap="rnd">
              <a:solidFill>
                <a:srgbClr val="C00000"/>
              </a:solidFill>
              <a:round/>
            </a:ln>
          </c:spPr>
          <c:marker>
            <c:symbol val="none"/>
          </c:marker>
          <c:cat>
            <c:numRef>
              <c:f>'IHYG vs AHW'!$A$21:$A$122</c:f>
              <c:numCache>
                <c:formatCode>d\-mmm\-yy</c:formatCode>
                <c:ptCount val="102"/>
                <c:pt idx="0">
                  <c:v>46113.625</c:v>
                </c:pt>
                <c:pt idx="1">
                  <c:v>46120.625</c:v>
                </c:pt>
                <c:pt idx="2">
                  <c:v>46122.625</c:v>
                </c:pt>
                <c:pt idx="3">
                  <c:v>46126.625</c:v>
                </c:pt>
                <c:pt idx="4">
                  <c:v>46127.625</c:v>
                </c:pt>
                <c:pt idx="5">
                  <c:v>46128.625</c:v>
                </c:pt>
                <c:pt idx="6">
                  <c:v>46129.625</c:v>
                </c:pt>
                <c:pt idx="7">
                  <c:v>46132.625</c:v>
                </c:pt>
                <c:pt idx="8">
                  <c:v>46133.625</c:v>
                </c:pt>
                <c:pt idx="9">
                  <c:v>46134.625</c:v>
                </c:pt>
                <c:pt idx="10">
                  <c:v>46136.625</c:v>
                </c:pt>
                <c:pt idx="11">
                  <c:v>46139.625</c:v>
                </c:pt>
                <c:pt idx="12">
                  <c:v>46140.625</c:v>
                </c:pt>
                <c:pt idx="13">
                  <c:v>46141.625</c:v>
                </c:pt>
                <c:pt idx="14">
                  <c:v>46142.625</c:v>
                </c:pt>
                <c:pt idx="15">
                  <c:v>46147.625</c:v>
                </c:pt>
                <c:pt idx="16">
                  <c:v>46148.625</c:v>
                </c:pt>
                <c:pt idx="17">
                  <c:v>46149.625</c:v>
                </c:pt>
                <c:pt idx="18">
                  <c:v>46150.625</c:v>
                </c:pt>
                <c:pt idx="19">
                  <c:v>46154.625</c:v>
                </c:pt>
                <c:pt idx="20">
                  <c:v>46155.625</c:v>
                </c:pt>
                <c:pt idx="21">
                  <c:v>46157.625</c:v>
                </c:pt>
                <c:pt idx="22">
                  <c:v>46161.625</c:v>
                </c:pt>
                <c:pt idx="23">
                  <c:v>46162.625</c:v>
                </c:pt>
                <c:pt idx="24">
                  <c:v>46163.625</c:v>
                </c:pt>
                <c:pt idx="25">
                  <c:v>46168.625</c:v>
                </c:pt>
                <c:pt idx="26">
                  <c:v>46169.625</c:v>
                </c:pt>
                <c:pt idx="27">
                  <c:v>46170.625</c:v>
                </c:pt>
                <c:pt idx="28">
                  <c:v>46171.625</c:v>
                </c:pt>
                <c:pt idx="29">
                  <c:v>46174.625</c:v>
                </c:pt>
                <c:pt idx="30">
                  <c:v>46176.625</c:v>
                </c:pt>
                <c:pt idx="31">
                  <c:v>46177.625</c:v>
                </c:pt>
                <c:pt idx="32">
                  <c:v>46182.625</c:v>
                </c:pt>
                <c:pt idx="33">
                  <c:v>46188.625</c:v>
                </c:pt>
                <c:pt idx="34">
                  <c:v>46189.625</c:v>
                </c:pt>
                <c:pt idx="35">
                  <c:v>46190.625</c:v>
                </c:pt>
                <c:pt idx="36">
                  <c:v>46191.625</c:v>
                </c:pt>
                <c:pt idx="37">
                  <c:v>46192.625</c:v>
                </c:pt>
                <c:pt idx="38">
                  <c:v>46196.625</c:v>
                </c:pt>
                <c:pt idx="39">
                  <c:v>46197.625</c:v>
                </c:pt>
                <c:pt idx="40">
                  <c:v>46198.625</c:v>
                </c:pt>
                <c:pt idx="41">
                  <c:v>46199.625</c:v>
                </c:pt>
                <c:pt idx="42">
                  <c:v>46202.625</c:v>
                </c:pt>
                <c:pt idx="43">
                  <c:v>46203.625</c:v>
                </c:pt>
                <c:pt idx="44">
                  <c:v>46204.625</c:v>
                </c:pt>
                <c:pt idx="45">
                  <c:v>46205.625</c:v>
                </c:pt>
                <c:pt idx="46">
                  <c:v>46206.625</c:v>
                </c:pt>
                <c:pt idx="47">
                  <c:v>46209.625</c:v>
                </c:pt>
                <c:pt idx="48">
                  <c:v>46210.625</c:v>
                </c:pt>
                <c:pt idx="49">
                  <c:v>46211.625</c:v>
                </c:pt>
                <c:pt idx="50">
                  <c:v>46212.625</c:v>
                </c:pt>
                <c:pt idx="51">
                  <c:v>46213.625</c:v>
                </c:pt>
                <c:pt idx="52">
                  <c:v>46216.625</c:v>
                </c:pt>
                <c:pt idx="53">
                  <c:v>46217.625</c:v>
                </c:pt>
                <c:pt idx="54">
                  <c:v>46218.625</c:v>
                </c:pt>
                <c:pt idx="55">
                  <c:v>46219.625</c:v>
                </c:pt>
                <c:pt idx="56">
                  <c:v>46220.625</c:v>
                </c:pt>
                <c:pt idx="57">
                  <c:v>46223.625</c:v>
                </c:pt>
                <c:pt idx="58">
                  <c:v>46224.625</c:v>
                </c:pt>
                <c:pt idx="59">
                  <c:v>46225.625</c:v>
                </c:pt>
                <c:pt idx="60">
                  <c:v>46226.625</c:v>
                </c:pt>
                <c:pt idx="61">
                  <c:v>46227.625</c:v>
                </c:pt>
                <c:pt idx="62">
                  <c:v>46230.625</c:v>
                </c:pt>
                <c:pt idx="63">
                  <c:v>46231.625</c:v>
                </c:pt>
                <c:pt idx="64">
                  <c:v>46232.625</c:v>
                </c:pt>
                <c:pt idx="65">
                  <c:v>46233.625</c:v>
                </c:pt>
                <c:pt idx="66">
                  <c:v>46234.625</c:v>
                </c:pt>
                <c:pt idx="67">
                  <c:v>46237.625</c:v>
                </c:pt>
                <c:pt idx="68">
                  <c:v>46238.625</c:v>
                </c:pt>
                <c:pt idx="69">
                  <c:v>46239.625</c:v>
                </c:pt>
                <c:pt idx="70">
                  <c:v>46240.625</c:v>
                </c:pt>
                <c:pt idx="71">
                  <c:v>46241.625</c:v>
                </c:pt>
                <c:pt idx="72">
                  <c:v>46244.625</c:v>
                </c:pt>
                <c:pt idx="73">
                  <c:v>46245.625</c:v>
                </c:pt>
                <c:pt idx="74">
                  <c:v>46246.625</c:v>
                </c:pt>
                <c:pt idx="75">
                  <c:v>46247.625</c:v>
                </c:pt>
                <c:pt idx="76">
                  <c:v>46248.625</c:v>
                </c:pt>
                <c:pt idx="77">
                  <c:v>46251.625</c:v>
                </c:pt>
                <c:pt idx="78">
                  <c:v>46252.625</c:v>
                </c:pt>
                <c:pt idx="79">
                  <c:v>46253.625</c:v>
                </c:pt>
                <c:pt idx="80">
                  <c:v>46254.625</c:v>
                </c:pt>
                <c:pt idx="81">
                  <c:v>46255.625</c:v>
                </c:pt>
                <c:pt idx="82">
                  <c:v>46258.625</c:v>
                </c:pt>
                <c:pt idx="83">
                  <c:v>46259.625</c:v>
                </c:pt>
                <c:pt idx="84">
                  <c:v>46260.625</c:v>
                </c:pt>
                <c:pt idx="85">
                  <c:v>46261.625</c:v>
                </c:pt>
                <c:pt idx="86">
                  <c:v>46262.625</c:v>
                </c:pt>
                <c:pt idx="87">
                  <c:v>46265.625</c:v>
                </c:pt>
                <c:pt idx="88">
                  <c:v>46266.625</c:v>
                </c:pt>
                <c:pt idx="89">
                  <c:v>46267.625</c:v>
                </c:pt>
                <c:pt idx="90">
                  <c:v>46268.625</c:v>
                </c:pt>
                <c:pt idx="91">
                  <c:v>46269.625</c:v>
                </c:pt>
                <c:pt idx="92">
                  <c:v>46272.625</c:v>
                </c:pt>
                <c:pt idx="93">
                  <c:v>46273.625</c:v>
                </c:pt>
                <c:pt idx="94">
                  <c:v>46274.625</c:v>
                </c:pt>
                <c:pt idx="95">
                  <c:v>46275.625</c:v>
                </c:pt>
                <c:pt idx="96">
                  <c:v>46276.625</c:v>
                </c:pt>
                <c:pt idx="97">
                  <c:v>46279.625</c:v>
                </c:pt>
                <c:pt idx="98">
                  <c:v>46280.625</c:v>
                </c:pt>
                <c:pt idx="99">
                  <c:v>46281.625</c:v>
                </c:pt>
                <c:pt idx="100">
                  <c:v>46282.625</c:v>
                </c:pt>
                <c:pt idx="101">
                  <c:v>46283.625</c:v>
                </c:pt>
              </c:numCache>
            </c:numRef>
          </c:cat>
          <c:val>
            <c:numRef>
              <c:f>'IHYG vs AHW'!$F$21:$F$122</c:f>
              <c:numCache>
                <c:formatCode>#,##0;\(#,##0\);\-</c:formatCode>
                <c:ptCount val="102"/>
                <c:pt idx="0">
                  <c:v>0</c:v>
                </c:pt>
                <c:pt idx="1">
                  <c:v>456921.95833204384</c:v>
                </c:pt>
                <c:pt idx="2">
                  <c:v>439812.02327928215</c:v>
                </c:pt>
                <c:pt idx="3">
                  <c:v>365817.56887516228</c:v>
                </c:pt>
                <c:pt idx="4">
                  <c:v>412078.66055084026</c:v>
                </c:pt>
                <c:pt idx="5">
                  <c:v>454848.83845559735</c:v>
                </c:pt>
                <c:pt idx="6">
                  <c:v>456899.10902445595</c:v>
                </c:pt>
                <c:pt idx="7">
                  <c:v>443962.29653539503</c:v>
                </c:pt>
                <c:pt idx="8">
                  <c:v>495657.09734877758</c:v>
                </c:pt>
                <c:pt idx="9">
                  <c:v>436702.59056885471</c:v>
                </c:pt>
                <c:pt idx="10">
                  <c:v>447891.8936113292</c:v>
                </c:pt>
                <c:pt idx="11">
                  <c:v>484042.96271814441</c:v>
                </c:pt>
                <c:pt idx="12">
                  <c:v>464322.50484427332</c:v>
                </c:pt>
                <c:pt idx="13">
                  <c:v>517308.31724066817</c:v>
                </c:pt>
                <c:pt idx="14">
                  <c:v>492213.37288031162</c:v>
                </c:pt>
                <c:pt idx="15">
                  <c:v>494023.60345945897</c:v>
                </c:pt>
                <c:pt idx="16">
                  <c:v>461528.81868726166</c:v>
                </c:pt>
                <c:pt idx="17">
                  <c:v>490947.61950064718</c:v>
                </c:pt>
                <c:pt idx="18">
                  <c:v>537287.86175546865</c:v>
                </c:pt>
                <c:pt idx="19">
                  <c:v>583336.58367052802</c:v>
                </c:pt>
                <c:pt idx="20">
                  <c:v>568351.87869240833</c:v>
                </c:pt>
                <c:pt idx="21">
                  <c:v>555514.46873617161</c:v>
                </c:pt>
                <c:pt idx="22">
                  <c:v>580590.18164221861</c:v>
                </c:pt>
                <c:pt idx="23">
                  <c:v>478140.31836293638</c:v>
                </c:pt>
                <c:pt idx="24">
                  <c:v>476076.67902188038</c:v>
                </c:pt>
                <c:pt idx="25">
                  <c:v>443105.73070784856</c:v>
                </c:pt>
                <c:pt idx="26">
                  <c:v>450664.52122522378</c:v>
                </c:pt>
                <c:pt idx="27">
                  <c:v>380974.00929729792</c:v>
                </c:pt>
                <c:pt idx="28">
                  <c:v>441438.36480823782</c:v>
                </c:pt>
                <c:pt idx="29">
                  <c:v>434533.30006692617</c:v>
                </c:pt>
                <c:pt idx="30">
                  <c:v>464865.00722780242</c:v>
                </c:pt>
                <c:pt idx="31">
                  <c:v>441818.87110424921</c:v>
                </c:pt>
                <c:pt idx="32">
                  <c:v>498426.38353668357</c:v>
                </c:pt>
                <c:pt idx="33">
                  <c:v>381829.63371943432</c:v>
                </c:pt>
                <c:pt idx="34">
                  <c:v>381205.70094208856</c:v>
                </c:pt>
                <c:pt idx="35">
                  <c:v>362396.18772716256</c:v>
                </c:pt>
                <c:pt idx="36">
                  <c:v>368440.42483398219</c:v>
                </c:pt>
                <c:pt idx="37">
                  <c:v>416959.67352380982</c:v>
                </c:pt>
                <c:pt idx="38">
                  <c:v>322578.60908108501</c:v>
                </c:pt>
                <c:pt idx="39">
                  <c:v>294712.49869755667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A-43BB-B231-3692098F4E39}"/>
            </c:ext>
          </c:extLst>
        </c:ser>
        <c:ser>
          <c:idx val="1"/>
          <c:order val="1"/>
          <c:tx>
            <c:v>IHYG ETF</c:v>
          </c:tx>
          <c:spPr>
            <a:ln w="28575" cap="rnd">
              <a:solidFill>
                <a:srgbClr val="1F3864"/>
              </a:solidFill>
              <a:round/>
            </a:ln>
          </c:spPr>
          <c:marker>
            <c:symbol val="none"/>
          </c:marker>
          <c:cat>
            <c:numRef>
              <c:f>'IHYG vs AHW'!$A$21:$A$122</c:f>
              <c:numCache>
                <c:formatCode>d\-mmm\-yy</c:formatCode>
                <c:ptCount val="102"/>
                <c:pt idx="0">
                  <c:v>46113.625</c:v>
                </c:pt>
                <c:pt idx="1">
                  <c:v>46120.625</c:v>
                </c:pt>
                <c:pt idx="2">
                  <c:v>46122.625</c:v>
                </c:pt>
                <c:pt idx="3">
                  <c:v>46126.625</c:v>
                </c:pt>
                <c:pt idx="4">
                  <c:v>46127.625</c:v>
                </c:pt>
                <c:pt idx="5">
                  <c:v>46128.625</c:v>
                </c:pt>
                <c:pt idx="6">
                  <c:v>46129.625</c:v>
                </c:pt>
                <c:pt idx="7">
                  <c:v>46132.625</c:v>
                </c:pt>
                <c:pt idx="8">
                  <c:v>46133.625</c:v>
                </c:pt>
                <c:pt idx="9">
                  <c:v>46134.625</c:v>
                </c:pt>
                <c:pt idx="10">
                  <c:v>46136.625</c:v>
                </c:pt>
                <c:pt idx="11">
                  <c:v>46139.625</c:v>
                </c:pt>
                <c:pt idx="12">
                  <c:v>46140.625</c:v>
                </c:pt>
                <c:pt idx="13">
                  <c:v>46141.625</c:v>
                </c:pt>
                <c:pt idx="14">
                  <c:v>46142.625</c:v>
                </c:pt>
                <c:pt idx="15">
                  <c:v>46147.625</c:v>
                </c:pt>
                <c:pt idx="16">
                  <c:v>46148.625</c:v>
                </c:pt>
                <c:pt idx="17">
                  <c:v>46149.625</c:v>
                </c:pt>
                <c:pt idx="18">
                  <c:v>46150.625</c:v>
                </c:pt>
                <c:pt idx="19">
                  <c:v>46154.625</c:v>
                </c:pt>
                <c:pt idx="20">
                  <c:v>46155.625</c:v>
                </c:pt>
                <c:pt idx="21">
                  <c:v>46157.625</c:v>
                </c:pt>
                <c:pt idx="22">
                  <c:v>46161.625</c:v>
                </c:pt>
                <c:pt idx="23">
                  <c:v>46162.625</c:v>
                </c:pt>
                <c:pt idx="24">
                  <c:v>46163.625</c:v>
                </c:pt>
                <c:pt idx="25">
                  <c:v>46168.625</c:v>
                </c:pt>
                <c:pt idx="26">
                  <c:v>46169.625</c:v>
                </c:pt>
                <c:pt idx="27">
                  <c:v>46170.625</c:v>
                </c:pt>
                <c:pt idx="28">
                  <c:v>46171.625</c:v>
                </c:pt>
                <c:pt idx="29">
                  <c:v>46174.625</c:v>
                </c:pt>
                <c:pt idx="30">
                  <c:v>46176.625</c:v>
                </c:pt>
                <c:pt idx="31">
                  <c:v>46177.625</c:v>
                </c:pt>
                <c:pt idx="32">
                  <c:v>46182.625</c:v>
                </c:pt>
                <c:pt idx="33">
                  <c:v>46188.625</c:v>
                </c:pt>
                <c:pt idx="34">
                  <c:v>46189.625</c:v>
                </c:pt>
                <c:pt idx="35">
                  <c:v>46190.625</c:v>
                </c:pt>
                <c:pt idx="36">
                  <c:v>46191.625</c:v>
                </c:pt>
                <c:pt idx="37">
                  <c:v>46192.625</c:v>
                </c:pt>
                <c:pt idx="38">
                  <c:v>46196.625</c:v>
                </c:pt>
                <c:pt idx="39">
                  <c:v>46197.625</c:v>
                </c:pt>
                <c:pt idx="40">
                  <c:v>46198.625</c:v>
                </c:pt>
                <c:pt idx="41">
                  <c:v>46199.625</c:v>
                </c:pt>
                <c:pt idx="42">
                  <c:v>46202.625</c:v>
                </c:pt>
                <c:pt idx="43">
                  <c:v>46203.625</c:v>
                </c:pt>
                <c:pt idx="44">
                  <c:v>46204.625</c:v>
                </c:pt>
                <c:pt idx="45">
                  <c:v>46205.625</c:v>
                </c:pt>
                <c:pt idx="46">
                  <c:v>46206.625</c:v>
                </c:pt>
                <c:pt idx="47">
                  <c:v>46209.625</c:v>
                </c:pt>
                <c:pt idx="48">
                  <c:v>46210.625</c:v>
                </c:pt>
                <c:pt idx="49">
                  <c:v>46211.625</c:v>
                </c:pt>
                <c:pt idx="50">
                  <c:v>46212.625</c:v>
                </c:pt>
                <c:pt idx="51">
                  <c:v>46213.625</c:v>
                </c:pt>
                <c:pt idx="52">
                  <c:v>46216.625</c:v>
                </c:pt>
                <c:pt idx="53">
                  <c:v>46217.625</c:v>
                </c:pt>
                <c:pt idx="54">
                  <c:v>46218.625</c:v>
                </c:pt>
                <c:pt idx="55">
                  <c:v>46219.625</c:v>
                </c:pt>
                <c:pt idx="56">
                  <c:v>46220.625</c:v>
                </c:pt>
                <c:pt idx="57">
                  <c:v>46223.625</c:v>
                </c:pt>
                <c:pt idx="58">
                  <c:v>46224.625</c:v>
                </c:pt>
                <c:pt idx="59">
                  <c:v>46225.625</c:v>
                </c:pt>
                <c:pt idx="60">
                  <c:v>46226.625</c:v>
                </c:pt>
                <c:pt idx="61">
                  <c:v>46227.625</c:v>
                </c:pt>
                <c:pt idx="62">
                  <c:v>46230.625</c:v>
                </c:pt>
                <c:pt idx="63">
                  <c:v>46231.625</c:v>
                </c:pt>
                <c:pt idx="64">
                  <c:v>46232.625</c:v>
                </c:pt>
                <c:pt idx="65">
                  <c:v>46233.625</c:v>
                </c:pt>
                <c:pt idx="66">
                  <c:v>46234.625</c:v>
                </c:pt>
                <c:pt idx="67">
                  <c:v>46237.625</c:v>
                </c:pt>
                <c:pt idx="68">
                  <c:v>46238.625</c:v>
                </c:pt>
                <c:pt idx="69">
                  <c:v>46239.625</c:v>
                </c:pt>
                <c:pt idx="70">
                  <c:v>46240.625</c:v>
                </c:pt>
                <c:pt idx="71">
                  <c:v>46241.625</c:v>
                </c:pt>
                <c:pt idx="72">
                  <c:v>46244.625</c:v>
                </c:pt>
                <c:pt idx="73">
                  <c:v>46245.625</c:v>
                </c:pt>
                <c:pt idx="74">
                  <c:v>46246.625</c:v>
                </c:pt>
                <c:pt idx="75">
                  <c:v>46247.625</c:v>
                </c:pt>
                <c:pt idx="76">
                  <c:v>46248.625</c:v>
                </c:pt>
                <c:pt idx="77">
                  <c:v>46251.625</c:v>
                </c:pt>
                <c:pt idx="78">
                  <c:v>46252.625</c:v>
                </c:pt>
                <c:pt idx="79">
                  <c:v>46253.625</c:v>
                </c:pt>
                <c:pt idx="80">
                  <c:v>46254.625</c:v>
                </c:pt>
                <c:pt idx="81">
                  <c:v>46255.625</c:v>
                </c:pt>
                <c:pt idx="82">
                  <c:v>46258.625</c:v>
                </c:pt>
                <c:pt idx="83">
                  <c:v>46259.625</c:v>
                </c:pt>
                <c:pt idx="84">
                  <c:v>46260.625</c:v>
                </c:pt>
                <c:pt idx="85">
                  <c:v>46261.625</c:v>
                </c:pt>
                <c:pt idx="86">
                  <c:v>46262.625</c:v>
                </c:pt>
                <c:pt idx="87">
                  <c:v>46265.625</c:v>
                </c:pt>
                <c:pt idx="88">
                  <c:v>46266.625</c:v>
                </c:pt>
                <c:pt idx="89">
                  <c:v>46267.625</c:v>
                </c:pt>
                <c:pt idx="90">
                  <c:v>46268.625</c:v>
                </c:pt>
                <c:pt idx="91">
                  <c:v>46269.625</c:v>
                </c:pt>
                <c:pt idx="92">
                  <c:v>46272.625</c:v>
                </c:pt>
                <c:pt idx="93">
                  <c:v>46273.625</c:v>
                </c:pt>
                <c:pt idx="94">
                  <c:v>46274.625</c:v>
                </c:pt>
                <c:pt idx="95">
                  <c:v>46275.625</c:v>
                </c:pt>
                <c:pt idx="96">
                  <c:v>46276.625</c:v>
                </c:pt>
                <c:pt idx="97">
                  <c:v>46279.625</c:v>
                </c:pt>
                <c:pt idx="98">
                  <c:v>46280.625</c:v>
                </c:pt>
                <c:pt idx="99">
                  <c:v>46281.625</c:v>
                </c:pt>
                <c:pt idx="100">
                  <c:v>46282.625</c:v>
                </c:pt>
                <c:pt idx="101">
                  <c:v>46283.625</c:v>
                </c:pt>
              </c:numCache>
            </c:numRef>
          </c:cat>
          <c:val>
            <c:numRef>
              <c:f>'IHYG vs AHW'!$G$21:$G$122</c:f>
              <c:numCache>
                <c:formatCode>#,##0;\(#,##0\);\-</c:formatCode>
                <c:ptCount val="102"/>
                <c:pt idx="0">
                  <c:v>0</c:v>
                </c:pt>
                <c:pt idx="1">
                  <c:v>-57103.010336743755</c:v>
                </c:pt>
                <c:pt idx="2">
                  <c:v>-4304.3949704127735</c:v>
                </c:pt>
                <c:pt idx="3">
                  <c:v>-130164.18270786572</c:v>
                </c:pt>
                <c:pt idx="4">
                  <c:v>-94143.223201587971</c:v>
                </c:pt>
                <c:pt idx="5">
                  <c:v>-84979.886591069095</c:v>
                </c:pt>
                <c:pt idx="6">
                  <c:v>-74130.636738873116</c:v>
                </c:pt>
                <c:pt idx="7">
                  <c:v>-125395.69815733007</c:v>
                </c:pt>
                <c:pt idx="8">
                  <c:v>-76834.585239703418</c:v>
                </c:pt>
                <c:pt idx="9">
                  <c:v>-84772.610595083679</c:v>
                </c:pt>
                <c:pt idx="10">
                  <c:v>-67602.14353957976</c:v>
                </c:pt>
                <c:pt idx="11">
                  <c:v>-46415.397151551362</c:v>
                </c:pt>
                <c:pt idx="12">
                  <c:v>-80384.929327241844</c:v>
                </c:pt>
                <c:pt idx="13">
                  <c:v>22791.734977945453</c:v>
                </c:pt>
                <c:pt idx="14">
                  <c:v>-29116.696114233095</c:v>
                </c:pt>
                <c:pt idx="15">
                  <c:v>-49158.777639327993</c:v>
                </c:pt>
                <c:pt idx="16">
                  <c:v>-65133.091089098307</c:v>
                </c:pt>
                <c:pt idx="17">
                  <c:v>-56246.962249651711</c:v>
                </c:pt>
                <c:pt idx="18">
                  <c:v>-40116.884007860368</c:v>
                </c:pt>
                <c:pt idx="19">
                  <c:v>24072.472730228736</c:v>
                </c:pt>
                <c:pt idx="20">
                  <c:v>-842.05762031723862</c:v>
                </c:pt>
                <c:pt idx="21">
                  <c:v>11141.357795869422</c:v>
                </c:pt>
                <c:pt idx="22">
                  <c:v>-95425.882045056976</c:v>
                </c:pt>
                <c:pt idx="23">
                  <c:v>-153658.18429069553</c:v>
                </c:pt>
                <c:pt idx="24">
                  <c:v>-95030.633082360771</c:v>
                </c:pt>
                <c:pt idx="25">
                  <c:v>-149549.1525321459</c:v>
                </c:pt>
                <c:pt idx="26">
                  <c:v>-154391.51010598356</c:v>
                </c:pt>
                <c:pt idx="27">
                  <c:v>-173068.32352360652</c:v>
                </c:pt>
                <c:pt idx="28">
                  <c:v>-171023.76154145307</c:v>
                </c:pt>
                <c:pt idx="29">
                  <c:v>-158505.21268882323</c:v>
                </c:pt>
                <c:pt idx="30">
                  <c:v>-123120.47899158866</c:v>
                </c:pt>
                <c:pt idx="31">
                  <c:v>-147757.11776878146</c:v>
                </c:pt>
                <c:pt idx="32">
                  <c:v>-163855.13452634774</c:v>
                </c:pt>
                <c:pt idx="33">
                  <c:v>-208366.57172691822</c:v>
                </c:pt>
                <c:pt idx="34">
                  <c:v>-209345.34579851027</c:v>
                </c:pt>
                <c:pt idx="35">
                  <c:v>-189905.02302647417</c:v>
                </c:pt>
                <c:pt idx="36">
                  <c:v>-206687.6320453416</c:v>
                </c:pt>
                <c:pt idx="37">
                  <c:v>-166760.03940763598</c:v>
                </c:pt>
                <c:pt idx="38">
                  <c:v>-228795.92922278697</c:v>
                </c:pt>
                <c:pt idx="39">
                  <c:v>-271429.21954115952</c:v>
                </c:pt>
                <c:pt idx="40">
                  <c:v>-246249.5862100728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A-43BB-B231-3692098F4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11111"/>
        <c:axId val="222222222"/>
      </c:lineChart>
      <c:dateAx>
        <c:axId val="111111111"/>
        <c:scaling>
          <c:orientation val="minMax"/>
        </c:scaling>
        <c:delete val="0"/>
        <c:axPos val="b"/>
        <c:numFmt formatCode="dd\-mmm" sourceLinked="0"/>
        <c:majorTickMark val="out"/>
        <c:minorTickMark val="none"/>
        <c:tickLblPos val="nextTo"/>
        <c:crossAx val="222222222"/>
        <c:crosses val="autoZero"/>
        <c:auto val="1"/>
        <c:lblOffset val="100"/>
        <c:baseTimeUnit val="days"/>
      </c:dateAx>
      <c:valAx>
        <c:axId val="222222222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11111111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'13a'!$M$12:$M$13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'13a'!$A$14:$A$250</c:f>
              <c:strCache>
                <c:ptCount val="51"/>
                <c:pt idx="0">
                  <c:v>01/27/2026 15:00</c:v>
                </c:pt>
                <c:pt idx="1">
                  <c:v>03/17/2026 15:00</c:v>
                </c:pt>
                <c:pt idx="2">
                  <c:v>03/18/2026 15:00</c:v>
                </c:pt>
                <c:pt idx="3">
                  <c:v>03/19/2026 15:00</c:v>
                </c:pt>
                <c:pt idx="4">
                  <c:v>03/20/2026 15:00</c:v>
                </c:pt>
                <c:pt idx="5">
                  <c:v>03/23/2026 15:00</c:v>
                </c:pt>
                <c:pt idx="6">
                  <c:v>03/24/2026 15:00</c:v>
                </c:pt>
                <c:pt idx="7">
                  <c:v>03/25/2026 15:00</c:v>
                </c:pt>
                <c:pt idx="8">
                  <c:v>03/26/2026 15:00</c:v>
                </c:pt>
                <c:pt idx="9">
                  <c:v>03/27/2026 15:00</c:v>
                </c:pt>
                <c:pt idx="10">
                  <c:v>03/30/2026 15:00</c:v>
                </c:pt>
                <c:pt idx="11">
                  <c:v>03/31/2026 15:00</c:v>
                </c:pt>
                <c:pt idx="12">
                  <c:v>04/01/2026 15:00</c:v>
                </c:pt>
                <c:pt idx="13">
                  <c:v>04/02/2026 15:00</c:v>
                </c:pt>
                <c:pt idx="14">
                  <c:v>04/07/2026 15:00</c:v>
                </c:pt>
                <c:pt idx="15">
                  <c:v>04/08/2026 15:00</c:v>
                </c:pt>
                <c:pt idx="16">
                  <c:v>04/10/2026 15:00</c:v>
                </c:pt>
                <c:pt idx="17">
                  <c:v>04/14/2026 15:00</c:v>
                </c:pt>
                <c:pt idx="18">
                  <c:v>04/15/2026 15:00</c:v>
                </c:pt>
                <c:pt idx="19">
                  <c:v>04/16/2026 15:00</c:v>
                </c:pt>
                <c:pt idx="20">
                  <c:v>04/17/2026 15:00</c:v>
                </c:pt>
                <c:pt idx="21">
                  <c:v>04/20/2026 15:00</c:v>
                </c:pt>
                <c:pt idx="22">
                  <c:v>04/21/2026 15:00</c:v>
                </c:pt>
                <c:pt idx="23">
                  <c:v>04/22/2026 15:00</c:v>
                </c:pt>
                <c:pt idx="24">
                  <c:v>04/24/2026 15:00</c:v>
                </c:pt>
                <c:pt idx="25">
                  <c:v>04/27/2026 15:00</c:v>
                </c:pt>
                <c:pt idx="26">
                  <c:v>04/28/2026 15:00</c:v>
                </c:pt>
                <c:pt idx="27">
                  <c:v>04/29/2026 15:00</c:v>
                </c:pt>
                <c:pt idx="28">
                  <c:v>04/30/2026 15:00</c:v>
                </c:pt>
                <c:pt idx="29">
                  <c:v>05/05/2026 15:00</c:v>
                </c:pt>
                <c:pt idx="30">
                  <c:v>05/06/2026 15:00</c:v>
                </c:pt>
                <c:pt idx="31">
                  <c:v>05/07/2026 15:00</c:v>
                </c:pt>
                <c:pt idx="32">
                  <c:v>05/08/2026 15:00</c:v>
                </c:pt>
                <c:pt idx="33">
                  <c:v>05/12/2026 15:00</c:v>
                </c:pt>
                <c:pt idx="34">
                  <c:v>05/13/2026 15:00</c:v>
                </c:pt>
                <c:pt idx="35">
                  <c:v>05/15/2026 15:00</c:v>
                </c:pt>
                <c:pt idx="36">
                  <c:v>05/19/2026 15:00</c:v>
                </c:pt>
                <c:pt idx="37">
                  <c:v>05/20/2026 15:00</c:v>
                </c:pt>
                <c:pt idx="38">
                  <c:v>05/21/2026 15:00</c:v>
                </c:pt>
                <c:pt idx="39">
                  <c:v>05/26/2026 15:00</c:v>
                </c:pt>
                <c:pt idx="40">
                  <c:v>05/27/2026 15:00</c:v>
                </c:pt>
                <c:pt idx="41">
                  <c:v>05/28/2026 15:00</c:v>
                </c:pt>
                <c:pt idx="42">
                  <c:v>05/29/2026 15:00</c:v>
                </c:pt>
                <c:pt idx="43">
                  <c:v>06/01/2026 15:00</c:v>
                </c:pt>
                <c:pt idx="44">
                  <c:v>06/03/2026 15:00</c:v>
                </c:pt>
                <c:pt idx="45">
                  <c:v>06/04/2026 15:00</c:v>
                </c:pt>
                <c:pt idx="46">
                  <c:v>06/09/2026 15:00</c:v>
                </c:pt>
                <c:pt idx="47">
                  <c:v>06/15/2026 15:00</c:v>
                </c:pt>
                <c:pt idx="48">
                  <c:v>06/16/2026 15:00</c:v>
                </c:pt>
                <c:pt idx="49">
                  <c:v>06/17/2026 15:00</c:v>
                </c:pt>
                <c:pt idx="50">
                  <c:v>06/26/2026 08:49</c:v>
                </c:pt>
              </c:strCache>
            </c:strRef>
          </c:cat>
          <c:val>
            <c:numRef>
              <c:f>'13a'!$M$14:$M$250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-252109.68421106576</c:v>
                </c:pt>
                <c:pt idx="2">
                  <c:v>-222001.74054054223</c:v>
                </c:pt>
                <c:pt idx="3">
                  <c:v>-197470.74925096217</c:v>
                </c:pt>
                <c:pt idx="4">
                  <c:v>-248568.70519433462</c:v>
                </c:pt>
                <c:pt idx="5">
                  <c:v>-247739.17534105305</c:v>
                </c:pt>
                <c:pt idx="6">
                  <c:v>-278042.18662548071</c:v>
                </c:pt>
                <c:pt idx="7">
                  <c:v>-236941.31631402631</c:v>
                </c:pt>
                <c:pt idx="8">
                  <c:v>-155549.22335135273</c:v>
                </c:pt>
                <c:pt idx="9">
                  <c:v>-178755.84853539162</c:v>
                </c:pt>
                <c:pt idx="10">
                  <c:v>-284927.00336679281</c:v>
                </c:pt>
                <c:pt idx="11">
                  <c:v>-239905.63369883923</c:v>
                </c:pt>
                <c:pt idx="12">
                  <c:v>-269329.04137965949</c:v>
                </c:pt>
                <c:pt idx="13">
                  <c:v>-253516.18651222374</c:v>
                </c:pt>
                <c:pt idx="14">
                  <c:v>-176591.15027026751</c:v>
                </c:pt>
                <c:pt idx="15">
                  <c:v>-273500.7510012897</c:v>
                </c:pt>
                <c:pt idx="16">
                  <c:v>-290346.6860540515</c:v>
                </c:pt>
                <c:pt idx="17">
                  <c:v>-365309.14045817126</c:v>
                </c:pt>
                <c:pt idx="18">
                  <c:v>-320192.04878249334</c:v>
                </c:pt>
                <c:pt idx="19">
                  <c:v>-277905.87087773619</c:v>
                </c:pt>
                <c:pt idx="20">
                  <c:v>-279683.60030887765</c:v>
                </c:pt>
                <c:pt idx="21">
                  <c:v>-291036.41279793862</c:v>
                </c:pt>
                <c:pt idx="22">
                  <c:v>-238769.61198455596</c:v>
                </c:pt>
                <c:pt idx="23">
                  <c:v>-296008.11876447895</c:v>
                </c:pt>
                <c:pt idx="24">
                  <c:v>-284510.81572200445</c:v>
                </c:pt>
                <c:pt idx="25">
                  <c:v>-248843.74661518919</c:v>
                </c:pt>
                <c:pt idx="26">
                  <c:v>-266760.20448906027</c:v>
                </c:pt>
                <c:pt idx="27">
                  <c:v>-213114.39209266531</c:v>
                </c:pt>
                <c:pt idx="28">
                  <c:v>-239133.33645302191</c:v>
                </c:pt>
                <c:pt idx="29">
                  <c:v>-238159.10587387453</c:v>
                </c:pt>
                <c:pt idx="30">
                  <c:v>-274085.89064607187</c:v>
                </c:pt>
                <c:pt idx="31">
                  <c:v>-244931.08983268635</c:v>
                </c:pt>
                <c:pt idx="32">
                  <c:v>-199294.84757786494</c:v>
                </c:pt>
                <c:pt idx="33">
                  <c:v>-151750.12566280551</c:v>
                </c:pt>
                <c:pt idx="34">
                  <c:v>-167130.83064092527</c:v>
                </c:pt>
                <c:pt idx="35">
                  <c:v>-179088.24059716205</c:v>
                </c:pt>
                <c:pt idx="36">
                  <c:v>-153440.52769111498</c:v>
                </c:pt>
                <c:pt idx="37">
                  <c:v>-256550.39097039719</c:v>
                </c:pt>
                <c:pt idx="38">
                  <c:v>-257866.03031145319</c:v>
                </c:pt>
                <c:pt idx="39">
                  <c:v>-293740.97862548498</c:v>
                </c:pt>
                <c:pt idx="40">
                  <c:v>-286930.18810810975</c:v>
                </c:pt>
                <c:pt idx="41">
                  <c:v>-356312.70003603568</c:v>
                </c:pt>
                <c:pt idx="42">
                  <c:v>-298224.34452509566</c:v>
                </c:pt>
                <c:pt idx="43">
                  <c:v>-303061.40926640743</c:v>
                </c:pt>
                <c:pt idx="44">
                  <c:v>-273257.70210553112</c:v>
                </c:pt>
                <c:pt idx="45">
                  <c:v>-296215.8382290845</c:v>
                </c:pt>
                <c:pt idx="46">
                  <c:v>-240180.32579665002</c:v>
                </c:pt>
                <c:pt idx="47">
                  <c:v>-358933.07561389916</c:v>
                </c:pt>
                <c:pt idx="48">
                  <c:v>-359293.00839124509</c:v>
                </c:pt>
                <c:pt idx="49">
                  <c:v>-388738.52160617162</c:v>
                </c:pt>
                <c:pt idx="50">
                  <c:v>-463031.51609572209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DB-47D8-8100-873A995B6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ADB-47D8-8100-873A995B632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ADB-47D8-8100-873A995B632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ADB-47D8-8100-873A995B632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ADB-47D8-8100-873A995B632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ADB-47D8-8100-873A995B632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ADB-47D8-8100-873A995B632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'13a'!$A$14:$A$250</c15:sqref>
                        </c15:formulaRef>
                      </c:ext>
                    </c:extLst>
                    <c:strCache>
                      <c:ptCount val="51"/>
                      <c:pt idx="0">
                        <c:v>01/27/2026 15:00</c:v>
                      </c:pt>
                      <c:pt idx="1">
                        <c:v>03/17/2026 15:00</c:v>
                      </c:pt>
                      <c:pt idx="2">
                        <c:v>03/18/2026 15:00</c:v>
                      </c:pt>
                      <c:pt idx="3">
                        <c:v>03/19/2026 15:00</c:v>
                      </c:pt>
                      <c:pt idx="4">
                        <c:v>03/20/2026 15:00</c:v>
                      </c:pt>
                      <c:pt idx="5">
                        <c:v>03/23/2026 15:00</c:v>
                      </c:pt>
                      <c:pt idx="6">
                        <c:v>03/24/2026 15:00</c:v>
                      </c:pt>
                      <c:pt idx="7">
                        <c:v>03/25/2026 15:00</c:v>
                      </c:pt>
                      <c:pt idx="8">
                        <c:v>03/26/2026 15:00</c:v>
                      </c:pt>
                      <c:pt idx="9">
                        <c:v>03/27/2026 15:00</c:v>
                      </c:pt>
                      <c:pt idx="10">
                        <c:v>03/30/2026 15:00</c:v>
                      </c:pt>
                      <c:pt idx="11">
                        <c:v>03/31/2026 15:00</c:v>
                      </c:pt>
                      <c:pt idx="12">
                        <c:v>04/01/2026 15:00</c:v>
                      </c:pt>
                      <c:pt idx="13">
                        <c:v>04/02/2026 15:00</c:v>
                      </c:pt>
                      <c:pt idx="14">
                        <c:v>04/07/2026 15:00</c:v>
                      </c:pt>
                      <c:pt idx="15">
                        <c:v>04/08/2026 15:00</c:v>
                      </c:pt>
                      <c:pt idx="16">
                        <c:v>04/10/2026 15:00</c:v>
                      </c:pt>
                      <c:pt idx="17">
                        <c:v>04/14/2026 15:00</c:v>
                      </c:pt>
                      <c:pt idx="18">
                        <c:v>04/15/2026 15:00</c:v>
                      </c:pt>
                      <c:pt idx="19">
                        <c:v>04/16/2026 15:00</c:v>
                      </c:pt>
                      <c:pt idx="20">
                        <c:v>04/17/2026 15:00</c:v>
                      </c:pt>
                      <c:pt idx="21">
                        <c:v>04/20/2026 15:00</c:v>
                      </c:pt>
                      <c:pt idx="22">
                        <c:v>04/21/2026 15:00</c:v>
                      </c:pt>
                      <c:pt idx="23">
                        <c:v>04/22/2026 15:00</c:v>
                      </c:pt>
                      <c:pt idx="24">
                        <c:v>04/24/2026 15:00</c:v>
                      </c:pt>
                      <c:pt idx="25">
                        <c:v>04/27/2026 15:00</c:v>
                      </c:pt>
                      <c:pt idx="26">
                        <c:v>04/28/2026 15:00</c:v>
                      </c:pt>
                      <c:pt idx="27">
                        <c:v>04/29/2026 15:00</c:v>
                      </c:pt>
                      <c:pt idx="28">
                        <c:v>04/30/2026 15:00</c:v>
                      </c:pt>
                      <c:pt idx="29">
                        <c:v>05/05/2026 15:00</c:v>
                      </c:pt>
                      <c:pt idx="30">
                        <c:v>05/06/2026 15:00</c:v>
                      </c:pt>
                      <c:pt idx="31">
                        <c:v>05/07/2026 15:00</c:v>
                      </c:pt>
                      <c:pt idx="32">
                        <c:v>05/08/2026 15:00</c:v>
                      </c:pt>
                      <c:pt idx="33">
                        <c:v>05/12/2026 15:00</c:v>
                      </c:pt>
                      <c:pt idx="34">
                        <c:v>05/13/2026 15:00</c:v>
                      </c:pt>
                      <c:pt idx="35">
                        <c:v>05/15/2026 15:00</c:v>
                      </c:pt>
                      <c:pt idx="36">
                        <c:v>05/19/2026 15:00</c:v>
                      </c:pt>
                      <c:pt idx="37">
                        <c:v>05/20/2026 15:00</c:v>
                      </c:pt>
                      <c:pt idx="38">
                        <c:v>05/21/2026 15:00</c:v>
                      </c:pt>
                      <c:pt idx="39">
                        <c:v>05/26/2026 15:00</c:v>
                      </c:pt>
                      <c:pt idx="40">
                        <c:v>05/27/2026 15:00</c:v>
                      </c:pt>
                      <c:pt idx="41">
                        <c:v>05/28/2026 15:00</c:v>
                      </c:pt>
                      <c:pt idx="42">
                        <c:v>05/29/2026 15:00</c:v>
                      </c:pt>
                      <c:pt idx="43">
                        <c:v>06/01/2026 15:00</c:v>
                      </c:pt>
                      <c:pt idx="44">
                        <c:v>06/03/2026 15:00</c:v>
                      </c:pt>
                      <c:pt idx="45">
                        <c:v>06/04/2026 15:00</c:v>
                      </c:pt>
                      <c:pt idx="46">
                        <c:v>06/09/2026 15:00</c:v>
                      </c:pt>
                      <c:pt idx="47">
                        <c:v>06/15/2026 15:00</c:v>
                      </c:pt>
                      <c:pt idx="48">
                        <c:v>06/16/2026 15:00</c:v>
                      </c:pt>
                      <c:pt idx="49">
                        <c:v>06/17/2026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ADB-47D8-8100-873A995B632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'13'!$A$14:$A$250</c:f>
              <c:strCache>
                <c:ptCount val="102"/>
                <c:pt idx="0">
                  <c:v>01/27/2026 15:00</c:v>
                </c:pt>
                <c:pt idx="1">
                  <c:v>01/28/2026 15:00</c:v>
                </c:pt>
                <c:pt idx="2">
                  <c:v>01/29/2026 15:00</c:v>
                </c:pt>
                <c:pt idx="3">
                  <c:v>01/30/2026 15:00</c:v>
                </c:pt>
                <c:pt idx="4">
                  <c:v>02/02/2026 15:00</c:v>
                </c:pt>
                <c:pt idx="5">
                  <c:v>02/03/2026 15:00</c:v>
                </c:pt>
                <c:pt idx="6">
                  <c:v>02/04/2026 15:00</c:v>
                </c:pt>
                <c:pt idx="7">
                  <c:v>02/05/2026 15:00</c:v>
                </c:pt>
                <c:pt idx="8">
                  <c:v>02/06/2026 15:00</c:v>
                </c:pt>
                <c:pt idx="9">
                  <c:v>02/09/2026 15:00</c:v>
                </c:pt>
                <c:pt idx="10">
                  <c:v>02/11/2026 15:00</c:v>
                </c:pt>
                <c:pt idx="11">
                  <c:v>02/12/2026 15:00</c:v>
                </c:pt>
                <c:pt idx="12">
                  <c:v>02/13/2026 15:00</c:v>
                </c:pt>
                <c:pt idx="13">
                  <c:v>02/16/2026 15:00</c:v>
                </c:pt>
                <c:pt idx="14">
                  <c:v>02/17/2026 15:00</c:v>
                </c:pt>
                <c:pt idx="15">
                  <c:v>02/18/2026 15:00</c:v>
                </c:pt>
                <c:pt idx="16">
                  <c:v>02/19/2026 15:00</c:v>
                </c:pt>
                <c:pt idx="17">
                  <c:v>02/20/2026 15:00</c:v>
                </c:pt>
                <c:pt idx="18">
                  <c:v>02/23/2026 15:00</c:v>
                </c:pt>
                <c:pt idx="19">
                  <c:v>02/24/2026 15:00</c:v>
                </c:pt>
                <c:pt idx="20">
                  <c:v>02/25/2026 15:00</c:v>
                </c:pt>
                <c:pt idx="21">
                  <c:v>02/26/2026 15:00</c:v>
                </c:pt>
                <c:pt idx="22">
                  <c:v>02/27/2026 15:00</c:v>
                </c:pt>
                <c:pt idx="23">
                  <c:v>03/02/2026 15:00</c:v>
                </c:pt>
                <c:pt idx="24">
                  <c:v>03/03/2026 15:00</c:v>
                </c:pt>
                <c:pt idx="25">
                  <c:v>03/04/2026 15:00</c:v>
                </c:pt>
                <c:pt idx="26">
                  <c:v>03/06/2026 15:00</c:v>
                </c:pt>
                <c:pt idx="27">
                  <c:v>03/09/2026 15:00</c:v>
                </c:pt>
                <c:pt idx="28">
                  <c:v>03/10/2026 15:00</c:v>
                </c:pt>
                <c:pt idx="29">
                  <c:v>03/11/2026 15:00</c:v>
                </c:pt>
                <c:pt idx="30">
                  <c:v>03/12/2026 15:00</c:v>
                </c:pt>
                <c:pt idx="31">
                  <c:v>03/13/2026 15:00</c:v>
                </c:pt>
                <c:pt idx="32">
                  <c:v>03/16/2026 15:00</c:v>
                </c:pt>
                <c:pt idx="33">
                  <c:v>03/17/2026 15:00</c:v>
                </c:pt>
                <c:pt idx="34">
                  <c:v>03/18/2026 15:00</c:v>
                </c:pt>
                <c:pt idx="35">
                  <c:v>03/19/2026 15:00</c:v>
                </c:pt>
                <c:pt idx="36">
                  <c:v>03/20/2026 15:00</c:v>
                </c:pt>
                <c:pt idx="37">
                  <c:v>03/23/2026 15:00</c:v>
                </c:pt>
                <c:pt idx="38">
                  <c:v>03/24/2026 15:00</c:v>
                </c:pt>
                <c:pt idx="39">
                  <c:v>03/25/2026 15:00</c:v>
                </c:pt>
                <c:pt idx="40">
                  <c:v>03/26/2026 15:00</c:v>
                </c:pt>
                <c:pt idx="41">
                  <c:v>03/27/2026 15:00</c:v>
                </c:pt>
                <c:pt idx="42">
                  <c:v>03/30/2026 15:00</c:v>
                </c:pt>
                <c:pt idx="43">
                  <c:v>03/31/2026 15:00</c:v>
                </c:pt>
                <c:pt idx="44">
                  <c:v>04/01/2026 15:00</c:v>
                </c:pt>
                <c:pt idx="45">
                  <c:v>04/02/2026 15:00</c:v>
                </c:pt>
                <c:pt idx="46">
                  <c:v>04/07/2026 15:00</c:v>
                </c:pt>
                <c:pt idx="47">
                  <c:v>04/08/2026 15:00</c:v>
                </c:pt>
                <c:pt idx="48">
                  <c:v>04/09/2026 15:00</c:v>
                </c:pt>
                <c:pt idx="49">
                  <c:v>04/10/2026 15:00</c:v>
                </c:pt>
                <c:pt idx="50">
                  <c:v>04/13/2026 15:00</c:v>
                </c:pt>
                <c:pt idx="51">
                  <c:v>04/14/2026 15:00</c:v>
                </c:pt>
                <c:pt idx="52">
                  <c:v>04/15/2026 15:00</c:v>
                </c:pt>
                <c:pt idx="53">
                  <c:v>04/16/2026 15:00</c:v>
                </c:pt>
                <c:pt idx="54">
                  <c:v>04/17/2026 15:00</c:v>
                </c:pt>
                <c:pt idx="55">
                  <c:v>04/20/2026 15:00</c:v>
                </c:pt>
                <c:pt idx="56">
                  <c:v>04/21/2026 15:00</c:v>
                </c:pt>
                <c:pt idx="57">
                  <c:v>04/22/2026 15:00</c:v>
                </c:pt>
                <c:pt idx="58">
                  <c:v>04/23/2026 15:00</c:v>
                </c:pt>
                <c:pt idx="59">
                  <c:v>04/24/2026 15:00</c:v>
                </c:pt>
                <c:pt idx="60">
                  <c:v>04/27/2026 15:00</c:v>
                </c:pt>
                <c:pt idx="61">
                  <c:v>04/28/2026 15:00</c:v>
                </c:pt>
                <c:pt idx="62">
                  <c:v>04/29/2026 15:00</c:v>
                </c:pt>
                <c:pt idx="63">
                  <c:v>04/30/2026 15:00</c:v>
                </c:pt>
                <c:pt idx="64">
                  <c:v>05/05/2026 15:00</c:v>
                </c:pt>
                <c:pt idx="65">
                  <c:v>05/06/2026 15:00</c:v>
                </c:pt>
                <c:pt idx="66">
                  <c:v>05/07/2026 15:00</c:v>
                </c:pt>
                <c:pt idx="67">
                  <c:v>05/08/2026 15:00</c:v>
                </c:pt>
                <c:pt idx="68">
                  <c:v>05/11/2026 15:00</c:v>
                </c:pt>
                <c:pt idx="69">
                  <c:v>05/12/2026 15:00</c:v>
                </c:pt>
                <c:pt idx="70">
                  <c:v>05/13/2026 15:00</c:v>
                </c:pt>
                <c:pt idx="71">
                  <c:v>05/14/2026 15:00</c:v>
                </c:pt>
                <c:pt idx="72">
                  <c:v>05/15/2026 15:00</c:v>
                </c:pt>
                <c:pt idx="73">
                  <c:v>05/18/2026 15:00</c:v>
                </c:pt>
                <c:pt idx="74">
                  <c:v>05/19/2026 15:00</c:v>
                </c:pt>
                <c:pt idx="75">
                  <c:v>05/20/2026 15:00</c:v>
                </c:pt>
                <c:pt idx="76">
                  <c:v>05/21/2026 15:00</c:v>
                </c:pt>
                <c:pt idx="77">
                  <c:v>05/22/2026 15:00</c:v>
                </c:pt>
                <c:pt idx="78">
                  <c:v>05/26/2026 15:00</c:v>
                </c:pt>
                <c:pt idx="79">
                  <c:v>05/27/2026 15:00</c:v>
                </c:pt>
                <c:pt idx="80">
                  <c:v>05/28/2026 15:00</c:v>
                </c:pt>
                <c:pt idx="81">
                  <c:v>05/29/2026 15:00</c:v>
                </c:pt>
                <c:pt idx="82">
                  <c:v>06/01/2026 15:00</c:v>
                </c:pt>
                <c:pt idx="83">
                  <c:v>06/02/2026 15:00</c:v>
                </c:pt>
                <c:pt idx="84">
                  <c:v>06/03/2026 15:00</c:v>
                </c:pt>
                <c:pt idx="85">
                  <c:v>06/04/2026 15:00</c:v>
                </c:pt>
                <c:pt idx="86">
                  <c:v>06/05/2026 15:00</c:v>
                </c:pt>
                <c:pt idx="87">
                  <c:v>06/08/2026 15:00</c:v>
                </c:pt>
                <c:pt idx="88">
                  <c:v>06/09/2026 15:00</c:v>
                </c:pt>
                <c:pt idx="89">
                  <c:v>06/10/2026 15:00</c:v>
                </c:pt>
                <c:pt idx="90">
                  <c:v>06/11/2026 15:00</c:v>
                </c:pt>
                <c:pt idx="91">
                  <c:v>06/12/2026 15:00</c:v>
                </c:pt>
                <c:pt idx="92">
                  <c:v>06/15/2026 15:00</c:v>
                </c:pt>
                <c:pt idx="93">
                  <c:v>06/16/2026 15:00</c:v>
                </c:pt>
                <c:pt idx="94">
                  <c:v>06/17/2026 15:00</c:v>
                </c:pt>
                <c:pt idx="95">
                  <c:v>06/18/2026 15:00</c:v>
                </c:pt>
                <c:pt idx="96">
                  <c:v>06/19/2026 15:00</c:v>
                </c:pt>
                <c:pt idx="97">
                  <c:v>06/22/2026 15:00</c:v>
                </c:pt>
                <c:pt idx="98">
                  <c:v>06/23/2026 15:00</c:v>
                </c:pt>
                <c:pt idx="99">
                  <c:v>06/24/2026 15:00</c:v>
                </c:pt>
                <c:pt idx="100">
                  <c:v>06/25/2026 15:00</c:v>
                </c:pt>
                <c:pt idx="101">
                  <c:v>06/26/2026 08:49</c:v>
                </c:pt>
              </c:strCache>
            </c:strRef>
          </c:cat>
          <c:val>
            <c:numRef>
              <c:f>'13'!$M$14:$M$250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-24319.751051765306</c:v>
                </c:pt>
                <c:pt idx="2">
                  <c:v>-51159.134993751097</c:v>
                </c:pt>
                <c:pt idx="3">
                  <c:v>-27126.08696461979</c:v>
                </c:pt>
                <c:pt idx="4">
                  <c:v>-46051.564636967807</c:v>
                </c:pt>
                <c:pt idx="5">
                  <c:v>-31008.847622809455</c:v>
                </c:pt>
                <c:pt idx="6">
                  <c:v>-45891.273122011604</c:v>
                </c:pt>
                <c:pt idx="7">
                  <c:v>-75805.779957939201</c:v>
                </c:pt>
                <c:pt idx="8">
                  <c:v>-80824.159242611553</c:v>
                </c:pt>
                <c:pt idx="9">
                  <c:v>-78214.266346732198</c:v>
                </c:pt>
                <c:pt idx="10">
                  <c:v>-116955.66394751451</c:v>
                </c:pt>
                <c:pt idx="11">
                  <c:v>-96269.715931313229</c:v>
                </c:pt>
                <c:pt idx="12">
                  <c:v>-137087.5297317376</c:v>
                </c:pt>
                <c:pt idx="13">
                  <c:v>-136722.59619248362</c:v>
                </c:pt>
                <c:pt idx="14">
                  <c:v>-154559.05126332847</c:v>
                </c:pt>
                <c:pt idx="15">
                  <c:v>-130084.5457786982</c:v>
                </c:pt>
                <c:pt idx="16">
                  <c:v>-103777.34450826856</c:v>
                </c:pt>
                <c:pt idx="17">
                  <c:v>-89584.720560753965</c:v>
                </c:pt>
                <c:pt idx="18">
                  <c:v>-95860.559222270676</c:v>
                </c:pt>
                <c:pt idx="19">
                  <c:v>-87608.757236648235</c:v>
                </c:pt>
                <c:pt idx="20">
                  <c:v>-84255.413826029122</c:v>
                </c:pt>
                <c:pt idx="21">
                  <c:v>-98611.844414476262</c:v>
                </c:pt>
                <c:pt idx="22">
                  <c:v>-103111.45326728774</c:v>
                </c:pt>
                <c:pt idx="23">
                  <c:v>-134269.63209090766</c:v>
                </c:pt>
                <c:pt idx="24">
                  <c:v>-153176.57844367571</c:v>
                </c:pt>
                <c:pt idx="25">
                  <c:v>-72076.564258528699</c:v>
                </c:pt>
                <c:pt idx="26">
                  <c:v>-34600.255110525875</c:v>
                </c:pt>
                <c:pt idx="27">
                  <c:v>-73266.331091567874</c:v>
                </c:pt>
                <c:pt idx="28">
                  <c:v>-97003.76440970783</c:v>
                </c:pt>
                <c:pt idx="29">
                  <c:v>-40645.456024366198</c:v>
                </c:pt>
                <c:pt idx="30">
                  <c:v>-60314.029951854551</c:v>
                </c:pt>
                <c:pt idx="31">
                  <c:v>-46619.260652549099</c:v>
                </c:pt>
                <c:pt idx="32">
                  <c:v>-64336.608710934757</c:v>
                </c:pt>
                <c:pt idx="33">
                  <c:v>-63517.191115553142</c:v>
                </c:pt>
                <c:pt idx="34">
                  <c:v>-8252.802257341973</c:v>
                </c:pt>
                <c:pt idx="35">
                  <c:v>2133.6724106583279</c:v>
                </c:pt>
                <c:pt idx="36">
                  <c:v>35053.920562583604</c:v>
                </c:pt>
                <c:pt idx="37">
                  <c:v>15621.416659516632</c:v>
                </c:pt>
                <c:pt idx="38">
                  <c:v>6609.8264535362832</c:v>
                </c:pt>
                <c:pt idx="39">
                  <c:v>-17833.934215451591</c:v>
                </c:pt>
                <c:pt idx="40">
                  <c:v>105635.43517023709</c:v>
                </c:pt>
                <c:pt idx="41">
                  <c:v>110416.3795604771</c:v>
                </c:pt>
                <c:pt idx="42">
                  <c:v>8305.8775526257232</c:v>
                </c:pt>
                <c:pt idx="43">
                  <c:v>18998.274870395544</c:v>
                </c:pt>
                <c:pt idx="44">
                  <c:v>6155.8909989746753</c:v>
                </c:pt>
                <c:pt idx="45">
                  <c:v>-37084.857164379908</c:v>
                </c:pt>
                <c:pt idx="46">
                  <c:v>58049.818713443703</c:v>
                </c:pt>
                <c:pt idx="47">
                  <c:v>-89453.199855280924</c:v>
                </c:pt>
                <c:pt idx="48">
                  <c:v>-130681.53457681532</c:v>
                </c:pt>
                <c:pt idx="49">
                  <c:v>-38409.02754953329</c:v>
                </c:pt>
                <c:pt idx="50">
                  <c:v>-85513.839292768622</c:v>
                </c:pt>
                <c:pt idx="51">
                  <c:v>-164212.23928698606</c:v>
                </c:pt>
                <c:pt idx="52">
                  <c:v>-129396.89913794701</c:v>
                </c:pt>
                <c:pt idx="53">
                  <c:v>-119937.93467575754</c:v>
                </c:pt>
                <c:pt idx="54">
                  <c:v>-114235.07810419332</c:v>
                </c:pt>
                <c:pt idx="55">
                  <c:v>-162549.04105538735</c:v>
                </c:pt>
                <c:pt idx="56">
                  <c:v>-113223.16053330118</c:v>
                </c:pt>
                <c:pt idx="57">
                  <c:v>-120490.24623478751</c:v>
                </c:pt>
                <c:pt idx="58">
                  <c:v>-87245.770891844761</c:v>
                </c:pt>
                <c:pt idx="59">
                  <c:v>-103197.6632287245</c:v>
                </c:pt>
                <c:pt idx="60">
                  <c:v>-82343.796642922447</c:v>
                </c:pt>
                <c:pt idx="61">
                  <c:v>-113672.00220302085</c:v>
                </c:pt>
                <c:pt idx="62">
                  <c:v>-11137.989551730803</c:v>
                </c:pt>
                <c:pt idx="63">
                  <c:v>-63501.416396695073</c:v>
                </c:pt>
                <c:pt idx="64">
                  <c:v>-84223.401526242727</c:v>
                </c:pt>
                <c:pt idx="65">
                  <c:v>-105062.62440497766</c:v>
                </c:pt>
                <c:pt idx="66">
                  <c:v>-95974.695664419443</c:v>
                </c:pt>
                <c:pt idx="67">
                  <c:v>-79924.301373180584</c:v>
                </c:pt>
                <c:pt idx="68">
                  <c:v>-58225.801582745509</c:v>
                </c:pt>
                <c:pt idx="69">
                  <c:v>-14552.433228408685</c:v>
                </c:pt>
                <c:pt idx="70">
                  <c:v>-39734.303430625238</c:v>
                </c:pt>
                <c:pt idx="71">
                  <c:v>-95102.671102910419</c:v>
                </c:pt>
                <c:pt idx="72">
                  <c:v>-27441.116162768099</c:v>
                </c:pt>
                <c:pt idx="73">
                  <c:v>-73765.463789231842</c:v>
                </c:pt>
                <c:pt idx="74">
                  <c:v>-129729.52222863026</c:v>
                </c:pt>
                <c:pt idx="75">
                  <c:v>-190105.72333708243</c:v>
                </c:pt>
                <c:pt idx="76">
                  <c:v>-132308.47968375601</c:v>
                </c:pt>
                <c:pt idx="77">
                  <c:v>-174605.08290665806</c:v>
                </c:pt>
                <c:pt idx="78">
                  <c:v>-190134.0853535966</c:v>
                </c:pt>
                <c:pt idx="79">
                  <c:v>-195619.09458133113</c:v>
                </c:pt>
                <c:pt idx="80">
                  <c:v>-215407.6994056371</c:v>
                </c:pt>
                <c:pt idx="81">
                  <c:v>-214756.41268184036</c:v>
                </c:pt>
                <c:pt idx="82">
                  <c:v>-200318.87281806814</c:v>
                </c:pt>
                <c:pt idx="83">
                  <c:v>-186169.97740143049</c:v>
                </c:pt>
                <c:pt idx="84">
                  <c:v>-165844.13062640163</c:v>
                </c:pt>
                <c:pt idx="85">
                  <c:v>-190372.79745303839</c:v>
                </c:pt>
                <c:pt idx="86">
                  <c:v>-168023.25384026789</c:v>
                </c:pt>
                <c:pt idx="87">
                  <c:v>-182492.62077173661</c:v>
                </c:pt>
                <c:pt idx="88">
                  <c:v>-205367.98675447772</c:v>
                </c:pt>
                <c:pt idx="89">
                  <c:v>-174939.33054378582</c:v>
                </c:pt>
                <c:pt idx="90">
                  <c:v>-212456.95364174794</c:v>
                </c:pt>
                <c:pt idx="91">
                  <c:v>-265991.72005817574</c:v>
                </c:pt>
                <c:pt idx="92">
                  <c:v>-254955.09723568335</c:v>
                </c:pt>
                <c:pt idx="93">
                  <c:v>-255638.24345560814</c:v>
                </c:pt>
                <c:pt idx="94">
                  <c:v>-236277.60463412455</c:v>
                </c:pt>
                <c:pt idx="95">
                  <c:v>-253183.05846080254</c:v>
                </c:pt>
                <c:pt idx="96">
                  <c:v>-213616.63362532668</c:v>
                </c:pt>
                <c:pt idx="97">
                  <c:v>-238175.01677652961</c:v>
                </c:pt>
                <c:pt idx="98">
                  <c:v>-275877.43129214831</c:v>
                </c:pt>
                <c:pt idx="99">
                  <c:v>-318027.43785773567</c:v>
                </c:pt>
                <c:pt idx="100">
                  <c:v>-294147.25183444633</c:v>
                </c:pt>
                <c:pt idx="101">
                  <c:v>-310698.30029646237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5-4323-97BE-4F23862D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AE5-4323-97BE-4F23862D59E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AE5-4323-97BE-4F23862D59E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E5-4323-97BE-4F23862D59E3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AE5-4323-97BE-4F23862D59E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AE5-4323-97BE-4F23862D59E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E5-4323-97BE-4F23862D59E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'13'!$A$14:$A$250</c15:sqref>
                        </c15:formulaRef>
                      </c:ext>
                    </c:extLst>
                    <c:strCache>
                      <c:ptCount val="102"/>
                      <c:pt idx="0">
                        <c:v>01/27/2026 15:00</c:v>
                      </c:pt>
                      <c:pt idx="1">
                        <c:v>01/28/2026 15:00</c:v>
                      </c:pt>
                      <c:pt idx="2">
                        <c:v>01/29/2026 15:00</c:v>
                      </c:pt>
                      <c:pt idx="3">
                        <c:v>01/30/2026 15:00</c:v>
                      </c:pt>
                      <c:pt idx="4">
                        <c:v>02/02/2026 15:00</c:v>
                      </c:pt>
                      <c:pt idx="5">
                        <c:v>02/03/2026 15:00</c:v>
                      </c:pt>
                      <c:pt idx="6">
                        <c:v>02/04/2026 15:00</c:v>
                      </c:pt>
                      <c:pt idx="7">
                        <c:v>02/05/2026 15:00</c:v>
                      </c:pt>
                      <c:pt idx="8">
                        <c:v>02/06/2026 15:00</c:v>
                      </c:pt>
                      <c:pt idx="9">
                        <c:v>02/09/2026 15:00</c:v>
                      </c:pt>
                      <c:pt idx="10">
                        <c:v>02/11/2026 15:00</c:v>
                      </c:pt>
                      <c:pt idx="11">
                        <c:v>02/12/2026 15:00</c:v>
                      </c:pt>
                      <c:pt idx="12">
                        <c:v>02/13/2026 15:00</c:v>
                      </c:pt>
                      <c:pt idx="13">
                        <c:v>02/16/2026 15:00</c:v>
                      </c:pt>
                      <c:pt idx="14">
                        <c:v>02/17/2026 15:00</c:v>
                      </c:pt>
                      <c:pt idx="15">
                        <c:v>02/18/2026 15:00</c:v>
                      </c:pt>
                      <c:pt idx="16">
                        <c:v>02/19/2026 15:00</c:v>
                      </c:pt>
                      <c:pt idx="17">
                        <c:v>02/20/2026 15:00</c:v>
                      </c:pt>
                      <c:pt idx="18">
                        <c:v>02/23/2026 15:00</c:v>
                      </c:pt>
                      <c:pt idx="19">
                        <c:v>02/24/2026 15:00</c:v>
                      </c:pt>
                      <c:pt idx="20">
                        <c:v>02/25/2026 15:00</c:v>
                      </c:pt>
                      <c:pt idx="21">
                        <c:v>02/26/2026 15:00</c:v>
                      </c:pt>
                      <c:pt idx="22">
                        <c:v>02/27/2026 15:00</c:v>
                      </c:pt>
                      <c:pt idx="23">
                        <c:v>03/02/2026 15:00</c:v>
                      </c:pt>
                      <c:pt idx="24">
                        <c:v>03/03/2026 15:00</c:v>
                      </c:pt>
                      <c:pt idx="25">
                        <c:v>03/04/2026 15:00</c:v>
                      </c:pt>
                      <c:pt idx="26">
                        <c:v>03/06/2026 15:00</c:v>
                      </c:pt>
                      <c:pt idx="27">
                        <c:v>03/09/2026 15:00</c:v>
                      </c:pt>
                      <c:pt idx="28">
                        <c:v>03/10/2026 15:00</c:v>
                      </c:pt>
                      <c:pt idx="29">
                        <c:v>03/11/2026 15:00</c:v>
                      </c:pt>
                      <c:pt idx="30">
                        <c:v>03/12/2026 15:00</c:v>
                      </c:pt>
                      <c:pt idx="31">
                        <c:v>03/13/2026 15:00</c:v>
                      </c:pt>
                      <c:pt idx="32">
                        <c:v>03/16/2026 15:00</c:v>
                      </c:pt>
                      <c:pt idx="33">
                        <c:v>03/17/2026 15:00</c:v>
                      </c:pt>
                      <c:pt idx="34">
                        <c:v>03/18/2026 15:00</c:v>
                      </c:pt>
                      <c:pt idx="35">
                        <c:v>03/19/2026 15:00</c:v>
                      </c:pt>
                      <c:pt idx="36">
                        <c:v>03/20/2026 15:00</c:v>
                      </c:pt>
                      <c:pt idx="37">
                        <c:v>03/23/2026 15:00</c:v>
                      </c:pt>
                      <c:pt idx="38">
                        <c:v>03/24/2026 15:00</c:v>
                      </c:pt>
                      <c:pt idx="39">
                        <c:v>03/25/2026 15:00</c:v>
                      </c:pt>
                      <c:pt idx="40">
                        <c:v>03/26/2026 15:00</c:v>
                      </c:pt>
                      <c:pt idx="41">
                        <c:v>03/27/2026 15:00</c:v>
                      </c:pt>
                      <c:pt idx="42">
                        <c:v>03/30/2026 15:00</c:v>
                      </c:pt>
                      <c:pt idx="43">
                        <c:v>03/31/2026 15:00</c:v>
                      </c:pt>
                      <c:pt idx="44">
                        <c:v>04/01/2026 15:00</c:v>
                      </c:pt>
                      <c:pt idx="45">
                        <c:v>04/02/2026 15:00</c:v>
                      </c:pt>
                      <c:pt idx="46">
                        <c:v>04/07/2026 15:00</c:v>
                      </c:pt>
                      <c:pt idx="47">
                        <c:v>04/08/2026 15:00</c:v>
                      </c:pt>
                      <c:pt idx="48">
                        <c:v>04/09/2026 15:00</c:v>
                      </c:pt>
                      <c:pt idx="49">
                        <c:v>04/10/2026 15:00</c:v>
                      </c:pt>
                      <c:pt idx="50">
                        <c:v>04/13/2026 15:00</c:v>
                      </c:pt>
                      <c:pt idx="51">
                        <c:v>04/14/2026 15:00</c:v>
                      </c:pt>
                      <c:pt idx="52">
                        <c:v>04/15/2026 15:00</c:v>
                      </c:pt>
                      <c:pt idx="53">
                        <c:v>04/16/2026 15:00</c:v>
                      </c:pt>
                      <c:pt idx="54">
                        <c:v>04/17/2026 15:00</c:v>
                      </c:pt>
                      <c:pt idx="55">
                        <c:v>04/20/2026 15:00</c:v>
                      </c:pt>
                      <c:pt idx="56">
                        <c:v>04/21/2026 15:00</c:v>
                      </c:pt>
                      <c:pt idx="57">
                        <c:v>04/22/2026 15:00</c:v>
                      </c:pt>
                      <c:pt idx="58">
                        <c:v>04/23/2026 15:00</c:v>
                      </c:pt>
                      <c:pt idx="59">
                        <c:v>04/24/2026 15:00</c:v>
                      </c:pt>
                      <c:pt idx="60">
                        <c:v>04/27/2026 15:00</c:v>
                      </c:pt>
                      <c:pt idx="61">
                        <c:v>04/28/2026 15:00</c:v>
                      </c:pt>
                      <c:pt idx="62">
                        <c:v>04/29/2026 15:00</c:v>
                      </c:pt>
                      <c:pt idx="63">
                        <c:v>04/30/2026 15:00</c:v>
                      </c:pt>
                      <c:pt idx="64">
                        <c:v>05/05/2026 15:00</c:v>
                      </c:pt>
                      <c:pt idx="65">
                        <c:v>05/06/2026 15:00</c:v>
                      </c:pt>
                      <c:pt idx="66">
                        <c:v>05/07/2026 15:00</c:v>
                      </c:pt>
                      <c:pt idx="67">
                        <c:v>05/08/2026 15:00</c:v>
                      </c:pt>
                      <c:pt idx="68">
                        <c:v>05/11/2026 15:00</c:v>
                      </c:pt>
                      <c:pt idx="69">
                        <c:v>05/12/2026 15:00</c:v>
                      </c:pt>
                      <c:pt idx="70">
                        <c:v>05/13/2026 15:00</c:v>
                      </c:pt>
                      <c:pt idx="71">
                        <c:v>05/14/2026 15:00</c:v>
                      </c:pt>
                      <c:pt idx="72">
                        <c:v>05/15/2026 15:00</c:v>
                      </c:pt>
                      <c:pt idx="73">
                        <c:v>05/18/2026 15:00</c:v>
                      </c:pt>
                      <c:pt idx="74">
                        <c:v>05/19/2026 15:00</c:v>
                      </c:pt>
                      <c:pt idx="75">
                        <c:v>05/20/2026 15:00</c:v>
                      </c:pt>
                      <c:pt idx="76">
                        <c:v>05/21/2026 15:00</c:v>
                      </c:pt>
                      <c:pt idx="77">
                        <c:v>05/22/2026 15:00</c:v>
                      </c:pt>
                      <c:pt idx="78">
                        <c:v>05/26/2026 15:00</c:v>
                      </c:pt>
                      <c:pt idx="79">
                        <c:v>05/27/2026 15:00</c:v>
                      </c:pt>
                      <c:pt idx="80">
                        <c:v>05/28/2026 15:00</c:v>
                      </c:pt>
                      <c:pt idx="81">
                        <c:v>05/29/2026 15:00</c:v>
                      </c:pt>
                      <c:pt idx="82">
                        <c:v>06/01/2026 15:00</c:v>
                      </c:pt>
                      <c:pt idx="83">
                        <c:v>06/02/2026 15:00</c:v>
                      </c:pt>
                      <c:pt idx="84">
                        <c:v>06/03/2026 15:00</c:v>
                      </c:pt>
                      <c:pt idx="85">
                        <c:v>06/04/2026 15:00</c:v>
                      </c:pt>
                      <c:pt idx="86">
                        <c:v>06/05/2026 15:00</c:v>
                      </c:pt>
                      <c:pt idx="87">
                        <c:v>06/08/2026 15:00</c:v>
                      </c:pt>
                      <c:pt idx="88">
                        <c:v>06/09/2026 15:00</c:v>
                      </c:pt>
                      <c:pt idx="89">
                        <c:v>06/10/2026 15:00</c:v>
                      </c:pt>
                      <c:pt idx="90">
                        <c:v>06/11/2026 15:00</c:v>
                      </c:pt>
                      <c:pt idx="91">
                        <c:v>06/12/2026 15:00</c:v>
                      </c:pt>
                      <c:pt idx="92">
                        <c:v>06/15/2026 15:00</c:v>
                      </c:pt>
                      <c:pt idx="93">
                        <c:v>06/16/2026 15:00</c:v>
                      </c:pt>
                      <c:pt idx="94">
                        <c:v>06/17/2026 15:00</c:v>
                      </c:pt>
                      <c:pt idx="95">
                        <c:v>06/18/2026 15:00</c:v>
                      </c:pt>
                      <c:pt idx="96">
                        <c:v>06/19/2026 15:00</c:v>
                      </c:pt>
                      <c:pt idx="97">
                        <c:v>06/22/2026 15:00</c:v>
                      </c:pt>
                      <c:pt idx="98">
                        <c:v>06/23/2026 15:00</c:v>
                      </c:pt>
                      <c:pt idx="99">
                        <c:v>06/24/2026 15:00</c:v>
                      </c:pt>
                      <c:pt idx="100">
                        <c:v>06/25/2026 15:00</c:v>
                      </c:pt>
                      <c:pt idx="101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AE5-4323-97BE-4F23862D59E3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'13a (2)'!$M$12:$M$13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'13a (2)'!$A$14:$A$250</c:f>
              <c:strCache>
                <c:ptCount val="37"/>
                <c:pt idx="0">
                  <c:v>04/01/2026 15:00</c:v>
                </c:pt>
                <c:pt idx="1">
                  <c:v>04/08/2026 15:00</c:v>
                </c:pt>
                <c:pt idx="2">
                  <c:v>04/10/2026 15:00</c:v>
                </c:pt>
                <c:pt idx="3">
                  <c:v>04/14/2026 15:00</c:v>
                </c:pt>
                <c:pt idx="4">
                  <c:v>04/15/2026 15:00</c:v>
                </c:pt>
                <c:pt idx="5">
                  <c:v>04/16/2026 15:00</c:v>
                </c:pt>
                <c:pt idx="6">
                  <c:v>04/17/2026 15:00</c:v>
                </c:pt>
                <c:pt idx="7">
                  <c:v>04/20/2026 15:00</c:v>
                </c:pt>
                <c:pt idx="8">
                  <c:v>04/21/2026 15:00</c:v>
                </c:pt>
                <c:pt idx="9">
                  <c:v>04/22/2026 15:00</c:v>
                </c:pt>
                <c:pt idx="10">
                  <c:v>04/24/2026 15:00</c:v>
                </c:pt>
                <c:pt idx="11">
                  <c:v>04/27/2026 15:00</c:v>
                </c:pt>
                <c:pt idx="12">
                  <c:v>04/28/2026 15:00</c:v>
                </c:pt>
                <c:pt idx="13">
                  <c:v>04/29/2026 15:00</c:v>
                </c:pt>
                <c:pt idx="14">
                  <c:v>04/30/2026 15:00</c:v>
                </c:pt>
                <c:pt idx="15">
                  <c:v>05/05/2026 15:00</c:v>
                </c:pt>
                <c:pt idx="16">
                  <c:v>05/06/2026 15:00</c:v>
                </c:pt>
                <c:pt idx="17">
                  <c:v>05/07/2026 15:00</c:v>
                </c:pt>
                <c:pt idx="18">
                  <c:v>05/08/2026 15:00</c:v>
                </c:pt>
                <c:pt idx="19">
                  <c:v>05/12/2026 15:00</c:v>
                </c:pt>
                <c:pt idx="20">
                  <c:v>05/13/2026 15:00</c:v>
                </c:pt>
                <c:pt idx="21">
                  <c:v>05/15/2026 15:00</c:v>
                </c:pt>
                <c:pt idx="22">
                  <c:v>05/19/2026 15:00</c:v>
                </c:pt>
                <c:pt idx="23">
                  <c:v>05/20/2026 15:00</c:v>
                </c:pt>
                <c:pt idx="24">
                  <c:v>05/21/2026 15:00</c:v>
                </c:pt>
                <c:pt idx="25">
                  <c:v>05/26/2026 15:00</c:v>
                </c:pt>
                <c:pt idx="26">
                  <c:v>05/27/2026 15:00</c:v>
                </c:pt>
                <c:pt idx="27">
                  <c:v>05/28/2026 15:00</c:v>
                </c:pt>
                <c:pt idx="28">
                  <c:v>05/29/2026 15:00</c:v>
                </c:pt>
                <c:pt idx="29">
                  <c:v>06/01/2026 15:00</c:v>
                </c:pt>
                <c:pt idx="30">
                  <c:v>06/03/2026 15:00</c:v>
                </c:pt>
                <c:pt idx="31">
                  <c:v>06/04/2026 15:00</c:v>
                </c:pt>
                <c:pt idx="32">
                  <c:v>06/09/2026 15:00</c:v>
                </c:pt>
                <c:pt idx="33">
                  <c:v>06/15/2026 15:00</c:v>
                </c:pt>
                <c:pt idx="34">
                  <c:v>06/16/2026 15:00</c:v>
                </c:pt>
                <c:pt idx="35">
                  <c:v>06/17/2026 15:00</c:v>
                </c:pt>
                <c:pt idx="36">
                  <c:v>06/26/2026 08:49</c:v>
                </c:pt>
              </c:strCache>
            </c:strRef>
          </c:cat>
          <c:val>
            <c:numRef>
              <c:f>'13a (2)'!$M$14:$M$250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456921.95833204384</c:v>
                </c:pt>
                <c:pt idx="2">
                  <c:v>439812.02327928215</c:v>
                </c:pt>
                <c:pt idx="3">
                  <c:v>365817.56887516228</c:v>
                </c:pt>
                <c:pt idx="4">
                  <c:v>412078.66055084026</c:v>
                </c:pt>
                <c:pt idx="5">
                  <c:v>454848.83845559735</c:v>
                </c:pt>
                <c:pt idx="6">
                  <c:v>456899.10902445595</c:v>
                </c:pt>
                <c:pt idx="7">
                  <c:v>443962.29653539503</c:v>
                </c:pt>
                <c:pt idx="8">
                  <c:v>495657.09734877758</c:v>
                </c:pt>
                <c:pt idx="9">
                  <c:v>436702.59056885471</c:v>
                </c:pt>
                <c:pt idx="10">
                  <c:v>447891.8936113292</c:v>
                </c:pt>
                <c:pt idx="11">
                  <c:v>484042.96271814441</c:v>
                </c:pt>
                <c:pt idx="12">
                  <c:v>464322.50484427332</c:v>
                </c:pt>
                <c:pt idx="13">
                  <c:v>517308.31724066817</c:v>
                </c:pt>
                <c:pt idx="14">
                  <c:v>492213.37288031162</c:v>
                </c:pt>
                <c:pt idx="15">
                  <c:v>494023.60345945897</c:v>
                </c:pt>
                <c:pt idx="16">
                  <c:v>461528.81868726166</c:v>
                </c:pt>
                <c:pt idx="17">
                  <c:v>490947.61950064718</c:v>
                </c:pt>
                <c:pt idx="18">
                  <c:v>537287.86175546865</c:v>
                </c:pt>
                <c:pt idx="19">
                  <c:v>583336.58367052802</c:v>
                </c:pt>
                <c:pt idx="20">
                  <c:v>568351.87869240833</c:v>
                </c:pt>
                <c:pt idx="21">
                  <c:v>555514.46873617161</c:v>
                </c:pt>
                <c:pt idx="22">
                  <c:v>580590.18164221861</c:v>
                </c:pt>
                <c:pt idx="23">
                  <c:v>478140.31836293638</c:v>
                </c:pt>
                <c:pt idx="24">
                  <c:v>476076.67902188038</c:v>
                </c:pt>
                <c:pt idx="25">
                  <c:v>443105.73070784856</c:v>
                </c:pt>
                <c:pt idx="26">
                  <c:v>450664.52122522378</c:v>
                </c:pt>
                <c:pt idx="27">
                  <c:v>380974.00929729792</c:v>
                </c:pt>
                <c:pt idx="28">
                  <c:v>441438.36480823782</c:v>
                </c:pt>
                <c:pt idx="29">
                  <c:v>434533.30006692617</c:v>
                </c:pt>
                <c:pt idx="30">
                  <c:v>464865.00722780242</c:v>
                </c:pt>
                <c:pt idx="31">
                  <c:v>441818.87110424921</c:v>
                </c:pt>
                <c:pt idx="32">
                  <c:v>498426.38353668357</c:v>
                </c:pt>
                <c:pt idx="33">
                  <c:v>381829.63371943432</c:v>
                </c:pt>
                <c:pt idx="34">
                  <c:v>381205.70094208856</c:v>
                </c:pt>
                <c:pt idx="35">
                  <c:v>350660.18772716209</c:v>
                </c:pt>
                <c:pt idx="36">
                  <c:v>276367.19323761156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5-44AB-87D5-4EC95CDEC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3FF5-44AB-87D5-4EC95CDECDE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FF5-44AB-87D5-4EC95CDECDE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FF5-44AB-87D5-4EC95CDECDE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FF5-44AB-87D5-4EC95CDECDE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FF5-44AB-87D5-4EC95CDECDE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FF5-44AB-87D5-4EC95CDECD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'13a (2)'!$A$14:$A$250</c15:sqref>
                        </c15:formulaRef>
                      </c:ext>
                    </c:extLst>
                    <c:strCache>
                      <c:ptCount val="37"/>
                      <c:pt idx="0">
                        <c:v>04/01/2026 15:00</c:v>
                      </c:pt>
                      <c:pt idx="1">
                        <c:v>04/08/2026 15:00</c:v>
                      </c:pt>
                      <c:pt idx="2">
                        <c:v>04/10/2026 15:00</c:v>
                      </c:pt>
                      <c:pt idx="3">
                        <c:v>04/14/2026 15:00</c:v>
                      </c:pt>
                      <c:pt idx="4">
                        <c:v>04/15/2026 15:00</c:v>
                      </c:pt>
                      <c:pt idx="5">
                        <c:v>04/16/2026 15:00</c:v>
                      </c:pt>
                      <c:pt idx="6">
                        <c:v>04/17/2026 15:00</c:v>
                      </c:pt>
                      <c:pt idx="7">
                        <c:v>04/20/2026 15:00</c:v>
                      </c:pt>
                      <c:pt idx="8">
                        <c:v>04/21/2026 15:00</c:v>
                      </c:pt>
                      <c:pt idx="9">
                        <c:v>04/22/2026 15:00</c:v>
                      </c:pt>
                      <c:pt idx="10">
                        <c:v>04/24/2026 15:00</c:v>
                      </c:pt>
                      <c:pt idx="11">
                        <c:v>04/27/2026 15:00</c:v>
                      </c:pt>
                      <c:pt idx="12">
                        <c:v>04/28/2026 15:00</c:v>
                      </c:pt>
                      <c:pt idx="13">
                        <c:v>04/29/2026 15:00</c:v>
                      </c:pt>
                      <c:pt idx="14">
                        <c:v>04/30/2026 15:00</c:v>
                      </c:pt>
                      <c:pt idx="15">
                        <c:v>05/05/2026 15:00</c:v>
                      </c:pt>
                      <c:pt idx="16">
                        <c:v>05/06/2026 15:00</c:v>
                      </c:pt>
                      <c:pt idx="17">
                        <c:v>05/07/2026 15:00</c:v>
                      </c:pt>
                      <c:pt idx="18">
                        <c:v>05/08/2026 15:00</c:v>
                      </c:pt>
                      <c:pt idx="19">
                        <c:v>05/12/2026 15:00</c:v>
                      </c:pt>
                      <c:pt idx="20">
                        <c:v>05/13/2026 15:00</c:v>
                      </c:pt>
                      <c:pt idx="21">
                        <c:v>05/15/2026 15:00</c:v>
                      </c:pt>
                      <c:pt idx="22">
                        <c:v>05/19/2026 15:00</c:v>
                      </c:pt>
                      <c:pt idx="23">
                        <c:v>05/20/2026 15:00</c:v>
                      </c:pt>
                      <c:pt idx="24">
                        <c:v>05/21/2026 15:00</c:v>
                      </c:pt>
                      <c:pt idx="25">
                        <c:v>05/26/2026 15:00</c:v>
                      </c:pt>
                      <c:pt idx="26">
                        <c:v>05/27/2026 15:00</c:v>
                      </c:pt>
                      <c:pt idx="27">
                        <c:v>05/28/2026 15:00</c:v>
                      </c:pt>
                      <c:pt idx="28">
                        <c:v>05/29/2026 15:00</c:v>
                      </c:pt>
                      <c:pt idx="29">
                        <c:v>06/01/2026 15:00</c:v>
                      </c:pt>
                      <c:pt idx="30">
                        <c:v>06/03/2026 15:00</c:v>
                      </c:pt>
                      <c:pt idx="31">
                        <c:v>06/04/2026 15:00</c:v>
                      </c:pt>
                      <c:pt idx="32">
                        <c:v>06/09/2026 15:00</c:v>
                      </c:pt>
                      <c:pt idx="33">
                        <c:v>06/15/2026 15:00</c:v>
                      </c:pt>
                      <c:pt idx="34">
                        <c:v>06/16/2026 15:00</c:v>
                      </c:pt>
                      <c:pt idx="35">
                        <c:v>06/17/2026 15:00</c:v>
                      </c:pt>
                      <c:pt idx="36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FF5-44AB-87D5-4EC95CDECDEA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'13 (2)'!$M$12:$M$13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 (2)'!$A$14:$A$250</c:f>
              <c:strCache>
                <c:ptCount val="58"/>
                <c:pt idx="0">
                  <c:v>04/01/2026 15:00</c:v>
                </c:pt>
                <c:pt idx="1">
                  <c:v>04/02/2026 15:00</c:v>
                </c:pt>
                <c:pt idx="2">
                  <c:v>04/07/2026 15:00</c:v>
                </c:pt>
                <c:pt idx="3">
                  <c:v>04/08/2026 15:00</c:v>
                </c:pt>
                <c:pt idx="4">
                  <c:v>04/09/2026 15:00</c:v>
                </c:pt>
                <c:pt idx="5">
                  <c:v>04/10/2026 15:00</c:v>
                </c:pt>
                <c:pt idx="6">
                  <c:v>04/13/2026 15:00</c:v>
                </c:pt>
                <c:pt idx="7">
                  <c:v>04/14/2026 15:00</c:v>
                </c:pt>
                <c:pt idx="8">
                  <c:v>04/15/2026 15:00</c:v>
                </c:pt>
                <c:pt idx="9">
                  <c:v>04/16/2026 15:00</c:v>
                </c:pt>
                <c:pt idx="10">
                  <c:v>04/17/2026 15:00</c:v>
                </c:pt>
                <c:pt idx="11">
                  <c:v>04/20/2026 15:00</c:v>
                </c:pt>
                <c:pt idx="12">
                  <c:v>04/21/2026 15:00</c:v>
                </c:pt>
                <c:pt idx="13">
                  <c:v>04/22/2026 15:00</c:v>
                </c:pt>
                <c:pt idx="14">
                  <c:v>04/23/2026 15:00</c:v>
                </c:pt>
                <c:pt idx="15">
                  <c:v>04/24/2026 15:00</c:v>
                </c:pt>
                <c:pt idx="16">
                  <c:v>04/27/2026 15:00</c:v>
                </c:pt>
                <c:pt idx="17">
                  <c:v>04/28/2026 15:00</c:v>
                </c:pt>
                <c:pt idx="18">
                  <c:v>04/29/2026 15:00</c:v>
                </c:pt>
                <c:pt idx="19">
                  <c:v>04/30/2026 15:00</c:v>
                </c:pt>
                <c:pt idx="20">
                  <c:v>05/05/2026 15:00</c:v>
                </c:pt>
                <c:pt idx="21">
                  <c:v>05/06/2026 15:00</c:v>
                </c:pt>
                <c:pt idx="22">
                  <c:v>05/07/2026 15:00</c:v>
                </c:pt>
                <c:pt idx="23">
                  <c:v>05/08/2026 15:00</c:v>
                </c:pt>
                <c:pt idx="24">
                  <c:v>05/11/2026 15:00</c:v>
                </c:pt>
                <c:pt idx="25">
                  <c:v>05/12/2026 15:00</c:v>
                </c:pt>
                <c:pt idx="26">
                  <c:v>05/13/2026 15:00</c:v>
                </c:pt>
                <c:pt idx="27">
                  <c:v>05/14/2026 15:00</c:v>
                </c:pt>
                <c:pt idx="28">
                  <c:v>05/15/2026 15:00</c:v>
                </c:pt>
                <c:pt idx="29">
                  <c:v>05/18/2026 15:00</c:v>
                </c:pt>
                <c:pt idx="30">
                  <c:v>05/19/2026 15:00</c:v>
                </c:pt>
                <c:pt idx="31">
                  <c:v>05/20/2026 15:00</c:v>
                </c:pt>
                <c:pt idx="32">
                  <c:v>05/21/2026 15:00</c:v>
                </c:pt>
                <c:pt idx="33">
                  <c:v>05/22/2026 15:00</c:v>
                </c:pt>
                <c:pt idx="34">
                  <c:v>05/26/2026 15:00</c:v>
                </c:pt>
                <c:pt idx="35">
                  <c:v>05/27/2026 15:00</c:v>
                </c:pt>
                <c:pt idx="36">
                  <c:v>05/28/2026 15:00</c:v>
                </c:pt>
                <c:pt idx="37">
                  <c:v>05/29/2026 15:00</c:v>
                </c:pt>
                <c:pt idx="38">
                  <c:v>06/01/2026 15:00</c:v>
                </c:pt>
                <c:pt idx="39">
                  <c:v>06/02/2026 15:00</c:v>
                </c:pt>
                <c:pt idx="40">
                  <c:v>06/03/2026 15:00</c:v>
                </c:pt>
                <c:pt idx="41">
                  <c:v>06/04/2026 15:00</c:v>
                </c:pt>
                <c:pt idx="42">
                  <c:v>06/05/2026 15:00</c:v>
                </c:pt>
                <c:pt idx="43">
                  <c:v>06/08/2026 15:00</c:v>
                </c:pt>
                <c:pt idx="44">
                  <c:v>06/09/2026 15:00</c:v>
                </c:pt>
                <c:pt idx="45">
                  <c:v>06/10/2026 15:00</c:v>
                </c:pt>
                <c:pt idx="46">
                  <c:v>06/11/2026 15:00</c:v>
                </c:pt>
                <c:pt idx="47">
                  <c:v>06/12/2026 15:00</c:v>
                </c:pt>
                <c:pt idx="48">
                  <c:v>06/15/2026 15:00</c:v>
                </c:pt>
                <c:pt idx="49">
                  <c:v>06/16/2026 15:00</c:v>
                </c:pt>
                <c:pt idx="50">
                  <c:v>06/17/2026 15:00</c:v>
                </c:pt>
                <c:pt idx="51">
                  <c:v>06/18/2026 15:00</c:v>
                </c:pt>
                <c:pt idx="52">
                  <c:v>06/19/2026 15:00</c:v>
                </c:pt>
                <c:pt idx="53">
                  <c:v>06/22/2026 15:00</c:v>
                </c:pt>
                <c:pt idx="54">
                  <c:v>06/23/2026 15:00</c:v>
                </c:pt>
                <c:pt idx="55">
                  <c:v>06/24/2026 15:00</c:v>
                </c:pt>
                <c:pt idx="56">
                  <c:v>06/25/2026 15:00</c:v>
                </c:pt>
                <c:pt idx="57">
                  <c:v>06/26/2026 08:49</c:v>
                </c:pt>
              </c:strCache>
            </c:strRef>
          </c:cat>
          <c:val>
            <c:numRef>
              <c:f>'13 (2)'!$M$14:$M$250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-12719.007393740583</c:v>
                </c:pt>
                <c:pt idx="2">
                  <c:v>81406.668978514906</c:v>
                </c:pt>
                <c:pt idx="3">
                  <c:v>-57103.010336743755</c:v>
                </c:pt>
                <c:pt idx="4">
                  <c:v>-99189.940613290382</c:v>
                </c:pt>
                <c:pt idx="5">
                  <c:v>-4304.3949704127735</c:v>
                </c:pt>
                <c:pt idx="6">
                  <c:v>-54172.64927980295</c:v>
                </c:pt>
                <c:pt idx="7">
                  <c:v>-130164.18270786572</c:v>
                </c:pt>
                <c:pt idx="8">
                  <c:v>-94143.223201587971</c:v>
                </c:pt>
                <c:pt idx="9">
                  <c:v>-84979.886591069095</c:v>
                </c:pt>
                <c:pt idx="10">
                  <c:v>-74130.636738873116</c:v>
                </c:pt>
                <c:pt idx="11">
                  <c:v>-125395.69815733007</c:v>
                </c:pt>
                <c:pt idx="12">
                  <c:v>-76834.585239703418</c:v>
                </c:pt>
                <c:pt idx="13">
                  <c:v>-84772.610595083679</c:v>
                </c:pt>
                <c:pt idx="14">
                  <c:v>-51073.139499358782</c:v>
                </c:pt>
                <c:pt idx="15">
                  <c:v>-67602.14353957976</c:v>
                </c:pt>
                <c:pt idx="16">
                  <c:v>-46415.397151551362</c:v>
                </c:pt>
                <c:pt idx="17">
                  <c:v>-80384.929327241844</c:v>
                </c:pt>
                <c:pt idx="18">
                  <c:v>22791.734977945453</c:v>
                </c:pt>
                <c:pt idx="19">
                  <c:v>-29116.696114233095</c:v>
                </c:pt>
                <c:pt idx="20">
                  <c:v>-49158.777639327993</c:v>
                </c:pt>
                <c:pt idx="21">
                  <c:v>-65133.091089098307</c:v>
                </c:pt>
                <c:pt idx="22">
                  <c:v>-56246.962249651711</c:v>
                </c:pt>
                <c:pt idx="23">
                  <c:v>-40116.884007860368</c:v>
                </c:pt>
                <c:pt idx="24">
                  <c:v>-18085.504415195624</c:v>
                </c:pt>
                <c:pt idx="25">
                  <c:v>24072.472730228736</c:v>
                </c:pt>
                <c:pt idx="26">
                  <c:v>-842.05762031723862</c:v>
                </c:pt>
                <c:pt idx="27">
                  <c:v>-55380.117737590306</c:v>
                </c:pt>
                <c:pt idx="28">
                  <c:v>11141.357795869422</c:v>
                </c:pt>
                <c:pt idx="29">
                  <c:v>-35788.389533939262</c:v>
                </c:pt>
                <c:pt idx="30">
                  <c:v>-95425.882045056976</c:v>
                </c:pt>
                <c:pt idx="31">
                  <c:v>-153658.18429069553</c:v>
                </c:pt>
                <c:pt idx="32">
                  <c:v>-95030.633082360771</c:v>
                </c:pt>
                <c:pt idx="33">
                  <c:v>-136121.61694802067</c:v>
                </c:pt>
                <c:pt idx="34">
                  <c:v>-149549.1525321459</c:v>
                </c:pt>
                <c:pt idx="35">
                  <c:v>-154391.51010598356</c:v>
                </c:pt>
                <c:pt idx="36">
                  <c:v>-173068.32352360652</c:v>
                </c:pt>
                <c:pt idx="37">
                  <c:v>-171023.76154145307</c:v>
                </c:pt>
                <c:pt idx="38">
                  <c:v>-158505.21268882323</c:v>
                </c:pt>
                <c:pt idx="39">
                  <c:v>-142212.41840937547</c:v>
                </c:pt>
                <c:pt idx="40">
                  <c:v>-123120.47899158866</c:v>
                </c:pt>
                <c:pt idx="41">
                  <c:v>-147757.11776878146</c:v>
                </c:pt>
                <c:pt idx="42">
                  <c:v>-125703.20200767822</c:v>
                </c:pt>
                <c:pt idx="43">
                  <c:v>-140777.96864249179</c:v>
                </c:pt>
                <c:pt idx="44">
                  <c:v>-163855.13452634774</c:v>
                </c:pt>
                <c:pt idx="45">
                  <c:v>-133534.4502662083</c:v>
                </c:pt>
                <c:pt idx="46">
                  <c:v>-170784.73351250298</c:v>
                </c:pt>
                <c:pt idx="47">
                  <c:v>-222269.42901668011</c:v>
                </c:pt>
                <c:pt idx="48">
                  <c:v>-208366.57172691822</c:v>
                </c:pt>
                <c:pt idx="49">
                  <c:v>-209345.34579851027</c:v>
                </c:pt>
                <c:pt idx="50">
                  <c:v>-189905.02302647417</c:v>
                </c:pt>
                <c:pt idx="51">
                  <c:v>-206687.6320453416</c:v>
                </c:pt>
                <c:pt idx="52">
                  <c:v>-166760.03940763598</c:v>
                </c:pt>
                <c:pt idx="53">
                  <c:v>-190234.91915215604</c:v>
                </c:pt>
                <c:pt idx="54">
                  <c:v>-228795.92922278697</c:v>
                </c:pt>
                <c:pt idx="55">
                  <c:v>-271429.21954115952</c:v>
                </c:pt>
                <c:pt idx="56">
                  <c:v>-246249.5862100728</c:v>
                </c:pt>
                <c:pt idx="57">
                  <c:v>-263753.05817765679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7-4C46-A3BE-6DC5E457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AF7-4C46-A3BE-6DC5E457159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AF7-4C46-A3BE-6DC5E457159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F7-4C46-A3BE-6DC5E457159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F7-4C46-A3BE-6DC5E457159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F7-4C46-A3BE-6DC5E457159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F7-4C46-A3BE-6DC5E457159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 (2)'!$A$14:$A$250</c15:sqref>
                        </c15:formulaRef>
                      </c:ext>
                    </c:extLst>
                    <c:strCache>
                      <c:ptCount val="58"/>
                      <c:pt idx="0">
                        <c:v>04/01/2026 15:00</c:v>
                      </c:pt>
                      <c:pt idx="1">
                        <c:v>04/02/2026 15:00</c:v>
                      </c:pt>
                      <c:pt idx="2">
                        <c:v>04/07/2026 15:00</c:v>
                      </c:pt>
                      <c:pt idx="3">
                        <c:v>04/08/2026 15:00</c:v>
                      </c:pt>
                      <c:pt idx="4">
                        <c:v>04/09/2026 15:00</c:v>
                      </c:pt>
                      <c:pt idx="5">
                        <c:v>04/10/2026 15:00</c:v>
                      </c:pt>
                      <c:pt idx="6">
                        <c:v>04/13/2026 15:00</c:v>
                      </c:pt>
                      <c:pt idx="7">
                        <c:v>04/14/2026 15:00</c:v>
                      </c:pt>
                      <c:pt idx="8">
                        <c:v>04/15/2026 15:00</c:v>
                      </c:pt>
                      <c:pt idx="9">
                        <c:v>04/16/2026 15:00</c:v>
                      </c:pt>
                      <c:pt idx="10">
                        <c:v>04/17/2026 15:00</c:v>
                      </c:pt>
                      <c:pt idx="11">
                        <c:v>04/20/2026 15:00</c:v>
                      </c:pt>
                      <c:pt idx="12">
                        <c:v>04/21/2026 15:00</c:v>
                      </c:pt>
                      <c:pt idx="13">
                        <c:v>04/22/2026 15:00</c:v>
                      </c:pt>
                      <c:pt idx="14">
                        <c:v>04/23/2026 15:00</c:v>
                      </c:pt>
                      <c:pt idx="15">
                        <c:v>04/24/2026 15:00</c:v>
                      </c:pt>
                      <c:pt idx="16">
                        <c:v>04/27/2026 15:00</c:v>
                      </c:pt>
                      <c:pt idx="17">
                        <c:v>04/28/2026 15:00</c:v>
                      </c:pt>
                      <c:pt idx="18">
                        <c:v>04/29/2026 15:00</c:v>
                      </c:pt>
                      <c:pt idx="19">
                        <c:v>04/30/2026 15:00</c:v>
                      </c:pt>
                      <c:pt idx="20">
                        <c:v>05/05/2026 15:00</c:v>
                      </c:pt>
                      <c:pt idx="21">
                        <c:v>05/06/2026 15:00</c:v>
                      </c:pt>
                      <c:pt idx="22">
                        <c:v>05/07/2026 15:00</c:v>
                      </c:pt>
                      <c:pt idx="23">
                        <c:v>05/08/2026 15:00</c:v>
                      </c:pt>
                      <c:pt idx="24">
                        <c:v>05/11/2026 15:00</c:v>
                      </c:pt>
                      <c:pt idx="25">
                        <c:v>05/12/2026 15:00</c:v>
                      </c:pt>
                      <c:pt idx="26">
                        <c:v>05/13/2026 15:00</c:v>
                      </c:pt>
                      <c:pt idx="27">
                        <c:v>05/14/2026 15:00</c:v>
                      </c:pt>
                      <c:pt idx="28">
                        <c:v>05/15/2026 15:00</c:v>
                      </c:pt>
                      <c:pt idx="29">
                        <c:v>05/18/2026 15:00</c:v>
                      </c:pt>
                      <c:pt idx="30">
                        <c:v>05/19/2026 15:00</c:v>
                      </c:pt>
                      <c:pt idx="31">
                        <c:v>05/20/2026 15:00</c:v>
                      </c:pt>
                      <c:pt idx="32">
                        <c:v>05/21/2026 15:00</c:v>
                      </c:pt>
                      <c:pt idx="33">
                        <c:v>05/22/2026 15:00</c:v>
                      </c:pt>
                      <c:pt idx="34">
                        <c:v>05/26/2026 15:00</c:v>
                      </c:pt>
                      <c:pt idx="35">
                        <c:v>05/27/2026 15:00</c:v>
                      </c:pt>
                      <c:pt idx="36">
                        <c:v>05/28/2026 15:00</c:v>
                      </c:pt>
                      <c:pt idx="37">
                        <c:v>05/29/2026 15:00</c:v>
                      </c:pt>
                      <c:pt idx="38">
                        <c:v>06/01/2026 15:00</c:v>
                      </c:pt>
                      <c:pt idx="39">
                        <c:v>06/02/2026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06/05/2026 15:00</c:v>
                      </c:pt>
                      <c:pt idx="43">
                        <c:v>06/08/2026 15:00</c:v>
                      </c:pt>
                      <c:pt idx="44">
                        <c:v>06/09/2026 15:00</c:v>
                      </c:pt>
                      <c:pt idx="45">
                        <c:v>06/10/2026 15:00</c:v>
                      </c:pt>
                      <c:pt idx="46">
                        <c:v>06/11/2026 15:00</c:v>
                      </c:pt>
                      <c:pt idx="47">
                        <c:v>06/12/2026 15:00</c:v>
                      </c:pt>
                      <c:pt idx="48">
                        <c:v>06/15/2026 15:00</c:v>
                      </c:pt>
                      <c:pt idx="49">
                        <c:v>06/16/2026 15:00</c:v>
                      </c:pt>
                      <c:pt idx="50">
                        <c:v>06/17/2026 15:00</c:v>
                      </c:pt>
                      <c:pt idx="51">
                        <c:v>06/18/2026 15:00</c:v>
                      </c:pt>
                      <c:pt idx="52">
                        <c:v>06/19/2026 15:00</c:v>
                      </c:pt>
                      <c:pt idx="53">
                        <c:v>06/22/2026 15:00</c:v>
                      </c:pt>
                      <c:pt idx="54">
                        <c:v>06/23/2026 15:00</c:v>
                      </c:pt>
                      <c:pt idx="55">
                        <c:v>06/24/2026 15:00</c:v>
                      </c:pt>
                      <c:pt idx="56">
                        <c:v>06/25/2026 15:00</c:v>
                      </c:pt>
                      <c:pt idx="57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F7-4C46-A3BE-6DC5E4571590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Combined!$N$12:$N$13</c:f>
              <c:strCache>
                <c:ptCount val="2"/>
                <c:pt idx="0">
                  <c:v>Net P/L IHYG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Combined!$A$14:$A$250</c:f>
              <c:strCache>
                <c:ptCount val="51"/>
                <c:pt idx="0">
                  <c:v>03/23/2026 15:00</c:v>
                </c:pt>
                <c:pt idx="1">
                  <c:v>03/23/2026 15:00</c:v>
                </c:pt>
                <c:pt idx="2">
                  <c:v>03/24/2026 15:00</c:v>
                </c:pt>
                <c:pt idx="3">
                  <c:v>03/25/2026 15:00</c:v>
                </c:pt>
                <c:pt idx="4">
                  <c:v>03/26/2026 15:00</c:v>
                </c:pt>
                <c:pt idx="5">
                  <c:v>03/27/2026 15:00</c:v>
                </c:pt>
                <c:pt idx="6">
                  <c:v>03/30/2026 15:00</c:v>
                </c:pt>
                <c:pt idx="7">
                  <c:v>03/31/2026 15:00</c:v>
                </c:pt>
                <c:pt idx="8">
                  <c:v>04/01/2026 15:00</c:v>
                </c:pt>
                <c:pt idx="9">
                  <c:v>04/02/2026 15:00</c:v>
                </c:pt>
                <c:pt idx="10">
                  <c:v>04/07/2026 15:00</c:v>
                </c:pt>
                <c:pt idx="11">
                  <c:v>04/08/2026 15:00</c:v>
                </c:pt>
                <c:pt idx="12">
                  <c:v>04/10/2026 15:00</c:v>
                </c:pt>
                <c:pt idx="13">
                  <c:v>04/14/2026 15:00</c:v>
                </c:pt>
                <c:pt idx="14">
                  <c:v>04/15/2026 15:00</c:v>
                </c:pt>
                <c:pt idx="15">
                  <c:v>04/16/2026 15:00</c:v>
                </c:pt>
                <c:pt idx="16">
                  <c:v>04/17/2026 15:00</c:v>
                </c:pt>
                <c:pt idx="17">
                  <c:v>04/20/2026 15:00</c:v>
                </c:pt>
                <c:pt idx="18">
                  <c:v>04/21/2026 15:00</c:v>
                </c:pt>
                <c:pt idx="19">
                  <c:v>04/22/2026 15:00</c:v>
                </c:pt>
                <c:pt idx="20">
                  <c:v>04/24/2026 15:00</c:v>
                </c:pt>
                <c:pt idx="21">
                  <c:v>04/27/2026 15:00</c:v>
                </c:pt>
                <c:pt idx="22">
                  <c:v>04/28/2026 15:00</c:v>
                </c:pt>
                <c:pt idx="23">
                  <c:v>04/29/2026 15:00</c:v>
                </c:pt>
                <c:pt idx="24">
                  <c:v>04/30/2026 15:00</c:v>
                </c:pt>
                <c:pt idx="25">
                  <c:v>05/05/2026 15:00</c:v>
                </c:pt>
                <c:pt idx="26">
                  <c:v>05/06/2026 15:00</c:v>
                </c:pt>
                <c:pt idx="27">
                  <c:v>05/07/2026 15:00</c:v>
                </c:pt>
                <c:pt idx="28">
                  <c:v>05/08/2026 15:00</c:v>
                </c:pt>
                <c:pt idx="29">
                  <c:v>05/12/2026 15:00</c:v>
                </c:pt>
                <c:pt idx="30">
                  <c:v>05/13/2026 15:00</c:v>
                </c:pt>
                <c:pt idx="31">
                  <c:v>05/15/2026 15:00</c:v>
                </c:pt>
                <c:pt idx="32">
                  <c:v>05/19/2026 15:00</c:v>
                </c:pt>
                <c:pt idx="33">
                  <c:v>05/20/2026 15:00</c:v>
                </c:pt>
                <c:pt idx="34">
                  <c:v>05/21/2026 15:00</c:v>
                </c:pt>
                <c:pt idx="35">
                  <c:v>05/26/2026 15:00</c:v>
                </c:pt>
                <c:pt idx="36">
                  <c:v>05/27/2026 15:00</c:v>
                </c:pt>
                <c:pt idx="37">
                  <c:v>05/28/2026 15:00</c:v>
                </c:pt>
                <c:pt idx="38">
                  <c:v>05/29/2026 15:00</c:v>
                </c:pt>
                <c:pt idx="39">
                  <c:v>06/01/2026 15:00</c:v>
                </c:pt>
                <c:pt idx="40">
                  <c:v>06/03/2026 15:00</c:v>
                </c:pt>
                <c:pt idx="41">
                  <c:v>06/04/2026 15:00</c:v>
                </c:pt>
                <c:pt idx="42">
                  <c:v>06/09/2026 15:00</c:v>
                </c:pt>
                <c:pt idx="43">
                  <c:v>06/15/2026 15:00</c:v>
                </c:pt>
                <c:pt idx="44">
                  <c:v>06/16/2026 15:00</c:v>
                </c:pt>
                <c:pt idx="45">
                  <c:v>06/17/2026 15:00</c:v>
                </c:pt>
                <c:pt idx="46">
                  <c:v>06/18/2026 15:00</c:v>
                </c:pt>
                <c:pt idx="47">
                  <c:v>06/19/2026 15:00</c:v>
                </c:pt>
                <c:pt idx="48">
                  <c:v>06/23/2026 15:00</c:v>
                </c:pt>
                <c:pt idx="49">
                  <c:v>06/24/2026 15:00</c:v>
                </c:pt>
                <c:pt idx="50">
                  <c:v>06/26/2026 08:49</c:v>
                </c:pt>
              </c:strCache>
            </c:strRef>
          </c:cat>
          <c:val>
            <c:numRef>
              <c:f>Combined!$N$14:$N$250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-10669.332009128335</c:v>
                </c:pt>
                <c:pt idx="3">
                  <c:v>-33266.04470741874</c:v>
                </c:pt>
                <c:pt idx="4">
                  <c:v>90655.271162762452</c:v>
                </c:pt>
                <c:pt idx="5">
                  <c:v>93512.678436151065</c:v>
                </c:pt>
                <c:pt idx="6">
                  <c:v>-11115.260343724862</c:v>
                </c:pt>
                <c:pt idx="7">
                  <c:v>1452.2676133941277</c:v>
                </c:pt>
                <c:pt idx="8">
                  <c:v>-6942.9114128624205</c:v>
                </c:pt>
                <c:pt idx="9">
                  <c:v>-52242.616259069007</c:v>
                </c:pt>
                <c:pt idx="10">
                  <c:v>43115.043908499676</c:v>
                </c:pt>
                <c:pt idx="11">
                  <c:v>-98335.045152591309</c:v>
                </c:pt>
                <c:pt idx="12">
                  <c:v>-46238.261594326817</c:v>
                </c:pt>
                <c:pt idx="13">
                  <c:v>-175083.63226075424</c:v>
                </c:pt>
                <c:pt idx="14">
                  <c:v>-138099.39663730864</c:v>
                </c:pt>
                <c:pt idx="15">
                  <c:v>-128362.1702673813</c:v>
                </c:pt>
                <c:pt idx="16">
                  <c:v>-116847.6768667025</c:v>
                </c:pt>
                <c:pt idx="17">
                  <c:v>-169385.65974628681</c:v>
                </c:pt>
                <c:pt idx="18">
                  <c:v>-120065.11224796763</c:v>
                </c:pt>
                <c:pt idx="19">
                  <c:v>-128356.28637595451</c:v>
                </c:pt>
                <c:pt idx="20">
                  <c:v>-110681.19443902757</c:v>
                </c:pt>
                <c:pt idx="21">
                  <c:v>-89057.730312910862</c:v>
                </c:pt>
                <c:pt idx="22">
                  <c:v>-124236.46701421356</c:v>
                </c:pt>
                <c:pt idx="23">
                  <c:v>-19455.133951386029</c:v>
                </c:pt>
                <c:pt idx="24">
                  <c:v>-71940.754203845398</c:v>
                </c:pt>
                <c:pt idx="25">
                  <c:v>-93282.489053529804</c:v>
                </c:pt>
                <c:pt idx="26">
                  <c:v>-109204.34517542378</c:v>
                </c:pt>
                <c:pt idx="27">
                  <c:v>-99790.863355534384</c:v>
                </c:pt>
                <c:pt idx="28">
                  <c:v>-83703.615452179685</c:v>
                </c:pt>
                <c:pt idx="29">
                  <c:v>-19031.065480346791</c:v>
                </c:pt>
                <c:pt idx="30">
                  <c:v>-44971.118242775439</c:v>
                </c:pt>
                <c:pt idx="31">
                  <c:v>-32746.718508001533</c:v>
                </c:pt>
                <c:pt idx="32">
                  <c:v>-141366.931892747</c:v>
                </c:pt>
                <c:pt idx="33">
                  <c:v>-200428.52836356097</c:v>
                </c:pt>
                <c:pt idx="34">
                  <c:v>-140493.54279090383</c:v>
                </c:pt>
                <c:pt idx="35">
                  <c:v>-196073.36800072878</c:v>
                </c:pt>
                <c:pt idx="36">
                  <c:v>-201014.57934189623</c:v>
                </c:pt>
                <c:pt idx="37">
                  <c:v>-220075.22210445651</c:v>
                </c:pt>
                <c:pt idx="38">
                  <c:v>-218220.57072185806</c:v>
                </c:pt>
                <c:pt idx="39">
                  <c:v>-206269.69556636142</c:v>
                </c:pt>
                <c:pt idx="40">
                  <c:v>-170320.85622483445</c:v>
                </c:pt>
                <c:pt idx="41">
                  <c:v>-195522.89915050101</c:v>
                </c:pt>
                <c:pt idx="42">
                  <c:v>-211721.76306885807</c:v>
                </c:pt>
                <c:pt idx="43">
                  <c:v>-257252.22187919589</c:v>
                </c:pt>
                <c:pt idx="44">
                  <c:v>-258150.53127142054</c:v>
                </c:pt>
                <c:pt idx="45">
                  <c:v>-238309.20433868282</c:v>
                </c:pt>
                <c:pt idx="46">
                  <c:v>-255706.97345132183</c:v>
                </c:pt>
                <c:pt idx="47">
                  <c:v>-215407.74622371083</c:v>
                </c:pt>
                <c:pt idx="48">
                  <c:v>-277830.64802419685</c:v>
                </c:pt>
                <c:pt idx="49">
                  <c:v>-320999.74436857342</c:v>
                </c:pt>
                <c:pt idx="50">
                  <c:v>-321148.12018792157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7B-40B4-AA3B-E1453B1B2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Combined!$A$14:$A$250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97B-40B4-AA3B-E1453B1B2E7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Combined!$A$14:$A$250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97B-40B4-AA3B-E1453B1B2E7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Combined!$A$14:$A$250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97B-40B4-AA3B-E1453B1B2E7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Combined!$A$14:$A$250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97B-40B4-AA3B-E1453B1B2E7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Combined!$A$14:$A$250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97B-40B4-AA3B-E1453B1B2E7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Combined!$A$14:$A$250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97B-40B4-AA3B-E1453B1B2E7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Combined!$A$14:$A$250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97B-40B4-AA3B-E1453B1B2E75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7"/>
          <c:order val="7"/>
          <c:tx>
            <c:strRef>
              <c:f>'Combined (2)'!$O$12:$O$13</c:f>
              <c:strCache>
                <c:ptCount val="2"/>
                <c:pt idx="0">
                  <c:v>Net P/L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'Combined (2)'!$A$14:$A$250</c:f>
              <c:strCache>
                <c:ptCount val="51"/>
                <c:pt idx="0">
                  <c:v>03/23/2026 15:00</c:v>
                </c:pt>
                <c:pt idx="1">
                  <c:v>03/23/2026 15:00</c:v>
                </c:pt>
                <c:pt idx="2">
                  <c:v>03/24/2026 15:00</c:v>
                </c:pt>
                <c:pt idx="3">
                  <c:v>03/25/2026 15:00</c:v>
                </c:pt>
                <c:pt idx="4">
                  <c:v>03/26/2026 15:00</c:v>
                </c:pt>
                <c:pt idx="5">
                  <c:v>03/27/2026 15:00</c:v>
                </c:pt>
                <c:pt idx="6">
                  <c:v>03/30/2026 15:00</c:v>
                </c:pt>
                <c:pt idx="7">
                  <c:v>03/31/2026 15:00</c:v>
                </c:pt>
                <c:pt idx="8">
                  <c:v>04/01/2026 15:00</c:v>
                </c:pt>
                <c:pt idx="9">
                  <c:v>04/02/2026 15:00</c:v>
                </c:pt>
                <c:pt idx="10">
                  <c:v>04/07/2026 15:00</c:v>
                </c:pt>
                <c:pt idx="11">
                  <c:v>04/08/2026 15:00</c:v>
                </c:pt>
                <c:pt idx="12">
                  <c:v>04/10/2026 15:00</c:v>
                </c:pt>
                <c:pt idx="13">
                  <c:v>04/14/2026 15:00</c:v>
                </c:pt>
                <c:pt idx="14">
                  <c:v>04/15/2026 15:00</c:v>
                </c:pt>
                <c:pt idx="15">
                  <c:v>04/16/2026 15:00</c:v>
                </c:pt>
                <c:pt idx="16">
                  <c:v>04/17/2026 15:00</c:v>
                </c:pt>
                <c:pt idx="17">
                  <c:v>04/20/2026 15:00</c:v>
                </c:pt>
                <c:pt idx="18">
                  <c:v>04/21/2026 15:00</c:v>
                </c:pt>
                <c:pt idx="19">
                  <c:v>04/22/2026 15:00</c:v>
                </c:pt>
                <c:pt idx="20">
                  <c:v>04/24/2026 15:00</c:v>
                </c:pt>
                <c:pt idx="21">
                  <c:v>04/27/2026 15:00</c:v>
                </c:pt>
                <c:pt idx="22">
                  <c:v>04/28/2026 15:00</c:v>
                </c:pt>
                <c:pt idx="23">
                  <c:v>04/29/2026 15:00</c:v>
                </c:pt>
                <c:pt idx="24">
                  <c:v>04/30/2026 15:00</c:v>
                </c:pt>
                <c:pt idx="25">
                  <c:v>05/05/2026 15:00</c:v>
                </c:pt>
                <c:pt idx="26">
                  <c:v>05/06/2026 15:00</c:v>
                </c:pt>
                <c:pt idx="27">
                  <c:v>05/07/2026 15:00</c:v>
                </c:pt>
                <c:pt idx="28">
                  <c:v>05/08/2026 15:00</c:v>
                </c:pt>
                <c:pt idx="29">
                  <c:v>05/12/2026 15:00</c:v>
                </c:pt>
                <c:pt idx="30">
                  <c:v>05/13/2026 15:00</c:v>
                </c:pt>
                <c:pt idx="31">
                  <c:v>05/15/2026 15:00</c:v>
                </c:pt>
                <c:pt idx="32">
                  <c:v>05/19/2026 15:00</c:v>
                </c:pt>
                <c:pt idx="33">
                  <c:v>05/20/2026 15:00</c:v>
                </c:pt>
                <c:pt idx="34">
                  <c:v>05/21/2026 15:00</c:v>
                </c:pt>
                <c:pt idx="35">
                  <c:v>05/26/2026 15:00</c:v>
                </c:pt>
                <c:pt idx="36">
                  <c:v>05/27/2026 15:00</c:v>
                </c:pt>
                <c:pt idx="37">
                  <c:v>05/28/2026 15:00</c:v>
                </c:pt>
                <c:pt idx="38">
                  <c:v>05/29/2026 15:00</c:v>
                </c:pt>
                <c:pt idx="39">
                  <c:v>06/01/2026 15:00</c:v>
                </c:pt>
                <c:pt idx="40">
                  <c:v>06/03/2026 15:00</c:v>
                </c:pt>
                <c:pt idx="41">
                  <c:v>06/04/2026 15:00</c:v>
                </c:pt>
                <c:pt idx="42">
                  <c:v>06/09/2026 15:00</c:v>
                </c:pt>
                <c:pt idx="43">
                  <c:v>06/15/2026 15:00</c:v>
                </c:pt>
                <c:pt idx="44">
                  <c:v>06/16/2026 15:00</c:v>
                </c:pt>
                <c:pt idx="45">
                  <c:v>06/17/2026 15:00</c:v>
                </c:pt>
                <c:pt idx="46">
                  <c:v>06/18/2026 15:00</c:v>
                </c:pt>
                <c:pt idx="47">
                  <c:v>06/19/2026 15:00</c:v>
                </c:pt>
                <c:pt idx="48">
                  <c:v>06/23/2026 15:00</c:v>
                </c:pt>
                <c:pt idx="49">
                  <c:v>06/24/2026 15:00</c:v>
                </c:pt>
                <c:pt idx="50">
                  <c:v>06/26/2026 08:49</c:v>
                </c:pt>
              </c:strCache>
            </c:strRef>
          </c:cat>
          <c:val>
            <c:numRef>
              <c:f>'Combined (2)'!$O$14:$O$250</c:f>
              <c:numCache>
                <c:formatCode>_("$"* #,##0_);_("$"* \(#,##0\);_("$"* "-"??_);_(@_)</c:formatCode>
                <c:ptCount val="237"/>
                <c:pt idx="0" formatCode="_(&quot;$&quot;* #,##0.00_);_(&quot;$&quot;* \(#,##0.00\);_(&quot;$&quot;* &quot;-&quot;??_);_(@_)">
                  <c:v>0</c:v>
                </c:pt>
                <c:pt idx="1">
                  <c:v>0</c:v>
                </c:pt>
                <c:pt idx="2">
                  <c:v>-10669.332009128335</c:v>
                </c:pt>
                <c:pt idx="3">
                  <c:v>-33266.04470741874</c:v>
                </c:pt>
                <c:pt idx="4">
                  <c:v>90655.271162762452</c:v>
                </c:pt>
                <c:pt idx="5">
                  <c:v>93512.678436151065</c:v>
                </c:pt>
                <c:pt idx="6">
                  <c:v>-11115.260343724862</c:v>
                </c:pt>
                <c:pt idx="7">
                  <c:v>1452.2676133941277</c:v>
                </c:pt>
                <c:pt idx="8">
                  <c:v>-6942.9114128624205</c:v>
                </c:pt>
                <c:pt idx="9">
                  <c:v>-52242.616259069007</c:v>
                </c:pt>
                <c:pt idx="10">
                  <c:v>43115.043908499676</c:v>
                </c:pt>
                <c:pt idx="11">
                  <c:v>-98335.045152591309</c:v>
                </c:pt>
                <c:pt idx="12">
                  <c:v>-46238.261594326817</c:v>
                </c:pt>
                <c:pt idx="13">
                  <c:v>-175083.63226075424</c:v>
                </c:pt>
                <c:pt idx="14">
                  <c:v>-138099.39663730864</c:v>
                </c:pt>
                <c:pt idx="15">
                  <c:v>-128362.1702673813</c:v>
                </c:pt>
                <c:pt idx="16">
                  <c:v>-116847.6768667025</c:v>
                </c:pt>
                <c:pt idx="17">
                  <c:v>-169385.65974628681</c:v>
                </c:pt>
                <c:pt idx="18">
                  <c:v>-120065.11224796763</c:v>
                </c:pt>
                <c:pt idx="19">
                  <c:v>-128356.28637595451</c:v>
                </c:pt>
                <c:pt idx="20">
                  <c:v>-110681.19443902757</c:v>
                </c:pt>
                <c:pt idx="21">
                  <c:v>-89057.730312910862</c:v>
                </c:pt>
                <c:pt idx="22">
                  <c:v>-124236.46701421356</c:v>
                </c:pt>
                <c:pt idx="23">
                  <c:v>-19455.133951386029</c:v>
                </c:pt>
                <c:pt idx="24">
                  <c:v>-71940.754203845398</c:v>
                </c:pt>
                <c:pt idx="25">
                  <c:v>-93282.489053529804</c:v>
                </c:pt>
                <c:pt idx="26">
                  <c:v>-109204.34517542378</c:v>
                </c:pt>
                <c:pt idx="27">
                  <c:v>-99790.863355534384</c:v>
                </c:pt>
                <c:pt idx="28">
                  <c:v>-83703.615452179685</c:v>
                </c:pt>
                <c:pt idx="29">
                  <c:v>-19031.065480346791</c:v>
                </c:pt>
                <c:pt idx="30">
                  <c:v>-44971.118242775439</c:v>
                </c:pt>
                <c:pt idx="31">
                  <c:v>-32746.718508001533</c:v>
                </c:pt>
                <c:pt idx="32">
                  <c:v>-141366.931892747</c:v>
                </c:pt>
                <c:pt idx="33">
                  <c:v>-200428.52836356097</c:v>
                </c:pt>
                <c:pt idx="34">
                  <c:v>-140493.54279090383</c:v>
                </c:pt>
                <c:pt idx="35">
                  <c:v>-196073.36800072878</c:v>
                </c:pt>
                <c:pt idx="36">
                  <c:v>-201014.57934189623</c:v>
                </c:pt>
                <c:pt idx="37">
                  <c:v>-220075.22210445651</c:v>
                </c:pt>
                <c:pt idx="38">
                  <c:v>-218220.57072185806</c:v>
                </c:pt>
                <c:pt idx="39">
                  <c:v>-206269.69556636142</c:v>
                </c:pt>
                <c:pt idx="40">
                  <c:v>-170320.85622483445</c:v>
                </c:pt>
                <c:pt idx="41">
                  <c:v>-195522.89915050101</c:v>
                </c:pt>
                <c:pt idx="42">
                  <c:v>-211721.76306885807</c:v>
                </c:pt>
                <c:pt idx="43">
                  <c:v>-257252.22187919589</c:v>
                </c:pt>
                <c:pt idx="44">
                  <c:v>-258150.53127142054</c:v>
                </c:pt>
                <c:pt idx="45">
                  <c:v>-238309.20433868282</c:v>
                </c:pt>
                <c:pt idx="46">
                  <c:v>-255706.97345132183</c:v>
                </c:pt>
                <c:pt idx="47">
                  <c:v>-215407.74622371083</c:v>
                </c:pt>
                <c:pt idx="48">
                  <c:v>-277830.64802419685</c:v>
                </c:pt>
                <c:pt idx="49">
                  <c:v>-320999.74436857342</c:v>
                </c:pt>
                <c:pt idx="50">
                  <c:v>143869.66480293544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28-44D1-87C5-F1EC2C8FF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94943"/>
        <c:axId val="4680954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'[1]1'!$B$12:$B$13</c15:sqref>
                        </c15:formulaRef>
                      </c:ext>
                    </c:extLst>
                    <c:strCache>
                      <c:ptCount val="1"/>
                      <c:pt idx="0">
                        <c:v>Long Risk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'Combined (2)'!$A$14:$A$250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'[1]1'!$B$14:$B$250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90.266000000000005</c:v>
                      </c:pt>
                      <c:pt idx="2">
                        <c:v>89.93</c:v>
                      </c:pt>
                      <c:pt idx="3">
                        <c:v>90.049000000000007</c:v>
                      </c:pt>
                      <c:pt idx="4">
                        <c:v>89.225999999999999</c:v>
                      </c:pt>
                      <c:pt idx="5">
                        <c:v>88.793000000000006</c:v>
                      </c:pt>
                      <c:pt idx="6">
                        <c:v>88.692999999999998</c:v>
                      </c:pt>
                      <c:pt idx="7">
                        <c:v>87.667000000000002</c:v>
                      </c:pt>
                      <c:pt idx="8">
                        <c:v>87.715999999999994</c:v>
                      </c:pt>
                      <c:pt idx="9">
                        <c:v>87.912999999999997</c:v>
                      </c:pt>
                      <c:pt idx="10">
                        <c:v>87.629000000000005</c:v>
                      </c:pt>
                      <c:pt idx="11">
                        <c:v>87.513999999999996</c:v>
                      </c:pt>
                      <c:pt idx="12">
                        <c:v>87.242999999999995</c:v>
                      </c:pt>
                      <c:pt idx="13">
                        <c:v>86.962999999999994</c:v>
                      </c:pt>
                      <c:pt idx="14">
                        <c:v>85.751000000000005</c:v>
                      </c:pt>
                      <c:pt idx="15">
                        <c:v>85.727000000000004</c:v>
                      </c:pt>
                      <c:pt idx="16">
                        <c:v>86.3</c:v>
                      </c:pt>
                      <c:pt idx="17">
                        <c:v>85.78</c:v>
                      </c:pt>
                      <c:pt idx="18">
                        <c:v>85.364999999999995</c:v>
                      </c:pt>
                      <c:pt idx="19">
                        <c:v>84.343000000000004</c:v>
                      </c:pt>
                      <c:pt idx="20">
                        <c:v>84.162999999999997</c:v>
                      </c:pt>
                      <c:pt idx="21">
                        <c:v>84.411000000000001</c:v>
                      </c:pt>
                      <c:pt idx="22">
                        <c:v>83.876999999999995</c:v>
                      </c:pt>
                      <c:pt idx="23">
                        <c:v>86.462999999999994</c:v>
                      </c:pt>
                      <c:pt idx="24">
                        <c:v>88.070999999999998</c:v>
                      </c:pt>
                      <c:pt idx="25">
                        <c:v>86.83</c:v>
                      </c:pt>
                      <c:pt idx="26">
                        <c:v>84.230999999999995</c:v>
                      </c:pt>
                      <c:pt idx="27">
                        <c:v>84.471999999999994</c:v>
                      </c:pt>
                      <c:pt idx="28">
                        <c:v>83.158000000000001</c:v>
                      </c:pt>
                      <c:pt idx="29">
                        <c:v>81.959000000000003</c:v>
                      </c:pt>
                      <c:pt idx="30">
                        <c:v>81.585999999999999</c:v>
                      </c:pt>
                      <c:pt idx="31">
                        <c:v>82.206000000000003</c:v>
                      </c:pt>
                      <c:pt idx="32">
                        <c:v>82.492000000000004</c:v>
                      </c:pt>
                      <c:pt idx="33">
                        <c:v>82.251999999999995</c:v>
                      </c:pt>
                      <c:pt idx="34">
                        <c:v>81.760999999999996</c:v>
                      </c:pt>
                      <c:pt idx="35">
                        <c:v>81.863</c:v>
                      </c:pt>
                      <c:pt idx="36">
                        <c:v>82.628</c:v>
                      </c:pt>
                      <c:pt idx="37">
                        <c:v>82.361999999999995</c:v>
                      </c:pt>
                      <c:pt idx="38">
                        <c:v>82.072999999999993</c:v>
                      </c:pt>
                      <c:pt idx="39">
                        <c:v>81.983999999999995</c:v>
                      </c:pt>
                      <c:pt idx="40">
                        <c:v>82.298000000000002</c:v>
                      </c:pt>
                      <c:pt idx="41">
                        <c:v>81.655000000000001</c:v>
                      </c:pt>
                      <c:pt idx="42">
                        <c:v>83.483999999999995</c:v>
                      </c:pt>
                      <c:pt idx="43">
                        <c:v>83.07</c:v>
                      </c:pt>
                      <c:pt idx="44">
                        <c:v>83.956999999999994</c:v>
                      </c:pt>
                      <c:pt idx="45">
                        <c:v>83.180999999999997</c:v>
                      </c:pt>
                      <c:pt idx="46">
                        <c:v>83.227999999999994</c:v>
                      </c:pt>
                      <c:pt idx="47">
                        <c:v>82.575000000000003</c:v>
                      </c:pt>
                      <c:pt idx="48">
                        <c:v>82.757000000000005</c:v>
                      </c:pt>
                      <c:pt idx="49">
                        <c:v>83.631</c:v>
                      </c:pt>
                      <c:pt idx="50">
                        <c:v>83.673000000000002</c:v>
                      </c:pt>
                      <c:pt idx="51">
                        <c:v>84.393000000000001</c:v>
                      </c:pt>
                      <c:pt idx="52">
                        <c:v>87.778000000000006</c:v>
                      </c:pt>
                      <c:pt idx="53">
                        <c:v>91.037999999999997</c:v>
                      </c:pt>
                      <c:pt idx="54">
                        <c:v>95.340999999999994</c:v>
                      </c:pt>
                      <c:pt idx="55">
                        <c:v>91.527000000000001</c:v>
                      </c:pt>
                      <c:pt idx="56">
                        <c:v>91.3</c:v>
                      </c:pt>
                      <c:pt idx="57">
                        <c:v>95.9</c:v>
                      </c:pt>
                      <c:pt idx="58">
                        <c:v>100.747</c:v>
                      </c:pt>
                      <c:pt idx="59">
                        <c:v>92.974999999999994</c:v>
                      </c:pt>
                      <c:pt idx="60">
                        <c:v>94.965000000000003</c:v>
                      </c:pt>
                      <c:pt idx="61">
                        <c:v>99.674000000000007</c:v>
                      </c:pt>
                      <c:pt idx="62">
                        <c:v>102.637</c:v>
                      </c:pt>
                      <c:pt idx="63">
                        <c:v>102.19199999999999</c:v>
                      </c:pt>
                      <c:pt idx="64">
                        <c:v>99.72</c:v>
                      </c:pt>
                      <c:pt idx="65">
                        <c:v>98.751000000000005</c:v>
                      </c:pt>
                      <c:pt idx="66">
                        <c:v>104.34699999999999</c:v>
                      </c:pt>
                      <c:pt idx="67">
                        <c:v>115.64700000000001</c:v>
                      </c:pt>
                      <c:pt idx="68">
                        <c:v>117.254</c:v>
                      </c:pt>
                      <c:pt idx="69">
                        <c:v>115.62</c:v>
                      </c:pt>
                      <c:pt idx="70">
                        <c:v>112.113</c:v>
                      </c:pt>
                      <c:pt idx="71">
                        <c:v>115.553</c:v>
                      </c:pt>
                      <c:pt idx="72">
                        <c:v>119.236</c:v>
                      </c:pt>
                      <c:pt idx="73">
                        <c:v>122.227</c:v>
                      </c:pt>
                      <c:pt idx="74">
                        <c:v>119.14700000000001</c:v>
                      </c:pt>
                      <c:pt idx="75">
                        <c:v>108.98</c:v>
                      </c:pt>
                      <c:pt idx="76">
                        <c:v>110.506</c:v>
                      </c:pt>
                      <c:pt idx="77">
                        <c:v>107.905</c:v>
                      </c:pt>
                      <c:pt idx="78">
                        <c:v>107.997</c:v>
                      </c:pt>
                      <c:pt idx="79">
                        <c:v>105.399</c:v>
                      </c:pt>
                      <c:pt idx="80">
                        <c:v>93.471999999999994</c:v>
                      </c:pt>
                      <c:pt idx="81">
                        <c:v>93.86</c:v>
                      </c:pt>
                      <c:pt idx="82">
                        <c:v>90.274000000000001</c:v>
                      </c:pt>
                      <c:pt idx="83">
                        <c:v>90.576999999999998</c:v>
                      </c:pt>
                      <c:pt idx="84">
                        <c:v>87.994</c:v>
                      </c:pt>
                      <c:pt idx="85">
                        <c:v>87.665999999999997</c:v>
                      </c:pt>
                      <c:pt idx="86">
                        <c:v>86.896000000000001</c:v>
                      </c:pt>
                      <c:pt idx="87">
                        <c:v>87.465999999999994</c:v>
                      </c:pt>
                      <c:pt idx="88">
                        <c:v>86.453000000000003</c:v>
                      </c:pt>
                      <c:pt idx="89">
                        <c:v>86.744</c:v>
                      </c:pt>
                      <c:pt idx="90">
                        <c:v>87.319000000000003</c:v>
                      </c:pt>
                      <c:pt idx="91">
                        <c:v>90.153000000000006</c:v>
                      </c:pt>
                      <c:pt idx="92">
                        <c:v>89.828000000000003</c:v>
                      </c:pt>
                      <c:pt idx="93">
                        <c:v>89.350999999999999</c:v>
                      </c:pt>
                      <c:pt idx="94">
                        <c:v>90.63</c:v>
                      </c:pt>
                      <c:pt idx="95">
                        <c:v>91.156999999999996</c:v>
                      </c:pt>
                      <c:pt idx="96">
                        <c:v>92.947000000000003</c:v>
                      </c:pt>
                      <c:pt idx="97">
                        <c:v>91.119</c:v>
                      </c:pt>
                      <c:pt idx="98">
                        <c:v>90.007000000000005</c:v>
                      </c:pt>
                      <c:pt idx="99">
                        <c:v>91.569000000000003</c:v>
                      </c:pt>
                      <c:pt idx="100">
                        <c:v>87.808000000000007</c:v>
                      </c:pt>
                      <c:pt idx="101">
                        <c:v>86.117000000000004</c:v>
                      </c:pt>
                      <c:pt idx="102">
                        <c:v>86.162999999999997</c:v>
                      </c:pt>
                      <c:pt idx="103">
                        <c:v>87.177000000000007</c:v>
                      </c:pt>
                      <c:pt idx="104">
                        <c:v>87.98</c:v>
                      </c:pt>
                      <c:pt idx="105">
                        <c:v>87.575999999999993</c:v>
                      </c:pt>
                      <c:pt idx="106">
                        <c:v>86.063000000000002</c:v>
                      </c:pt>
                      <c:pt idx="107">
                        <c:v>87.945999999999998</c:v>
                      </c:pt>
                      <c:pt idx="108">
                        <c:v>87.602000000000004</c:v>
                      </c:pt>
                      <c:pt idx="109">
                        <c:v>87.668999999999997</c:v>
                      </c:pt>
                      <c:pt idx="110">
                        <c:v>86.725999999999999</c:v>
                      </c:pt>
                      <c:pt idx="111">
                        <c:v>85.403000000000006</c:v>
                      </c:pt>
                      <c:pt idx="112">
                        <c:v>84.037000000000006</c:v>
                      </c:pt>
                      <c:pt idx="113">
                        <c:v>82.215999999999994</c:v>
                      </c:pt>
                      <c:pt idx="114">
                        <c:v>81.616</c:v>
                      </c:pt>
                      <c:pt idx="115">
                        <c:v>82.15</c:v>
                      </c:pt>
                      <c:pt idx="116">
                        <c:v>80.605000000000004</c:v>
                      </c:pt>
                      <c:pt idx="117">
                        <c:v>80.811000000000007</c:v>
                      </c:pt>
                      <c:pt idx="118">
                        <c:v>80.445999999999998</c:v>
                      </c:pt>
                      <c:pt idx="119">
                        <c:v>80.825000000000003</c:v>
                      </c:pt>
                      <c:pt idx="120">
                        <c:v>81.290000000000006</c:v>
                      </c:pt>
                      <c:pt idx="121">
                        <c:v>80.876000000000005</c:v>
                      </c:pt>
                      <c:pt idx="122">
                        <c:v>82.263000000000005</c:v>
                      </c:pt>
                      <c:pt idx="123">
                        <c:v>80.555999999999997</c:v>
                      </c:pt>
                      <c:pt idx="124">
                        <c:v>81.403999999999996</c:v>
                      </c:pt>
                      <c:pt idx="125">
                        <c:v>81.363</c:v>
                      </c:pt>
                      <c:pt idx="126">
                        <c:v>79.02</c:v>
                      </c:pt>
                      <c:pt idx="127">
                        <c:v>76.665000000000006</c:v>
                      </c:pt>
                      <c:pt idx="128">
                        <c:v>76.837000000000003</c:v>
                      </c:pt>
                      <c:pt idx="129">
                        <c:v>76.94</c:v>
                      </c:pt>
                      <c:pt idx="130">
                        <c:v>77.278999999999996</c:v>
                      </c:pt>
                      <c:pt idx="131">
                        <c:v>77.209999999999994</c:v>
                      </c:pt>
                      <c:pt idx="132">
                        <c:v>77.066999999999993</c:v>
                      </c:pt>
                      <c:pt idx="133">
                        <c:v>77.346999999999994</c:v>
                      </c:pt>
                      <c:pt idx="134">
                        <c:v>77.504000000000005</c:v>
                      </c:pt>
                      <c:pt idx="135">
                        <c:v>76.893000000000001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528-44D1-87C5-F1EC2C8FF5A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'[1]1'!$C$12:$C$13</c15:sqref>
                        </c15:formulaRef>
                      </c:ext>
                    </c:extLst>
                    <c:strCache>
                      <c:ptCount val="1"/>
                      <c:pt idx="0">
                        <c:v>Long Risk Roll Adj Sprd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'Combined (2)'!$A$14:$A$250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'[1]1'!$C$14:$C$250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106.5</c:v>
                      </c:pt>
                      <c:pt idx="1">
                        <c:v>101.988</c:v>
                      </c:pt>
                      <c:pt idx="2">
                        <c:v>99.507999999999996</c:v>
                      </c:pt>
                      <c:pt idx="3">
                        <c:v>97.378</c:v>
                      </c:pt>
                      <c:pt idx="4">
                        <c:v>96.828000000000003</c:v>
                      </c:pt>
                      <c:pt idx="5">
                        <c:v>95.448999999999998</c:v>
                      </c:pt>
                      <c:pt idx="6">
                        <c:v>92.872</c:v>
                      </c:pt>
                      <c:pt idx="7">
                        <c:v>92.445999999999998</c:v>
                      </c:pt>
                      <c:pt idx="8">
                        <c:v>91.334000000000003</c:v>
                      </c:pt>
                      <c:pt idx="9">
                        <c:v>91.960999999999999</c:v>
                      </c:pt>
                      <c:pt idx="10">
                        <c:v>92.38</c:v>
                      </c:pt>
                      <c:pt idx="11">
                        <c:v>91.418000000000006</c:v>
                      </c:pt>
                      <c:pt idx="12">
                        <c:v>91.418000000000006</c:v>
                      </c:pt>
                      <c:pt idx="13">
                        <c:v>75.421999999999997</c:v>
                      </c:pt>
                      <c:pt idx="14">
                        <c:v>74.210000000000008</c:v>
                      </c:pt>
                      <c:pt idx="15">
                        <c:v>74.186000000000007</c:v>
                      </c:pt>
                      <c:pt idx="16">
                        <c:v>74.759</c:v>
                      </c:pt>
                      <c:pt idx="17">
                        <c:v>74.239000000000004</c:v>
                      </c:pt>
                      <c:pt idx="18">
                        <c:v>73.823999999999998</c:v>
                      </c:pt>
                      <c:pt idx="19">
                        <c:v>72.802000000000007</c:v>
                      </c:pt>
                      <c:pt idx="20">
                        <c:v>72.622</c:v>
                      </c:pt>
                      <c:pt idx="21">
                        <c:v>72.87</c:v>
                      </c:pt>
                      <c:pt idx="22">
                        <c:v>72.335999999999999</c:v>
                      </c:pt>
                      <c:pt idx="23">
                        <c:v>74.921999999999997</c:v>
                      </c:pt>
                      <c:pt idx="24">
                        <c:v>76.53</c:v>
                      </c:pt>
                      <c:pt idx="25">
                        <c:v>75.289000000000001</c:v>
                      </c:pt>
                      <c:pt idx="26">
                        <c:v>72.69</c:v>
                      </c:pt>
                      <c:pt idx="27">
                        <c:v>72.930999999999997</c:v>
                      </c:pt>
                      <c:pt idx="28">
                        <c:v>71.617000000000004</c:v>
                      </c:pt>
                      <c:pt idx="29">
                        <c:v>70.418000000000006</c:v>
                      </c:pt>
                      <c:pt idx="30">
                        <c:v>70.045000000000002</c:v>
                      </c:pt>
                      <c:pt idx="31">
                        <c:v>70.665000000000006</c:v>
                      </c:pt>
                      <c:pt idx="32">
                        <c:v>70.951000000000008</c:v>
                      </c:pt>
                      <c:pt idx="33">
                        <c:v>70.710999999999999</c:v>
                      </c:pt>
                      <c:pt idx="34">
                        <c:v>70.22</c:v>
                      </c:pt>
                      <c:pt idx="35">
                        <c:v>70.322000000000003</c:v>
                      </c:pt>
                      <c:pt idx="36">
                        <c:v>71.087000000000003</c:v>
                      </c:pt>
                      <c:pt idx="37">
                        <c:v>70.820999999999998</c:v>
                      </c:pt>
                      <c:pt idx="38">
                        <c:v>70.531999999999996</c:v>
                      </c:pt>
                      <c:pt idx="39">
                        <c:v>70.442999999999998</c:v>
                      </c:pt>
                      <c:pt idx="40">
                        <c:v>70.757000000000005</c:v>
                      </c:pt>
                      <c:pt idx="41">
                        <c:v>70.114000000000004</c:v>
                      </c:pt>
                      <c:pt idx="42">
                        <c:v>71.942999999999998</c:v>
                      </c:pt>
                      <c:pt idx="43">
                        <c:v>71.528999999999996</c:v>
                      </c:pt>
                      <c:pt idx="44">
                        <c:v>72.415999999999997</c:v>
                      </c:pt>
                      <c:pt idx="45">
                        <c:v>71.64</c:v>
                      </c:pt>
                      <c:pt idx="46">
                        <c:v>71.686999999999998</c:v>
                      </c:pt>
                      <c:pt idx="47">
                        <c:v>71.034000000000006</c:v>
                      </c:pt>
                      <c:pt idx="48">
                        <c:v>71.216000000000008</c:v>
                      </c:pt>
                      <c:pt idx="49">
                        <c:v>72.09</c:v>
                      </c:pt>
                      <c:pt idx="50">
                        <c:v>72.132000000000005</c:v>
                      </c:pt>
                      <c:pt idx="51">
                        <c:v>72.852000000000004</c:v>
                      </c:pt>
                      <c:pt idx="52">
                        <c:v>76.237000000000009</c:v>
                      </c:pt>
                      <c:pt idx="53">
                        <c:v>79.497</c:v>
                      </c:pt>
                      <c:pt idx="54">
                        <c:v>83.8</c:v>
                      </c:pt>
                      <c:pt idx="55">
                        <c:v>79.986000000000004</c:v>
                      </c:pt>
                      <c:pt idx="56">
                        <c:v>79.759</c:v>
                      </c:pt>
                      <c:pt idx="57">
                        <c:v>84.359000000000009</c:v>
                      </c:pt>
                      <c:pt idx="58">
                        <c:v>89.206000000000003</c:v>
                      </c:pt>
                      <c:pt idx="59">
                        <c:v>81.433999999999997</c:v>
                      </c:pt>
                      <c:pt idx="60">
                        <c:v>83.424000000000007</c:v>
                      </c:pt>
                      <c:pt idx="61">
                        <c:v>88.13300000000001</c:v>
                      </c:pt>
                      <c:pt idx="62">
                        <c:v>91.096000000000004</c:v>
                      </c:pt>
                      <c:pt idx="63">
                        <c:v>90.650999999999996</c:v>
                      </c:pt>
                      <c:pt idx="64">
                        <c:v>88.179000000000002</c:v>
                      </c:pt>
                      <c:pt idx="65">
                        <c:v>87.210000000000008</c:v>
                      </c:pt>
                      <c:pt idx="66">
                        <c:v>92.805999999999997</c:v>
                      </c:pt>
                      <c:pt idx="67">
                        <c:v>104.10600000000001</c:v>
                      </c:pt>
                      <c:pt idx="68">
                        <c:v>105.71300000000001</c:v>
                      </c:pt>
                      <c:pt idx="69">
                        <c:v>104.07900000000001</c:v>
                      </c:pt>
                      <c:pt idx="70">
                        <c:v>100.572</c:v>
                      </c:pt>
                      <c:pt idx="71">
                        <c:v>104.012</c:v>
                      </c:pt>
                      <c:pt idx="72">
                        <c:v>107.69500000000001</c:v>
                      </c:pt>
                      <c:pt idx="73">
                        <c:v>110.68600000000001</c:v>
                      </c:pt>
                      <c:pt idx="74">
                        <c:v>107.60600000000001</c:v>
                      </c:pt>
                      <c:pt idx="75">
                        <c:v>97.439000000000007</c:v>
                      </c:pt>
                      <c:pt idx="76">
                        <c:v>98.965000000000003</c:v>
                      </c:pt>
                      <c:pt idx="77">
                        <c:v>96.364000000000004</c:v>
                      </c:pt>
                      <c:pt idx="78">
                        <c:v>96.456000000000003</c:v>
                      </c:pt>
                      <c:pt idx="79">
                        <c:v>93.858000000000004</c:v>
                      </c:pt>
                      <c:pt idx="80">
                        <c:v>81.930999999999997</c:v>
                      </c:pt>
                      <c:pt idx="81">
                        <c:v>82.319000000000003</c:v>
                      </c:pt>
                      <c:pt idx="82">
                        <c:v>78.733000000000004</c:v>
                      </c:pt>
                      <c:pt idx="83">
                        <c:v>79.036000000000001</c:v>
                      </c:pt>
                      <c:pt idx="84">
                        <c:v>76.453000000000003</c:v>
                      </c:pt>
                      <c:pt idx="85">
                        <c:v>76.125</c:v>
                      </c:pt>
                      <c:pt idx="86">
                        <c:v>75.355000000000004</c:v>
                      </c:pt>
                      <c:pt idx="87">
                        <c:v>75.924999999999997</c:v>
                      </c:pt>
                      <c:pt idx="88">
                        <c:v>74.912000000000006</c:v>
                      </c:pt>
                      <c:pt idx="89">
                        <c:v>75.203000000000003</c:v>
                      </c:pt>
                      <c:pt idx="90">
                        <c:v>75.778000000000006</c:v>
                      </c:pt>
                      <c:pt idx="91">
                        <c:v>78.612000000000009</c:v>
                      </c:pt>
                      <c:pt idx="92">
                        <c:v>78.287000000000006</c:v>
                      </c:pt>
                      <c:pt idx="93">
                        <c:v>77.81</c:v>
                      </c:pt>
                      <c:pt idx="94">
                        <c:v>79.088999999999999</c:v>
                      </c:pt>
                      <c:pt idx="95">
                        <c:v>79.616</c:v>
                      </c:pt>
                      <c:pt idx="96">
                        <c:v>81.406000000000006</c:v>
                      </c:pt>
                      <c:pt idx="97">
                        <c:v>79.578000000000003</c:v>
                      </c:pt>
                      <c:pt idx="98">
                        <c:v>78.466000000000008</c:v>
                      </c:pt>
                      <c:pt idx="99">
                        <c:v>80.028000000000006</c:v>
                      </c:pt>
                      <c:pt idx="100">
                        <c:v>76.26700000000001</c:v>
                      </c:pt>
                      <c:pt idx="101">
                        <c:v>74.576000000000008</c:v>
                      </c:pt>
                      <c:pt idx="102">
                        <c:v>74.622</c:v>
                      </c:pt>
                      <c:pt idx="103">
                        <c:v>75.63600000000001</c:v>
                      </c:pt>
                      <c:pt idx="104">
                        <c:v>76.439000000000007</c:v>
                      </c:pt>
                      <c:pt idx="105">
                        <c:v>76.034999999999997</c:v>
                      </c:pt>
                      <c:pt idx="106">
                        <c:v>74.522000000000006</c:v>
                      </c:pt>
                      <c:pt idx="107">
                        <c:v>76.405000000000001</c:v>
                      </c:pt>
                      <c:pt idx="108">
                        <c:v>76.061000000000007</c:v>
                      </c:pt>
                      <c:pt idx="109">
                        <c:v>76.128</c:v>
                      </c:pt>
                      <c:pt idx="110">
                        <c:v>75.185000000000002</c:v>
                      </c:pt>
                      <c:pt idx="111">
                        <c:v>73.862000000000009</c:v>
                      </c:pt>
                      <c:pt idx="112">
                        <c:v>72.496000000000009</c:v>
                      </c:pt>
                      <c:pt idx="113">
                        <c:v>70.674999999999997</c:v>
                      </c:pt>
                      <c:pt idx="114">
                        <c:v>70.075000000000003</c:v>
                      </c:pt>
                      <c:pt idx="115">
                        <c:v>70.609000000000009</c:v>
                      </c:pt>
                      <c:pt idx="116">
                        <c:v>69.064000000000007</c:v>
                      </c:pt>
                      <c:pt idx="117">
                        <c:v>69.27000000000001</c:v>
                      </c:pt>
                      <c:pt idx="118">
                        <c:v>68.905000000000001</c:v>
                      </c:pt>
                      <c:pt idx="119">
                        <c:v>69.284000000000006</c:v>
                      </c:pt>
                      <c:pt idx="120">
                        <c:v>69.749000000000009</c:v>
                      </c:pt>
                      <c:pt idx="121">
                        <c:v>69.335000000000008</c:v>
                      </c:pt>
                      <c:pt idx="122">
                        <c:v>70.722000000000008</c:v>
                      </c:pt>
                      <c:pt idx="123">
                        <c:v>69.015000000000001</c:v>
                      </c:pt>
                      <c:pt idx="124">
                        <c:v>69.863</c:v>
                      </c:pt>
                      <c:pt idx="125">
                        <c:v>69.822000000000003</c:v>
                      </c:pt>
                      <c:pt idx="126">
                        <c:v>67.478999999999999</c:v>
                      </c:pt>
                      <c:pt idx="127">
                        <c:v>65.124000000000009</c:v>
                      </c:pt>
                      <c:pt idx="128">
                        <c:v>65.296000000000006</c:v>
                      </c:pt>
                      <c:pt idx="129">
                        <c:v>65.399000000000001</c:v>
                      </c:pt>
                      <c:pt idx="130">
                        <c:v>65.738</c:v>
                      </c:pt>
                      <c:pt idx="131">
                        <c:v>65.668999999999997</c:v>
                      </c:pt>
                      <c:pt idx="132">
                        <c:v>65.525999999999996</c:v>
                      </c:pt>
                      <c:pt idx="133">
                        <c:v>65.805999999999997</c:v>
                      </c:pt>
                      <c:pt idx="134">
                        <c:v>65.963000000000008</c:v>
                      </c:pt>
                      <c:pt idx="135">
                        <c:v>65.352000000000004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528-44D1-87C5-F1EC2C8FF5A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'[1]1'!$D$12:$D$13</c15:sqref>
                        </c15:formulaRef>
                      </c:ext>
                    </c:extLst>
                    <c:strCache>
                      <c:ptCount val="1"/>
                      <c:pt idx="0">
                        <c:v>Long Risk Sprd P/L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'Combined (2)'!$A$14:$A$250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'[1]1'!$D$14:$D$250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50308.800000000003</c:v>
                      </c:pt>
                      <c:pt idx="2">
                        <c:v>77960.800000000047</c:v>
                      </c:pt>
                      <c:pt idx="3">
                        <c:v>101710.30000000002</c:v>
                      </c:pt>
                      <c:pt idx="4">
                        <c:v>107842.79999999997</c:v>
                      </c:pt>
                      <c:pt idx="5">
                        <c:v>123218.65000000002</c:v>
                      </c:pt>
                      <c:pt idx="6">
                        <c:v>151952.20000000001</c:v>
                      </c:pt>
                      <c:pt idx="7">
                        <c:v>156702.10000000003</c:v>
                      </c:pt>
                      <c:pt idx="8">
                        <c:v>169100.89999999997</c:v>
                      </c:pt>
                      <c:pt idx="9">
                        <c:v>162109.85000000003</c:v>
                      </c:pt>
                      <c:pt idx="10">
                        <c:v>157438.00000000006</c:v>
                      </c:pt>
                      <c:pt idx="11">
                        <c:v>168164.29999999993</c:v>
                      </c:pt>
                      <c:pt idx="12">
                        <c:v>168164.29999999993</c:v>
                      </c:pt>
                      <c:pt idx="13">
                        <c:v>346519.70000000007</c:v>
                      </c:pt>
                      <c:pt idx="14">
                        <c:v>360033.49999999994</c:v>
                      </c:pt>
                      <c:pt idx="15">
                        <c:v>360301.09999999992</c:v>
                      </c:pt>
                      <c:pt idx="16">
                        <c:v>353912.14999999997</c:v>
                      </c:pt>
                      <c:pt idx="17">
                        <c:v>359710.14999999997</c:v>
                      </c:pt>
                      <c:pt idx="18">
                        <c:v>364337.4</c:v>
                      </c:pt>
                      <c:pt idx="19">
                        <c:v>375732.69999999995</c:v>
                      </c:pt>
                      <c:pt idx="20">
                        <c:v>377739.70000000007</c:v>
                      </c:pt>
                      <c:pt idx="21">
                        <c:v>374974.49999999994</c:v>
                      </c:pt>
                      <c:pt idx="22">
                        <c:v>380928.60000000003</c:v>
                      </c:pt>
                      <c:pt idx="23">
                        <c:v>352094.7</c:v>
                      </c:pt>
                      <c:pt idx="24">
                        <c:v>334165.5</c:v>
                      </c:pt>
                      <c:pt idx="25">
                        <c:v>348002.65</c:v>
                      </c:pt>
                      <c:pt idx="26">
                        <c:v>376981.5</c:v>
                      </c:pt>
                      <c:pt idx="27">
                        <c:v>374294.35000000003</c:v>
                      </c:pt>
                      <c:pt idx="28">
                        <c:v>388945.44999999995</c:v>
                      </c:pt>
                      <c:pt idx="29">
                        <c:v>402314.29999999987</c:v>
                      </c:pt>
                      <c:pt idx="30">
                        <c:v>406473.24999999994</c:v>
                      </c:pt>
                      <c:pt idx="31">
                        <c:v>399560.25</c:v>
                      </c:pt>
                      <c:pt idx="32">
                        <c:v>396371.35</c:v>
                      </c:pt>
                      <c:pt idx="33">
                        <c:v>399047.35000000003</c:v>
                      </c:pt>
                      <c:pt idx="34">
                        <c:v>404522.00000000006</c:v>
                      </c:pt>
                      <c:pt idx="35">
                        <c:v>403384.7</c:v>
                      </c:pt>
                      <c:pt idx="36">
                        <c:v>394854.94999999995</c:v>
                      </c:pt>
                      <c:pt idx="37">
                        <c:v>397820.85000000009</c:v>
                      </c:pt>
                      <c:pt idx="38">
                        <c:v>401043.20000000001</c:v>
                      </c:pt>
                      <c:pt idx="39">
                        <c:v>402035.55000000005</c:v>
                      </c:pt>
                      <c:pt idx="40">
                        <c:v>398534.44999999995</c:v>
                      </c:pt>
                      <c:pt idx="41">
                        <c:v>405703.89999999991</c:v>
                      </c:pt>
                      <c:pt idx="42">
                        <c:v>385310.55000000005</c:v>
                      </c:pt>
                      <c:pt idx="43">
                        <c:v>389926.65</c:v>
                      </c:pt>
                      <c:pt idx="44">
                        <c:v>380036.60000000009</c:v>
                      </c:pt>
                      <c:pt idx="45">
                        <c:v>388689</c:v>
                      </c:pt>
                      <c:pt idx="46">
                        <c:v>388164.95000000007</c:v>
                      </c:pt>
                      <c:pt idx="47">
                        <c:v>395445.89999999997</c:v>
                      </c:pt>
                      <c:pt idx="48">
                        <c:v>393416.59999999992</c:v>
                      </c:pt>
                      <c:pt idx="49">
                        <c:v>383671.49999999994</c:v>
                      </c:pt>
                      <c:pt idx="50">
                        <c:v>383203.2</c:v>
                      </c:pt>
                      <c:pt idx="51">
                        <c:v>375175.19999999995</c:v>
                      </c:pt>
                      <c:pt idx="52">
                        <c:v>337432.4499999999</c:v>
                      </c:pt>
                      <c:pt idx="53">
                        <c:v>301083.45</c:v>
                      </c:pt>
                      <c:pt idx="54">
                        <c:v>253105.00000000003</c:v>
                      </c:pt>
                      <c:pt idx="55">
                        <c:v>295631.09999999992</c:v>
                      </c:pt>
                      <c:pt idx="56">
                        <c:v>298162.15000000002</c:v>
                      </c:pt>
                      <c:pt idx="57">
                        <c:v>246872.14999999991</c:v>
                      </c:pt>
                      <c:pt idx="58">
                        <c:v>192828.09999999998</c:v>
                      </c:pt>
                      <c:pt idx="59">
                        <c:v>279485.90000000002</c:v>
                      </c:pt>
                      <c:pt idx="60">
                        <c:v>257297.39999999997</c:v>
                      </c:pt>
                      <c:pt idx="61">
                        <c:v>204792.04999999987</c:v>
                      </c:pt>
                      <c:pt idx="62">
                        <c:v>171754.59999999998</c:v>
                      </c:pt>
                      <c:pt idx="63">
                        <c:v>176716.35000000003</c:v>
                      </c:pt>
                      <c:pt idx="64">
                        <c:v>204279.14999999997</c:v>
                      </c:pt>
                      <c:pt idx="65">
                        <c:v>215083.49999999994</c:v>
                      </c:pt>
                      <c:pt idx="66">
                        <c:v>152688.10000000006</c:v>
                      </c:pt>
                      <c:pt idx="67">
                        <c:v>26693.0999999999</c:v>
                      </c:pt>
                      <c:pt idx="68">
                        <c:v>8775.0499999999101</c:v>
                      </c:pt>
                      <c:pt idx="69">
                        <c:v>26994.149999999914</c:v>
                      </c:pt>
                      <c:pt idx="70">
                        <c:v>66097.199999999968</c:v>
                      </c:pt>
                      <c:pt idx="71">
                        <c:v>27741.200000000001</c:v>
                      </c:pt>
                      <c:pt idx="72">
                        <c:v>-13324.250000000084</c:v>
                      </c:pt>
                      <c:pt idx="73">
                        <c:v>-46673.900000000081</c:v>
                      </c:pt>
                      <c:pt idx="74">
                        <c:v>-12331.9000000001</c:v>
                      </c:pt>
                      <c:pt idx="75">
                        <c:v>101030.14999999992</c:v>
                      </c:pt>
                      <c:pt idx="76">
                        <c:v>84015.249999999971</c:v>
                      </c:pt>
                      <c:pt idx="77">
                        <c:v>113016.39999999997</c:v>
                      </c:pt>
                      <c:pt idx="78">
                        <c:v>111990.59999999998</c:v>
                      </c:pt>
                      <c:pt idx="79">
                        <c:v>140958.29999999996</c:v>
                      </c:pt>
                      <c:pt idx="80">
                        <c:v>273944.35000000003</c:v>
                      </c:pt>
                      <c:pt idx="81">
                        <c:v>269618.14999999997</c:v>
                      </c:pt>
                      <c:pt idx="82">
                        <c:v>309602.04999999993</c:v>
                      </c:pt>
                      <c:pt idx="83">
                        <c:v>306223.59999999998</c:v>
                      </c:pt>
                      <c:pt idx="84">
                        <c:v>335024.05</c:v>
                      </c:pt>
                      <c:pt idx="85">
                        <c:v>338681.25</c:v>
                      </c:pt>
                      <c:pt idx="86">
                        <c:v>347266.75</c:v>
                      </c:pt>
                      <c:pt idx="87">
                        <c:v>340911.25000000006</c:v>
                      </c:pt>
                      <c:pt idx="88">
                        <c:v>352206.19999999995</c:v>
                      </c:pt>
                      <c:pt idx="89">
                        <c:v>348961.55</c:v>
                      </c:pt>
                      <c:pt idx="90">
                        <c:v>342550.3</c:v>
                      </c:pt>
                      <c:pt idx="91">
                        <c:v>310951.1999999999</c:v>
                      </c:pt>
                      <c:pt idx="92">
                        <c:v>314574.94999999995</c:v>
                      </c:pt>
                      <c:pt idx="93">
                        <c:v>319893.5</c:v>
                      </c:pt>
                      <c:pt idx="94">
                        <c:v>305632.65000000002</c:v>
                      </c:pt>
                      <c:pt idx="95">
                        <c:v>299756.60000000003</c:v>
                      </c:pt>
                      <c:pt idx="96">
                        <c:v>279798.09999999998</c:v>
                      </c:pt>
                      <c:pt idx="97">
                        <c:v>300180.29999999993</c:v>
                      </c:pt>
                      <c:pt idx="98">
                        <c:v>312579.09999999992</c:v>
                      </c:pt>
                      <c:pt idx="99">
                        <c:v>295162.79999999993</c:v>
                      </c:pt>
                      <c:pt idx="100">
                        <c:v>337097.9499999999</c:v>
                      </c:pt>
                      <c:pt idx="101">
                        <c:v>355952.59999999992</c:v>
                      </c:pt>
                      <c:pt idx="102">
                        <c:v>355439.7</c:v>
                      </c:pt>
                      <c:pt idx="103">
                        <c:v>344133.59999999986</c:v>
                      </c:pt>
                      <c:pt idx="104">
                        <c:v>335180.14999999997</c:v>
                      </c:pt>
                      <c:pt idx="105">
                        <c:v>339684.75000000006</c:v>
                      </c:pt>
                      <c:pt idx="106">
                        <c:v>356554.69999999995</c:v>
                      </c:pt>
                      <c:pt idx="107">
                        <c:v>335559.25</c:v>
                      </c:pt>
                      <c:pt idx="108">
                        <c:v>339394.85</c:v>
                      </c:pt>
                      <c:pt idx="109">
                        <c:v>338647.80000000005</c:v>
                      </c:pt>
                      <c:pt idx="110">
                        <c:v>349162.24999999994</c:v>
                      </c:pt>
                      <c:pt idx="111">
                        <c:v>363913.69999999995</c:v>
                      </c:pt>
                      <c:pt idx="112">
                        <c:v>379144.59999999992</c:v>
                      </c:pt>
                      <c:pt idx="113">
                        <c:v>399448.75000000006</c:v>
                      </c:pt>
                      <c:pt idx="114">
                        <c:v>406138.75</c:v>
                      </c:pt>
                      <c:pt idx="115">
                        <c:v>400184.64999999985</c:v>
                      </c:pt>
                      <c:pt idx="116">
                        <c:v>417411.39999999985</c:v>
                      </c:pt>
                      <c:pt idx="117">
                        <c:v>415114.49999999994</c:v>
                      </c:pt>
                      <c:pt idx="118">
                        <c:v>419184.25</c:v>
                      </c:pt>
                      <c:pt idx="119">
                        <c:v>414958.39999999997</c:v>
                      </c:pt>
                      <c:pt idx="120">
                        <c:v>409773.64999999991</c:v>
                      </c:pt>
                      <c:pt idx="121">
                        <c:v>414389.74999999994</c:v>
                      </c:pt>
                      <c:pt idx="122">
                        <c:v>398924.69999999995</c:v>
                      </c:pt>
                      <c:pt idx="123">
                        <c:v>417957.75</c:v>
                      </c:pt>
                      <c:pt idx="124">
                        <c:v>408502.55000000005</c:v>
                      </c:pt>
                      <c:pt idx="125">
                        <c:v>408959.69999999995</c:v>
                      </c:pt>
                      <c:pt idx="126">
                        <c:v>435084.15</c:v>
                      </c:pt>
                      <c:pt idx="127">
                        <c:v>461342.39999999991</c:v>
                      </c:pt>
                      <c:pt idx="128">
                        <c:v>459424.6</c:v>
                      </c:pt>
                      <c:pt idx="129">
                        <c:v>458276.15</c:v>
                      </c:pt>
                      <c:pt idx="130">
                        <c:v>454496.3</c:v>
                      </c:pt>
                      <c:pt idx="131">
                        <c:v>455265.65</c:v>
                      </c:pt>
                      <c:pt idx="132">
                        <c:v>456860.10000000003</c:v>
                      </c:pt>
                      <c:pt idx="133">
                        <c:v>453738.10000000009</c:v>
                      </c:pt>
                      <c:pt idx="134">
                        <c:v>451987.54999999993</c:v>
                      </c:pt>
                      <c:pt idx="135">
                        <c:v>458800.2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528-44D1-87C5-F1EC2C8FF5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'[1]1'!$E$12:$E$13</c15:sqref>
                        </c15:formulaRef>
                      </c:ext>
                    </c:extLst>
                    <c:strCache>
                      <c:ptCount val="1"/>
                      <c:pt idx="0">
                        <c:v>Long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'Combined (2)'!$A$14:$A$250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'[1]1'!$E$14:$E$250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72222.222222222234</c:v>
                      </c:pt>
                      <c:pt idx="2">
                        <c:v>72916.666666666672</c:v>
                      </c:pt>
                      <c:pt idx="3">
                        <c:v>73611.111111111109</c:v>
                      </c:pt>
                      <c:pt idx="4">
                        <c:v>74305.555555555562</c:v>
                      </c:pt>
                      <c:pt idx="5">
                        <c:v>76388.888888888891</c:v>
                      </c:pt>
                      <c:pt idx="6">
                        <c:v>77083.333333333343</c:v>
                      </c:pt>
                      <c:pt idx="7">
                        <c:v>77777.777777777781</c:v>
                      </c:pt>
                      <c:pt idx="8">
                        <c:v>79166.666666666672</c:v>
                      </c:pt>
                      <c:pt idx="9">
                        <c:v>81250</c:v>
                      </c:pt>
                      <c:pt idx="10">
                        <c:v>81944.444444444438</c:v>
                      </c:pt>
                      <c:pt idx="11">
                        <c:v>82638.888888888891</c:v>
                      </c:pt>
                      <c:pt idx="12">
                        <c:v>84027.777777777781</c:v>
                      </c:pt>
                      <c:pt idx="13">
                        <c:v>86111.111111111109</c:v>
                      </c:pt>
                      <c:pt idx="14">
                        <c:v>86805.555555555547</c:v>
                      </c:pt>
                      <c:pt idx="15">
                        <c:v>87500</c:v>
                      </c:pt>
                      <c:pt idx="16">
                        <c:v>88194.444444444438</c:v>
                      </c:pt>
                      <c:pt idx="17">
                        <c:v>88888.888888888891</c:v>
                      </c:pt>
                      <c:pt idx="18">
                        <c:v>90972.222222222219</c:v>
                      </c:pt>
                      <c:pt idx="19">
                        <c:v>91666.666666666672</c:v>
                      </c:pt>
                      <c:pt idx="20">
                        <c:v>92361.111111111109</c:v>
                      </c:pt>
                      <c:pt idx="21">
                        <c:v>93055.555555555562</c:v>
                      </c:pt>
                      <c:pt idx="22">
                        <c:v>93750.000000000015</c:v>
                      </c:pt>
                      <c:pt idx="23">
                        <c:v>95833.333333333343</c:v>
                      </c:pt>
                      <c:pt idx="24">
                        <c:v>96527.777777777796</c:v>
                      </c:pt>
                      <c:pt idx="25">
                        <c:v>97222.222222222234</c:v>
                      </c:pt>
                      <c:pt idx="26">
                        <c:v>97916.666666666657</c:v>
                      </c:pt>
                      <c:pt idx="27">
                        <c:v>98611.111111111095</c:v>
                      </c:pt>
                      <c:pt idx="28">
                        <c:v>100694.44444444444</c:v>
                      </c:pt>
                      <c:pt idx="29">
                        <c:v>101388.88888888888</c:v>
                      </c:pt>
                      <c:pt idx="30">
                        <c:v>102083.33333333333</c:v>
                      </c:pt>
                      <c:pt idx="31">
                        <c:v>102777.77777777778</c:v>
                      </c:pt>
                      <c:pt idx="32">
                        <c:v>103472.22222222222</c:v>
                      </c:pt>
                      <c:pt idx="33">
                        <c:v>105555.55555555556</c:v>
                      </c:pt>
                      <c:pt idx="34">
                        <c:v>106250.00000000001</c:v>
                      </c:pt>
                      <c:pt idx="35">
                        <c:v>106944.44444444445</c:v>
                      </c:pt>
                      <c:pt idx="36">
                        <c:v>107638.88888888889</c:v>
                      </c:pt>
                      <c:pt idx="37">
                        <c:v>108333.33333333333</c:v>
                      </c:pt>
                      <c:pt idx="38">
                        <c:v>110416.66666666667</c:v>
                      </c:pt>
                      <c:pt idx="39">
                        <c:v>111111.11111111111</c:v>
                      </c:pt>
                      <c:pt idx="40">
                        <c:v>111805.55555555558</c:v>
                      </c:pt>
                      <c:pt idx="41">
                        <c:v>112500.00000000001</c:v>
                      </c:pt>
                      <c:pt idx="42">
                        <c:v>113194.44444444445</c:v>
                      </c:pt>
                      <c:pt idx="43">
                        <c:v>115277.7777777778</c:v>
                      </c:pt>
                      <c:pt idx="44">
                        <c:v>115972.22222222222</c:v>
                      </c:pt>
                      <c:pt idx="45">
                        <c:v>116666.66666666666</c:v>
                      </c:pt>
                      <c:pt idx="46">
                        <c:v>117361.11111111111</c:v>
                      </c:pt>
                      <c:pt idx="47">
                        <c:v>118055.55555555556</c:v>
                      </c:pt>
                      <c:pt idx="48">
                        <c:v>120138.88888888888</c:v>
                      </c:pt>
                      <c:pt idx="49">
                        <c:v>120833.33333333334</c:v>
                      </c:pt>
                      <c:pt idx="50">
                        <c:v>121527.77777777778</c:v>
                      </c:pt>
                      <c:pt idx="51">
                        <c:v>122222.22222222222</c:v>
                      </c:pt>
                      <c:pt idx="52">
                        <c:v>122916.66666666666</c:v>
                      </c:pt>
                      <c:pt idx="53">
                        <c:v>125000</c:v>
                      </c:pt>
                      <c:pt idx="54">
                        <c:v>125694.44444444444</c:v>
                      </c:pt>
                      <c:pt idx="55">
                        <c:v>126388.88888888888</c:v>
                      </c:pt>
                      <c:pt idx="56">
                        <c:v>127083.33333333334</c:v>
                      </c:pt>
                      <c:pt idx="57">
                        <c:v>127777.77777777778</c:v>
                      </c:pt>
                      <c:pt idx="58">
                        <c:v>129861.11111111112</c:v>
                      </c:pt>
                      <c:pt idx="59">
                        <c:v>130555.55555555556</c:v>
                      </c:pt>
                      <c:pt idx="60">
                        <c:v>131250</c:v>
                      </c:pt>
                      <c:pt idx="61">
                        <c:v>131944.44444444444</c:v>
                      </c:pt>
                      <c:pt idx="62">
                        <c:v>132638.88888888888</c:v>
                      </c:pt>
                      <c:pt idx="63">
                        <c:v>134722.22222222222</c:v>
                      </c:pt>
                      <c:pt idx="64">
                        <c:v>135416.66666666666</c:v>
                      </c:pt>
                      <c:pt idx="65">
                        <c:v>136111.11111111112</c:v>
                      </c:pt>
                      <c:pt idx="66">
                        <c:v>136805.55555555556</c:v>
                      </c:pt>
                      <c:pt idx="67">
                        <c:v>137500</c:v>
                      </c:pt>
                      <c:pt idx="68">
                        <c:v>139583.33333333334</c:v>
                      </c:pt>
                      <c:pt idx="69">
                        <c:v>140277.77777777778</c:v>
                      </c:pt>
                      <c:pt idx="70">
                        <c:v>140972.22222222225</c:v>
                      </c:pt>
                      <c:pt idx="71">
                        <c:v>141666.66666666669</c:v>
                      </c:pt>
                      <c:pt idx="72">
                        <c:v>142361.11111111109</c:v>
                      </c:pt>
                      <c:pt idx="73">
                        <c:v>144444.44444444447</c:v>
                      </c:pt>
                      <c:pt idx="74">
                        <c:v>145138.88888888888</c:v>
                      </c:pt>
                      <c:pt idx="75">
                        <c:v>145833.33333333334</c:v>
                      </c:pt>
                      <c:pt idx="76">
                        <c:v>146527.77777777775</c:v>
                      </c:pt>
                      <c:pt idx="77">
                        <c:v>147222.22222222222</c:v>
                      </c:pt>
                      <c:pt idx="78">
                        <c:v>149305.55555555553</c:v>
                      </c:pt>
                      <c:pt idx="79">
                        <c:v>150000</c:v>
                      </c:pt>
                      <c:pt idx="80">
                        <c:v>150694.44444444444</c:v>
                      </c:pt>
                      <c:pt idx="81">
                        <c:v>151388.88888888891</c:v>
                      </c:pt>
                      <c:pt idx="82">
                        <c:v>152083.33333333331</c:v>
                      </c:pt>
                      <c:pt idx="83">
                        <c:v>154166.66666666669</c:v>
                      </c:pt>
                      <c:pt idx="84">
                        <c:v>154861.11111111109</c:v>
                      </c:pt>
                      <c:pt idx="85">
                        <c:v>155555.55555555556</c:v>
                      </c:pt>
                      <c:pt idx="86">
                        <c:v>156250</c:v>
                      </c:pt>
                      <c:pt idx="87">
                        <c:v>156944.44444444447</c:v>
                      </c:pt>
                      <c:pt idx="88">
                        <c:v>159027.77777777778</c:v>
                      </c:pt>
                      <c:pt idx="89">
                        <c:v>159722.22222222222</c:v>
                      </c:pt>
                      <c:pt idx="90">
                        <c:v>160416.66666666669</c:v>
                      </c:pt>
                      <c:pt idx="91">
                        <c:v>161111.11111111109</c:v>
                      </c:pt>
                      <c:pt idx="92">
                        <c:v>161805.55555555556</c:v>
                      </c:pt>
                      <c:pt idx="93">
                        <c:v>163888.88888888888</c:v>
                      </c:pt>
                      <c:pt idx="94">
                        <c:v>164583.33333333334</c:v>
                      </c:pt>
                      <c:pt idx="95">
                        <c:v>165277.77777777778</c:v>
                      </c:pt>
                      <c:pt idx="96">
                        <c:v>165972.22222222225</c:v>
                      </c:pt>
                      <c:pt idx="97">
                        <c:v>166666.66666666666</c:v>
                      </c:pt>
                      <c:pt idx="98">
                        <c:v>168750.00000000003</c:v>
                      </c:pt>
                      <c:pt idx="99">
                        <c:v>169444.44444444444</c:v>
                      </c:pt>
                      <c:pt idx="100">
                        <c:v>170138.88888888891</c:v>
                      </c:pt>
                      <c:pt idx="101">
                        <c:v>170833.33333333334</c:v>
                      </c:pt>
                      <c:pt idx="102">
                        <c:v>171527.77777777778</c:v>
                      </c:pt>
                      <c:pt idx="103">
                        <c:v>173611.11111111109</c:v>
                      </c:pt>
                      <c:pt idx="104">
                        <c:v>174305.55555555556</c:v>
                      </c:pt>
                      <c:pt idx="105">
                        <c:v>175000</c:v>
                      </c:pt>
                      <c:pt idx="106">
                        <c:v>175694.44444444447</c:v>
                      </c:pt>
                      <c:pt idx="107">
                        <c:v>176388.88888888888</c:v>
                      </c:pt>
                      <c:pt idx="108">
                        <c:v>178472.22222222222</c:v>
                      </c:pt>
                      <c:pt idx="109">
                        <c:v>179166.66666666666</c:v>
                      </c:pt>
                      <c:pt idx="110">
                        <c:v>179861.11111111109</c:v>
                      </c:pt>
                      <c:pt idx="111">
                        <c:v>180555.55555555556</c:v>
                      </c:pt>
                      <c:pt idx="112">
                        <c:v>181250</c:v>
                      </c:pt>
                      <c:pt idx="113">
                        <c:v>184027.77777777778</c:v>
                      </c:pt>
                      <c:pt idx="114">
                        <c:v>184722.22222222222</c:v>
                      </c:pt>
                      <c:pt idx="115">
                        <c:v>185416.66666666669</c:v>
                      </c:pt>
                      <c:pt idx="116">
                        <c:v>186111.11111111112</c:v>
                      </c:pt>
                      <c:pt idx="117">
                        <c:v>188194.44444444444</c:v>
                      </c:pt>
                      <c:pt idx="118">
                        <c:v>188888.88888888891</c:v>
                      </c:pt>
                      <c:pt idx="119">
                        <c:v>189583.33333333334</c:v>
                      </c:pt>
                      <c:pt idx="120">
                        <c:v>190277.77777777781</c:v>
                      </c:pt>
                      <c:pt idx="121">
                        <c:v>190972.22222222222</c:v>
                      </c:pt>
                      <c:pt idx="122">
                        <c:v>193055.55555555559</c:v>
                      </c:pt>
                      <c:pt idx="123">
                        <c:v>193750</c:v>
                      </c:pt>
                      <c:pt idx="124">
                        <c:v>194444.44444444447</c:v>
                      </c:pt>
                      <c:pt idx="125">
                        <c:v>195138.88888888891</c:v>
                      </c:pt>
                      <c:pt idx="126">
                        <c:v>195833.33333333331</c:v>
                      </c:pt>
                      <c:pt idx="127">
                        <c:v>197916.66666666669</c:v>
                      </c:pt>
                      <c:pt idx="128">
                        <c:v>198611.11111111112</c:v>
                      </c:pt>
                      <c:pt idx="129">
                        <c:v>199305.55555555556</c:v>
                      </c:pt>
                      <c:pt idx="130">
                        <c:v>200000</c:v>
                      </c:pt>
                      <c:pt idx="131">
                        <c:v>200694.44444444444</c:v>
                      </c:pt>
                      <c:pt idx="132">
                        <c:v>202777.77777777775</c:v>
                      </c:pt>
                      <c:pt idx="133">
                        <c:v>203472.22222222225</c:v>
                      </c:pt>
                      <c:pt idx="134">
                        <c:v>204166.66666666666</c:v>
                      </c:pt>
                      <c:pt idx="135">
                        <c:v>204861.11111111112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528-44D1-87C5-F1EC2C8FF5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'[1]1'!$F$12:$F$13</c15:sqref>
                        </c15:formulaRef>
                      </c:ext>
                    </c:extLst>
                    <c:strCache>
                      <c:ptCount val="1"/>
                      <c:pt idx="0">
                        <c:v>Short Risk Price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'Combined (2)'!$A$14:$A$250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'[1]1'!$F$14:$F$250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0">
                        <c:v>98.875</c:v>
                      </c:pt>
                      <c:pt idx="1">
                        <c:v>101.428</c:v>
                      </c:pt>
                      <c:pt idx="2">
                        <c:v>101.43300000000001</c:v>
                      </c:pt>
                      <c:pt idx="3">
                        <c:v>101.535</c:v>
                      </c:pt>
                      <c:pt idx="4">
                        <c:v>101.57</c:v>
                      </c:pt>
                      <c:pt idx="5">
                        <c:v>101.629</c:v>
                      </c:pt>
                      <c:pt idx="6">
                        <c:v>101.68</c:v>
                      </c:pt>
                      <c:pt idx="7">
                        <c:v>101.89400000000001</c:v>
                      </c:pt>
                      <c:pt idx="8">
                        <c:v>102.012</c:v>
                      </c:pt>
                      <c:pt idx="9">
                        <c:v>101.76600000000001</c:v>
                      </c:pt>
                      <c:pt idx="10">
                        <c:v>101.789</c:v>
                      </c:pt>
                      <c:pt idx="11">
                        <c:v>101.812</c:v>
                      </c:pt>
                      <c:pt idx="12">
                        <c:v>101.89</c:v>
                      </c:pt>
                      <c:pt idx="13">
                        <c:v>101.869</c:v>
                      </c:pt>
                      <c:pt idx="14">
                        <c:v>101.982</c:v>
                      </c:pt>
                      <c:pt idx="15">
                        <c:v>102.13500000000001</c:v>
                      </c:pt>
                      <c:pt idx="16">
                        <c:v>102.14100000000001</c:v>
                      </c:pt>
                      <c:pt idx="17">
                        <c:v>102.38500000000001</c:v>
                      </c:pt>
                      <c:pt idx="18">
                        <c:v>102.25</c:v>
                      </c:pt>
                      <c:pt idx="19">
                        <c:v>102.26</c:v>
                      </c:pt>
                      <c:pt idx="20">
                        <c:v>102.247</c:v>
                      </c:pt>
                      <c:pt idx="21">
                        <c:v>102.31</c:v>
                      </c:pt>
                      <c:pt idx="22">
                        <c:v>102.264</c:v>
                      </c:pt>
                      <c:pt idx="23">
                        <c:v>101.92</c:v>
                      </c:pt>
                      <c:pt idx="24">
                        <c:v>101.508</c:v>
                      </c:pt>
                      <c:pt idx="25">
                        <c:v>101.73099999999999</c:v>
                      </c:pt>
                      <c:pt idx="26">
                        <c:v>102.127</c:v>
                      </c:pt>
                      <c:pt idx="27">
                        <c:v>102.098</c:v>
                      </c:pt>
                      <c:pt idx="28">
                        <c:v>102.122</c:v>
                      </c:pt>
                      <c:pt idx="29">
                        <c:v>102.215</c:v>
                      </c:pt>
                      <c:pt idx="30">
                        <c:v>102.303</c:v>
                      </c:pt>
                      <c:pt idx="31">
                        <c:v>102.2</c:v>
                      </c:pt>
                      <c:pt idx="32">
                        <c:v>102.20099999999999</c:v>
                      </c:pt>
                      <c:pt idx="33">
                        <c:v>102.285</c:v>
                      </c:pt>
                      <c:pt idx="34">
                        <c:v>102.52500000000001</c:v>
                      </c:pt>
                      <c:pt idx="35">
                        <c:v>102.499</c:v>
                      </c:pt>
                      <c:pt idx="36">
                        <c:v>102.316</c:v>
                      </c:pt>
                      <c:pt idx="37">
                        <c:v>102.41</c:v>
                      </c:pt>
                      <c:pt idx="38">
                        <c:v>102.59099999999999</c:v>
                      </c:pt>
                      <c:pt idx="39">
                        <c:v>102.654</c:v>
                      </c:pt>
                      <c:pt idx="40">
                        <c:v>102.601</c:v>
                      </c:pt>
                      <c:pt idx="41">
                        <c:v>102.756</c:v>
                      </c:pt>
                      <c:pt idx="42">
                        <c:v>102.65300000000001</c:v>
                      </c:pt>
                      <c:pt idx="43">
                        <c:v>102.78100000000001</c:v>
                      </c:pt>
                      <c:pt idx="44">
                        <c:v>102.849</c:v>
                      </c:pt>
                      <c:pt idx="45">
                        <c:v>103.105</c:v>
                      </c:pt>
                      <c:pt idx="46">
                        <c:v>103.134</c:v>
                      </c:pt>
                      <c:pt idx="47">
                        <c:v>103.131</c:v>
                      </c:pt>
                      <c:pt idx="48">
                        <c:v>103.193</c:v>
                      </c:pt>
                      <c:pt idx="49">
                        <c:v>103.072</c:v>
                      </c:pt>
                      <c:pt idx="50">
                        <c:v>103.125</c:v>
                      </c:pt>
                      <c:pt idx="51">
                        <c:v>103.14400000000001</c:v>
                      </c:pt>
                      <c:pt idx="52">
                        <c:v>102.79600000000001</c:v>
                      </c:pt>
                      <c:pt idx="53">
                        <c:v>102.071</c:v>
                      </c:pt>
                      <c:pt idx="54">
                        <c:v>101.282</c:v>
                      </c:pt>
                      <c:pt idx="55">
                        <c:v>102.069</c:v>
                      </c:pt>
                      <c:pt idx="56">
                        <c:v>101.929</c:v>
                      </c:pt>
                      <c:pt idx="57">
                        <c:v>101.157</c:v>
                      </c:pt>
                      <c:pt idx="58">
                        <c:v>100.526</c:v>
                      </c:pt>
                      <c:pt idx="59">
                        <c:v>101.51600000000001</c:v>
                      </c:pt>
                      <c:pt idx="60">
                        <c:v>101.128</c:v>
                      </c:pt>
                      <c:pt idx="61">
                        <c:v>100.643</c:v>
                      </c:pt>
                      <c:pt idx="62">
                        <c:v>100.223</c:v>
                      </c:pt>
                      <c:pt idx="63">
                        <c:v>100.30800000000001</c:v>
                      </c:pt>
                      <c:pt idx="64">
                        <c:v>100.685</c:v>
                      </c:pt>
                      <c:pt idx="65">
                        <c:v>100.589</c:v>
                      </c:pt>
                      <c:pt idx="66">
                        <c:v>99.88</c:v>
                      </c:pt>
                      <c:pt idx="67">
                        <c:v>99.281000000000006</c:v>
                      </c:pt>
                      <c:pt idx="68">
                        <c:v>98.844999999999999</c:v>
                      </c:pt>
                      <c:pt idx="69">
                        <c:v>99.010999999999996</c:v>
                      </c:pt>
                      <c:pt idx="70">
                        <c:v>99.474000000000004</c:v>
                      </c:pt>
                      <c:pt idx="71">
                        <c:v>98.923000000000002</c:v>
                      </c:pt>
                      <c:pt idx="72">
                        <c:v>98.17</c:v>
                      </c:pt>
                      <c:pt idx="73">
                        <c:v>97.885000000000005</c:v>
                      </c:pt>
                      <c:pt idx="74">
                        <c:v>98.49</c:v>
                      </c:pt>
                      <c:pt idx="75">
                        <c:v>99.551000000000002</c:v>
                      </c:pt>
                      <c:pt idx="76">
                        <c:v>99.153999999999996</c:v>
                      </c:pt>
                      <c:pt idx="77">
                        <c:v>99.141000000000005</c:v>
                      </c:pt>
                      <c:pt idx="78">
                        <c:v>98.957999999999998</c:v>
                      </c:pt>
                      <c:pt idx="79">
                        <c:v>99.263999999999996</c:v>
                      </c:pt>
                      <c:pt idx="80">
                        <c:v>101.05200000000001</c:v>
                      </c:pt>
                      <c:pt idx="81">
                        <c:v>100.836</c:v>
                      </c:pt>
                      <c:pt idx="82">
                        <c:v>101.08199999999999</c:v>
                      </c:pt>
                      <c:pt idx="83">
                        <c:v>100.89100000000001</c:v>
                      </c:pt>
                      <c:pt idx="84">
                        <c:v>101.181</c:v>
                      </c:pt>
                      <c:pt idx="85">
                        <c:v>101.105</c:v>
                      </c:pt>
                      <c:pt idx="86">
                        <c:v>101.108</c:v>
                      </c:pt>
                      <c:pt idx="87">
                        <c:v>101.53700000000001</c:v>
                      </c:pt>
                      <c:pt idx="88">
                        <c:v>101.44199999999999</c:v>
                      </c:pt>
                      <c:pt idx="89">
                        <c:v>101.416</c:v>
                      </c:pt>
                      <c:pt idx="90">
                        <c:v>101.27200000000001</c:v>
                      </c:pt>
                      <c:pt idx="91">
                        <c:v>101.16500000000001</c:v>
                      </c:pt>
                      <c:pt idx="92">
                        <c:v>101.099</c:v>
                      </c:pt>
                      <c:pt idx="93">
                        <c:v>100.988</c:v>
                      </c:pt>
                      <c:pt idx="94">
                        <c:v>100.839</c:v>
                      </c:pt>
                      <c:pt idx="95">
                        <c:v>100.765</c:v>
                      </c:pt>
                      <c:pt idx="96">
                        <c:v>100.752</c:v>
                      </c:pt>
                      <c:pt idx="97">
                        <c:v>100.91200000000001</c:v>
                      </c:pt>
                      <c:pt idx="98">
                        <c:v>100.947</c:v>
                      </c:pt>
                      <c:pt idx="99">
                        <c:v>100.889</c:v>
                      </c:pt>
                      <c:pt idx="100">
                        <c:v>101.41200000000001</c:v>
                      </c:pt>
                      <c:pt idx="101">
                        <c:v>101.40300000000001</c:v>
                      </c:pt>
                      <c:pt idx="102">
                        <c:v>101.20399999999999</c:v>
                      </c:pt>
                      <c:pt idx="103">
                        <c:v>101.069</c:v>
                      </c:pt>
                      <c:pt idx="104">
                        <c:v>100.705</c:v>
                      </c:pt>
                      <c:pt idx="105">
                        <c:v>100.639</c:v>
                      </c:pt>
                      <c:pt idx="106">
                        <c:v>100.81</c:v>
                      </c:pt>
                      <c:pt idx="107">
                        <c:v>100.098</c:v>
                      </c:pt>
                      <c:pt idx="108">
                        <c:v>99.85</c:v>
                      </c:pt>
                      <c:pt idx="109">
                        <c:v>99.528999999999996</c:v>
                      </c:pt>
                      <c:pt idx="110">
                        <c:v>99.646000000000001</c:v>
                      </c:pt>
                      <c:pt idx="111">
                        <c:v>99.694000000000003</c:v>
                      </c:pt>
                      <c:pt idx="112">
                        <c:v>99.968000000000004</c:v>
                      </c:pt>
                      <c:pt idx="113">
                        <c:v>100.405</c:v>
                      </c:pt>
                      <c:pt idx="114">
                        <c:v>100.456</c:v>
                      </c:pt>
                      <c:pt idx="115">
                        <c:v>100.33199999999999</c:v>
                      </c:pt>
                      <c:pt idx="116">
                        <c:v>100.44499999999999</c:v>
                      </c:pt>
                      <c:pt idx="117">
                        <c:v>100.122</c:v>
                      </c:pt>
                      <c:pt idx="118">
                        <c:v>100.27800000000001</c:v>
                      </c:pt>
                      <c:pt idx="119">
                        <c:v>100.143</c:v>
                      </c:pt>
                      <c:pt idx="120">
                        <c:v>100.092</c:v>
                      </c:pt>
                      <c:pt idx="121">
                        <c:v>99.968000000000004</c:v>
                      </c:pt>
                      <c:pt idx="122">
                        <c:v>99.656999999999996</c:v>
                      </c:pt>
                      <c:pt idx="123">
                        <c:v>99.733999999999995</c:v>
                      </c:pt>
                      <c:pt idx="124">
                        <c:v>99.510999999999996</c:v>
                      </c:pt>
                      <c:pt idx="125">
                        <c:v>99.412999999999997</c:v>
                      </c:pt>
                      <c:pt idx="126">
                        <c:v>99.76</c:v>
                      </c:pt>
                      <c:pt idx="127">
                        <c:v>100.119</c:v>
                      </c:pt>
                      <c:pt idx="128">
                        <c:v>100.053</c:v>
                      </c:pt>
                      <c:pt idx="129">
                        <c:v>99.918999999999997</c:v>
                      </c:pt>
                      <c:pt idx="130">
                        <c:v>99.75</c:v>
                      </c:pt>
                      <c:pt idx="131">
                        <c:v>99.72</c:v>
                      </c:pt>
                      <c:pt idx="132">
                        <c:v>99.722999999999999</c:v>
                      </c:pt>
                      <c:pt idx="133">
                        <c:v>99.656000000000006</c:v>
                      </c:pt>
                      <c:pt idx="134">
                        <c:v>99.7</c:v>
                      </c:pt>
                      <c:pt idx="135">
                        <c:v>100.012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528-44D1-87C5-F1EC2C8FF5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'[1]1'!$G$12:$G$13</c15:sqref>
                        </c15:formulaRef>
                      </c:ext>
                    </c:extLst>
                    <c:strCache>
                      <c:ptCount val="1"/>
                      <c:pt idx="0">
                        <c:v>Short Risk Price P/L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'Combined (2)'!$A$14:$A$250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'[1]1'!$G$14:$G$250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191474.9999999998</c:v>
                      </c:pt>
                      <c:pt idx="2">
                        <c:v>191850.00000000052</c:v>
                      </c:pt>
                      <c:pt idx="3">
                        <c:v>199499.99999999977</c:v>
                      </c:pt>
                      <c:pt idx="4">
                        <c:v>202124.99999999951</c:v>
                      </c:pt>
                      <c:pt idx="5">
                        <c:v>206550.00000000038</c:v>
                      </c:pt>
                      <c:pt idx="6">
                        <c:v>210375.00000000052</c:v>
                      </c:pt>
                      <c:pt idx="7">
                        <c:v>226425.00000000041</c:v>
                      </c:pt>
                      <c:pt idx="8">
                        <c:v>235275.00000000003</c:v>
                      </c:pt>
                      <c:pt idx="9">
                        <c:v>216825.00000000041</c:v>
                      </c:pt>
                      <c:pt idx="10">
                        <c:v>218550.00000000009</c:v>
                      </c:pt>
                      <c:pt idx="11">
                        <c:v>220274.99999999983</c:v>
                      </c:pt>
                      <c:pt idx="12">
                        <c:v>226125.00000000006</c:v>
                      </c:pt>
                      <c:pt idx="13">
                        <c:v>224549.99999999997</c:v>
                      </c:pt>
                      <c:pt idx="14">
                        <c:v>233024.99999999994</c:v>
                      </c:pt>
                      <c:pt idx="15">
                        <c:v>244500.00000000041</c:v>
                      </c:pt>
                      <c:pt idx="16">
                        <c:v>244950.00000000038</c:v>
                      </c:pt>
                      <c:pt idx="17">
                        <c:v>263250.00000000035</c:v>
                      </c:pt>
                      <c:pt idx="18">
                        <c:v>253125.00000000003</c:v>
                      </c:pt>
                      <c:pt idx="19">
                        <c:v>253875.00000000041</c:v>
                      </c:pt>
                      <c:pt idx="20">
                        <c:v>252900</c:v>
                      </c:pt>
                      <c:pt idx="21">
                        <c:v>257625.00000000015</c:v>
                      </c:pt>
                      <c:pt idx="22">
                        <c:v>254174.99999999965</c:v>
                      </c:pt>
                      <c:pt idx="23">
                        <c:v>228375.00000000015</c:v>
                      </c:pt>
                      <c:pt idx="24">
                        <c:v>197474.99999999965</c:v>
                      </c:pt>
                      <c:pt idx="25">
                        <c:v>214199.99999999959</c:v>
                      </c:pt>
                      <c:pt idx="26">
                        <c:v>243899.99999999965</c:v>
                      </c:pt>
                      <c:pt idx="27">
                        <c:v>241724.99999999991</c:v>
                      </c:pt>
                      <c:pt idx="28">
                        <c:v>243525</c:v>
                      </c:pt>
                      <c:pt idx="29">
                        <c:v>250500.00000000026</c:v>
                      </c:pt>
                      <c:pt idx="30">
                        <c:v>257099.99999999977</c:v>
                      </c:pt>
                      <c:pt idx="31">
                        <c:v>249375.00000000023</c:v>
                      </c:pt>
                      <c:pt idx="32">
                        <c:v>249449.99999999951</c:v>
                      </c:pt>
                      <c:pt idx="33">
                        <c:v>255749.99999999974</c:v>
                      </c:pt>
                      <c:pt idx="34">
                        <c:v>273750.00000000047</c:v>
                      </c:pt>
                      <c:pt idx="35">
                        <c:v>271799.99999999965</c:v>
                      </c:pt>
                      <c:pt idx="36">
                        <c:v>258075.00000000017</c:v>
                      </c:pt>
                      <c:pt idx="37">
                        <c:v>265124.99999999971</c:v>
                      </c:pt>
                      <c:pt idx="38">
                        <c:v>278699.99999999959</c:v>
                      </c:pt>
                      <c:pt idx="39">
                        <c:v>283424.99999999971</c:v>
                      </c:pt>
                      <c:pt idx="40">
                        <c:v>279449.99999999988</c:v>
                      </c:pt>
                      <c:pt idx="41">
                        <c:v>291075.00000000006</c:v>
                      </c:pt>
                      <c:pt idx="42">
                        <c:v>283350.00000000041</c:v>
                      </c:pt>
                      <c:pt idx="43">
                        <c:v>292950.00000000047</c:v>
                      </c:pt>
                      <c:pt idx="44">
                        <c:v>298050.00000000029</c:v>
                      </c:pt>
                      <c:pt idx="45">
                        <c:v>317250.00000000029</c:v>
                      </c:pt>
                      <c:pt idx="46">
                        <c:v>319425</c:v>
                      </c:pt>
                      <c:pt idx="47">
                        <c:v>319200</c:v>
                      </c:pt>
                      <c:pt idx="48">
                        <c:v>323849.99999999983</c:v>
                      </c:pt>
                      <c:pt idx="49">
                        <c:v>314775.00000000023</c:v>
                      </c:pt>
                      <c:pt idx="50">
                        <c:v>318750</c:v>
                      </c:pt>
                      <c:pt idx="51">
                        <c:v>320175.00000000041</c:v>
                      </c:pt>
                      <c:pt idx="52">
                        <c:v>294075.00000000047</c:v>
                      </c:pt>
                      <c:pt idx="53">
                        <c:v>239699.99999999985</c:v>
                      </c:pt>
                      <c:pt idx="54">
                        <c:v>180524.99999999974</c:v>
                      </c:pt>
                      <c:pt idx="55">
                        <c:v>239550.00000000017</c:v>
                      </c:pt>
                      <c:pt idx="56">
                        <c:v>229050.00000000017</c:v>
                      </c:pt>
                      <c:pt idx="57">
                        <c:v>171149.99999999974</c:v>
                      </c:pt>
                      <c:pt idx="58">
                        <c:v>123824.99999999972</c:v>
                      </c:pt>
                      <c:pt idx="59">
                        <c:v>198075.00000000041</c:v>
                      </c:pt>
                      <c:pt idx="60">
                        <c:v>168975</c:v>
                      </c:pt>
                      <c:pt idx="61">
                        <c:v>132600.00000000006</c:v>
                      </c:pt>
                      <c:pt idx="62">
                        <c:v>101099.99999999993</c:v>
                      </c:pt>
                      <c:pt idx="63">
                        <c:v>107475.00000000052</c:v>
                      </c:pt>
                      <c:pt idx="64">
                        <c:v>135750.00000000017</c:v>
                      </c:pt>
                      <c:pt idx="65">
                        <c:v>128549.99999999988</c:v>
                      </c:pt>
                      <c:pt idx="66">
                        <c:v>75374.999999999665</c:v>
                      </c:pt>
                      <c:pt idx="67">
                        <c:v>30450.000000000444</c:v>
                      </c:pt>
                      <c:pt idx="68">
                        <c:v>-2250.000000000085</c:v>
                      </c:pt>
                      <c:pt idx="69">
                        <c:v>10199.999999999676</c:v>
                      </c:pt>
                      <c:pt idx="70">
                        <c:v>44925.000000000284</c:v>
                      </c:pt>
                      <c:pt idx="71">
                        <c:v>3600.0000000001364</c:v>
                      </c:pt>
                      <c:pt idx="72">
                        <c:v>-52874.999999999876</c:v>
                      </c:pt>
                      <c:pt idx="73">
                        <c:v>-74249.999999999622</c:v>
                      </c:pt>
                      <c:pt idx="74">
                        <c:v>-28875.000000000386</c:v>
                      </c:pt>
                      <c:pt idx="75">
                        <c:v>50700.000000000146</c:v>
                      </c:pt>
                      <c:pt idx="76">
                        <c:v>20924.999999999727</c:v>
                      </c:pt>
                      <c:pt idx="77">
                        <c:v>19950.0000000004</c:v>
                      </c:pt>
                      <c:pt idx="78">
                        <c:v>6224.9999999998809</c:v>
                      </c:pt>
                      <c:pt idx="79">
                        <c:v>29174.999999999683</c:v>
                      </c:pt>
                      <c:pt idx="80">
                        <c:v>163275.00000000049</c:v>
                      </c:pt>
                      <c:pt idx="81">
                        <c:v>147074.99999999988</c:v>
                      </c:pt>
                      <c:pt idx="82">
                        <c:v>165524.99999999953</c:v>
                      </c:pt>
                      <c:pt idx="83">
                        <c:v>151200.00000000041</c:v>
                      </c:pt>
                      <c:pt idx="84">
                        <c:v>172949.9999999998</c:v>
                      </c:pt>
                      <c:pt idx="85">
                        <c:v>167250.00000000029</c:v>
                      </c:pt>
                      <c:pt idx="86">
                        <c:v>167475.00000000032</c:v>
                      </c:pt>
                      <c:pt idx="87">
                        <c:v>199650.00000000047</c:v>
                      </c:pt>
                      <c:pt idx="88">
                        <c:v>192524.99999999948</c:v>
                      </c:pt>
                      <c:pt idx="89">
                        <c:v>190574.99999999977</c:v>
                      </c:pt>
                      <c:pt idx="90">
                        <c:v>179775.00000000044</c:v>
                      </c:pt>
                      <c:pt idx="91">
                        <c:v>171750.00000000047</c:v>
                      </c:pt>
                      <c:pt idx="92">
                        <c:v>166800.00000000029</c:v>
                      </c:pt>
                      <c:pt idx="93">
                        <c:v>158474.99999999997</c:v>
                      </c:pt>
                      <c:pt idx="94">
                        <c:v>147299.99999999991</c:v>
                      </c:pt>
                      <c:pt idx="95">
                        <c:v>141750.00000000006</c:v>
                      </c:pt>
                      <c:pt idx="96">
                        <c:v>140774.99999999965</c:v>
                      </c:pt>
                      <c:pt idx="97">
                        <c:v>152775.00000000047</c:v>
                      </c:pt>
                      <c:pt idx="98">
                        <c:v>155400.0000000002</c:v>
                      </c:pt>
                      <c:pt idx="99">
                        <c:v>151049.99999999968</c:v>
                      </c:pt>
                      <c:pt idx="100">
                        <c:v>190275.00000000047</c:v>
                      </c:pt>
                      <c:pt idx="101">
                        <c:v>189600.00000000044</c:v>
                      </c:pt>
                      <c:pt idx="102">
                        <c:v>174674.99999999951</c:v>
                      </c:pt>
                      <c:pt idx="103">
                        <c:v>164550.0000000002</c:v>
                      </c:pt>
                      <c:pt idx="104">
                        <c:v>137249.99999999988</c:v>
                      </c:pt>
                      <c:pt idx="105">
                        <c:v>132299.99999999968</c:v>
                      </c:pt>
                      <c:pt idx="106">
                        <c:v>145125.00000000017</c:v>
                      </c:pt>
                      <c:pt idx="107">
                        <c:v>91724.999999999913</c:v>
                      </c:pt>
                      <c:pt idx="108">
                        <c:v>73124.999999999563</c:v>
                      </c:pt>
                      <c:pt idx="109">
                        <c:v>49049.999999999724</c:v>
                      </c:pt>
                      <c:pt idx="110">
                        <c:v>57825.000000000058</c:v>
                      </c:pt>
                      <c:pt idx="111">
                        <c:v>61425.000000000189</c:v>
                      </c:pt>
                      <c:pt idx="112">
                        <c:v>81975.000000000262</c:v>
                      </c:pt>
                      <c:pt idx="113">
                        <c:v>114750.00000000009</c:v>
                      </c:pt>
                      <c:pt idx="114">
                        <c:v>118575.00000000025</c:v>
                      </c:pt>
                      <c:pt idx="115">
                        <c:v>109274.99999999953</c:v>
                      </c:pt>
                      <c:pt idx="116">
                        <c:v>117749.99999999949</c:v>
                      </c:pt>
                      <c:pt idx="117">
                        <c:v>93524.999999999985</c:v>
                      </c:pt>
                      <c:pt idx="118">
                        <c:v>105225.00000000044</c:v>
                      </c:pt>
                      <c:pt idx="119">
                        <c:v>95100.000000000058</c:v>
                      </c:pt>
                      <c:pt idx="120">
                        <c:v>91274.999999999913</c:v>
                      </c:pt>
                      <c:pt idx="121">
                        <c:v>81975.000000000262</c:v>
                      </c:pt>
                      <c:pt idx="122">
                        <c:v>58649.999999999731</c:v>
                      </c:pt>
                      <c:pt idx="123">
                        <c:v>64424.9999999996</c:v>
                      </c:pt>
                      <c:pt idx="124">
                        <c:v>47699.99999999968</c:v>
                      </c:pt>
                      <c:pt idx="125">
                        <c:v>40349.999999999753</c:v>
                      </c:pt>
                      <c:pt idx="126">
                        <c:v>66375.000000000378</c:v>
                      </c:pt>
                      <c:pt idx="127">
                        <c:v>93299.999999999985</c:v>
                      </c:pt>
                      <c:pt idx="128">
                        <c:v>88349.999999999796</c:v>
                      </c:pt>
                      <c:pt idx="129">
                        <c:v>78299.999999999782</c:v>
                      </c:pt>
                      <c:pt idx="130">
                        <c:v>65625</c:v>
                      </c:pt>
                      <c:pt idx="131">
                        <c:v>63374.999999999913</c:v>
                      </c:pt>
                      <c:pt idx="132">
                        <c:v>63599.99999999992</c:v>
                      </c:pt>
                      <c:pt idx="133">
                        <c:v>58575.000000000444</c:v>
                      </c:pt>
                      <c:pt idx="134">
                        <c:v>61875.000000000211</c:v>
                      </c:pt>
                      <c:pt idx="135">
                        <c:v>85275.000000000044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528-44D1-87C5-F1EC2C8FF5A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'[1]1'!$H$12:$H$13</c15:sqref>
                        </c15:formulaRef>
                      </c:ext>
                    </c:extLst>
                    <c:strCache>
                      <c:ptCount val="1"/>
                      <c:pt idx="0">
                        <c:v>Short Risk Carry P/L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'Combined (2)'!$A$14:$A$250</c15:sqref>
                        </c15:formulaRef>
                      </c:ext>
                    </c:extLst>
                    <c:strCache>
                      <c:ptCount val="51"/>
                      <c:pt idx="0">
                        <c:v>03/23/2026 15:00</c:v>
                      </c:pt>
                      <c:pt idx="1">
                        <c:v>03/23/2026 15:00</c:v>
                      </c:pt>
                      <c:pt idx="2">
                        <c:v>03/24/2026 15:00</c:v>
                      </c:pt>
                      <c:pt idx="3">
                        <c:v>03/25/2026 15:00</c:v>
                      </c:pt>
                      <c:pt idx="4">
                        <c:v>03/26/2026 15:00</c:v>
                      </c:pt>
                      <c:pt idx="5">
                        <c:v>03/27/2026 15:00</c:v>
                      </c:pt>
                      <c:pt idx="6">
                        <c:v>03/30/2026 15:00</c:v>
                      </c:pt>
                      <c:pt idx="7">
                        <c:v>03/31/2026 15:00</c:v>
                      </c:pt>
                      <c:pt idx="8">
                        <c:v>04/01/2026 15:00</c:v>
                      </c:pt>
                      <c:pt idx="9">
                        <c:v>04/02/2026 15:00</c:v>
                      </c:pt>
                      <c:pt idx="10">
                        <c:v>04/07/2026 15:00</c:v>
                      </c:pt>
                      <c:pt idx="11">
                        <c:v>04/08/2026 15:00</c:v>
                      </c:pt>
                      <c:pt idx="12">
                        <c:v>04/10/2026 15:00</c:v>
                      </c:pt>
                      <c:pt idx="13">
                        <c:v>04/14/2026 15:00</c:v>
                      </c:pt>
                      <c:pt idx="14">
                        <c:v>04/15/2026 15:00</c:v>
                      </c:pt>
                      <c:pt idx="15">
                        <c:v>04/16/2026 15:00</c:v>
                      </c:pt>
                      <c:pt idx="16">
                        <c:v>04/17/2026 15:00</c:v>
                      </c:pt>
                      <c:pt idx="17">
                        <c:v>04/20/2026 15:00</c:v>
                      </c:pt>
                      <c:pt idx="18">
                        <c:v>04/21/2026 15:00</c:v>
                      </c:pt>
                      <c:pt idx="19">
                        <c:v>04/22/2026 15:00</c:v>
                      </c:pt>
                      <c:pt idx="20">
                        <c:v>04/24/2026 15:00</c:v>
                      </c:pt>
                      <c:pt idx="21">
                        <c:v>04/27/2026 15:00</c:v>
                      </c:pt>
                      <c:pt idx="22">
                        <c:v>04/28/2026 15:00</c:v>
                      </c:pt>
                      <c:pt idx="23">
                        <c:v>04/29/2026 15:00</c:v>
                      </c:pt>
                      <c:pt idx="24">
                        <c:v>04/30/2026 15:00</c:v>
                      </c:pt>
                      <c:pt idx="25">
                        <c:v>05/05/2026 15:00</c:v>
                      </c:pt>
                      <c:pt idx="26">
                        <c:v>05/06/2026 15:00</c:v>
                      </c:pt>
                      <c:pt idx="27">
                        <c:v>05/07/2026 15:00</c:v>
                      </c:pt>
                      <c:pt idx="28">
                        <c:v>05/08/2026 15:00</c:v>
                      </c:pt>
                      <c:pt idx="29">
                        <c:v>05/12/2026 15:00</c:v>
                      </c:pt>
                      <c:pt idx="30">
                        <c:v>05/13/2026 15:00</c:v>
                      </c:pt>
                      <c:pt idx="31">
                        <c:v>05/15/2026 15:00</c:v>
                      </c:pt>
                      <c:pt idx="32">
                        <c:v>05/19/2026 15:00</c:v>
                      </c:pt>
                      <c:pt idx="33">
                        <c:v>05/20/2026 15:00</c:v>
                      </c:pt>
                      <c:pt idx="34">
                        <c:v>05/21/2026 15:00</c:v>
                      </c:pt>
                      <c:pt idx="35">
                        <c:v>05/26/2026 15:00</c:v>
                      </c:pt>
                      <c:pt idx="36">
                        <c:v>05/27/2026 15:00</c:v>
                      </c:pt>
                      <c:pt idx="37">
                        <c:v>05/28/2026 15:00</c:v>
                      </c:pt>
                      <c:pt idx="38">
                        <c:v>05/29/2026 15:00</c:v>
                      </c:pt>
                      <c:pt idx="39">
                        <c:v>06/01/2026 15:00</c:v>
                      </c:pt>
                      <c:pt idx="40">
                        <c:v>06/03/2026 15:00</c:v>
                      </c:pt>
                      <c:pt idx="41">
                        <c:v>06/04/2026 15:00</c:v>
                      </c:pt>
                      <c:pt idx="42">
                        <c:v>06/09/2026 15:00</c:v>
                      </c:pt>
                      <c:pt idx="43">
                        <c:v>06/15/2026 15:00</c:v>
                      </c:pt>
                      <c:pt idx="44">
                        <c:v>06/16/2026 15:00</c:v>
                      </c:pt>
                      <c:pt idx="45">
                        <c:v>06/17/2026 15:00</c:v>
                      </c:pt>
                      <c:pt idx="46">
                        <c:v>06/18/2026 15:00</c:v>
                      </c:pt>
                      <c:pt idx="47">
                        <c:v>06/19/2026 15:00</c:v>
                      </c:pt>
                      <c:pt idx="48">
                        <c:v>06/23/2026 15:00</c:v>
                      </c:pt>
                      <c:pt idx="49">
                        <c:v>06/24/2026 15:00</c:v>
                      </c:pt>
                      <c:pt idx="50">
                        <c:v>06/26/2026 08:49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'[1]1'!$H$14:$H$250</c15:sqref>
                        </c15:formulaRef>
                      </c:ext>
                    </c:extLst>
                    <c:numCache>
                      <c:formatCode>General</c:formatCode>
                      <c:ptCount val="237"/>
                      <c:pt idx="1">
                        <c:v>57332.708333333343</c:v>
                      </c:pt>
                      <c:pt idx="2">
                        <c:v>57883.984374999985</c:v>
                      </c:pt>
                      <c:pt idx="3">
                        <c:v>58435.260416666657</c:v>
                      </c:pt>
                      <c:pt idx="4">
                        <c:v>58986.536458333343</c:v>
                      </c:pt>
                      <c:pt idx="5">
                        <c:v>60640.364583333343</c:v>
                      </c:pt>
                      <c:pt idx="6">
                        <c:v>61191.640625</c:v>
                      </c:pt>
                      <c:pt idx="7">
                        <c:v>61742.916666666657</c:v>
                      </c:pt>
                      <c:pt idx="8">
                        <c:v>62845.468749999985</c:v>
                      </c:pt>
                      <c:pt idx="9">
                        <c:v>64499.296875000015</c:v>
                      </c:pt>
                      <c:pt idx="10">
                        <c:v>65050.572916666657</c:v>
                      </c:pt>
                      <c:pt idx="11">
                        <c:v>65601.848958333343</c:v>
                      </c:pt>
                      <c:pt idx="12">
                        <c:v>66704.401041666657</c:v>
                      </c:pt>
                      <c:pt idx="13">
                        <c:v>68358.229166666628</c:v>
                      </c:pt>
                      <c:pt idx="14">
                        <c:v>68909.505208333343</c:v>
                      </c:pt>
                      <c:pt idx="15">
                        <c:v>69460.781250000015</c:v>
                      </c:pt>
                      <c:pt idx="16">
                        <c:v>70012.057291666657</c:v>
                      </c:pt>
                      <c:pt idx="17">
                        <c:v>70563.333333333372</c:v>
                      </c:pt>
                      <c:pt idx="18">
                        <c:v>72217.161458333343</c:v>
                      </c:pt>
                      <c:pt idx="19">
                        <c:v>72768.437500000029</c:v>
                      </c:pt>
                      <c:pt idx="20">
                        <c:v>73319.713541666686</c:v>
                      </c:pt>
                      <c:pt idx="21">
                        <c:v>73870.989583333314</c:v>
                      </c:pt>
                      <c:pt idx="22">
                        <c:v>74422.265625</c:v>
                      </c:pt>
                      <c:pt idx="23">
                        <c:v>76076.093750000029</c:v>
                      </c:pt>
                      <c:pt idx="24">
                        <c:v>76627.369791666657</c:v>
                      </c:pt>
                      <c:pt idx="25">
                        <c:v>77178.645833333343</c:v>
                      </c:pt>
                      <c:pt idx="26">
                        <c:v>77729.921875000029</c:v>
                      </c:pt>
                      <c:pt idx="27">
                        <c:v>78281.197916666657</c:v>
                      </c:pt>
                      <c:pt idx="28">
                        <c:v>79935.026041666628</c:v>
                      </c:pt>
                      <c:pt idx="29">
                        <c:v>80486.302083333314</c:v>
                      </c:pt>
                      <c:pt idx="30">
                        <c:v>81037.578124999985</c:v>
                      </c:pt>
                      <c:pt idx="31">
                        <c:v>81588.854166666657</c:v>
                      </c:pt>
                      <c:pt idx="32">
                        <c:v>82140.130208333372</c:v>
                      </c:pt>
                      <c:pt idx="33">
                        <c:v>83793.958333333372</c:v>
                      </c:pt>
                      <c:pt idx="34">
                        <c:v>84345.234374999985</c:v>
                      </c:pt>
                      <c:pt idx="35">
                        <c:v>84896.510416666715</c:v>
                      </c:pt>
                      <c:pt idx="36">
                        <c:v>85447.786458333314</c:v>
                      </c:pt>
                      <c:pt idx="37">
                        <c:v>85999.0625</c:v>
                      </c:pt>
                      <c:pt idx="38">
                        <c:v>87652.890625000029</c:v>
                      </c:pt>
                      <c:pt idx="39">
                        <c:v>88204.166666666657</c:v>
                      </c:pt>
                      <c:pt idx="40">
                        <c:v>88755.442708333343</c:v>
                      </c:pt>
                      <c:pt idx="41">
                        <c:v>89306.718750000029</c:v>
                      </c:pt>
                      <c:pt idx="42">
                        <c:v>89857.994791666686</c:v>
                      </c:pt>
                      <c:pt idx="43">
                        <c:v>91511.822916666628</c:v>
                      </c:pt>
                      <c:pt idx="44">
                        <c:v>92063.098958333314</c:v>
                      </c:pt>
                      <c:pt idx="45">
                        <c:v>92614.375</c:v>
                      </c:pt>
                      <c:pt idx="46">
                        <c:v>93165.651041666657</c:v>
                      </c:pt>
                      <c:pt idx="47">
                        <c:v>93716.927083333343</c:v>
                      </c:pt>
                      <c:pt idx="48">
                        <c:v>95370.755208333343</c:v>
                      </c:pt>
                      <c:pt idx="49">
                        <c:v>95922.03125</c:v>
                      </c:pt>
                      <c:pt idx="50">
                        <c:v>96473.307291666686</c:v>
                      </c:pt>
                      <c:pt idx="51">
                        <c:v>97024.583333333343</c:v>
                      </c:pt>
                      <c:pt idx="52">
                        <c:v>97575.859375</c:v>
                      </c:pt>
                      <c:pt idx="53">
                        <c:v>99229.687500000029</c:v>
                      </c:pt>
                      <c:pt idx="54">
                        <c:v>99780.963541666657</c:v>
                      </c:pt>
                      <c:pt idx="55">
                        <c:v>100332.23958333337</c:v>
                      </c:pt>
                      <c:pt idx="56">
                        <c:v>100883.51562500003</c:v>
                      </c:pt>
                      <c:pt idx="57">
                        <c:v>101434.79166666666</c:v>
                      </c:pt>
                      <c:pt idx="58">
                        <c:v>103088.61979166666</c:v>
                      </c:pt>
                      <c:pt idx="59">
                        <c:v>103639.89583333337</c:v>
                      </c:pt>
                      <c:pt idx="60">
                        <c:v>104191.17187499997</c:v>
                      </c:pt>
                      <c:pt idx="61">
                        <c:v>104742.44791666672</c:v>
                      </c:pt>
                      <c:pt idx="62">
                        <c:v>105293.72395833334</c:v>
                      </c:pt>
                      <c:pt idx="63">
                        <c:v>106947.55208333331</c:v>
                      </c:pt>
                      <c:pt idx="64">
                        <c:v>107498.82812500006</c:v>
                      </c:pt>
                      <c:pt idx="65">
                        <c:v>108050.10416666672</c:v>
                      </c:pt>
                      <c:pt idx="66">
                        <c:v>108601.38020833334</c:v>
                      </c:pt>
                      <c:pt idx="67">
                        <c:v>109152.65625</c:v>
                      </c:pt>
                      <c:pt idx="68">
                        <c:v>110806.48437500003</c:v>
                      </c:pt>
                      <c:pt idx="69">
                        <c:v>111357.76041666663</c:v>
                      </c:pt>
                      <c:pt idx="70">
                        <c:v>111909.03645833331</c:v>
                      </c:pt>
                      <c:pt idx="71">
                        <c:v>112460.3125</c:v>
                      </c:pt>
                      <c:pt idx="72">
                        <c:v>113011.58854166663</c:v>
                      </c:pt>
                      <c:pt idx="73">
                        <c:v>114665.41666666669</c:v>
                      </c:pt>
                      <c:pt idx="74">
                        <c:v>115216.69270833331</c:v>
                      </c:pt>
                      <c:pt idx="75">
                        <c:v>115767.96874999997</c:v>
                      </c:pt>
                      <c:pt idx="76">
                        <c:v>116319.24479166674</c:v>
                      </c:pt>
                      <c:pt idx="77">
                        <c:v>116870.52083333331</c:v>
                      </c:pt>
                      <c:pt idx="78">
                        <c:v>118524.34895833331</c:v>
                      </c:pt>
                      <c:pt idx="79">
                        <c:v>119075.62500000006</c:v>
                      </c:pt>
                      <c:pt idx="80">
                        <c:v>119626.90104166674</c:v>
                      </c:pt>
                      <c:pt idx="81">
                        <c:v>120178.17708333331</c:v>
                      </c:pt>
                      <c:pt idx="82">
                        <c:v>120729.45312499997</c:v>
                      </c:pt>
                      <c:pt idx="83">
                        <c:v>122383.28125</c:v>
                      </c:pt>
                      <c:pt idx="84">
                        <c:v>122934.55729166663</c:v>
                      </c:pt>
                      <c:pt idx="85">
                        <c:v>123485.83333333331</c:v>
                      </c:pt>
                      <c:pt idx="86">
                        <c:v>124037.109375</c:v>
                      </c:pt>
                      <c:pt idx="87">
                        <c:v>124588.38541666669</c:v>
                      </c:pt>
                      <c:pt idx="88">
                        <c:v>126242.21354166669</c:v>
                      </c:pt>
                      <c:pt idx="89">
                        <c:v>126793.48958333331</c:v>
                      </c:pt>
                      <c:pt idx="90">
                        <c:v>127344.765625</c:v>
                      </c:pt>
                      <c:pt idx="91">
                        <c:v>127896.04166666674</c:v>
                      </c:pt>
                      <c:pt idx="92">
                        <c:v>128447.31770833331</c:v>
                      </c:pt>
                      <c:pt idx="93">
                        <c:v>130101.14583333331</c:v>
                      </c:pt>
                      <c:pt idx="94">
                        <c:v>130652.42187500006</c:v>
                      </c:pt>
                      <c:pt idx="95">
                        <c:v>131203.69791666669</c:v>
                      </c:pt>
                      <c:pt idx="96">
                        <c:v>131754.97395833331</c:v>
                      </c:pt>
                      <c:pt idx="97">
                        <c:v>132306.25000000006</c:v>
                      </c:pt>
                      <c:pt idx="98">
                        <c:v>133960.07812500006</c:v>
                      </c:pt>
                      <c:pt idx="99">
                        <c:v>134511.35416666674</c:v>
                      </c:pt>
                      <c:pt idx="100">
                        <c:v>135062.63020833337</c:v>
                      </c:pt>
                      <c:pt idx="101">
                        <c:v>135613.90624999991</c:v>
                      </c:pt>
                      <c:pt idx="102">
                        <c:v>136165.18229166663</c:v>
                      </c:pt>
                      <c:pt idx="103">
                        <c:v>137819.01041666669</c:v>
                      </c:pt>
                      <c:pt idx="104">
                        <c:v>138370.28645833331</c:v>
                      </c:pt>
                      <c:pt idx="105">
                        <c:v>138921.56250000003</c:v>
                      </c:pt>
                      <c:pt idx="106">
                        <c:v>139472.83854166669</c:v>
                      </c:pt>
                      <c:pt idx="107">
                        <c:v>140024.11458333331</c:v>
                      </c:pt>
                      <c:pt idx="108">
                        <c:v>141677.94270833331</c:v>
                      </c:pt>
                      <c:pt idx="109">
                        <c:v>142229.21875000003</c:v>
                      </c:pt>
                      <c:pt idx="110">
                        <c:v>142780.49479166669</c:v>
                      </c:pt>
                      <c:pt idx="111">
                        <c:v>143331.77083333331</c:v>
                      </c:pt>
                      <c:pt idx="112">
                        <c:v>143883.04687500006</c:v>
                      </c:pt>
                      <c:pt idx="113">
                        <c:v>146088.15104166669</c:v>
                      </c:pt>
                      <c:pt idx="114">
                        <c:v>146639.42708333337</c:v>
                      </c:pt>
                      <c:pt idx="115">
                        <c:v>147190.70312499991</c:v>
                      </c:pt>
                      <c:pt idx="116">
                        <c:v>147741.97916666663</c:v>
                      </c:pt>
                      <c:pt idx="117">
                        <c:v>149395.80729166663</c:v>
                      </c:pt>
                      <c:pt idx="118">
                        <c:v>149947.08333333331</c:v>
                      </c:pt>
                      <c:pt idx="119">
                        <c:v>150498.35937500006</c:v>
                      </c:pt>
                      <c:pt idx="120">
                        <c:v>151049.63541666674</c:v>
                      </c:pt>
                      <c:pt idx="121">
                        <c:v>151600.91145833331</c:v>
                      </c:pt>
                      <c:pt idx="122">
                        <c:v>153254.73958333331</c:v>
                      </c:pt>
                      <c:pt idx="123">
                        <c:v>153806.01562500009</c:v>
                      </c:pt>
                      <c:pt idx="124">
                        <c:v>154357.29166666669</c:v>
                      </c:pt>
                      <c:pt idx="125">
                        <c:v>154908.56770833331</c:v>
                      </c:pt>
                      <c:pt idx="126">
                        <c:v>155459.84375000006</c:v>
                      </c:pt>
                      <c:pt idx="127">
                        <c:v>157113.67187500006</c:v>
                      </c:pt>
                      <c:pt idx="128">
                        <c:v>157664.94791666669</c:v>
                      </c:pt>
                      <c:pt idx="129">
                        <c:v>158216.22395833337</c:v>
                      </c:pt>
                      <c:pt idx="130">
                        <c:v>158767.49999999991</c:v>
                      </c:pt>
                      <c:pt idx="131">
                        <c:v>159318.77604166669</c:v>
                      </c:pt>
                      <c:pt idx="132">
                        <c:v>160972.60416666663</c:v>
                      </c:pt>
                      <c:pt idx="133">
                        <c:v>161523.88020833331</c:v>
                      </c:pt>
                      <c:pt idx="134">
                        <c:v>162075.15624999997</c:v>
                      </c:pt>
                      <c:pt idx="135">
                        <c:v>162626.43229166674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528-44D1-87C5-F1EC2C8FF5A9}"/>
                  </c:ext>
                </c:extLst>
              </c15:ser>
            </c15:filteredLineSeries>
          </c:ext>
        </c:extLst>
      </c:lineChart>
      <c:dateAx>
        <c:axId val="468094943"/>
        <c:scaling>
          <c:orientation val="minMax"/>
        </c:scaling>
        <c:delete val="0"/>
        <c:axPos val="b"/>
        <c:numFmt formatCode="mm/dd/yyyy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5423"/>
        <c:crosses val="autoZero"/>
        <c:auto val="1"/>
        <c:lblOffset val="100"/>
        <c:baseTimeUnit val="days"/>
      </c:dateAx>
      <c:valAx>
        <c:axId val="46809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9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20</xdr:col>
      <xdr:colOff>0</xdr:colOff>
      <xdr:row>26</xdr:row>
      <xdr:rowOff>0</xdr:rowOff>
    </xdr:to>
    <xdr:graphicFrame macro="">
      <xdr:nvGraphicFramePr>
        <xdr:cNvPr id="2" name="Chart IHYGvsAH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695325</xdr:colOff>
      <xdr:row>11</xdr:row>
      <xdr:rowOff>142875</xdr:rowOff>
    </xdr:from>
    <xdr:to>
      <xdr:col>25</xdr:col>
      <xdr:colOff>123825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DE3D75-F7A9-4C95-8B04-E094FE4C3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264583</xdr:colOff>
      <xdr:row>3</xdr:row>
      <xdr:rowOff>84666</xdr:rowOff>
    </xdr:from>
    <xdr:to>
      <xdr:col>9</xdr:col>
      <xdr:colOff>464608</xdr:colOff>
      <xdr:row>9</xdr:row>
      <xdr:rowOff>182032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8D3F8-664D-4F94-83DC-1E249F030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358" y="675216"/>
          <a:ext cx="3914775" cy="1430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695325</xdr:colOff>
      <xdr:row>11</xdr:row>
      <xdr:rowOff>142875</xdr:rowOff>
    </xdr:from>
    <xdr:to>
      <xdr:col>25</xdr:col>
      <xdr:colOff>123825</xdr:colOff>
      <xdr:row>38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C488D-003C-4716-80C2-1F4984183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515407</xdr:colOff>
      <xdr:row>34</xdr:row>
      <xdr:rowOff>121709</xdr:rowOff>
    </xdr:from>
    <xdr:to>
      <xdr:col>33</xdr:col>
      <xdr:colOff>568324</xdr:colOff>
      <xdr:row>60</xdr:row>
      <xdr:rowOff>158751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42DA49-0C91-41D1-9F5C-1DADEE060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264583</xdr:colOff>
      <xdr:row>3</xdr:row>
      <xdr:rowOff>84666</xdr:rowOff>
    </xdr:from>
    <xdr:to>
      <xdr:col>9</xdr:col>
      <xdr:colOff>464608</xdr:colOff>
      <xdr:row>9</xdr:row>
      <xdr:rowOff>182032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C71128-6AB8-4DFD-BCB6-E41604EBB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1358" y="675216"/>
          <a:ext cx="3914775" cy="1430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981074</xdr:colOff>
      <xdr:row>19</xdr:row>
      <xdr:rowOff>5292</xdr:rowOff>
    </xdr:from>
    <xdr:to>
      <xdr:col>26</xdr:col>
      <xdr:colOff>70908</xdr:colOff>
      <xdr:row>45</xdr:row>
      <xdr:rowOff>169334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C8F32-21EB-4AF5-A08E-619071B59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219075</xdr:colOff>
      <xdr:row>20</xdr:row>
      <xdr:rowOff>153459</xdr:rowOff>
    </xdr:from>
    <xdr:to>
      <xdr:col>46</xdr:col>
      <xdr:colOff>271992</xdr:colOff>
      <xdr:row>47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178D89-1439-459C-87B8-E779187DC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219075</xdr:colOff>
      <xdr:row>20</xdr:row>
      <xdr:rowOff>153459</xdr:rowOff>
    </xdr:from>
    <xdr:to>
      <xdr:col>47</xdr:col>
      <xdr:colOff>271992</xdr:colOff>
      <xdr:row>47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FE3D4-142A-4B78-834E-848FEEBC7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All%20Data\57.%20BNP%20Trades%20Tracker\BNP%206-25-2026%20-%20Part%20A.xlsx" TargetMode="External"/><Relationship Id="rId1" Type="http://schemas.openxmlformats.org/officeDocument/2006/relationships/externalLinkPath" Target="BNP%206-25-2026%20-%20Part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ividends"/>
      <sheetName val="ETF Compression"/>
      <sheetName val="EM Basis"/>
      <sheetName val="VCIT Basis"/>
      <sheetName val="1"/>
      <sheetName val="4"/>
      <sheetName val="5"/>
      <sheetName val="6"/>
      <sheetName val="7"/>
      <sheetName val="8"/>
      <sheetName val="8a"/>
      <sheetName val="9"/>
      <sheetName val="10"/>
      <sheetName val="13"/>
      <sheetName val="13a"/>
      <sheetName val="14"/>
      <sheetName val="15"/>
      <sheetName val="16"/>
      <sheetName val="17"/>
      <sheetName val="19"/>
      <sheetName val="20"/>
      <sheetName val="25"/>
      <sheetName val="26"/>
      <sheetName val="27"/>
      <sheetName val="28b"/>
      <sheetName val="29"/>
      <sheetName val="30"/>
      <sheetName val="31"/>
      <sheetName val="33"/>
      <sheetName val="34"/>
      <sheetName val="34a"/>
      <sheetName val="35"/>
      <sheetName val="35a"/>
      <sheetName val="35b"/>
      <sheetName val="36"/>
      <sheetName val="37"/>
      <sheetName val="38"/>
      <sheetName val="39"/>
      <sheetName val="40"/>
      <sheetName val="41"/>
      <sheetName val="41a"/>
      <sheetName val="42"/>
      <sheetName val="43"/>
      <sheetName val="44"/>
      <sheetName val="45"/>
      <sheetName val="46"/>
      <sheetName val="47"/>
      <sheetName val="48"/>
      <sheetName val="49"/>
      <sheetName val="2 CDS RV Template"/>
      <sheetName val="3 CDS RV Template"/>
      <sheetName val="SNRFIN vs SX7E Puts Template"/>
      <sheetName val="SPX vs HYG Calls Template"/>
      <sheetName val="CDX HY vs IWM Puts Template"/>
    </sheetNames>
    <sheetDataSet>
      <sheetData sheetId="0"/>
      <sheetData sheetId="1">
        <row r="3">
          <cell r="G3" t="str">
            <v>IHYG</v>
          </cell>
        </row>
      </sheetData>
      <sheetData sheetId="2"/>
      <sheetData sheetId="3"/>
      <sheetData sheetId="4"/>
      <sheetData sheetId="5">
        <row r="12">
          <cell r="B12" t="str">
            <v>Long Risk</v>
          </cell>
          <cell r="C12"/>
          <cell r="D12"/>
          <cell r="E12"/>
          <cell r="F12" t="str">
            <v>Short Risk</v>
          </cell>
          <cell r="G12"/>
          <cell r="H12"/>
        </row>
        <row r="13">
          <cell r="B13" t="str">
            <v>Sprd</v>
          </cell>
          <cell r="C13" t="str">
            <v>Roll Adj Sprd</v>
          </cell>
          <cell r="D13" t="str">
            <v>Sprd P/L</v>
          </cell>
          <cell r="E13" t="str">
            <v>Carry P/L</v>
          </cell>
          <cell r="F13" t="str">
            <v>Price</v>
          </cell>
          <cell r="G13" t="str">
            <v>Price P/L</v>
          </cell>
          <cell r="H13" t="str">
            <v>Carry P/L</v>
          </cell>
        </row>
        <row r="14">
          <cell r="B14">
            <v>106.5</v>
          </cell>
          <cell r="C14">
            <v>106.5</v>
          </cell>
          <cell r="D14"/>
          <cell r="E14"/>
          <cell r="F14">
            <v>98.875</v>
          </cell>
          <cell r="G14"/>
          <cell r="H14"/>
        </row>
        <row r="15">
          <cell r="B15">
            <v>90.266000000000005</v>
          </cell>
          <cell r="C15">
            <v>101.988</v>
          </cell>
          <cell r="D15">
            <v>50308.800000000003</v>
          </cell>
          <cell r="E15">
            <v>72222.222222222234</v>
          </cell>
          <cell r="F15">
            <v>101.428</v>
          </cell>
          <cell r="G15">
            <v>191474.9999999998</v>
          </cell>
          <cell r="H15">
            <v>57332.708333333343</v>
          </cell>
        </row>
        <row r="16">
          <cell r="B16">
            <v>89.93</v>
          </cell>
          <cell r="C16">
            <v>99.507999999999996</v>
          </cell>
          <cell r="D16">
            <v>77960.800000000047</v>
          </cell>
          <cell r="E16">
            <v>72916.666666666672</v>
          </cell>
          <cell r="F16">
            <v>101.43300000000001</v>
          </cell>
          <cell r="G16">
            <v>191850.00000000052</v>
          </cell>
          <cell r="H16">
            <v>57883.984374999985</v>
          </cell>
        </row>
        <row r="17">
          <cell r="B17">
            <v>90.049000000000007</v>
          </cell>
          <cell r="C17">
            <v>97.378</v>
          </cell>
          <cell r="D17">
            <v>101710.30000000002</v>
          </cell>
          <cell r="E17">
            <v>73611.111111111109</v>
          </cell>
          <cell r="F17">
            <v>101.535</v>
          </cell>
          <cell r="G17">
            <v>199499.99999999977</v>
          </cell>
          <cell r="H17">
            <v>58435.260416666657</v>
          </cell>
        </row>
        <row r="18">
          <cell r="B18">
            <v>89.225999999999999</v>
          </cell>
          <cell r="C18">
            <v>96.828000000000003</v>
          </cell>
          <cell r="D18">
            <v>107842.79999999997</v>
          </cell>
          <cell r="E18">
            <v>74305.555555555562</v>
          </cell>
          <cell r="F18">
            <v>101.57</v>
          </cell>
          <cell r="G18">
            <v>202124.99999999951</v>
          </cell>
          <cell r="H18">
            <v>58986.536458333343</v>
          </cell>
        </row>
        <row r="19">
          <cell r="B19">
            <v>88.793000000000006</v>
          </cell>
          <cell r="C19">
            <v>95.448999999999998</v>
          </cell>
          <cell r="D19">
            <v>123218.65000000002</v>
          </cell>
          <cell r="E19">
            <v>76388.888888888891</v>
          </cell>
          <cell r="F19">
            <v>101.629</v>
          </cell>
          <cell r="G19">
            <v>206550.00000000038</v>
          </cell>
          <cell r="H19">
            <v>60640.364583333343</v>
          </cell>
        </row>
        <row r="20">
          <cell r="B20">
            <v>88.692999999999998</v>
          </cell>
          <cell r="C20">
            <v>92.872</v>
          </cell>
          <cell r="D20">
            <v>151952.20000000001</v>
          </cell>
          <cell r="E20">
            <v>77083.333333333343</v>
          </cell>
          <cell r="F20">
            <v>101.68</v>
          </cell>
          <cell r="G20">
            <v>210375.00000000052</v>
          </cell>
          <cell r="H20">
            <v>61191.640625</v>
          </cell>
        </row>
        <row r="21">
          <cell r="B21">
            <v>87.667000000000002</v>
          </cell>
          <cell r="C21">
            <v>92.445999999999998</v>
          </cell>
          <cell r="D21">
            <v>156702.10000000003</v>
          </cell>
          <cell r="E21">
            <v>77777.777777777781</v>
          </cell>
          <cell r="F21">
            <v>101.89400000000001</v>
          </cell>
          <cell r="G21">
            <v>226425.00000000041</v>
          </cell>
          <cell r="H21">
            <v>61742.916666666657</v>
          </cell>
        </row>
        <row r="22">
          <cell r="B22">
            <v>87.715999999999994</v>
          </cell>
          <cell r="C22">
            <v>91.334000000000003</v>
          </cell>
          <cell r="D22">
            <v>169100.89999999997</v>
          </cell>
          <cell r="E22">
            <v>79166.666666666672</v>
          </cell>
          <cell r="F22">
            <v>102.012</v>
          </cell>
          <cell r="G22">
            <v>235275.00000000003</v>
          </cell>
          <cell r="H22">
            <v>62845.468749999985</v>
          </cell>
        </row>
        <row r="23">
          <cell r="B23">
            <v>87.912999999999997</v>
          </cell>
          <cell r="C23">
            <v>91.960999999999999</v>
          </cell>
          <cell r="D23">
            <v>162109.85000000003</v>
          </cell>
          <cell r="E23">
            <v>81250</v>
          </cell>
          <cell r="F23">
            <v>101.76600000000001</v>
          </cell>
          <cell r="G23">
            <v>216825.00000000041</v>
          </cell>
          <cell r="H23">
            <v>64499.296875000015</v>
          </cell>
        </row>
        <row r="24">
          <cell r="B24">
            <v>87.629000000000005</v>
          </cell>
          <cell r="C24">
            <v>92.38</v>
          </cell>
          <cell r="D24">
            <v>157438.00000000006</v>
          </cell>
          <cell r="E24">
            <v>81944.444444444438</v>
          </cell>
          <cell r="F24">
            <v>101.789</v>
          </cell>
          <cell r="G24">
            <v>218550.00000000009</v>
          </cell>
          <cell r="H24">
            <v>65050.572916666657</v>
          </cell>
        </row>
        <row r="25">
          <cell r="B25">
            <v>87.513999999999996</v>
          </cell>
          <cell r="C25">
            <v>91.418000000000006</v>
          </cell>
          <cell r="D25">
            <v>168164.29999999993</v>
          </cell>
          <cell r="E25">
            <v>82638.888888888891</v>
          </cell>
          <cell r="F25">
            <v>101.812</v>
          </cell>
          <cell r="G25">
            <v>220274.99999999983</v>
          </cell>
          <cell r="H25">
            <v>65601.848958333343</v>
          </cell>
        </row>
        <row r="26">
          <cell r="B26">
            <v>87.242999999999995</v>
          </cell>
          <cell r="C26">
            <v>91.418000000000006</v>
          </cell>
          <cell r="D26">
            <v>168164.29999999993</v>
          </cell>
          <cell r="E26">
            <v>84027.777777777781</v>
          </cell>
          <cell r="F26">
            <v>101.89</v>
          </cell>
          <cell r="G26">
            <v>226125.00000000006</v>
          </cell>
          <cell r="H26">
            <v>66704.401041666657</v>
          </cell>
        </row>
        <row r="27">
          <cell r="B27">
            <v>86.962999999999994</v>
          </cell>
          <cell r="C27">
            <v>75.421999999999997</v>
          </cell>
          <cell r="D27">
            <v>346519.70000000007</v>
          </cell>
          <cell r="E27">
            <v>86111.111111111109</v>
          </cell>
          <cell r="F27">
            <v>101.869</v>
          </cell>
          <cell r="G27">
            <v>224549.99999999997</v>
          </cell>
          <cell r="H27">
            <v>68358.229166666628</v>
          </cell>
        </row>
        <row r="28">
          <cell r="B28">
            <v>85.751000000000005</v>
          </cell>
          <cell r="C28">
            <v>74.210000000000008</v>
          </cell>
          <cell r="D28">
            <v>360033.49999999994</v>
          </cell>
          <cell r="E28">
            <v>86805.555555555547</v>
          </cell>
          <cell r="F28">
            <v>101.982</v>
          </cell>
          <cell r="G28">
            <v>233024.99999999994</v>
          </cell>
          <cell r="H28">
            <v>68909.505208333343</v>
          </cell>
        </row>
        <row r="29">
          <cell r="B29">
            <v>85.727000000000004</v>
          </cell>
          <cell r="C29">
            <v>74.186000000000007</v>
          </cell>
          <cell r="D29">
            <v>360301.09999999992</v>
          </cell>
          <cell r="E29">
            <v>87500</v>
          </cell>
          <cell r="F29">
            <v>102.13500000000001</v>
          </cell>
          <cell r="G29">
            <v>244500.00000000041</v>
          </cell>
          <cell r="H29">
            <v>69460.781250000015</v>
          </cell>
        </row>
        <row r="30">
          <cell r="B30">
            <v>86.3</v>
          </cell>
          <cell r="C30">
            <v>74.759</v>
          </cell>
          <cell r="D30">
            <v>353912.14999999997</v>
          </cell>
          <cell r="E30">
            <v>88194.444444444438</v>
          </cell>
          <cell r="F30">
            <v>102.14100000000001</v>
          </cell>
          <cell r="G30">
            <v>244950.00000000038</v>
          </cell>
          <cell r="H30">
            <v>70012.057291666657</v>
          </cell>
        </row>
        <row r="31">
          <cell r="B31">
            <v>85.78</v>
          </cell>
          <cell r="C31">
            <v>74.239000000000004</v>
          </cell>
          <cell r="D31">
            <v>359710.14999999997</v>
          </cell>
          <cell r="E31">
            <v>88888.888888888891</v>
          </cell>
          <cell r="F31">
            <v>102.38500000000001</v>
          </cell>
          <cell r="G31">
            <v>263250.00000000035</v>
          </cell>
          <cell r="H31">
            <v>70563.333333333372</v>
          </cell>
        </row>
        <row r="32">
          <cell r="B32">
            <v>85.364999999999995</v>
          </cell>
          <cell r="C32">
            <v>73.823999999999998</v>
          </cell>
          <cell r="D32">
            <v>364337.4</v>
          </cell>
          <cell r="E32">
            <v>90972.222222222219</v>
          </cell>
          <cell r="F32">
            <v>102.25</v>
          </cell>
          <cell r="G32">
            <v>253125.00000000003</v>
          </cell>
          <cell r="H32">
            <v>72217.161458333343</v>
          </cell>
        </row>
        <row r="33">
          <cell r="B33">
            <v>84.343000000000004</v>
          </cell>
          <cell r="C33">
            <v>72.802000000000007</v>
          </cell>
          <cell r="D33">
            <v>375732.69999999995</v>
          </cell>
          <cell r="E33">
            <v>91666.666666666672</v>
          </cell>
          <cell r="F33">
            <v>102.26</v>
          </cell>
          <cell r="G33">
            <v>253875.00000000041</v>
          </cell>
          <cell r="H33">
            <v>72768.437500000029</v>
          </cell>
        </row>
        <row r="34">
          <cell r="B34">
            <v>84.162999999999997</v>
          </cell>
          <cell r="C34">
            <v>72.622</v>
          </cell>
          <cell r="D34">
            <v>377739.70000000007</v>
          </cell>
          <cell r="E34">
            <v>92361.111111111109</v>
          </cell>
          <cell r="F34">
            <v>102.247</v>
          </cell>
          <cell r="G34">
            <v>252900</v>
          </cell>
          <cell r="H34">
            <v>73319.713541666686</v>
          </cell>
        </row>
        <row r="35">
          <cell r="B35">
            <v>84.411000000000001</v>
          </cell>
          <cell r="C35">
            <v>72.87</v>
          </cell>
          <cell r="D35">
            <v>374974.49999999994</v>
          </cell>
          <cell r="E35">
            <v>93055.555555555562</v>
          </cell>
          <cell r="F35">
            <v>102.31</v>
          </cell>
          <cell r="G35">
            <v>257625.00000000015</v>
          </cell>
          <cell r="H35">
            <v>73870.989583333314</v>
          </cell>
        </row>
        <row r="36">
          <cell r="B36">
            <v>83.876999999999995</v>
          </cell>
          <cell r="C36">
            <v>72.335999999999999</v>
          </cell>
          <cell r="D36">
            <v>380928.60000000003</v>
          </cell>
          <cell r="E36">
            <v>93750.000000000015</v>
          </cell>
          <cell r="F36">
            <v>102.264</v>
          </cell>
          <cell r="G36">
            <v>254174.99999999965</v>
          </cell>
          <cell r="H36">
            <v>74422.265625</v>
          </cell>
        </row>
        <row r="37">
          <cell r="B37">
            <v>86.462999999999994</v>
          </cell>
          <cell r="C37">
            <v>74.921999999999997</v>
          </cell>
          <cell r="D37">
            <v>352094.7</v>
          </cell>
          <cell r="E37">
            <v>95833.333333333343</v>
          </cell>
          <cell r="F37">
            <v>101.92</v>
          </cell>
          <cell r="G37">
            <v>228375.00000000015</v>
          </cell>
          <cell r="H37">
            <v>76076.093750000029</v>
          </cell>
        </row>
        <row r="38">
          <cell r="B38">
            <v>88.070999999999998</v>
          </cell>
          <cell r="C38">
            <v>76.53</v>
          </cell>
          <cell r="D38">
            <v>334165.5</v>
          </cell>
          <cell r="E38">
            <v>96527.777777777796</v>
          </cell>
          <cell r="F38">
            <v>101.508</v>
          </cell>
          <cell r="G38">
            <v>197474.99999999965</v>
          </cell>
          <cell r="H38">
            <v>76627.369791666657</v>
          </cell>
        </row>
        <row r="39">
          <cell r="B39">
            <v>86.83</v>
          </cell>
          <cell r="C39">
            <v>75.289000000000001</v>
          </cell>
          <cell r="D39">
            <v>348002.65</v>
          </cell>
          <cell r="E39">
            <v>97222.222222222234</v>
          </cell>
          <cell r="F39">
            <v>101.73099999999999</v>
          </cell>
          <cell r="G39">
            <v>214199.99999999959</v>
          </cell>
          <cell r="H39">
            <v>77178.645833333343</v>
          </cell>
        </row>
        <row r="40">
          <cell r="B40">
            <v>84.230999999999995</v>
          </cell>
          <cell r="C40">
            <v>72.69</v>
          </cell>
          <cell r="D40">
            <v>376981.5</v>
          </cell>
          <cell r="E40">
            <v>97916.666666666657</v>
          </cell>
          <cell r="F40">
            <v>102.127</v>
          </cell>
          <cell r="G40">
            <v>243899.99999999965</v>
          </cell>
          <cell r="H40">
            <v>77729.921875000029</v>
          </cell>
        </row>
        <row r="41">
          <cell r="B41">
            <v>84.471999999999994</v>
          </cell>
          <cell r="C41">
            <v>72.930999999999997</v>
          </cell>
          <cell r="D41">
            <v>374294.35000000003</v>
          </cell>
          <cell r="E41">
            <v>98611.111111111095</v>
          </cell>
          <cell r="F41">
            <v>102.098</v>
          </cell>
          <cell r="G41">
            <v>241724.99999999991</v>
          </cell>
          <cell r="H41">
            <v>78281.197916666657</v>
          </cell>
        </row>
        <row r="42">
          <cell r="B42">
            <v>83.158000000000001</v>
          </cell>
          <cell r="C42">
            <v>71.617000000000004</v>
          </cell>
          <cell r="D42">
            <v>388945.44999999995</v>
          </cell>
          <cell r="E42">
            <v>100694.44444444444</v>
          </cell>
          <cell r="F42">
            <v>102.122</v>
          </cell>
          <cell r="G42">
            <v>243525</v>
          </cell>
          <cell r="H42">
            <v>79935.026041666628</v>
          </cell>
        </row>
        <row r="43">
          <cell r="B43">
            <v>81.959000000000003</v>
          </cell>
          <cell r="C43">
            <v>70.418000000000006</v>
          </cell>
          <cell r="D43">
            <v>402314.29999999987</v>
          </cell>
          <cell r="E43">
            <v>101388.88888888888</v>
          </cell>
          <cell r="F43">
            <v>102.215</v>
          </cell>
          <cell r="G43">
            <v>250500.00000000026</v>
          </cell>
          <cell r="H43">
            <v>80486.302083333314</v>
          </cell>
        </row>
        <row r="44">
          <cell r="B44">
            <v>81.585999999999999</v>
          </cell>
          <cell r="C44">
            <v>70.045000000000002</v>
          </cell>
          <cell r="D44">
            <v>406473.24999999994</v>
          </cell>
          <cell r="E44">
            <v>102083.33333333333</v>
          </cell>
          <cell r="F44">
            <v>102.303</v>
          </cell>
          <cell r="G44">
            <v>257099.99999999977</v>
          </cell>
          <cell r="H44">
            <v>81037.578124999985</v>
          </cell>
        </row>
        <row r="45">
          <cell r="B45">
            <v>82.206000000000003</v>
          </cell>
          <cell r="C45">
            <v>70.665000000000006</v>
          </cell>
          <cell r="D45">
            <v>399560.25</v>
          </cell>
          <cell r="E45">
            <v>102777.77777777778</v>
          </cell>
          <cell r="F45">
            <v>102.2</v>
          </cell>
          <cell r="G45">
            <v>249375.00000000023</v>
          </cell>
          <cell r="H45">
            <v>81588.854166666657</v>
          </cell>
        </row>
        <row r="46">
          <cell r="B46">
            <v>82.492000000000004</v>
          </cell>
          <cell r="C46">
            <v>70.951000000000008</v>
          </cell>
          <cell r="D46">
            <v>396371.35</v>
          </cell>
          <cell r="E46">
            <v>103472.22222222222</v>
          </cell>
          <cell r="F46">
            <v>102.20099999999999</v>
          </cell>
          <cell r="G46">
            <v>249449.99999999951</v>
          </cell>
          <cell r="H46">
            <v>82140.130208333372</v>
          </cell>
        </row>
        <row r="47">
          <cell r="B47">
            <v>82.251999999999995</v>
          </cell>
          <cell r="C47">
            <v>70.710999999999999</v>
          </cell>
          <cell r="D47">
            <v>399047.35000000003</v>
          </cell>
          <cell r="E47">
            <v>105555.55555555556</v>
          </cell>
          <cell r="F47">
            <v>102.285</v>
          </cell>
          <cell r="G47">
            <v>255749.99999999974</v>
          </cell>
          <cell r="H47">
            <v>83793.958333333372</v>
          </cell>
        </row>
        <row r="48">
          <cell r="B48">
            <v>81.760999999999996</v>
          </cell>
          <cell r="C48">
            <v>70.22</v>
          </cell>
          <cell r="D48">
            <v>404522.00000000006</v>
          </cell>
          <cell r="E48">
            <v>106250.00000000001</v>
          </cell>
          <cell r="F48">
            <v>102.52500000000001</v>
          </cell>
          <cell r="G48">
            <v>273750.00000000047</v>
          </cell>
          <cell r="H48">
            <v>84345.234374999985</v>
          </cell>
        </row>
        <row r="49">
          <cell r="B49">
            <v>81.863</v>
          </cell>
          <cell r="C49">
            <v>70.322000000000003</v>
          </cell>
          <cell r="D49">
            <v>403384.7</v>
          </cell>
          <cell r="E49">
            <v>106944.44444444445</v>
          </cell>
          <cell r="F49">
            <v>102.499</v>
          </cell>
          <cell r="G49">
            <v>271799.99999999965</v>
          </cell>
          <cell r="H49">
            <v>84896.510416666715</v>
          </cell>
        </row>
        <row r="50">
          <cell r="B50">
            <v>82.628</v>
          </cell>
          <cell r="C50">
            <v>71.087000000000003</v>
          </cell>
          <cell r="D50">
            <v>394854.94999999995</v>
          </cell>
          <cell r="E50">
            <v>107638.88888888889</v>
          </cell>
          <cell r="F50">
            <v>102.316</v>
          </cell>
          <cell r="G50">
            <v>258075.00000000017</v>
          </cell>
          <cell r="H50">
            <v>85447.786458333314</v>
          </cell>
        </row>
        <row r="51">
          <cell r="B51">
            <v>82.361999999999995</v>
          </cell>
          <cell r="C51">
            <v>70.820999999999998</v>
          </cell>
          <cell r="D51">
            <v>397820.85000000009</v>
          </cell>
          <cell r="E51">
            <v>108333.33333333333</v>
          </cell>
          <cell r="F51">
            <v>102.41</v>
          </cell>
          <cell r="G51">
            <v>265124.99999999971</v>
          </cell>
          <cell r="H51">
            <v>85999.0625</v>
          </cell>
        </row>
        <row r="52">
          <cell r="B52">
            <v>82.072999999999993</v>
          </cell>
          <cell r="C52">
            <v>70.531999999999996</v>
          </cell>
          <cell r="D52">
            <v>401043.20000000001</v>
          </cell>
          <cell r="E52">
            <v>110416.66666666667</v>
          </cell>
          <cell r="F52">
            <v>102.59099999999999</v>
          </cell>
          <cell r="G52">
            <v>278699.99999999959</v>
          </cell>
          <cell r="H52">
            <v>87652.890625000029</v>
          </cell>
        </row>
        <row r="53">
          <cell r="B53">
            <v>81.983999999999995</v>
          </cell>
          <cell r="C53">
            <v>70.442999999999998</v>
          </cell>
          <cell r="D53">
            <v>402035.55000000005</v>
          </cell>
          <cell r="E53">
            <v>111111.11111111111</v>
          </cell>
          <cell r="F53">
            <v>102.654</v>
          </cell>
          <cell r="G53">
            <v>283424.99999999971</v>
          </cell>
          <cell r="H53">
            <v>88204.166666666657</v>
          </cell>
        </row>
        <row r="54">
          <cell r="B54">
            <v>82.298000000000002</v>
          </cell>
          <cell r="C54">
            <v>70.757000000000005</v>
          </cell>
          <cell r="D54">
            <v>398534.44999999995</v>
          </cell>
          <cell r="E54">
            <v>111805.55555555558</v>
          </cell>
          <cell r="F54">
            <v>102.601</v>
          </cell>
          <cell r="G54">
            <v>279449.99999999988</v>
          </cell>
          <cell r="H54">
            <v>88755.442708333343</v>
          </cell>
        </row>
        <row r="55">
          <cell r="B55">
            <v>81.655000000000001</v>
          </cell>
          <cell r="C55">
            <v>70.114000000000004</v>
          </cell>
          <cell r="D55">
            <v>405703.89999999991</v>
          </cell>
          <cell r="E55">
            <v>112500.00000000001</v>
          </cell>
          <cell r="F55">
            <v>102.756</v>
          </cell>
          <cell r="G55">
            <v>291075.00000000006</v>
          </cell>
          <cell r="H55">
            <v>89306.718750000029</v>
          </cell>
        </row>
        <row r="56">
          <cell r="B56">
            <v>83.483999999999995</v>
          </cell>
          <cell r="C56">
            <v>71.942999999999998</v>
          </cell>
          <cell r="D56">
            <v>385310.55000000005</v>
          </cell>
          <cell r="E56">
            <v>113194.44444444445</v>
          </cell>
          <cell r="F56">
            <v>102.65300000000001</v>
          </cell>
          <cell r="G56">
            <v>283350.00000000041</v>
          </cell>
          <cell r="H56">
            <v>89857.994791666686</v>
          </cell>
        </row>
        <row r="57">
          <cell r="B57">
            <v>83.07</v>
          </cell>
          <cell r="C57">
            <v>71.528999999999996</v>
          </cell>
          <cell r="D57">
            <v>389926.65</v>
          </cell>
          <cell r="E57">
            <v>115277.7777777778</v>
          </cell>
          <cell r="F57">
            <v>102.78100000000001</v>
          </cell>
          <cell r="G57">
            <v>292950.00000000047</v>
          </cell>
          <cell r="H57">
            <v>91511.822916666628</v>
          </cell>
        </row>
        <row r="58">
          <cell r="B58">
            <v>83.956999999999994</v>
          </cell>
          <cell r="C58">
            <v>72.415999999999997</v>
          </cell>
          <cell r="D58">
            <v>380036.60000000009</v>
          </cell>
          <cell r="E58">
            <v>115972.22222222222</v>
          </cell>
          <cell r="F58">
            <v>102.849</v>
          </cell>
          <cell r="G58">
            <v>298050.00000000029</v>
          </cell>
          <cell r="H58">
            <v>92063.098958333314</v>
          </cell>
        </row>
        <row r="59">
          <cell r="B59">
            <v>83.180999999999997</v>
          </cell>
          <cell r="C59">
            <v>71.64</v>
          </cell>
          <cell r="D59">
            <v>388689</v>
          </cell>
          <cell r="E59">
            <v>116666.66666666666</v>
          </cell>
          <cell r="F59">
            <v>103.105</v>
          </cell>
          <cell r="G59">
            <v>317250.00000000029</v>
          </cell>
          <cell r="H59">
            <v>92614.375</v>
          </cell>
        </row>
        <row r="60">
          <cell r="B60">
            <v>83.227999999999994</v>
          </cell>
          <cell r="C60">
            <v>71.686999999999998</v>
          </cell>
          <cell r="D60">
            <v>388164.95000000007</v>
          </cell>
          <cell r="E60">
            <v>117361.11111111111</v>
          </cell>
          <cell r="F60">
            <v>103.134</v>
          </cell>
          <cell r="G60">
            <v>319425</v>
          </cell>
          <cell r="H60">
            <v>93165.651041666657</v>
          </cell>
        </row>
        <row r="61">
          <cell r="B61">
            <v>82.575000000000003</v>
          </cell>
          <cell r="C61">
            <v>71.034000000000006</v>
          </cell>
          <cell r="D61">
            <v>395445.89999999997</v>
          </cell>
          <cell r="E61">
            <v>118055.55555555556</v>
          </cell>
          <cell r="F61">
            <v>103.131</v>
          </cell>
          <cell r="G61">
            <v>319200</v>
          </cell>
          <cell r="H61">
            <v>93716.927083333343</v>
          </cell>
        </row>
        <row r="62">
          <cell r="B62">
            <v>82.757000000000005</v>
          </cell>
          <cell r="C62">
            <v>71.216000000000008</v>
          </cell>
          <cell r="D62">
            <v>393416.59999999992</v>
          </cell>
          <cell r="E62">
            <v>120138.88888888888</v>
          </cell>
          <cell r="F62">
            <v>103.193</v>
          </cell>
          <cell r="G62">
            <v>323849.99999999983</v>
          </cell>
          <cell r="H62">
            <v>95370.755208333343</v>
          </cell>
        </row>
        <row r="63">
          <cell r="B63">
            <v>83.631</v>
          </cell>
          <cell r="C63">
            <v>72.09</v>
          </cell>
          <cell r="D63">
            <v>383671.49999999994</v>
          </cell>
          <cell r="E63">
            <v>120833.33333333334</v>
          </cell>
          <cell r="F63">
            <v>103.072</v>
          </cell>
          <cell r="G63">
            <v>314775.00000000023</v>
          </cell>
          <cell r="H63">
            <v>95922.03125</v>
          </cell>
        </row>
        <row r="64">
          <cell r="B64">
            <v>83.673000000000002</v>
          </cell>
          <cell r="C64">
            <v>72.132000000000005</v>
          </cell>
          <cell r="D64">
            <v>383203.2</v>
          </cell>
          <cell r="E64">
            <v>121527.77777777778</v>
          </cell>
          <cell r="F64">
            <v>103.125</v>
          </cell>
          <cell r="G64">
            <v>318750</v>
          </cell>
          <cell r="H64">
            <v>96473.307291666686</v>
          </cell>
        </row>
        <row r="65">
          <cell r="B65">
            <v>84.393000000000001</v>
          </cell>
          <cell r="C65">
            <v>72.852000000000004</v>
          </cell>
          <cell r="D65">
            <v>375175.19999999995</v>
          </cell>
          <cell r="E65">
            <v>122222.22222222222</v>
          </cell>
          <cell r="F65">
            <v>103.14400000000001</v>
          </cell>
          <cell r="G65">
            <v>320175.00000000041</v>
          </cell>
          <cell r="H65">
            <v>97024.583333333343</v>
          </cell>
        </row>
        <row r="66">
          <cell r="B66">
            <v>87.778000000000006</v>
          </cell>
          <cell r="C66">
            <v>76.237000000000009</v>
          </cell>
          <cell r="D66">
            <v>337432.4499999999</v>
          </cell>
          <cell r="E66">
            <v>122916.66666666666</v>
          </cell>
          <cell r="F66">
            <v>102.79600000000001</v>
          </cell>
          <cell r="G66">
            <v>294075.00000000047</v>
          </cell>
          <cell r="H66">
            <v>97575.859375</v>
          </cell>
        </row>
        <row r="67">
          <cell r="B67">
            <v>91.037999999999997</v>
          </cell>
          <cell r="C67">
            <v>79.497</v>
          </cell>
          <cell r="D67">
            <v>301083.45</v>
          </cell>
          <cell r="E67">
            <v>125000</v>
          </cell>
          <cell r="F67">
            <v>102.071</v>
          </cell>
          <cell r="G67">
            <v>239699.99999999985</v>
          </cell>
          <cell r="H67">
            <v>99229.687500000029</v>
          </cell>
        </row>
        <row r="68">
          <cell r="B68">
            <v>95.340999999999994</v>
          </cell>
          <cell r="C68">
            <v>83.8</v>
          </cell>
          <cell r="D68">
            <v>253105.00000000003</v>
          </cell>
          <cell r="E68">
            <v>125694.44444444444</v>
          </cell>
          <cell r="F68">
            <v>101.282</v>
          </cell>
          <cell r="G68">
            <v>180524.99999999974</v>
          </cell>
          <cell r="H68">
            <v>99780.963541666657</v>
          </cell>
        </row>
        <row r="69">
          <cell r="B69">
            <v>91.527000000000001</v>
          </cell>
          <cell r="C69">
            <v>79.986000000000004</v>
          </cell>
          <cell r="D69">
            <v>295631.09999999992</v>
          </cell>
          <cell r="E69">
            <v>126388.88888888888</v>
          </cell>
          <cell r="F69">
            <v>102.069</v>
          </cell>
          <cell r="G69">
            <v>239550.00000000017</v>
          </cell>
          <cell r="H69">
            <v>100332.23958333337</v>
          </cell>
        </row>
        <row r="70">
          <cell r="B70">
            <v>91.3</v>
          </cell>
          <cell r="C70">
            <v>79.759</v>
          </cell>
          <cell r="D70">
            <v>298162.15000000002</v>
          </cell>
          <cell r="E70">
            <v>127083.33333333334</v>
          </cell>
          <cell r="F70">
            <v>101.929</v>
          </cell>
          <cell r="G70">
            <v>229050.00000000017</v>
          </cell>
          <cell r="H70">
            <v>100883.51562500003</v>
          </cell>
        </row>
        <row r="71">
          <cell r="B71">
            <v>95.9</v>
          </cell>
          <cell r="C71">
            <v>84.359000000000009</v>
          </cell>
          <cell r="D71">
            <v>246872.14999999991</v>
          </cell>
          <cell r="E71">
            <v>127777.77777777778</v>
          </cell>
          <cell r="F71">
            <v>101.157</v>
          </cell>
          <cell r="G71">
            <v>171149.99999999974</v>
          </cell>
          <cell r="H71">
            <v>101434.79166666666</v>
          </cell>
        </row>
        <row r="72">
          <cell r="B72">
            <v>100.747</v>
          </cell>
          <cell r="C72">
            <v>89.206000000000003</v>
          </cell>
          <cell r="D72">
            <v>192828.09999999998</v>
          </cell>
          <cell r="E72">
            <v>129861.11111111112</v>
          </cell>
          <cell r="F72">
            <v>100.526</v>
          </cell>
          <cell r="G72">
            <v>123824.99999999972</v>
          </cell>
          <cell r="H72">
            <v>103088.61979166666</v>
          </cell>
        </row>
        <row r="73">
          <cell r="B73">
            <v>92.974999999999994</v>
          </cell>
          <cell r="C73">
            <v>81.433999999999997</v>
          </cell>
          <cell r="D73">
            <v>279485.90000000002</v>
          </cell>
          <cell r="E73">
            <v>130555.55555555556</v>
          </cell>
          <cell r="F73">
            <v>101.51600000000001</v>
          </cell>
          <cell r="G73">
            <v>198075.00000000041</v>
          </cell>
          <cell r="H73">
            <v>103639.89583333337</v>
          </cell>
        </row>
        <row r="74">
          <cell r="B74">
            <v>94.965000000000003</v>
          </cell>
          <cell r="C74">
            <v>83.424000000000007</v>
          </cell>
          <cell r="D74">
            <v>257297.39999999997</v>
          </cell>
          <cell r="E74">
            <v>131250</v>
          </cell>
          <cell r="F74">
            <v>101.128</v>
          </cell>
          <cell r="G74">
            <v>168975</v>
          </cell>
          <cell r="H74">
            <v>104191.17187499997</v>
          </cell>
        </row>
        <row r="75">
          <cell r="B75">
            <v>99.674000000000007</v>
          </cell>
          <cell r="C75">
            <v>88.13300000000001</v>
          </cell>
          <cell r="D75">
            <v>204792.04999999987</v>
          </cell>
          <cell r="E75">
            <v>131944.44444444444</v>
          </cell>
          <cell r="F75">
            <v>100.643</v>
          </cell>
          <cell r="G75">
            <v>132600.00000000006</v>
          </cell>
          <cell r="H75">
            <v>104742.44791666672</v>
          </cell>
        </row>
        <row r="76">
          <cell r="B76">
            <v>102.637</v>
          </cell>
          <cell r="C76">
            <v>91.096000000000004</v>
          </cell>
          <cell r="D76">
            <v>171754.59999999998</v>
          </cell>
          <cell r="E76">
            <v>132638.88888888888</v>
          </cell>
          <cell r="F76">
            <v>100.223</v>
          </cell>
          <cell r="G76">
            <v>101099.99999999993</v>
          </cell>
          <cell r="H76">
            <v>105293.72395833334</v>
          </cell>
        </row>
        <row r="77">
          <cell r="B77">
            <v>102.19199999999999</v>
          </cell>
          <cell r="C77">
            <v>90.650999999999996</v>
          </cell>
          <cell r="D77">
            <v>176716.35000000003</v>
          </cell>
          <cell r="E77">
            <v>134722.22222222222</v>
          </cell>
          <cell r="F77">
            <v>100.30800000000001</v>
          </cell>
          <cell r="G77">
            <v>107475.00000000052</v>
          </cell>
          <cell r="H77">
            <v>106947.55208333331</v>
          </cell>
        </row>
        <row r="78">
          <cell r="B78">
            <v>99.72</v>
          </cell>
          <cell r="C78">
            <v>88.179000000000002</v>
          </cell>
          <cell r="D78">
            <v>204279.14999999997</v>
          </cell>
          <cell r="E78">
            <v>135416.66666666666</v>
          </cell>
          <cell r="F78">
            <v>100.685</v>
          </cell>
          <cell r="G78">
            <v>135750.00000000017</v>
          </cell>
          <cell r="H78">
            <v>107498.82812500006</v>
          </cell>
        </row>
        <row r="79">
          <cell r="B79">
            <v>98.751000000000005</v>
          </cell>
          <cell r="C79">
            <v>87.210000000000008</v>
          </cell>
          <cell r="D79">
            <v>215083.49999999994</v>
          </cell>
          <cell r="E79">
            <v>136111.11111111112</v>
          </cell>
          <cell r="F79">
            <v>100.589</v>
          </cell>
          <cell r="G79">
            <v>128549.99999999988</v>
          </cell>
          <cell r="H79">
            <v>108050.10416666672</v>
          </cell>
        </row>
        <row r="80">
          <cell r="B80">
            <v>104.34699999999999</v>
          </cell>
          <cell r="C80">
            <v>92.805999999999997</v>
          </cell>
          <cell r="D80">
            <v>152688.10000000006</v>
          </cell>
          <cell r="E80">
            <v>136805.55555555556</v>
          </cell>
          <cell r="F80">
            <v>99.88</v>
          </cell>
          <cell r="G80">
            <v>75374.999999999665</v>
          </cell>
          <cell r="H80">
            <v>108601.38020833334</v>
          </cell>
        </row>
        <row r="81">
          <cell r="B81">
            <v>115.64700000000001</v>
          </cell>
          <cell r="C81">
            <v>104.10600000000001</v>
          </cell>
          <cell r="D81">
            <v>26693.0999999999</v>
          </cell>
          <cell r="E81">
            <v>137500</v>
          </cell>
          <cell r="F81">
            <v>99.281000000000006</v>
          </cell>
          <cell r="G81">
            <v>30450.000000000444</v>
          </cell>
          <cell r="H81">
            <v>109152.65625</v>
          </cell>
        </row>
        <row r="82">
          <cell r="B82">
            <v>117.254</v>
          </cell>
          <cell r="C82">
            <v>105.71300000000001</v>
          </cell>
          <cell r="D82">
            <v>8775.0499999999101</v>
          </cell>
          <cell r="E82">
            <v>139583.33333333334</v>
          </cell>
          <cell r="F82">
            <v>98.844999999999999</v>
          </cell>
          <cell r="G82">
            <v>-2250.000000000085</v>
          </cell>
          <cell r="H82">
            <v>110806.48437500003</v>
          </cell>
        </row>
        <row r="83">
          <cell r="B83">
            <v>115.62</v>
          </cell>
          <cell r="C83">
            <v>104.07900000000001</v>
          </cell>
          <cell r="D83">
            <v>26994.149999999914</v>
          </cell>
          <cell r="E83">
            <v>140277.77777777778</v>
          </cell>
          <cell r="F83">
            <v>99.010999999999996</v>
          </cell>
          <cell r="G83">
            <v>10199.999999999676</v>
          </cell>
          <cell r="H83">
            <v>111357.76041666663</v>
          </cell>
        </row>
        <row r="84">
          <cell r="B84">
            <v>112.113</v>
          </cell>
          <cell r="C84">
            <v>100.572</v>
          </cell>
          <cell r="D84">
            <v>66097.199999999968</v>
          </cell>
          <cell r="E84">
            <v>140972.22222222225</v>
          </cell>
          <cell r="F84">
            <v>99.474000000000004</v>
          </cell>
          <cell r="G84">
            <v>44925.000000000284</v>
          </cell>
          <cell r="H84">
            <v>111909.03645833331</v>
          </cell>
        </row>
        <row r="85">
          <cell r="B85">
            <v>115.553</v>
          </cell>
          <cell r="C85">
            <v>104.012</v>
          </cell>
          <cell r="D85">
            <v>27741.200000000001</v>
          </cell>
          <cell r="E85">
            <v>141666.66666666669</v>
          </cell>
          <cell r="F85">
            <v>98.923000000000002</v>
          </cell>
          <cell r="G85">
            <v>3600.0000000001364</v>
          </cell>
          <cell r="H85">
            <v>112460.3125</v>
          </cell>
        </row>
        <row r="86">
          <cell r="B86">
            <v>119.236</v>
          </cell>
          <cell r="C86">
            <v>107.69500000000001</v>
          </cell>
          <cell r="D86">
            <v>-13324.250000000084</v>
          </cell>
          <cell r="E86">
            <v>142361.11111111109</v>
          </cell>
          <cell r="F86">
            <v>98.17</v>
          </cell>
          <cell r="G86">
            <v>-52874.999999999876</v>
          </cell>
          <cell r="H86">
            <v>113011.58854166663</v>
          </cell>
        </row>
        <row r="87">
          <cell r="B87">
            <v>122.227</v>
          </cell>
          <cell r="C87">
            <v>110.68600000000001</v>
          </cell>
          <cell r="D87">
            <v>-46673.900000000081</v>
          </cell>
          <cell r="E87">
            <v>144444.44444444447</v>
          </cell>
          <cell r="F87">
            <v>97.885000000000005</v>
          </cell>
          <cell r="G87">
            <v>-74249.999999999622</v>
          </cell>
          <cell r="H87">
            <v>114665.41666666669</v>
          </cell>
        </row>
        <row r="88">
          <cell r="B88">
            <v>119.14700000000001</v>
          </cell>
          <cell r="C88">
            <v>107.60600000000001</v>
          </cell>
          <cell r="D88">
            <v>-12331.9000000001</v>
          </cell>
          <cell r="E88">
            <v>145138.88888888888</v>
          </cell>
          <cell r="F88">
            <v>98.49</v>
          </cell>
          <cell r="G88">
            <v>-28875.000000000386</v>
          </cell>
          <cell r="H88">
            <v>115216.69270833331</v>
          </cell>
        </row>
        <row r="89">
          <cell r="B89">
            <v>108.98</v>
          </cell>
          <cell r="C89">
            <v>97.439000000000007</v>
          </cell>
          <cell r="D89">
            <v>101030.14999999992</v>
          </cell>
          <cell r="E89">
            <v>145833.33333333334</v>
          </cell>
          <cell r="F89">
            <v>99.551000000000002</v>
          </cell>
          <cell r="G89">
            <v>50700.000000000146</v>
          </cell>
          <cell r="H89">
            <v>115767.96874999997</v>
          </cell>
        </row>
        <row r="90">
          <cell r="B90">
            <v>110.506</v>
          </cell>
          <cell r="C90">
            <v>98.965000000000003</v>
          </cell>
          <cell r="D90">
            <v>84015.249999999971</v>
          </cell>
          <cell r="E90">
            <v>146527.77777777775</v>
          </cell>
          <cell r="F90">
            <v>99.153999999999996</v>
          </cell>
          <cell r="G90">
            <v>20924.999999999727</v>
          </cell>
          <cell r="H90">
            <v>116319.24479166674</v>
          </cell>
        </row>
        <row r="91">
          <cell r="B91">
            <v>107.905</v>
          </cell>
          <cell r="C91">
            <v>96.364000000000004</v>
          </cell>
          <cell r="D91">
            <v>113016.39999999997</v>
          </cell>
          <cell r="E91">
            <v>147222.22222222222</v>
          </cell>
          <cell r="F91">
            <v>99.141000000000005</v>
          </cell>
          <cell r="G91">
            <v>19950.0000000004</v>
          </cell>
          <cell r="H91">
            <v>116870.52083333331</v>
          </cell>
        </row>
        <row r="92">
          <cell r="B92">
            <v>107.997</v>
          </cell>
          <cell r="C92">
            <v>96.456000000000003</v>
          </cell>
          <cell r="D92">
            <v>111990.59999999998</v>
          </cell>
          <cell r="E92">
            <v>149305.55555555553</v>
          </cell>
          <cell r="F92">
            <v>98.957999999999998</v>
          </cell>
          <cell r="G92">
            <v>6224.9999999998809</v>
          </cell>
          <cell r="H92">
            <v>118524.34895833331</v>
          </cell>
        </row>
        <row r="93">
          <cell r="B93">
            <v>105.399</v>
          </cell>
          <cell r="C93">
            <v>93.858000000000004</v>
          </cell>
          <cell r="D93">
            <v>140958.29999999996</v>
          </cell>
          <cell r="E93">
            <v>150000</v>
          </cell>
          <cell r="F93">
            <v>99.263999999999996</v>
          </cell>
          <cell r="G93">
            <v>29174.999999999683</v>
          </cell>
          <cell r="H93">
            <v>119075.62500000006</v>
          </cell>
        </row>
        <row r="94">
          <cell r="B94">
            <v>93.471999999999994</v>
          </cell>
          <cell r="C94">
            <v>81.930999999999997</v>
          </cell>
          <cell r="D94">
            <v>273944.35000000003</v>
          </cell>
          <cell r="E94">
            <v>150694.44444444444</v>
          </cell>
          <cell r="F94">
            <v>101.05200000000001</v>
          </cell>
          <cell r="G94">
            <v>163275.00000000049</v>
          </cell>
          <cell r="H94">
            <v>119626.90104166674</v>
          </cell>
        </row>
        <row r="95">
          <cell r="B95">
            <v>93.86</v>
          </cell>
          <cell r="C95">
            <v>82.319000000000003</v>
          </cell>
          <cell r="D95">
            <v>269618.14999999997</v>
          </cell>
          <cell r="E95">
            <v>151388.88888888891</v>
          </cell>
          <cell r="F95">
            <v>100.836</v>
          </cell>
          <cell r="G95">
            <v>147074.99999999988</v>
          </cell>
          <cell r="H95">
            <v>120178.17708333331</v>
          </cell>
        </row>
        <row r="96">
          <cell r="B96">
            <v>90.274000000000001</v>
          </cell>
          <cell r="C96">
            <v>78.733000000000004</v>
          </cell>
          <cell r="D96">
            <v>309602.04999999993</v>
          </cell>
          <cell r="E96">
            <v>152083.33333333331</v>
          </cell>
          <cell r="F96">
            <v>101.08199999999999</v>
          </cell>
          <cell r="G96">
            <v>165524.99999999953</v>
          </cell>
          <cell r="H96">
            <v>120729.45312499997</v>
          </cell>
        </row>
        <row r="97">
          <cell r="B97">
            <v>90.576999999999998</v>
          </cell>
          <cell r="C97">
            <v>79.036000000000001</v>
          </cell>
          <cell r="D97">
            <v>306223.59999999998</v>
          </cell>
          <cell r="E97">
            <v>154166.66666666669</v>
          </cell>
          <cell r="F97">
            <v>100.89100000000001</v>
          </cell>
          <cell r="G97">
            <v>151200.00000000041</v>
          </cell>
          <cell r="H97">
            <v>122383.28125</v>
          </cell>
        </row>
        <row r="98">
          <cell r="B98">
            <v>87.994</v>
          </cell>
          <cell r="C98">
            <v>76.453000000000003</v>
          </cell>
          <cell r="D98">
            <v>335024.05</v>
          </cell>
          <cell r="E98">
            <v>154861.11111111109</v>
          </cell>
          <cell r="F98">
            <v>101.181</v>
          </cell>
          <cell r="G98">
            <v>172949.9999999998</v>
          </cell>
          <cell r="H98">
            <v>122934.55729166663</v>
          </cell>
        </row>
        <row r="99">
          <cell r="B99">
            <v>87.665999999999997</v>
          </cell>
          <cell r="C99">
            <v>76.125</v>
          </cell>
          <cell r="D99">
            <v>338681.25</v>
          </cell>
          <cell r="E99">
            <v>155555.55555555556</v>
          </cell>
          <cell r="F99">
            <v>101.105</v>
          </cell>
          <cell r="G99">
            <v>167250.00000000029</v>
          </cell>
          <cell r="H99">
            <v>123485.83333333331</v>
          </cell>
        </row>
        <row r="100">
          <cell r="B100">
            <v>86.896000000000001</v>
          </cell>
          <cell r="C100">
            <v>75.355000000000004</v>
          </cell>
          <cell r="D100">
            <v>347266.75</v>
          </cell>
          <cell r="E100">
            <v>156250</v>
          </cell>
          <cell r="F100">
            <v>101.108</v>
          </cell>
          <cell r="G100">
            <v>167475.00000000032</v>
          </cell>
          <cell r="H100">
            <v>124037.109375</v>
          </cell>
        </row>
        <row r="101">
          <cell r="B101">
            <v>87.465999999999994</v>
          </cell>
          <cell r="C101">
            <v>75.924999999999997</v>
          </cell>
          <cell r="D101">
            <v>340911.25000000006</v>
          </cell>
          <cell r="E101">
            <v>156944.44444444447</v>
          </cell>
          <cell r="F101">
            <v>101.53700000000001</v>
          </cell>
          <cell r="G101">
            <v>199650.00000000047</v>
          </cell>
          <cell r="H101">
            <v>124588.38541666669</v>
          </cell>
        </row>
        <row r="102">
          <cell r="B102">
            <v>86.453000000000003</v>
          </cell>
          <cell r="C102">
            <v>74.912000000000006</v>
          </cell>
          <cell r="D102">
            <v>352206.19999999995</v>
          </cell>
          <cell r="E102">
            <v>159027.77777777778</v>
          </cell>
          <cell r="F102">
            <v>101.44199999999999</v>
          </cell>
          <cell r="G102">
            <v>192524.99999999948</v>
          </cell>
          <cell r="H102">
            <v>126242.21354166669</v>
          </cell>
        </row>
        <row r="103">
          <cell r="B103">
            <v>86.744</v>
          </cell>
          <cell r="C103">
            <v>75.203000000000003</v>
          </cell>
          <cell r="D103">
            <v>348961.55</v>
          </cell>
          <cell r="E103">
            <v>159722.22222222222</v>
          </cell>
          <cell r="F103">
            <v>101.416</v>
          </cell>
          <cell r="G103">
            <v>190574.99999999977</v>
          </cell>
          <cell r="H103">
            <v>126793.48958333331</v>
          </cell>
        </row>
        <row r="104">
          <cell r="B104">
            <v>87.319000000000003</v>
          </cell>
          <cell r="C104">
            <v>75.778000000000006</v>
          </cell>
          <cell r="D104">
            <v>342550.3</v>
          </cell>
          <cell r="E104">
            <v>160416.66666666669</v>
          </cell>
          <cell r="F104">
            <v>101.27200000000001</v>
          </cell>
          <cell r="G104">
            <v>179775.00000000044</v>
          </cell>
          <cell r="H104">
            <v>127344.765625</v>
          </cell>
        </row>
        <row r="105">
          <cell r="B105">
            <v>90.153000000000006</v>
          </cell>
          <cell r="C105">
            <v>78.612000000000009</v>
          </cell>
          <cell r="D105">
            <v>310951.1999999999</v>
          </cell>
          <cell r="E105">
            <v>161111.11111111109</v>
          </cell>
          <cell r="F105">
            <v>101.16500000000001</v>
          </cell>
          <cell r="G105">
            <v>171750.00000000047</v>
          </cell>
          <cell r="H105">
            <v>127896.04166666674</v>
          </cell>
        </row>
        <row r="106">
          <cell r="B106">
            <v>89.828000000000003</v>
          </cell>
          <cell r="C106">
            <v>78.287000000000006</v>
          </cell>
          <cell r="D106">
            <v>314574.94999999995</v>
          </cell>
          <cell r="E106">
            <v>161805.55555555556</v>
          </cell>
          <cell r="F106">
            <v>101.099</v>
          </cell>
          <cell r="G106">
            <v>166800.00000000029</v>
          </cell>
          <cell r="H106">
            <v>128447.31770833331</v>
          </cell>
        </row>
        <row r="107">
          <cell r="B107">
            <v>89.350999999999999</v>
          </cell>
          <cell r="C107">
            <v>77.81</v>
          </cell>
          <cell r="D107">
            <v>319893.5</v>
          </cell>
          <cell r="E107">
            <v>163888.88888888888</v>
          </cell>
          <cell r="F107">
            <v>100.988</v>
          </cell>
          <cell r="G107">
            <v>158474.99999999997</v>
          </cell>
          <cell r="H107">
            <v>130101.14583333331</v>
          </cell>
        </row>
        <row r="108">
          <cell r="B108">
            <v>90.63</v>
          </cell>
          <cell r="C108">
            <v>79.088999999999999</v>
          </cell>
          <cell r="D108">
            <v>305632.65000000002</v>
          </cell>
          <cell r="E108">
            <v>164583.33333333334</v>
          </cell>
          <cell r="F108">
            <v>100.839</v>
          </cell>
          <cell r="G108">
            <v>147299.99999999991</v>
          </cell>
          <cell r="H108">
            <v>130652.42187500006</v>
          </cell>
        </row>
        <row r="109">
          <cell r="B109">
            <v>91.156999999999996</v>
          </cell>
          <cell r="C109">
            <v>79.616</v>
          </cell>
          <cell r="D109">
            <v>299756.60000000003</v>
          </cell>
          <cell r="E109">
            <v>165277.77777777778</v>
          </cell>
          <cell r="F109">
            <v>100.765</v>
          </cell>
          <cell r="G109">
            <v>141750.00000000006</v>
          </cell>
          <cell r="H109">
            <v>131203.69791666669</v>
          </cell>
        </row>
        <row r="110">
          <cell r="B110">
            <v>92.947000000000003</v>
          </cell>
          <cell r="C110">
            <v>81.406000000000006</v>
          </cell>
          <cell r="D110">
            <v>279798.09999999998</v>
          </cell>
          <cell r="E110">
            <v>165972.22222222225</v>
          </cell>
          <cell r="F110">
            <v>100.752</v>
          </cell>
          <cell r="G110">
            <v>140774.99999999965</v>
          </cell>
          <cell r="H110">
            <v>131754.97395833331</v>
          </cell>
        </row>
        <row r="111">
          <cell r="B111">
            <v>91.119</v>
          </cell>
          <cell r="C111">
            <v>79.578000000000003</v>
          </cell>
          <cell r="D111">
            <v>300180.29999999993</v>
          </cell>
          <cell r="E111">
            <v>166666.66666666666</v>
          </cell>
          <cell r="F111">
            <v>100.91200000000001</v>
          </cell>
          <cell r="G111">
            <v>152775.00000000047</v>
          </cell>
          <cell r="H111">
            <v>132306.25000000006</v>
          </cell>
        </row>
        <row r="112">
          <cell r="B112">
            <v>90.007000000000005</v>
          </cell>
          <cell r="C112">
            <v>78.466000000000008</v>
          </cell>
          <cell r="D112">
            <v>312579.09999999992</v>
          </cell>
          <cell r="E112">
            <v>168750.00000000003</v>
          </cell>
          <cell r="F112">
            <v>100.947</v>
          </cell>
          <cell r="G112">
            <v>155400.0000000002</v>
          </cell>
          <cell r="H112">
            <v>133960.07812500006</v>
          </cell>
        </row>
        <row r="113">
          <cell r="B113">
            <v>91.569000000000003</v>
          </cell>
          <cell r="C113">
            <v>80.028000000000006</v>
          </cell>
          <cell r="D113">
            <v>295162.79999999993</v>
          </cell>
          <cell r="E113">
            <v>169444.44444444444</v>
          </cell>
          <cell r="F113">
            <v>100.889</v>
          </cell>
          <cell r="G113">
            <v>151049.99999999968</v>
          </cell>
          <cell r="H113">
            <v>134511.35416666674</v>
          </cell>
        </row>
        <row r="114">
          <cell r="B114">
            <v>87.808000000000007</v>
          </cell>
          <cell r="C114">
            <v>76.26700000000001</v>
          </cell>
          <cell r="D114">
            <v>337097.9499999999</v>
          </cell>
          <cell r="E114">
            <v>170138.88888888891</v>
          </cell>
          <cell r="F114">
            <v>101.41200000000001</v>
          </cell>
          <cell r="G114">
            <v>190275.00000000047</v>
          </cell>
          <cell r="H114">
            <v>135062.63020833337</v>
          </cell>
        </row>
        <row r="115">
          <cell r="B115">
            <v>86.117000000000004</v>
          </cell>
          <cell r="C115">
            <v>74.576000000000008</v>
          </cell>
          <cell r="D115">
            <v>355952.59999999992</v>
          </cell>
          <cell r="E115">
            <v>170833.33333333334</v>
          </cell>
          <cell r="F115">
            <v>101.40300000000001</v>
          </cell>
          <cell r="G115">
            <v>189600.00000000044</v>
          </cell>
          <cell r="H115">
            <v>135613.90624999991</v>
          </cell>
        </row>
        <row r="116">
          <cell r="B116">
            <v>86.162999999999997</v>
          </cell>
          <cell r="C116">
            <v>74.622</v>
          </cell>
          <cell r="D116">
            <v>355439.7</v>
          </cell>
          <cell r="E116">
            <v>171527.77777777778</v>
          </cell>
          <cell r="F116">
            <v>101.20399999999999</v>
          </cell>
          <cell r="G116">
            <v>174674.99999999951</v>
          </cell>
          <cell r="H116">
            <v>136165.18229166663</v>
          </cell>
        </row>
        <row r="117">
          <cell r="B117">
            <v>87.177000000000007</v>
          </cell>
          <cell r="C117">
            <v>75.63600000000001</v>
          </cell>
          <cell r="D117">
            <v>344133.59999999986</v>
          </cell>
          <cell r="E117">
            <v>173611.11111111109</v>
          </cell>
          <cell r="F117">
            <v>101.069</v>
          </cell>
          <cell r="G117">
            <v>164550.0000000002</v>
          </cell>
          <cell r="H117">
            <v>137819.01041666669</v>
          </cell>
        </row>
        <row r="118">
          <cell r="B118">
            <v>87.98</v>
          </cell>
          <cell r="C118">
            <v>76.439000000000007</v>
          </cell>
          <cell r="D118">
            <v>335180.14999999997</v>
          </cell>
          <cell r="E118">
            <v>174305.55555555556</v>
          </cell>
          <cell r="F118">
            <v>100.705</v>
          </cell>
          <cell r="G118">
            <v>137249.99999999988</v>
          </cell>
          <cell r="H118">
            <v>138370.28645833331</v>
          </cell>
        </row>
        <row r="119">
          <cell r="B119">
            <v>87.575999999999993</v>
          </cell>
          <cell r="C119">
            <v>76.034999999999997</v>
          </cell>
          <cell r="D119">
            <v>339684.75000000006</v>
          </cell>
          <cell r="E119">
            <v>175000</v>
          </cell>
          <cell r="F119">
            <v>100.639</v>
          </cell>
          <cell r="G119">
            <v>132299.99999999968</v>
          </cell>
          <cell r="H119">
            <v>138921.56250000003</v>
          </cell>
        </row>
        <row r="120">
          <cell r="B120">
            <v>86.063000000000002</v>
          </cell>
          <cell r="C120">
            <v>74.522000000000006</v>
          </cell>
          <cell r="D120">
            <v>356554.69999999995</v>
          </cell>
          <cell r="E120">
            <v>175694.44444444447</v>
          </cell>
          <cell r="F120">
            <v>100.81</v>
          </cell>
          <cell r="G120">
            <v>145125.00000000017</v>
          </cell>
          <cell r="H120">
            <v>139472.83854166669</v>
          </cell>
        </row>
        <row r="121">
          <cell r="B121">
            <v>87.945999999999998</v>
          </cell>
          <cell r="C121">
            <v>76.405000000000001</v>
          </cell>
          <cell r="D121">
            <v>335559.25</v>
          </cell>
          <cell r="E121">
            <v>176388.88888888888</v>
          </cell>
          <cell r="F121">
            <v>100.098</v>
          </cell>
          <cell r="G121">
            <v>91724.999999999913</v>
          </cell>
          <cell r="H121">
            <v>140024.11458333331</v>
          </cell>
        </row>
        <row r="122">
          <cell r="B122">
            <v>87.602000000000004</v>
          </cell>
          <cell r="C122">
            <v>76.061000000000007</v>
          </cell>
          <cell r="D122">
            <v>339394.85</v>
          </cell>
          <cell r="E122">
            <v>178472.22222222222</v>
          </cell>
          <cell r="F122">
            <v>99.85</v>
          </cell>
          <cell r="G122">
            <v>73124.999999999563</v>
          </cell>
          <cell r="H122">
            <v>141677.94270833331</v>
          </cell>
        </row>
        <row r="123">
          <cell r="B123">
            <v>87.668999999999997</v>
          </cell>
          <cell r="C123">
            <v>76.128</v>
          </cell>
          <cell r="D123">
            <v>338647.80000000005</v>
          </cell>
          <cell r="E123">
            <v>179166.66666666666</v>
          </cell>
          <cell r="F123">
            <v>99.528999999999996</v>
          </cell>
          <cell r="G123">
            <v>49049.999999999724</v>
          </cell>
          <cell r="H123">
            <v>142229.21875000003</v>
          </cell>
        </row>
        <row r="124">
          <cell r="B124">
            <v>86.725999999999999</v>
          </cell>
          <cell r="C124">
            <v>75.185000000000002</v>
          </cell>
          <cell r="D124">
            <v>349162.24999999994</v>
          </cell>
          <cell r="E124">
            <v>179861.11111111109</v>
          </cell>
          <cell r="F124">
            <v>99.646000000000001</v>
          </cell>
          <cell r="G124">
            <v>57825.000000000058</v>
          </cell>
          <cell r="H124">
            <v>142780.49479166669</v>
          </cell>
        </row>
        <row r="125">
          <cell r="B125">
            <v>85.403000000000006</v>
          </cell>
          <cell r="C125">
            <v>73.862000000000009</v>
          </cell>
          <cell r="D125">
            <v>363913.69999999995</v>
          </cell>
          <cell r="E125">
            <v>180555.55555555556</v>
          </cell>
          <cell r="F125">
            <v>99.694000000000003</v>
          </cell>
          <cell r="G125">
            <v>61425.000000000189</v>
          </cell>
          <cell r="H125">
            <v>143331.77083333331</v>
          </cell>
        </row>
        <row r="126">
          <cell r="B126">
            <v>84.037000000000006</v>
          </cell>
          <cell r="C126">
            <v>72.496000000000009</v>
          </cell>
          <cell r="D126">
            <v>379144.59999999992</v>
          </cell>
          <cell r="E126">
            <v>181250</v>
          </cell>
          <cell r="F126">
            <v>99.968000000000004</v>
          </cell>
          <cell r="G126">
            <v>81975.000000000262</v>
          </cell>
          <cell r="H126">
            <v>143883.04687500006</v>
          </cell>
        </row>
        <row r="127">
          <cell r="B127">
            <v>82.215999999999994</v>
          </cell>
          <cell r="C127">
            <v>70.674999999999997</v>
          </cell>
          <cell r="D127">
            <v>399448.75000000006</v>
          </cell>
          <cell r="E127">
            <v>184027.77777777778</v>
          </cell>
          <cell r="F127">
            <v>100.405</v>
          </cell>
          <cell r="G127">
            <v>114750.00000000009</v>
          </cell>
          <cell r="H127">
            <v>146088.15104166669</v>
          </cell>
        </row>
        <row r="128">
          <cell r="B128">
            <v>81.616</v>
          </cell>
          <cell r="C128">
            <v>70.075000000000003</v>
          </cell>
          <cell r="D128">
            <v>406138.75</v>
          </cell>
          <cell r="E128">
            <v>184722.22222222222</v>
          </cell>
          <cell r="F128">
            <v>100.456</v>
          </cell>
          <cell r="G128">
            <v>118575.00000000025</v>
          </cell>
          <cell r="H128">
            <v>146639.42708333337</v>
          </cell>
        </row>
        <row r="129">
          <cell r="B129">
            <v>82.15</v>
          </cell>
          <cell r="C129">
            <v>70.609000000000009</v>
          </cell>
          <cell r="D129">
            <v>400184.64999999985</v>
          </cell>
          <cell r="E129">
            <v>185416.66666666669</v>
          </cell>
          <cell r="F129">
            <v>100.33199999999999</v>
          </cell>
          <cell r="G129">
            <v>109274.99999999953</v>
          </cell>
          <cell r="H129">
            <v>147190.70312499991</v>
          </cell>
        </row>
        <row r="130">
          <cell r="B130">
            <v>80.605000000000004</v>
          </cell>
          <cell r="C130">
            <v>69.064000000000007</v>
          </cell>
          <cell r="D130">
            <v>417411.39999999985</v>
          </cell>
          <cell r="E130">
            <v>186111.11111111112</v>
          </cell>
          <cell r="F130">
            <v>100.44499999999999</v>
          </cell>
          <cell r="G130">
            <v>117749.99999999949</v>
          </cell>
          <cell r="H130">
            <v>147741.97916666663</v>
          </cell>
        </row>
        <row r="131">
          <cell r="B131">
            <v>80.811000000000007</v>
          </cell>
          <cell r="C131">
            <v>69.27000000000001</v>
          </cell>
          <cell r="D131">
            <v>415114.49999999994</v>
          </cell>
          <cell r="E131">
            <v>188194.44444444444</v>
          </cell>
          <cell r="F131">
            <v>100.122</v>
          </cell>
          <cell r="G131">
            <v>93524.999999999985</v>
          </cell>
          <cell r="H131">
            <v>149395.80729166663</v>
          </cell>
        </row>
        <row r="132">
          <cell r="B132">
            <v>80.445999999999998</v>
          </cell>
          <cell r="C132">
            <v>68.905000000000001</v>
          </cell>
          <cell r="D132">
            <v>419184.25</v>
          </cell>
          <cell r="E132">
            <v>188888.88888888891</v>
          </cell>
          <cell r="F132">
            <v>100.27800000000001</v>
          </cell>
          <cell r="G132">
            <v>105225.00000000044</v>
          </cell>
          <cell r="H132">
            <v>149947.08333333331</v>
          </cell>
        </row>
        <row r="133">
          <cell r="B133">
            <v>80.825000000000003</v>
          </cell>
          <cell r="C133">
            <v>69.284000000000006</v>
          </cell>
          <cell r="D133">
            <v>414958.39999999997</v>
          </cell>
          <cell r="E133">
            <v>189583.33333333334</v>
          </cell>
          <cell r="F133">
            <v>100.143</v>
          </cell>
          <cell r="G133">
            <v>95100.000000000058</v>
          </cell>
          <cell r="H133">
            <v>150498.35937500006</v>
          </cell>
        </row>
        <row r="134">
          <cell r="B134">
            <v>81.290000000000006</v>
          </cell>
          <cell r="C134">
            <v>69.749000000000009</v>
          </cell>
          <cell r="D134">
            <v>409773.64999999991</v>
          </cell>
          <cell r="E134">
            <v>190277.77777777781</v>
          </cell>
          <cell r="F134">
            <v>100.092</v>
          </cell>
          <cell r="G134">
            <v>91274.999999999913</v>
          </cell>
          <cell r="H134">
            <v>151049.63541666674</v>
          </cell>
        </row>
        <row r="135">
          <cell r="B135">
            <v>80.876000000000005</v>
          </cell>
          <cell r="C135">
            <v>69.335000000000008</v>
          </cell>
          <cell r="D135">
            <v>414389.74999999994</v>
          </cell>
          <cell r="E135">
            <v>190972.22222222222</v>
          </cell>
          <cell r="F135">
            <v>99.968000000000004</v>
          </cell>
          <cell r="G135">
            <v>81975.000000000262</v>
          </cell>
          <cell r="H135">
            <v>151600.91145833331</v>
          </cell>
        </row>
        <row r="136">
          <cell r="B136">
            <v>82.263000000000005</v>
          </cell>
          <cell r="C136">
            <v>70.722000000000008</v>
          </cell>
          <cell r="D136">
            <v>398924.69999999995</v>
          </cell>
          <cell r="E136">
            <v>193055.55555555559</v>
          </cell>
          <cell r="F136">
            <v>99.656999999999996</v>
          </cell>
          <cell r="G136">
            <v>58649.999999999731</v>
          </cell>
          <cell r="H136">
            <v>153254.73958333331</v>
          </cell>
        </row>
        <row r="137">
          <cell r="B137">
            <v>80.555999999999997</v>
          </cell>
          <cell r="C137">
            <v>69.015000000000001</v>
          </cell>
          <cell r="D137">
            <v>417957.75</v>
          </cell>
          <cell r="E137">
            <v>193750</v>
          </cell>
          <cell r="F137">
            <v>99.733999999999995</v>
          </cell>
          <cell r="G137">
            <v>64424.9999999996</v>
          </cell>
          <cell r="H137">
            <v>153806.01562500009</v>
          </cell>
        </row>
        <row r="138">
          <cell r="B138">
            <v>81.403999999999996</v>
          </cell>
          <cell r="C138">
            <v>69.863</v>
          </cell>
          <cell r="D138">
            <v>408502.55000000005</v>
          </cell>
          <cell r="E138">
            <v>194444.44444444447</v>
          </cell>
          <cell r="F138">
            <v>99.510999999999996</v>
          </cell>
          <cell r="G138">
            <v>47699.99999999968</v>
          </cell>
          <cell r="H138">
            <v>154357.29166666669</v>
          </cell>
        </row>
        <row r="139">
          <cell r="B139">
            <v>81.363</v>
          </cell>
          <cell r="C139">
            <v>69.822000000000003</v>
          </cell>
          <cell r="D139">
            <v>408959.69999999995</v>
          </cell>
          <cell r="E139">
            <v>195138.88888888891</v>
          </cell>
          <cell r="F139">
            <v>99.412999999999997</v>
          </cell>
          <cell r="G139">
            <v>40349.999999999753</v>
          </cell>
          <cell r="H139">
            <v>154908.56770833331</v>
          </cell>
        </row>
        <row r="140">
          <cell r="B140">
            <v>79.02</v>
          </cell>
          <cell r="C140">
            <v>67.478999999999999</v>
          </cell>
          <cell r="D140">
            <v>435084.15</v>
          </cell>
          <cell r="E140">
            <v>195833.33333333331</v>
          </cell>
          <cell r="F140">
            <v>99.76</v>
          </cell>
          <cell r="G140">
            <v>66375.000000000378</v>
          </cell>
          <cell r="H140">
            <v>155459.84375000006</v>
          </cell>
        </row>
        <row r="141">
          <cell r="B141">
            <v>76.665000000000006</v>
          </cell>
          <cell r="C141">
            <v>65.124000000000009</v>
          </cell>
          <cell r="D141">
            <v>461342.39999999991</v>
          </cell>
          <cell r="E141">
            <v>197916.66666666669</v>
          </cell>
          <cell r="F141">
            <v>100.119</v>
          </cell>
          <cell r="G141">
            <v>93299.999999999985</v>
          </cell>
          <cell r="H141">
            <v>157113.67187500006</v>
          </cell>
        </row>
        <row r="142">
          <cell r="B142">
            <v>76.837000000000003</v>
          </cell>
          <cell r="C142">
            <v>65.296000000000006</v>
          </cell>
          <cell r="D142">
            <v>459424.6</v>
          </cell>
          <cell r="E142">
            <v>198611.11111111112</v>
          </cell>
          <cell r="F142">
            <v>100.053</v>
          </cell>
          <cell r="G142">
            <v>88349.999999999796</v>
          </cell>
          <cell r="H142">
            <v>157664.94791666669</v>
          </cell>
        </row>
        <row r="143">
          <cell r="B143">
            <v>76.94</v>
          </cell>
          <cell r="C143">
            <v>65.399000000000001</v>
          </cell>
          <cell r="D143">
            <v>458276.15</v>
          </cell>
          <cell r="E143">
            <v>199305.55555555556</v>
          </cell>
          <cell r="F143">
            <v>99.918999999999997</v>
          </cell>
          <cell r="G143">
            <v>78299.999999999782</v>
          </cell>
          <cell r="H143">
            <v>158216.22395833337</v>
          </cell>
        </row>
        <row r="144">
          <cell r="B144">
            <v>77.278999999999996</v>
          </cell>
          <cell r="C144">
            <v>65.738</v>
          </cell>
          <cell r="D144">
            <v>454496.3</v>
          </cell>
          <cell r="E144">
            <v>200000</v>
          </cell>
          <cell r="F144">
            <v>99.75</v>
          </cell>
          <cell r="G144">
            <v>65625</v>
          </cell>
          <cell r="H144">
            <v>158767.49999999991</v>
          </cell>
        </row>
        <row r="145">
          <cell r="B145">
            <v>77.209999999999994</v>
          </cell>
          <cell r="C145">
            <v>65.668999999999997</v>
          </cell>
          <cell r="D145">
            <v>455265.65</v>
          </cell>
          <cell r="E145">
            <v>200694.44444444444</v>
          </cell>
          <cell r="F145">
            <v>99.72</v>
          </cell>
          <cell r="G145">
            <v>63374.999999999913</v>
          </cell>
          <cell r="H145">
            <v>159318.77604166669</v>
          </cell>
        </row>
        <row r="146">
          <cell r="B146">
            <v>77.066999999999993</v>
          </cell>
          <cell r="C146">
            <v>65.525999999999996</v>
          </cell>
          <cell r="D146">
            <v>456860.10000000003</v>
          </cell>
          <cell r="E146">
            <v>202777.77777777775</v>
          </cell>
          <cell r="F146">
            <v>99.722999999999999</v>
          </cell>
          <cell r="G146">
            <v>63599.99999999992</v>
          </cell>
          <cell r="H146">
            <v>160972.60416666663</v>
          </cell>
        </row>
        <row r="147">
          <cell r="B147">
            <v>77.346999999999994</v>
          </cell>
          <cell r="C147">
            <v>65.805999999999997</v>
          </cell>
          <cell r="D147">
            <v>453738.10000000009</v>
          </cell>
          <cell r="E147">
            <v>203472.22222222225</v>
          </cell>
          <cell r="F147">
            <v>99.656000000000006</v>
          </cell>
          <cell r="G147">
            <v>58575.000000000444</v>
          </cell>
          <cell r="H147">
            <v>161523.88020833331</v>
          </cell>
        </row>
        <row r="148">
          <cell r="B148">
            <v>77.504000000000005</v>
          </cell>
          <cell r="C148">
            <v>65.963000000000008</v>
          </cell>
          <cell r="D148">
            <v>451987.54999999993</v>
          </cell>
          <cell r="E148">
            <v>204166.66666666666</v>
          </cell>
          <cell r="F148">
            <v>99.7</v>
          </cell>
          <cell r="G148">
            <v>61875.000000000211</v>
          </cell>
          <cell r="H148">
            <v>162075.15624999997</v>
          </cell>
        </row>
        <row r="149">
          <cell r="B149">
            <v>76.893000000000001</v>
          </cell>
          <cell r="C149">
            <v>65.352000000000004</v>
          </cell>
          <cell r="D149">
            <v>458800.2</v>
          </cell>
          <cell r="E149">
            <v>204861.11111111112</v>
          </cell>
          <cell r="F149">
            <v>100.012</v>
          </cell>
          <cell r="G149">
            <v>85275.000000000044</v>
          </cell>
          <cell r="H149">
            <v>162626.43229166674</v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</row>
        <row r="231">
          <cell r="B231"/>
          <cell r="C231"/>
          <cell r="D231"/>
          <cell r="E231"/>
          <cell r="F231"/>
          <cell r="G231"/>
          <cell r="H231"/>
        </row>
        <row r="232">
          <cell r="B232"/>
          <cell r="C232"/>
          <cell r="D232"/>
          <cell r="E232"/>
          <cell r="F232"/>
          <cell r="G232"/>
          <cell r="H232"/>
        </row>
        <row r="233">
          <cell r="B233"/>
          <cell r="C233"/>
          <cell r="D233"/>
          <cell r="E233"/>
          <cell r="F233"/>
          <cell r="G233"/>
          <cell r="H233"/>
        </row>
        <row r="234">
          <cell r="B234"/>
          <cell r="C234"/>
          <cell r="D234"/>
          <cell r="E234"/>
          <cell r="F234"/>
          <cell r="G234"/>
          <cell r="H234"/>
        </row>
        <row r="235">
          <cell r="B235"/>
          <cell r="C235"/>
          <cell r="D235"/>
          <cell r="E235"/>
          <cell r="F235"/>
          <cell r="G235"/>
          <cell r="H235"/>
        </row>
        <row r="236">
          <cell r="B236"/>
          <cell r="C236"/>
          <cell r="D236"/>
          <cell r="E236"/>
          <cell r="F236"/>
          <cell r="G236"/>
          <cell r="H236"/>
        </row>
        <row r="237">
          <cell r="B237"/>
          <cell r="C237"/>
          <cell r="D237"/>
          <cell r="E237"/>
          <cell r="F237"/>
          <cell r="G237"/>
          <cell r="H237"/>
        </row>
        <row r="238">
          <cell r="B238"/>
          <cell r="C238"/>
          <cell r="D238"/>
          <cell r="E238"/>
          <cell r="F238"/>
          <cell r="G238"/>
          <cell r="H238"/>
        </row>
        <row r="239">
          <cell r="B239"/>
          <cell r="C239"/>
          <cell r="D239"/>
          <cell r="E239"/>
          <cell r="F239"/>
          <cell r="G239"/>
          <cell r="H239"/>
        </row>
        <row r="240">
          <cell r="B240"/>
          <cell r="C240"/>
          <cell r="D240"/>
          <cell r="E240"/>
          <cell r="F240"/>
          <cell r="G240"/>
          <cell r="H240"/>
        </row>
        <row r="241">
          <cell r="B241"/>
          <cell r="C241"/>
          <cell r="D241"/>
          <cell r="E241"/>
          <cell r="F241"/>
          <cell r="G241"/>
          <cell r="H241"/>
        </row>
        <row r="242">
          <cell r="B242"/>
          <cell r="C242"/>
          <cell r="D242"/>
          <cell r="E242"/>
          <cell r="F242"/>
          <cell r="G242"/>
          <cell r="H242"/>
        </row>
        <row r="243">
          <cell r="B243"/>
          <cell r="C243"/>
          <cell r="D243"/>
          <cell r="E243"/>
          <cell r="F243"/>
          <cell r="G243"/>
          <cell r="H243"/>
        </row>
        <row r="244">
          <cell r="B244"/>
          <cell r="C244"/>
          <cell r="D244"/>
          <cell r="E244"/>
          <cell r="F244"/>
          <cell r="G244"/>
          <cell r="H244"/>
        </row>
        <row r="245">
          <cell r="B245"/>
          <cell r="C245"/>
          <cell r="D245"/>
          <cell r="E245"/>
          <cell r="F245"/>
          <cell r="G245"/>
          <cell r="H245"/>
        </row>
        <row r="246">
          <cell r="B246"/>
          <cell r="C246"/>
          <cell r="D246"/>
          <cell r="E246"/>
          <cell r="F246"/>
          <cell r="G246"/>
          <cell r="H246"/>
        </row>
        <row r="247">
          <cell r="B247"/>
          <cell r="C247"/>
          <cell r="D247"/>
          <cell r="E247"/>
          <cell r="F247"/>
          <cell r="G247"/>
          <cell r="H247"/>
        </row>
        <row r="248">
          <cell r="B248"/>
          <cell r="C248"/>
          <cell r="D248"/>
          <cell r="E248"/>
          <cell r="F248"/>
          <cell r="G248"/>
          <cell r="H248"/>
        </row>
        <row r="249">
          <cell r="B249"/>
          <cell r="C249"/>
          <cell r="D249"/>
          <cell r="E249"/>
          <cell r="F249"/>
          <cell r="G249"/>
          <cell r="H249"/>
        </row>
        <row r="250">
          <cell r="B250"/>
          <cell r="C250"/>
          <cell r="D250"/>
          <cell r="E250"/>
          <cell r="F250"/>
          <cell r="G250"/>
          <cell r="H250"/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ZK885444@BGN%20Cor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ZK885444@BGN%20Cor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ZK885444@BGN%20Cor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mailto:ZK885444@BGN%20Corp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mailto:ZK885444@BGN%20Corp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ZK885444@BGN%20Co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"/>
  <sheetViews>
    <sheetView showGridLines="0" workbookViewId="0">
      <selection activeCell="X28" sqref="X28"/>
    </sheetView>
  </sheetViews>
  <sheetFormatPr defaultRowHeight="15" x14ac:dyDescent="0.25"/>
  <cols>
    <col min="1" max="1" width="12" customWidth="1"/>
    <col min="2" max="5" width="11" customWidth="1"/>
    <col min="6" max="7" width="16" customWidth="1"/>
  </cols>
  <sheetData>
    <row r="1" spans="1:2" ht="18.75" x14ac:dyDescent="0.3">
      <c r="A1" s="51" t="s">
        <v>47</v>
      </c>
    </row>
    <row r="2" spans="1:2" x14ac:dyDescent="0.25">
      <c r="A2" s="52" t="s">
        <v>48</v>
      </c>
    </row>
    <row r="4" spans="1:2" x14ac:dyDescent="0.25">
      <c r="A4" s="53" t="s">
        <v>49</v>
      </c>
    </row>
    <row r="5" spans="1:2" x14ac:dyDescent="0.25">
      <c r="A5" s="54" t="s">
        <v>50</v>
      </c>
      <c r="B5" s="55">
        <f>'13a (2)'!A14</f>
        <v>46113.625</v>
      </c>
    </row>
    <row r="6" spans="1:2" x14ac:dyDescent="0.25">
      <c r="A6" s="54" t="s">
        <v>51</v>
      </c>
      <c r="B6" s="59">
        <v>46189.625</v>
      </c>
    </row>
    <row r="7" spans="1:2" x14ac:dyDescent="0.25">
      <c r="A7" s="54" t="s">
        <v>52</v>
      </c>
      <c r="B7" s="56">
        <f>'13a (2)'!B14</f>
        <v>306.2</v>
      </c>
    </row>
    <row r="8" spans="1:2" x14ac:dyDescent="0.25">
      <c r="A8" s="54" t="s">
        <v>53</v>
      </c>
      <c r="B8" s="57">
        <f>'13a (2)'!G3</f>
        <v>200</v>
      </c>
    </row>
    <row r="9" spans="1:2" x14ac:dyDescent="0.25">
      <c r="A9" s="54" t="s">
        <v>54</v>
      </c>
      <c r="B9" s="57">
        <f>'13a (2)'!I3</f>
        <v>489</v>
      </c>
    </row>
    <row r="10" spans="1:2" x14ac:dyDescent="0.25">
      <c r="A10" s="54" t="s">
        <v>55</v>
      </c>
      <c r="B10" s="56">
        <f>IFERROR(VLOOKUP($B$6,'13a (2)'!$O:$P,2,FALSE),"")</f>
        <v>314.16000000000003</v>
      </c>
    </row>
    <row r="11" spans="1:2" x14ac:dyDescent="0.25">
      <c r="A11" s="54" t="s">
        <v>56</v>
      </c>
      <c r="B11" s="56">
        <f>IFERROR(VLOOKUP($B$6,'13a (2)'!$AI:$AJ,2,FALSE),"")</f>
        <v>315.8</v>
      </c>
    </row>
    <row r="12" spans="1:2" x14ac:dyDescent="0.25">
      <c r="A12" s="54" t="s">
        <v>57</v>
      </c>
      <c r="B12" s="56">
        <f>'13a (2)'!E14</f>
        <v>99.774000000000001</v>
      </c>
    </row>
    <row r="13" spans="1:2" x14ac:dyDescent="0.25">
      <c r="A13" s="54" t="s">
        <v>58</v>
      </c>
      <c r="B13" s="57">
        <f>'13a (2)'!C5</f>
        <v>26000000</v>
      </c>
    </row>
    <row r="14" spans="1:2" x14ac:dyDescent="0.25">
      <c r="A14" s="54" t="s">
        <v>59</v>
      </c>
      <c r="B14" s="58">
        <f>'13a (2)'!C6</f>
        <v>2.4E-2</v>
      </c>
    </row>
    <row r="15" spans="1:2" x14ac:dyDescent="0.25">
      <c r="A15" s="54" t="s">
        <v>60</v>
      </c>
      <c r="B15" s="58">
        <f>'13a (2)'!C7</f>
        <v>2.4E-2</v>
      </c>
    </row>
    <row r="16" spans="1:2" x14ac:dyDescent="0.25">
      <c r="A16" s="54" t="s">
        <v>61</v>
      </c>
      <c r="B16" s="56">
        <f>'13a (2)'!I14</f>
        <v>264.18</v>
      </c>
    </row>
    <row r="17" spans="1:7" x14ac:dyDescent="0.25">
      <c r="A17" s="54" t="s">
        <v>62</v>
      </c>
      <c r="B17" s="57">
        <f>'13a (2)'!D5</f>
        <v>18700000</v>
      </c>
    </row>
    <row r="20" spans="1:7" ht="30" customHeight="1" x14ac:dyDescent="0.25">
      <c r="A20" s="60" t="s">
        <v>24</v>
      </c>
      <c r="B20" s="60" t="s">
        <v>63</v>
      </c>
      <c r="C20" s="60" t="s">
        <v>64</v>
      </c>
      <c r="D20" s="60" t="s">
        <v>65</v>
      </c>
      <c r="E20" s="60" t="s">
        <v>66</v>
      </c>
      <c r="F20" s="60" t="s">
        <v>67</v>
      </c>
      <c r="G20" s="60" t="s">
        <v>68</v>
      </c>
    </row>
    <row r="21" spans="1:7" x14ac:dyDescent="0.25">
      <c r="A21" s="61">
        <v>46113.625</v>
      </c>
      <c r="B21" s="62">
        <f>IFERROR(VLOOKUP($A21,'13a (2)'!$O:$P,2,FALSE),"")</f>
        <v>306.24</v>
      </c>
      <c r="C21" s="62" t="str">
        <f>IFERROR(VLOOKUP($A21,'13a (2)'!$AI:$AJ,2,FALSE),"")</f>
        <v/>
      </c>
      <c r="D21" s="62">
        <f>IFERROR(VLOOKUP($A21,'13a (2)'!$Q:$R,2,FALSE),"")</f>
        <v>99.510999999999996</v>
      </c>
      <c r="E21" s="62">
        <f>IFERROR(VLOOKUP(INT($A21),'13a (2)'!$X:$Y,2,FALSE),"")</f>
        <v>258.79109999999997</v>
      </c>
      <c r="F21" s="63">
        <v>0</v>
      </c>
      <c r="G21" s="63">
        <v>0</v>
      </c>
    </row>
    <row r="22" spans="1:7" x14ac:dyDescent="0.25">
      <c r="A22" s="61">
        <v>46120.625</v>
      </c>
      <c r="B22" s="62">
        <f>IFERROR(VLOOKUP($A22,'13a (2)'!$O:$P,2,FALSE),"")</f>
        <v>309.58</v>
      </c>
      <c r="C22" s="62" t="str">
        <f>IFERROR(VLOOKUP($A22,'13a (2)'!$AI:$AJ,2,FALSE),"")</f>
        <v/>
      </c>
      <c r="D22" s="62">
        <f>IFERROR(VLOOKUP($A22,'13a (2)'!$Q:$R,2,FALSE),"")</f>
        <v>99.777000000000001</v>
      </c>
      <c r="E22" s="62">
        <f>IFERROR(VLOOKUP(INT($A22),'13a (2)'!$X:$Y,2,FALSE),"")</f>
        <v>262.38350000000003</v>
      </c>
      <c r="F22" s="63">
        <f ca="1">IF($A22&lt;=$B$6,IFERROR(VLOOKUP($A22,'13a (2)'!$A:$M,13,FALSE),""),IFERROR(($B$10-$B$7)*$B$8*$B$9+($C22-$B$11)*$B$8*$B$9-($D22-$B$12)/100*$B$13-((INT($A22)-INT($B$5))/360*$B$14*$B$13-(INT($A22)-INT($B$5))/360*$B$15*$B$13*$B$12/100)-($E22/$B$16-1)*$B$17,""))</f>
        <v>456921.95833204384</v>
      </c>
      <c r="G22" s="63">
        <f ca="1">IFERROR(VLOOKUP($A22,'13 (2)'!$A:$M,13,FALSE),"")</f>
        <v>-57103.010336743755</v>
      </c>
    </row>
    <row r="23" spans="1:7" x14ac:dyDescent="0.25">
      <c r="A23" s="61">
        <v>46122.625</v>
      </c>
      <c r="B23" s="62">
        <f>IFERROR(VLOOKUP($A23,'13a (2)'!$O:$P,2,FALSE),"")</f>
        <v>309.45999999999998</v>
      </c>
      <c r="C23" s="62" t="str">
        <f>IFERROR(VLOOKUP($A23,'13a (2)'!$AI:$AJ,2,FALSE),"")</f>
        <v/>
      </c>
      <c r="D23" s="62">
        <f>IFERROR(VLOOKUP($A23,'13a (2)'!$Q:$R,2,FALSE),"")</f>
        <v>99.55</v>
      </c>
      <c r="E23" s="62">
        <f>IFERROR(VLOOKUP(INT($A23),'13a (2)'!$X:$Y,2,FALSE),"")</f>
        <v>263.29309999999998</v>
      </c>
      <c r="F23" s="63">
        <f ca="1">IF($A23&lt;=$B$6,IFERROR(VLOOKUP($A23,'13a (2)'!$A:$M,13,FALSE),""),IFERROR(($B$10-$B$7)*$B$8*$B$9+($C23-$B$11)*$B$8*$B$9-($D23-$B$12)/100*$B$13-((INT($A23)-INT($B$5))/360*$B$14*$B$13-(INT($A23)-INT($B$5))/360*$B$15*$B$13*$B$12/100)-($E23/$B$16-1)*$B$17,""))</f>
        <v>439812.02327928215</v>
      </c>
      <c r="G23" s="63">
        <f ca="1">IFERROR(VLOOKUP($A23,'13 (2)'!$A:$M,13,FALSE),"")</f>
        <v>-4304.3949704127735</v>
      </c>
    </row>
    <row r="24" spans="1:7" x14ac:dyDescent="0.25">
      <c r="A24" s="61">
        <v>46126.625</v>
      </c>
      <c r="B24" s="62">
        <f>IFERROR(VLOOKUP($A24,'13a (2)'!$O:$P,2,FALSE),"")</f>
        <v>309.89999999999998</v>
      </c>
      <c r="C24" s="62" t="str">
        <f>IFERROR(VLOOKUP($A24,'13a (2)'!$AI:$AJ,2,FALSE),"")</f>
        <v/>
      </c>
      <c r="D24" s="62">
        <f>IFERROR(VLOOKUP($A24,'13a (2)'!$Q:$R,2,FALSE),"")</f>
        <v>99.619</v>
      </c>
      <c r="E24" s="62">
        <f>IFERROR(VLOOKUP(INT($A24),'13a (2)'!$X:$Y,2,FALSE),"")</f>
        <v>264.6927</v>
      </c>
      <c r="F24" s="63">
        <f ca="1">IF($A24&lt;=$B$6,IFERROR(VLOOKUP($A24,'13a (2)'!$A:$M,13,FALSE),""),IFERROR(($B$10-$B$7)*$B$8*$B$9+($C24-$B$11)*$B$8*$B$9-($D24-$B$12)/100*$B$13-((INT($A24)-INT($B$5))/360*$B$14*$B$13-(INT($A24)-INT($B$5))/360*$B$15*$B$13*$B$12/100)-($E24/$B$16-1)*$B$17,""))</f>
        <v>365817.56887516228</v>
      </c>
      <c r="G24" s="63">
        <f ca="1">IFERROR(VLOOKUP($A24,'13 (2)'!$A:$M,13,FALSE),"")</f>
        <v>-130164.18270786572</v>
      </c>
    </row>
    <row r="25" spans="1:7" x14ac:dyDescent="0.25">
      <c r="A25" s="61">
        <v>46127.625</v>
      </c>
      <c r="B25" s="62">
        <f>IFERROR(VLOOKUP($A25,'13a (2)'!$O:$P,2,FALSE),"")</f>
        <v>310.42</v>
      </c>
      <c r="C25" s="62" t="str">
        <f>IFERROR(VLOOKUP($A25,'13a (2)'!$AI:$AJ,2,FALSE),"")</f>
        <v/>
      </c>
      <c r="D25" s="62">
        <f>IFERROR(VLOOKUP($A25,'13a (2)'!$Q:$R,2,FALSE),"")</f>
        <v>99.653999999999996</v>
      </c>
      <c r="E25" s="62">
        <f>IFERROR(VLOOKUP(INT($A25),'13a (2)'!$X:$Y,2,FALSE),"")</f>
        <v>264.62900000000002</v>
      </c>
      <c r="F25" s="63">
        <f ca="1">IF($A25&lt;=$B$6,IFERROR(VLOOKUP($A25,'13a (2)'!$A:$M,13,FALSE),""),IFERROR(($B$10-$B$7)*$B$8*$B$9+($C25-$B$11)*$B$8*$B$9-($D25-$B$12)/100*$B$13-((INT($A25)-INT($B$5))/360*$B$14*$B$13-(INT($A25)-INT($B$5))/360*$B$15*$B$13*$B$12/100)-($E25/$B$16-1)*$B$17,""))</f>
        <v>412078.66055084026</v>
      </c>
      <c r="G25" s="63">
        <f ca="1">IFERROR(VLOOKUP($A25,'13 (2)'!$A:$M,13,FALSE),"")</f>
        <v>-94143.223201587971</v>
      </c>
    </row>
    <row r="26" spans="1:7" x14ac:dyDescent="0.25">
      <c r="A26" s="61">
        <v>46128.625</v>
      </c>
      <c r="B26" s="62">
        <f>IFERROR(VLOOKUP($A26,'13a (2)'!$O:$P,2,FALSE),"")</f>
        <v>310.64</v>
      </c>
      <c r="C26" s="62" t="str">
        <f>IFERROR(VLOOKUP($A26,'13a (2)'!$AI:$AJ,2,FALSE),"")</f>
        <v/>
      </c>
      <c r="D26" s="62">
        <f>IFERROR(VLOOKUP($A26,'13a (2)'!$Q:$R,2,FALSE),"")</f>
        <v>99.677000000000007</v>
      </c>
      <c r="E26" s="62">
        <f>IFERROR(VLOOKUP(INT($A26),'13a (2)'!$X:$Y,2,FALSE),"")</f>
        <v>264.24419999999998</v>
      </c>
      <c r="F26" s="63">
        <f ca="1">IF($A26&lt;=$B$6,IFERROR(VLOOKUP($A26,'13a (2)'!$A:$M,13,FALSE),""),IFERROR(($B$10-$B$7)*$B$8*$B$9+($C26-$B$11)*$B$8*$B$9-($D26-$B$12)/100*$B$13-((INT($A26)-INT($B$5))/360*$B$14*$B$13-(INT($A26)-INT($B$5))/360*$B$15*$B$13*$B$12/100)-($E26/$B$16-1)*$B$17,""))</f>
        <v>454848.83845559735</v>
      </c>
      <c r="G26" s="63">
        <f ca="1">IFERROR(VLOOKUP($A26,'13 (2)'!$A:$M,13,FALSE),"")</f>
        <v>-84979.886591069095</v>
      </c>
    </row>
    <row r="27" spans="1:7" x14ac:dyDescent="0.25">
      <c r="A27" s="61">
        <v>46129.625</v>
      </c>
      <c r="B27" s="62">
        <f>IFERROR(VLOOKUP($A27,'13a (2)'!$O:$P,2,FALSE),"")</f>
        <v>312.38</v>
      </c>
      <c r="C27" s="62" t="str">
        <f>IFERROR(VLOOKUP($A27,'13a (2)'!$AI:$AJ,2,FALSE),"")</f>
        <v/>
      </c>
      <c r="D27" s="62">
        <f>IFERROR(VLOOKUP($A27,'13a (2)'!$Q:$R,2,FALSE),"")</f>
        <v>99.953999999999994</v>
      </c>
      <c r="E27" s="62">
        <f>IFERROR(VLOOKUP(INT($A27),'13a (2)'!$X:$Y,2,FALSE),"")</f>
        <v>265.60180000000003</v>
      </c>
      <c r="F27" s="63">
        <f ca="1">IF($A27&lt;=$B$6,IFERROR(VLOOKUP($A27,'13a (2)'!$A:$M,13,FALSE),""),IFERROR(($B$10-$B$7)*$B$8*$B$9+($C27-$B$11)*$B$8*$B$9-($D27-$B$12)/100*$B$13-((INT($A27)-INT($B$5))/360*$B$14*$B$13-(INT($A27)-INT($B$5))/360*$B$15*$B$13*$B$12/100)-($E27/$B$16-1)*$B$17,""))</f>
        <v>456899.10902445595</v>
      </c>
      <c r="G27" s="63">
        <f ca="1">IFERROR(VLOOKUP($A27,'13 (2)'!$A:$M,13,FALSE),"")</f>
        <v>-74130.636738873116</v>
      </c>
    </row>
    <row r="28" spans="1:7" x14ac:dyDescent="0.25">
      <c r="A28" s="61">
        <v>46132.625</v>
      </c>
      <c r="B28" s="62">
        <f>IFERROR(VLOOKUP($A28,'13a (2)'!$O:$P,2,FALSE),"")</f>
        <v>311.66000000000003</v>
      </c>
      <c r="C28" s="62" t="str">
        <f>IFERROR(VLOOKUP($A28,'13a (2)'!$AI:$AJ,2,FALSE),"")</f>
        <v/>
      </c>
      <c r="D28" s="62">
        <f>IFERROR(VLOOKUP($A28,'13a (2)'!$Q:$R,2,FALSE),"")</f>
        <v>99.831000000000003</v>
      </c>
      <c r="E28" s="62">
        <f>IFERROR(VLOOKUP(INT($A28),'13a (2)'!$X:$Y,2,FALSE),"")</f>
        <v>265.2414</v>
      </c>
      <c r="F28" s="63">
        <f ca="1">IF($A28&lt;=$B$6,IFERROR(VLOOKUP($A28,'13a (2)'!$A:$M,13,FALSE),""),IFERROR(($B$10-$B$7)*$B$8*$B$9+($C28-$B$11)*$B$8*$B$9-($D28-$B$12)/100*$B$13-((INT($A28)-INT($B$5))/360*$B$14*$B$13-(INT($A28)-INT($B$5))/360*$B$15*$B$13*$B$12/100)-($E28/$B$16-1)*$B$17,""))</f>
        <v>443962.29653539503</v>
      </c>
      <c r="G28" s="63">
        <f ca="1">IFERROR(VLOOKUP($A28,'13 (2)'!$A:$M,13,FALSE),"")</f>
        <v>-125395.69815733007</v>
      </c>
    </row>
    <row r="29" spans="1:7" x14ac:dyDescent="0.25">
      <c r="A29" s="61">
        <v>46133.625</v>
      </c>
      <c r="B29" s="62">
        <f>IFERROR(VLOOKUP($A29,'13a (2)'!$O:$P,2,FALSE),"")</f>
        <v>311.39999999999998</v>
      </c>
      <c r="C29" s="62" t="str">
        <f>IFERROR(VLOOKUP($A29,'13a (2)'!$AI:$AJ,2,FALSE),"")</f>
        <v/>
      </c>
      <c r="D29" s="62">
        <f>IFERROR(VLOOKUP($A29,'13a (2)'!$Q:$R,2,FALSE),"")</f>
        <v>99.707999999999998</v>
      </c>
      <c r="E29" s="62">
        <f>IFERROR(VLOOKUP(INT($A29),'13a (2)'!$X:$Y,2,FALSE),"")</f>
        <v>264.60359999999997</v>
      </c>
      <c r="F29" s="63">
        <f ca="1">IF($A29&lt;=$B$6,IFERROR(VLOOKUP($A29,'13a (2)'!$A:$M,13,FALSE),""),IFERROR(($B$10-$B$7)*$B$8*$B$9+($C29-$B$11)*$B$8*$B$9-($D29-$B$12)/100*$B$13-((INT($A29)-INT($B$5))/360*$B$14*$B$13-(INT($A29)-INT($B$5))/360*$B$15*$B$13*$B$12/100)-($E29/$B$16-1)*$B$17,""))</f>
        <v>495657.09734877758</v>
      </c>
      <c r="G29" s="63">
        <f ca="1">IFERROR(VLOOKUP($A29,'13 (2)'!$A:$M,13,FALSE),"")</f>
        <v>-76834.585239703418</v>
      </c>
    </row>
    <row r="30" spans="1:7" x14ac:dyDescent="0.25">
      <c r="A30" s="61">
        <v>46134.625</v>
      </c>
      <c r="B30" s="62">
        <f>IFERROR(VLOOKUP($A30,'13a (2)'!$O:$P,2,FALSE),"")</f>
        <v>310.62</v>
      </c>
      <c r="C30" s="62" t="str">
        <f>IFERROR(VLOOKUP($A30,'13a (2)'!$AI:$AJ,2,FALSE),"")</f>
        <v/>
      </c>
      <c r="D30" s="62">
        <f>IFERROR(VLOOKUP($A30,'13a (2)'!$Q:$R,2,FALSE),"")</f>
        <v>99.655000000000001</v>
      </c>
      <c r="E30" s="62">
        <f>IFERROR(VLOOKUP(INT($A30),'13a (2)'!$X:$Y,2,FALSE),"")</f>
        <v>264.55340000000001</v>
      </c>
      <c r="F30" s="63">
        <f ca="1">IF($A30&lt;=$B$6,IFERROR(VLOOKUP($A30,'13a (2)'!$A:$M,13,FALSE),""),IFERROR(($B$10-$B$7)*$B$8*$B$9+($C30-$B$11)*$B$8*$B$9-($D30-$B$12)/100*$B$13-((INT($A30)-INT($B$5))/360*$B$14*$B$13-(INT($A30)-INT($B$5))/360*$B$15*$B$13*$B$12/100)-($E30/$B$16-1)*$B$17,""))</f>
        <v>436702.59056885471</v>
      </c>
      <c r="G30" s="63">
        <f ca="1">IFERROR(VLOOKUP($A30,'13 (2)'!$A:$M,13,FALSE),"")</f>
        <v>-84772.610595083679</v>
      </c>
    </row>
    <row r="31" spans="1:7" x14ac:dyDescent="0.25">
      <c r="A31" s="61">
        <v>46136.625</v>
      </c>
      <c r="B31" s="62">
        <f>IFERROR(VLOOKUP($A31,'13a (2)'!$O:$P,2,FALSE),"")</f>
        <v>310.48</v>
      </c>
      <c r="C31" s="62" t="str">
        <f>IFERROR(VLOOKUP($A31,'13a (2)'!$AI:$AJ,2,FALSE),"")</f>
        <v/>
      </c>
      <c r="D31" s="62">
        <f>IFERROR(VLOOKUP($A31,'13a (2)'!$Q:$R,2,FALSE),"")</f>
        <v>99.637</v>
      </c>
      <c r="E31" s="62">
        <f>IFERROR(VLOOKUP(INT($A31),'13a (2)'!$X:$Y,2,FALSE),"")</f>
        <v>264.2679</v>
      </c>
      <c r="F31" s="63">
        <f ca="1">IF($A31&lt;=$B$6,IFERROR(VLOOKUP($A31,'13a (2)'!$A:$M,13,FALSE),""),IFERROR(($B$10-$B$7)*$B$8*$B$9+($C31-$B$11)*$B$8*$B$9-($D31-$B$12)/100*$B$13-((INT($A31)-INT($B$5))/360*$B$14*$B$13-(INT($A31)-INT($B$5))/360*$B$15*$B$13*$B$12/100)-($E31/$B$16-1)*$B$17,""))</f>
        <v>447891.8936113292</v>
      </c>
      <c r="G31" s="63">
        <f ca="1">IFERROR(VLOOKUP($A31,'13 (2)'!$A:$M,13,FALSE),"")</f>
        <v>-67602.14353957976</v>
      </c>
    </row>
    <row r="32" spans="1:7" x14ac:dyDescent="0.25">
      <c r="A32" s="61">
        <v>46139.625</v>
      </c>
      <c r="B32" s="62">
        <f>IFERROR(VLOOKUP($A32,'13a (2)'!$O:$P,2,FALSE),"")</f>
        <v>310.7</v>
      </c>
      <c r="C32" s="62" t="str">
        <f>IFERROR(VLOOKUP($A32,'13a (2)'!$AI:$AJ,2,FALSE),"")</f>
        <v/>
      </c>
      <c r="D32" s="62">
        <f>IFERROR(VLOOKUP($A32,'13a (2)'!$Q:$R,2,FALSE),"")</f>
        <v>99.608000000000004</v>
      </c>
      <c r="E32" s="62">
        <f>IFERROR(VLOOKUP(INT($A32),'13a (2)'!$X:$Y,2,FALSE),"")</f>
        <v>264.16750000000002</v>
      </c>
      <c r="F32" s="63">
        <f ca="1">IF($A32&lt;=$B$6,IFERROR(VLOOKUP($A32,'13a (2)'!$A:$M,13,FALSE),""),IFERROR(($B$10-$B$7)*$B$8*$B$9+($C32-$B$11)*$B$8*$B$9-($D32-$B$12)/100*$B$13-((INT($A32)-INT($B$5))/360*$B$14*$B$13-(INT($A32)-INT($B$5))/360*$B$15*$B$13*$B$12/100)-($E32/$B$16-1)*$B$17,""))</f>
        <v>484042.96271814441</v>
      </c>
      <c r="G32" s="63">
        <f ca="1">IFERROR(VLOOKUP($A32,'13 (2)'!$A:$M,13,FALSE),"")</f>
        <v>-46415.397151551362</v>
      </c>
    </row>
    <row r="33" spans="1:7" x14ac:dyDescent="0.25">
      <c r="A33" s="61">
        <v>46140.625</v>
      </c>
      <c r="B33" s="62">
        <f>IFERROR(VLOOKUP($A33,'13a (2)'!$O:$P,2,FALSE),"")</f>
        <v>309.88</v>
      </c>
      <c r="C33" s="62" t="str">
        <f>IFERROR(VLOOKUP($A33,'13a (2)'!$AI:$AJ,2,FALSE),"")</f>
        <v/>
      </c>
      <c r="D33" s="62">
        <f>IFERROR(VLOOKUP($A33,'13a (2)'!$Q:$R,2,FALSE),"")</f>
        <v>99.456000000000003</v>
      </c>
      <c r="E33" s="62">
        <f>IFERROR(VLOOKUP(INT($A33),'13a (2)'!$X:$Y,2,FALSE),"")</f>
        <v>263.87139999999999</v>
      </c>
      <c r="F33" s="63">
        <f ca="1">IF($A33&lt;=$B$6,IFERROR(VLOOKUP($A33,'13a (2)'!$A:$M,13,FALSE),""),IFERROR(($B$10-$B$7)*$B$8*$B$9+($C33-$B$11)*$B$8*$B$9-($D33-$B$12)/100*$B$13-((INT($A33)-INT($B$5))/360*$B$14*$B$13-(INT($A33)-INT($B$5))/360*$B$15*$B$13*$B$12/100)-($E33/$B$16-1)*$B$17,""))</f>
        <v>464322.50484427332</v>
      </c>
      <c r="G33" s="63">
        <f ca="1">IFERROR(VLOOKUP($A33,'13 (2)'!$A:$M,13,FALSE),"")</f>
        <v>-80384.929327241844</v>
      </c>
    </row>
    <row r="34" spans="1:7" x14ac:dyDescent="0.25">
      <c r="A34" s="61">
        <v>46141.625</v>
      </c>
      <c r="B34" s="62">
        <f>IFERROR(VLOOKUP($A34,'13a (2)'!$O:$P,2,FALSE),"")</f>
        <v>309.58</v>
      </c>
      <c r="C34" s="62" t="str">
        <f>IFERROR(VLOOKUP($A34,'13a (2)'!$AI:$AJ,2,FALSE),"")</f>
        <v/>
      </c>
      <c r="D34" s="62">
        <f>IFERROR(VLOOKUP($A34,'13a (2)'!$Q:$R,2,FALSE),"")</f>
        <v>99.296000000000006</v>
      </c>
      <c r="E34" s="62">
        <f>IFERROR(VLOOKUP(INT($A34),'13a (2)'!$X:$Y,2,FALSE),"")</f>
        <v>263.29599999999999</v>
      </c>
      <c r="F34" s="63">
        <f ca="1">IF($A34&lt;=$B$6,IFERROR(VLOOKUP($A34,'13a (2)'!$A:$M,13,FALSE),""),IFERROR(($B$10-$B$7)*$B$8*$B$9+($C34-$B$11)*$B$8*$B$9-($D34-$B$12)/100*$B$13-((INT($A34)-INT($B$5))/360*$B$14*$B$13-(INT($A34)-INT($B$5))/360*$B$15*$B$13*$B$12/100)-($E34/$B$16-1)*$B$17,""))</f>
        <v>517308.31724066817</v>
      </c>
      <c r="G34" s="63">
        <f ca="1">IFERROR(VLOOKUP($A34,'13 (2)'!$A:$M,13,FALSE),"")</f>
        <v>22791.734977945453</v>
      </c>
    </row>
    <row r="35" spans="1:7" x14ac:dyDescent="0.25">
      <c r="A35" s="61">
        <v>46142.625</v>
      </c>
      <c r="B35" s="62">
        <f>IFERROR(VLOOKUP($A35,'13a (2)'!$O:$P,2,FALSE),"")</f>
        <v>310</v>
      </c>
      <c r="C35" s="62" t="str">
        <f>IFERROR(VLOOKUP($A35,'13a (2)'!$AI:$AJ,2,FALSE),"")</f>
        <v/>
      </c>
      <c r="D35" s="62">
        <f>IFERROR(VLOOKUP($A35,'13a (2)'!$Q:$R,2,FALSE),"")</f>
        <v>99.435000000000002</v>
      </c>
      <c r="E35" s="62">
        <f>IFERROR(VLOOKUP(INT($A35),'13a (2)'!$X:$Y,2,FALSE),"")</f>
        <v>263.72019999999998</v>
      </c>
      <c r="F35" s="63">
        <f ca="1">IF($A35&lt;=$B$6,IFERROR(VLOOKUP($A35,'13a (2)'!$A:$M,13,FALSE),""),IFERROR(($B$10-$B$7)*$B$8*$B$9+($C35-$B$11)*$B$8*$B$9-($D35-$B$12)/100*$B$13-((INT($A35)-INT($B$5))/360*$B$14*$B$13-(INT($A35)-INT($B$5))/360*$B$15*$B$13*$B$12/100)-($E35/$B$16-1)*$B$17,""))</f>
        <v>492213.37288031162</v>
      </c>
      <c r="G35" s="63">
        <f ca="1">IFERROR(VLOOKUP($A35,'13 (2)'!$A:$M,13,FALSE),"")</f>
        <v>-29116.696114233095</v>
      </c>
    </row>
    <row r="36" spans="1:7" x14ac:dyDescent="0.25">
      <c r="A36" s="61">
        <v>46147.625</v>
      </c>
      <c r="B36" s="62">
        <f>IFERROR(VLOOKUP($A36,'13a (2)'!$O:$P,2,FALSE),"")</f>
        <v>310.38</v>
      </c>
      <c r="C36" s="62" t="str">
        <f>IFERROR(VLOOKUP($A36,'13a (2)'!$AI:$AJ,2,FALSE),"")</f>
        <v/>
      </c>
      <c r="D36" s="62">
        <f>IFERROR(VLOOKUP($A36,'13a (2)'!$Q:$R,2,FALSE),"")</f>
        <v>99.343000000000004</v>
      </c>
      <c r="E36" s="62">
        <f>IFERROR(VLOOKUP(INT($A36),'13a (2)'!$X:$Y,2,FALSE),"")</f>
        <v>264.5573</v>
      </c>
      <c r="F36" s="63">
        <f ca="1">IF($A36&lt;=$B$6,IFERROR(VLOOKUP($A36,'13a (2)'!$A:$M,13,FALSE),""),IFERROR(($B$10-$B$7)*$B$8*$B$9+($C36-$B$11)*$B$8*$B$9-($D36-$B$12)/100*$B$13-((INT($A36)-INT($B$5))/360*$B$14*$B$13-(INT($A36)-INT($B$5))/360*$B$15*$B$13*$B$12/100)-($E36/$B$16-1)*$B$17,""))</f>
        <v>494023.60345945897</v>
      </c>
      <c r="G36" s="63">
        <f ca="1">IFERROR(VLOOKUP($A36,'13 (2)'!$A:$M,13,FALSE),"")</f>
        <v>-49158.777639327993</v>
      </c>
    </row>
    <row r="37" spans="1:7" x14ac:dyDescent="0.25">
      <c r="A37" s="61">
        <v>46148.625</v>
      </c>
      <c r="B37" s="62">
        <f>IFERROR(VLOOKUP($A37,'13a (2)'!$O:$P,2,FALSE),"")</f>
        <v>311.94</v>
      </c>
      <c r="C37" s="62" t="str">
        <f>IFERROR(VLOOKUP($A37,'13a (2)'!$AI:$AJ,2,FALSE),"")</f>
        <v/>
      </c>
      <c r="D37" s="62">
        <f>IFERROR(VLOOKUP($A37,'13a (2)'!$Q:$R,2,FALSE),"")</f>
        <v>99.63</v>
      </c>
      <c r="E37" s="62">
        <f>IFERROR(VLOOKUP(INT($A37),'13a (2)'!$X:$Y,2,FALSE),"")</f>
        <v>266.11750000000001</v>
      </c>
      <c r="F37" s="63">
        <f ca="1">IF($A37&lt;=$B$6,IFERROR(VLOOKUP($A37,'13a (2)'!$A:$M,13,FALSE),""),IFERROR(($B$10-$B$7)*$B$8*$B$9+($C37-$B$11)*$B$8*$B$9-($D37-$B$12)/100*$B$13-((INT($A37)-INT($B$5))/360*$B$14*$B$13-(INT($A37)-INT($B$5))/360*$B$15*$B$13*$B$12/100)-($E37/$B$16-1)*$B$17,""))</f>
        <v>461528.81868726166</v>
      </c>
      <c r="G37" s="63">
        <f ca="1">IFERROR(VLOOKUP($A37,'13 (2)'!$A:$M,13,FALSE),"")</f>
        <v>-65133.091089098307</v>
      </c>
    </row>
    <row r="38" spans="1:7" x14ac:dyDescent="0.25">
      <c r="A38" s="61">
        <v>46149.625</v>
      </c>
      <c r="B38" s="62">
        <f>IFERROR(VLOOKUP($A38,'13a (2)'!$O:$P,2,FALSE),"")</f>
        <v>312.06</v>
      </c>
      <c r="C38" s="62" t="str">
        <f>IFERROR(VLOOKUP($A38,'13a (2)'!$AI:$AJ,2,FALSE),"")</f>
        <v/>
      </c>
      <c r="D38" s="62">
        <f>IFERROR(VLOOKUP($A38,'13a (2)'!$Q:$R,2,FALSE),"")</f>
        <v>99.650999999999996</v>
      </c>
      <c r="E38" s="62">
        <f>IFERROR(VLOOKUP(INT($A38),'13a (2)'!$X:$Y,2,FALSE),"")</f>
        <v>265.79050000000001</v>
      </c>
      <c r="F38" s="63">
        <f ca="1">IF($A38&lt;=$B$6,IFERROR(VLOOKUP($A38,'13a (2)'!$A:$M,13,FALSE),""),IFERROR(($B$10-$B$7)*$B$8*$B$9+($C38-$B$11)*$B$8*$B$9-($D38-$B$12)/100*$B$13-((INT($A38)-INT($B$5))/360*$B$14*$B$13-(INT($A38)-INT($B$5))/360*$B$15*$B$13*$B$12/100)-($E38/$B$16-1)*$B$17,""))</f>
        <v>490947.61950064718</v>
      </c>
      <c r="G38" s="63">
        <f ca="1">IFERROR(VLOOKUP($A38,'13 (2)'!$A:$M,13,FALSE),"")</f>
        <v>-56246.962249651711</v>
      </c>
    </row>
    <row r="39" spans="1:7" x14ac:dyDescent="0.25">
      <c r="A39" s="61">
        <v>46150.625</v>
      </c>
      <c r="B39" s="62">
        <f>IFERROR(VLOOKUP($A39,'13a (2)'!$O:$P,2,FALSE),"")</f>
        <v>312.38</v>
      </c>
      <c r="C39" s="62" t="str">
        <f>IFERROR(VLOOKUP($A39,'13a (2)'!$AI:$AJ,2,FALSE),"")</f>
        <v/>
      </c>
      <c r="D39" s="62">
        <f>IFERROR(VLOOKUP($A39,'13a (2)'!$Q:$R,2,FALSE),"")</f>
        <v>99.58</v>
      </c>
      <c r="E39" s="62">
        <f>IFERROR(VLOOKUP(INT($A39),'13a (2)'!$X:$Y,2,FALSE),"")</f>
        <v>265.83870000000002</v>
      </c>
      <c r="F39" s="63">
        <f ca="1">IF($A39&lt;=$B$6,IFERROR(VLOOKUP($A39,'13a (2)'!$A:$M,13,FALSE),""),IFERROR(($B$10-$B$7)*$B$8*$B$9+($C39-$B$11)*$B$8*$B$9-($D39-$B$12)/100*$B$13-((INT($A39)-INT($B$5))/360*$B$14*$B$13-(INT($A39)-INT($B$5))/360*$B$15*$B$13*$B$12/100)-($E39/$B$16-1)*$B$17,""))</f>
        <v>537287.86175546865</v>
      </c>
      <c r="G39" s="63">
        <f ca="1">IFERROR(VLOOKUP($A39,'13 (2)'!$A:$M,13,FALSE),"")</f>
        <v>-40116.884007860368</v>
      </c>
    </row>
    <row r="40" spans="1:7" x14ac:dyDescent="0.25">
      <c r="A40" s="61">
        <v>46154.625</v>
      </c>
      <c r="B40" s="62">
        <f>IFERROR(VLOOKUP($A40,'13a (2)'!$O:$P,2,FALSE),"")</f>
        <v>311.7</v>
      </c>
      <c r="C40" s="62" t="str">
        <f>IFERROR(VLOOKUP($A40,'13a (2)'!$AI:$AJ,2,FALSE),"")</f>
        <v/>
      </c>
      <c r="D40" s="62">
        <f>IFERROR(VLOOKUP($A40,'13a (2)'!$Q:$R,2,FALSE),"")</f>
        <v>99.322999999999993</v>
      </c>
      <c r="E40" s="62">
        <f>IFERROR(VLOOKUP(INT($A40),'13a (2)'!$X:$Y,2,FALSE),"")</f>
        <v>265.19240000000002</v>
      </c>
      <c r="F40" s="63">
        <f ca="1">IF($A40&lt;=$B$6,IFERROR(VLOOKUP($A40,'13a (2)'!$A:$M,13,FALSE),""),IFERROR(($B$10-$B$7)*$B$8*$B$9+($C40-$B$11)*$B$8*$B$9-($D40-$B$12)/100*$B$13-((INT($A40)-INT($B$5))/360*$B$14*$B$13-(INT($A40)-INT($B$5))/360*$B$15*$B$13*$B$12/100)-($E40/$B$16-1)*$B$17,""))</f>
        <v>583336.58367052802</v>
      </c>
      <c r="G40" s="63">
        <f ca="1">IFERROR(VLOOKUP($A40,'13 (2)'!$A:$M,13,FALSE),"")</f>
        <v>24072.472730228736</v>
      </c>
    </row>
    <row r="41" spans="1:7" x14ac:dyDescent="0.25">
      <c r="A41" s="61">
        <v>46155.625</v>
      </c>
      <c r="B41" s="62">
        <f>IFERROR(VLOOKUP($A41,'13a (2)'!$O:$P,2,FALSE),"")</f>
        <v>311.88</v>
      </c>
      <c r="C41" s="62" t="str">
        <f>IFERROR(VLOOKUP($A41,'13a (2)'!$AI:$AJ,2,FALSE),"")</f>
        <v/>
      </c>
      <c r="D41" s="62">
        <f>IFERROR(VLOOKUP($A41,'13a (2)'!$Q:$R,2,FALSE),"")</f>
        <v>99.292000000000002</v>
      </c>
      <c r="E41" s="62">
        <f>IFERROR(VLOOKUP(INT($A41),'13a (2)'!$X:$Y,2,FALSE),"")</f>
        <v>265.76659999999998</v>
      </c>
      <c r="F41" s="63">
        <f ca="1">IF($A41&lt;=$B$6,IFERROR(VLOOKUP($A41,'13a (2)'!$A:$M,13,FALSE),""),IFERROR(($B$10-$B$7)*$B$8*$B$9+($C41-$B$11)*$B$8*$B$9-($D41-$B$12)/100*$B$13-((INT($A41)-INT($B$5))/360*$B$14*$B$13-(INT($A41)-INT($B$5))/360*$B$15*$B$13*$B$12/100)-($E41/$B$16-1)*$B$17,""))</f>
        <v>568351.87869240833</v>
      </c>
      <c r="G41" s="63">
        <f ca="1">IFERROR(VLOOKUP($A41,'13 (2)'!$A:$M,13,FALSE),"")</f>
        <v>-842.05762031723862</v>
      </c>
    </row>
    <row r="42" spans="1:7" x14ac:dyDescent="0.25">
      <c r="A42" s="61">
        <v>46157.625</v>
      </c>
      <c r="B42" s="62">
        <f>IFERROR(VLOOKUP($A42,'13a (2)'!$O:$P,2,FALSE),"")</f>
        <v>311.48</v>
      </c>
      <c r="C42" s="62" t="str">
        <f>IFERROR(VLOOKUP($A42,'13a (2)'!$AI:$AJ,2,FALSE),"")</f>
        <v/>
      </c>
      <c r="D42" s="62">
        <f>IFERROR(VLOOKUP($A42,'13a (2)'!$Q:$R,2,FALSE),"")</f>
        <v>99.259</v>
      </c>
      <c r="E42" s="62">
        <f>IFERROR(VLOOKUP(INT($A42),'13a (2)'!$X:$Y,2,FALSE),"")</f>
        <v>265.51639999999998</v>
      </c>
      <c r="F42" s="63">
        <f ca="1">IF($A42&lt;=$B$6,IFERROR(VLOOKUP($A42,'13a (2)'!$A:$M,13,FALSE),""),IFERROR(($B$10-$B$7)*$B$8*$B$9+($C42-$B$11)*$B$8*$B$9-($D42-$B$12)/100*$B$13-((INT($A42)-INT($B$5))/360*$B$14*$B$13-(INT($A42)-INT($B$5))/360*$B$15*$B$13*$B$12/100)-($E42/$B$16-1)*$B$17,""))</f>
        <v>555514.46873617161</v>
      </c>
      <c r="G42" s="63">
        <f ca="1">IFERROR(VLOOKUP($A42,'13 (2)'!$A:$M,13,FALSE),"")</f>
        <v>11141.357795869422</v>
      </c>
    </row>
    <row r="43" spans="1:7" x14ac:dyDescent="0.25">
      <c r="A43" s="61">
        <v>46161.625</v>
      </c>
      <c r="B43" s="62">
        <f>IFERROR(VLOOKUP($A43,'13a (2)'!$O:$P,2,FALSE),"")</f>
        <v>311.22000000000003</v>
      </c>
      <c r="C43" s="62" t="str">
        <f>IFERROR(VLOOKUP($A43,'13a (2)'!$AI:$AJ,2,FALSE),"")</f>
        <v/>
      </c>
      <c r="D43" s="62">
        <f>IFERROR(VLOOKUP($A43,'13a (2)'!$Q:$R,2,FALSE),"")</f>
        <v>99.180999999999997</v>
      </c>
      <c r="E43" s="62">
        <f>IFERROR(VLOOKUP(INT($A43),'13a (2)'!$X:$Y,2,FALSE),"")</f>
        <v>265.08920000000001</v>
      </c>
      <c r="F43" s="63">
        <f ca="1">IF($A43&lt;=$B$6,IFERROR(VLOOKUP($A43,'13a (2)'!$A:$M,13,FALSE),""),IFERROR(($B$10-$B$7)*$B$8*$B$9+($C43-$B$11)*$B$8*$B$9-($D43-$B$12)/100*$B$13-((INT($A43)-INT($B$5))/360*$B$14*$B$13-(INT($A43)-INT($B$5))/360*$B$15*$B$13*$B$12/100)-($E43/$B$16-1)*$B$17,""))</f>
        <v>580590.18164221861</v>
      </c>
      <c r="G43" s="63">
        <f ca="1">IFERROR(VLOOKUP($A43,'13 (2)'!$A:$M,13,FALSE),"")</f>
        <v>-95425.882045056976</v>
      </c>
    </row>
    <row r="44" spans="1:7" x14ac:dyDescent="0.25">
      <c r="A44" s="61">
        <v>46162.625</v>
      </c>
      <c r="B44" s="62">
        <f>IFERROR(VLOOKUP($A44,'13a (2)'!$O:$P,2,FALSE),"")</f>
        <v>311.52</v>
      </c>
      <c r="C44" s="62" t="str">
        <f>IFERROR(VLOOKUP($A44,'13a (2)'!$AI:$AJ,2,FALSE),"")</f>
        <v/>
      </c>
      <c r="D44" s="62">
        <f>IFERROR(VLOOKUP($A44,'13a (2)'!$Q:$R,2,FALSE),"")</f>
        <v>99.39</v>
      </c>
      <c r="E44" s="62">
        <f>IFERROR(VLOOKUP(INT($A44),'13a (2)'!$X:$Y,2,FALSE),"")</f>
        <v>266.18329999999997</v>
      </c>
      <c r="F44" s="63">
        <f ca="1">IF($A44&lt;=$B$6,IFERROR(VLOOKUP($A44,'13a (2)'!$A:$M,13,FALSE),""),IFERROR(($B$10-$B$7)*$B$8*$B$9+($C44-$B$11)*$B$8*$B$9-($D44-$B$12)/100*$B$13-((INT($A44)-INT($B$5))/360*$B$14*$B$13-(INT($A44)-INT($B$5))/360*$B$15*$B$13*$B$12/100)-($E44/$B$16-1)*$B$17,""))</f>
        <v>478140.31836293638</v>
      </c>
      <c r="G44" s="63">
        <f ca="1">IFERROR(VLOOKUP($A44,'13 (2)'!$A:$M,13,FALSE),"")</f>
        <v>-153658.18429069553</v>
      </c>
    </row>
    <row r="45" spans="1:7" x14ac:dyDescent="0.25">
      <c r="A45" s="61">
        <v>46163.625</v>
      </c>
      <c r="B45" s="62">
        <f>IFERROR(VLOOKUP($A45,'13a (2)'!$O:$P,2,FALSE),"")</f>
        <v>311.18</v>
      </c>
      <c r="C45" s="62" t="str">
        <f>IFERROR(VLOOKUP($A45,'13a (2)'!$AI:$AJ,2,FALSE),"")</f>
        <v/>
      </c>
      <c r="D45" s="62">
        <f>IFERROR(VLOOKUP($A45,'13a (2)'!$Q:$R,2,FALSE),"")</f>
        <v>99.37</v>
      </c>
      <c r="E45" s="62">
        <f>IFERROR(VLOOKUP(INT($A45),'13a (2)'!$X:$Y,2,FALSE),"")</f>
        <v>265.81610000000001</v>
      </c>
      <c r="F45" s="63">
        <f ca="1">IF($A45&lt;=$B$6,IFERROR(VLOOKUP($A45,'13a (2)'!$A:$M,13,FALSE),""),IFERROR(($B$10-$B$7)*$B$8*$B$9+($C45-$B$11)*$B$8*$B$9-($D45-$B$12)/100*$B$13-((INT($A45)-INT($B$5))/360*$B$14*$B$13-(INT($A45)-INT($B$5))/360*$B$15*$B$13*$B$12/100)-($E45/$B$16-1)*$B$17,""))</f>
        <v>476076.67902188038</v>
      </c>
      <c r="G45" s="63">
        <f ca="1">IFERROR(VLOOKUP($A45,'13 (2)'!$A:$M,13,FALSE),"")</f>
        <v>-95030.633082360771</v>
      </c>
    </row>
    <row r="46" spans="1:7" x14ac:dyDescent="0.25">
      <c r="A46" s="61">
        <v>46168.625</v>
      </c>
      <c r="B46" s="62">
        <f>IFERROR(VLOOKUP($A46,'13a (2)'!$O:$P,2,FALSE),"")</f>
        <v>312.5</v>
      </c>
      <c r="C46" s="62" t="str">
        <f>IFERROR(VLOOKUP($A46,'13a (2)'!$AI:$AJ,2,FALSE),"")</f>
        <v/>
      </c>
      <c r="D46" s="62">
        <f>IFERROR(VLOOKUP($A46,'13a (2)'!$Q:$R,2,FALSE),"")</f>
        <v>99.56</v>
      </c>
      <c r="E46" s="62">
        <f>IFERROR(VLOOKUP(INT($A46),'13a (2)'!$X:$Y,2,FALSE),"")</f>
        <v>267.40750000000003</v>
      </c>
      <c r="F46" s="63">
        <f ca="1">IF($A46&lt;=$B$6,IFERROR(VLOOKUP($A46,'13a (2)'!$A:$M,13,FALSE),""),IFERROR(($B$10-$B$7)*$B$8*$B$9+($C46-$B$11)*$B$8*$B$9-($D46-$B$12)/100*$B$13-((INT($A46)-INT($B$5))/360*$B$14*$B$13-(INT($A46)-INT($B$5))/360*$B$15*$B$13*$B$12/100)-($E46/$B$16-1)*$B$17,""))</f>
        <v>443105.73070784856</v>
      </c>
      <c r="G46" s="63">
        <f ca="1">IFERROR(VLOOKUP($A46,'13 (2)'!$A:$M,13,FALSE),"")</f>
        <v>-149549.1525321459</v>
      </c>
    </row>
    <row r="47" spans="1:7" x14ac:dyDescent="0.25">
      <c r="A47" s="61">
        <v>46169.625</v>
      </c>
      <c r="B47" s="62">
        <f>IFERROR(VLOOKUP($A47,'13a (2)'!$O:$P,2,FALSE),"")</f>
        <v>312.83999999999997</v>
      </c>
      <c r="C47" s="62" t="str">
        <f>IFERROR(VLOOKUP($A47,'13a (2)'!$AI:$AJ,2,FALSE),"")</f>
        <v/>
      </c>
      <c r="D47" s="62">
        <f>IFERROR(VLOOKUP($A47,'13a (2)'!$Q:$R,2,FALSE),"")</f>
        <v>99.588999999999999</v>
      </c>
      <c r="E47" s="62">
        <f>IFERROR(VLOOKUP(INT($A47),'13a (2)'!$X:$Y,2,FALSE),"")</f>
        <v>267.66390000000001</v>
      </c>
      <c r="F47" s="63">
        <f ca="1">IF($A47&lt;=$B$6,IFERROR(VLOOKUP($A47,'13a (2)'!$A:$M,13,FALSE),""),IFERROR(($B$10-$B$7)*$B$8*$B$9+($C47-$B$11)*$B$8*$B$9-($D47-$B$12)/100*$B$13-((INT($A47)-INT($B$5))/360*$B$14*$B$13-(INT($A47)-INT($B$5))/360*$B$15*$B$13*$B$12/100)-($E47/$B$16-1)*$B$17,""))</f>
        <v>450664.52122522378</v>
      </c>
      <c r="G47" s="63">
        <f ca="1">IFERROR(VLOOKUP($A47,'13 (2)'!$A:$M,13,FALSE),"")</f>
        <v>-154391.51010598356</v>
      </c>
    </row>
    <row r="48" spans="1:7" x14ac:dyDescent="0.25">
      <c r="A48" s="61">
        <v>46170.625</v>
      </c>
      <c r="B48" s="62">
        <f>IFERROR(VLOOKUP($A48,'13a (2)'!$O:$P,2,FALSE),"")</f>
        <v>312.7</v>
      </c>
      <c r="C48" s="62" t="str">
        <f>IFERROR(VLOOKUP($A48,'13a (2)'!$AI:$AJ,2,FALSE),"")</f>
        <v/>
      </c>
      <c r="D48" s="62">
        <f>IFERROR(VLOOKUP($A48,'13a (2)'!$Q:$R,2,FALSE),"")</f>
        <v>99.653999999999996</v>
      </c>
      <c r="E48" s="62">
        <f>IFERROR(VLOOKUP(INT($A48),'13a (2)'!$X:$Y,2,FALSE),"")</f>
        <v>268.21620000000001</v>
      </c>
      <c r="F48" s="63">
        <f ca="1">IF($A48&lt;=$B$6,IFERROR(VLOOKUP($A48,'13a (2)'!$A:$M,13,FALSE),""),IFERROR(($B$10-$B$7)*$B$8*$B$9+($C48-$B$11)*$B$8*$B$9-($D48-$B$12)/100*$B$13-((INT($A48)-INT($B$5))/360*$B$14*$B$13-(INT($A48)-INT($B$5))/360*$B$15*$B$13*$B$12/100)-($E48/$B$16-1)*$B$17,""))</f>
        <v>380974.00929729792</v>
      </c>
      <c r="G48" s="63">
        <f ca="1">IFERROR(VLOOKUP($A48,'13 (2)'!$A:$M,13,FALSE),"")</f>
        <v>-173068.32352360652</v>
      </c>
    </row>
    <row r="49" spans="1:7" x14ac:dyDescent="0.25">
      <c r="A49" s="61">
        <v>46171.625</v>
      </c>
      <c r="B49" s="62">
        <f>IFERROR(VLOOKUP($A49,'13a (2)'!$O:$P,2,FALSE),"")</f>
        <v>313.77999999999997</v>
      </c>
      <c r="C49" s="62" t="str">
        <f>IFERROR(VLOOKUP($A49,'13a (2)'!$AI:$AJ,2,FALSE),"")</f>
        <v/>
      </c>
      <c r="D49" s="62">
        <f>IFERROR(VLOOKUP($A49,'13a (2)'!$Q:$R,2,FALSE),"")</f>
        <v>99.679000000000002</v>
      </c>
      <c r="E49" s="62">
        <f>IFERROR(VLOOKUP(INT($A49),'13a (2)'!$X:$Y,2,FALSE),"")</f>
        <v>268.76229999999998</v>
      </c>
      <c r="F49" s="63">
        <f ca="1">IF($A49&lt;=$B$6,IFERROR(VLOOKUP($A49,'13a (2)'!$A:$M,13,FALSE),""),IFERROR(($B$10-$B$7)*$B$8*$B$9+($C49-$B$11)*$B$8*$B$9-($D49-$B$12)/100*$B$13-((INT($A49)-INT($B$5))/360*$B$14*$B$13-(INT($A49)-INT($B$5))/360*$B$15*$B$13*$B$12/100)-($E49/$B$16-1)*$B$17,""))</f>
        <v>441438.36480823782</v>
      </c>
      <c r="G49" s="63">
        <f ca="1">IFERROR(VLOOKUP($A49,'13 (2)'!$A:$M,13,FALSE),"")</f>
        <v>-171023.76154145307</v>
      </c>
    </row>
    <row r="50" spans="1:7" x14ac:dyDescent="0.25">
      <c r="A50" s="61">
        <v>46174.625</v>
      </c>
      <c r="B50" s="62">
        <f>IFERROR(VLOOKUP($A50,'13a (2)'!$O:$P,2,FALSE),"")</f>
        <v>312.83999999999997</v>
      </c>
      <c r="C50" s="62" t="str">
        <f>IFERROR(VLOOKUP($A50,'13a (2)'!$AI:$AJ,2,FALSE),"")</f>
        <v/>
      </c>
      <c r="D50" s="62">
        <f>IFERROR(VLOOKUP($A50,'13a (2)'!$Q:$R,2,FALSE),"")</f>
        <v>99.450999999999993</v>
      </c>
      <c r="E50" s="62">
        <f>IFERROR(VLOOKUP(INT($A50),'13a (2)'!$X:$Y,2,FALSE),"")</f>
        <v>268.39839999999998</v>
      </c>
      <c r="F50" s="63">
        <f ca="1">IF($A50&lt;=$B$6,IFERROR(VLOOKUP($A50,'13a (2)'!$A:$M,13,FALSE),""),IFERROR(($B$10-$B$7)*$B$8*$B$9+($C50-$B$11)*$B$8*$B$9-($D50-$B$12)/100*$B$13-((INT($A50)-INT($B$5))/360*$B$14*$B$13-(INT($A50)-INT($B$5))/360*$B$15*$B$13*$B$12/100)-($E50/$B$16-1)*$B$17,""))</f>
        <v>434533.30006692617</v>
      </c>
      <c r="G50" s="63">
        <f ca="1">IFERROR(VLOOKUP($A50,'13 (2)'!$A:$M,13,FALSE),"")</f>
        <v>-158505.21268882323</v>
      </c>
    </row>
    <row r="51" spans="1:7" x14ac:dyDescent="0.25">
      <c r="A51" s="61">
        <v>46176.625</v>
      </c>
      <c r="B51" s="62">
        <f>IFERROR(VLOOKUP($A51,'13a (2)'!$O:$P,2,FALSE),"")</f>
        <v>313.08</v>
      </c>
      <c r="C51" s="62" t="str">
        <f>IFERROR(VLOOKUP($A51,'13a (2)'!$AI:$AJ,2,FALSE),"")</f>
        <v/>
      </c>
      <c r="D51" s="62">
        <f>IFERROR(VLOOKUP($A51,'13a (2)'!$Q:$R,2,FALSE),"")</f>
        <v>99.421999999999997</v>
      </c>
      <c r="E51" s="62">
        <f>IFERROR(VLOOKUP(INT($A51),'13a (2)'!$X:$Y,2,FALSE),"")</f>
        <v>268.40789999999998</v>
      </c>
      <c r="F51" s="63">
        <f ca="1">IF($A51&lt;=$B$6,IFERROR(VLOOKUP($A51,'13a (2)'!$A:$M,13,FALSE),""),IFERROR(($B$10-$B$7)*$B$8*$B$9+($C51-$B$11)*$B$8*$B$9-($D51-$B$12)/100*$B$13-((INT($A51)-INT($B$5))/360*$B$14*$B$13-(INT($A51)-INT($B$5))/360*$B$15*$B$13*$B$12/100)-($E51/$B$16-1)*$B$17,""))</f>
        <v>464865.00722780242</v>
      </c>
      <c r="G51" s="63">
        <f ca="1">IFERROR(VLOOKUP($A51,'13 (2)'!$A:$M,13,FALSE),"")</f>
        <v>-123120.47899158866</v>
      </c>
    </row>
    <row r="52" spans="1:7" x14ac:dyDescent="0.25">
      <c r="A52" s="61">
        <v>46177.625</v>
      </c>
      <c r="B52" s="62">
        <f>IFERROR(VLOOKUP($A52,'13a (2)'!$O:$P,2,FALSE),"")</f>
        <v>313.04000000000002</v>
      </c>
      <c r="C52" s="62" t="str">
        <f>IFERROR(VLOOKUP($A52,'13a (2)'!$AI:$AJ,2,FALSE),"")</f>
        <v/>
      </c>
      <c r="D52" s="62">
        <f>IFERROR(VLOOKUP($A52,'13a (2)'!$Q:$R,2,FALSE),"")</f>
        <v>99.430999999999997</v>
      </c>
      <c r="E52" s="62">
        <f>IFERROR(VLOOKUP(INT($A52),'13a (2)'!$X:$Y,2,FALSE),"")</f>
        <v>268.64510000000001</v>
      </c>
      <c r="F52" s="63">
        <f ca="1">IF($A52&lt;=$B$6,IFERROR(VLOOKUP($A52,'13a (2)'!$A:$M,13,FALSE),""),IFERROR(($B$10-$B$7)*$B$8*$B$9+($C52-$B$11)*$B$8*$B$9-($D52-$B$12)/100*$B$13-((INT($A52)-INT($B$5))/360*$B$14*$B$13-(INT($A52)-INT($B$5))/360*$B$15*$B$13*$B$12/100)-($E52/$B$16-1)*$B$17,""))</f>
        <v>441818.87110424921</v>
      </c>
      <c r="G52" s="63">
        <f ca="1">IFERROR(VLOOKUP($A52,'13 (2)'!$A:$M,13,FALSE),"")</f>
        <v>-147757.11776878146</v>
      </c>
    </row>
    <row r="53" spans="1:7" x14ac:dyDescent="0.25">
      <c r="A53" s="61">
        <v>46182.625</v>
      </c>
      <c r="B53" s="62">
        <f>IFERROR(VLOOKUP($A53,'13a (2)'!$O:$P,2,FALSE),"")</f>
        <v>313.3</v>
      </c>
      <c r="C53" s="62" t="str">
        <f>IFERROR(VLOOKUP($A53,'13a (2)'!$AI:$AJ,2,FALSE),"")</f>
        <v/>
      </c>
      <c r="D53" s="62">
        <f>IFERROR(VLOOKUP($A53,'13a (2)'!$Q:$R,2,FALSE),"")</f>
        <v>99.396000000000001</v>
      </c>
      <c r="E53" s="62">
        <f>IFERROR(VLOOKUP(INT($A53),'13a (2)'!$X:$Y,2,FALSE),"")</f>
        <v>268.3329</v>
      </c>
      <c r="F53" s="63">
        <f ca="1">IF($A53&lt;=$B$6,IFERROR(VLOOKUP($A53,'13a (2)'!$A:$M,13,FALSE),""),IFERROR(($B$10-$B$7)*$B$8*$B$9+($C53-$B$11)*$B$8*$B$9-($D53-$B$12)/100*$B$13-((INT($A53)-INT($B$5))/360*$B$14*$B$13-(INT($A53)-INT($B$5))/360*$B$15*$B$13*$B$12/100)-($E53/$B$16-1)*$B$17,""))</f>
        <v>498426.38353668357</v>
      </c>
      <c r="G53" s="63">
        <f ca="1">IFERROR(VLOOKUP($A53,'13 (2)'!$A:$M,13,FALSE),"")</f>
        <v>-163855.13452634774</v>
      </c>
    </row>
    <row r="54" spans="1:7" x14ac:dyDescent="0.25">
      <c r="A54" s="61">
        <v>46188.625</v>
      </c>
      <c r="B54" s="62">
        <f>IFERROR(VLOOKUP($A54,'13a (2)'!$O:$P,2,FALSE),"")</f>
        <v>314.27999999999997</v>
      </c>
      <c r="C54" s="62" t="str">
        <f>IFERROR(VLOOKUP($A54,'13a (2)'!$AI:$AJ,2,FALSE),"")</f>
        <v/>
      </c>
      <c r="D54" s="62">
        <f>IFERROR(VLOOKUP($A54,'13a (2)'!$Q:$R,2,FALSE),"")</f>
        <v>99.631</v>
      </c>
      <c r="E54" s="62">
        <f>IFERROR(VLOOKUP(INT($A54),'13a (2)'!$X:$Y,2,FALSE),"")</f>
        <v>270.47059999999999</v>
      </c>
      <c r="F54" s="63">
        <f ca="1">IF($A54&lt;=$B$6,IFERROR(VLOOKUP($A54,'13a (2)'!$A:$M,13,FALSE),""),IFERROR(($B$10-$B$7)*$B$8*$B$9+($C54-$B$11)*$B$8*$B$9-($D54-$B$12)/100*$B$13-((INT($A54)-INT($B$5))/360*$B$14*$B$13-(INT($A54)-INT($B$5))/360*$B$15*$B$13*$B$12/100)-($E54/$B$16-1)*$B$17,""))</f>
        <v>381829.63371943432</v>
      </c>
      <c r="G54" s="63">
        <f ca="1">IFERROR(VLOOKUP($A54,'13 (2)'!$A:$M,13,FALSE),"")</f>
        <v>-208366.57172691822</v>
      </c>
    </row>
    <row r="55" spans="1:7" x14ac:dyDescent="0.25">
      <c r="A55" s="61">
        <v>46189.625</v>
      </c>
      <c r="B55" s="62">
        <f>IFERROR(VLOOKUP($A55,'13a (2)'!$O:$P,2,FALSE),"")</f>
        <v>314.16000000000003</v>
      </c>
      <c r="C55" s="62">
        <f>IFERROR(VLOOKUP($A55,'13a (2)'!$AI:$AJ,2,FALSE),"")</f>
        <v>315.8</v>
      </c>
      <c r="D55" s="62">
        <f>IFERROR(VLOOKUP($A55,'13a (2)'!$Q:$R,2,FALSE),"")</f>
        <v>99.625</v>
      </c>
      <c r="E55" s="62">
        <f>IFERROR(VLOOKUP(INT($A55),'13a (2)'!$X:$Y,2,FALSE),"")</f>
        <v>270.3356</v>
      </c>
      <c r="F55" s="63">
        <f ca="1">IF($A55&lt;=$B$6,IFERROR(VLOOKUP($A55,'13a (2)'!$A:$M,13,FALSE),""),IFERROR(($B$10-$B$7)*$B$8*$B$9+($C55-$B$11)*$B$8*$B$9-($D55-$B$12)/100*$B$13-((INT($A55)-INT($B$5))/360*$B$14*$B$13-(INT($A55)-INT($B$5))/360*$B$15*$B$13*$B$12/100)-($E55/$B$16-1)*$B$17,""))</f>
        <v>381205.70094208856</v>
      </c>
      <c r="G55" s="63">
        <f ca="1">IFERROR(VLOOKUP($A55,'13 (2)'!$A:$M,13,FALSE),"")</f>
        <v>-209345.34579851027</v>
      </c>
    </row>
    <row r="56" spans="1:7" x14ac:dyDescent="0.25">
      <c r="A56" s="61">
        <v>46190.625</v>
      </c>
      <c r="B56" s="62">
        <f>IFERROR(VLOOKUP($A56,'13a (2)'!$O:$P,2,FALSE),"")</f>
        <v>313.66000000000003</v>
      </c>
      <c r="C56" s="62">
        <f>IFERROR(VLOOKUP($A56,'13a (2)'!$AI:$AJ,2,FALSE),"")</f>
        <v>315.42</v>
      </c>
      <c r="D56" s="62">
        <f>IFERROR(VLOOKUP($A56,'13a (2)'!$Q:$R,2,FALSE),"")</f>
        <v>99.600999999999999</v>
      </c>
      <c r="E56" s="62">
        <f>IFERROR(VLOOKUP(INT($A56),'13a (2)'!$X:$Y,2,FALSE),"")</f>
        <v>270.1644</v>
      </c>
      <c r="F56" s="63">
        <f>IF($A56&lt;=$B$6,IFERROR(VLOOKUP($A56,'13a (2)'!$A:$M,13,FALSE),""),IFERROR(($B$10-$B$7)*$B$8*$B$9+($C56-$B$11)*$B$8*$B$9-($D56-$B$12)/100*$B$13-((INT($A56)-INT($B$5))/360*$B$14*$B$13-(INT($A56)-INT($B$5))/360*$B$15*$B$13*$B$12/100)-($E56/$B$16-1)*$B$17,""))</f>
        <v>362396.18772716256</v>
      </c>
      <c r="G56" s="63">
        <f ca="1">IFERROR(VLOOKUP($A56,'13 (2)'!$A:$M,13,FALSE),"")</f>
        <v>-189905.02302647417</v>
      </c>
    </row>
    <row r="57" spans="1:7" x14ac:dyDescent="0.25">
      <c r="A57" s="61">
        <v>46191.625</v>
      </c>
      <c r="B57" s="62" t="str">
        <f>IFERROR(VLOOKUP($A57,'13a (2)'!$O:$P,2,FALSE),"")</f>
        <v/>
      </c>
      <c r="C57" s="62">
        <f>IFERROR(VLOOKUP($A57,'13a (2)'!$AI:$AJ,2,FALSE),"")</f>
        <v>315.68</v>
      </c>
      <c r="D57" s="62">
        <f>IFERROR(VLOOKUP($A57,'13a (2)'!$Q:$R,2,FALSE),"")</f>
        <v>99.582999999999998</v>
      </c>
      <c r="E57" s="62">
        <f>IFERROR(VLOOKUP(INT($A57),'13a (2)'!$X:$Y,2,FALSE),"")</f>
        <v>270.5043</v>
      </c>
      <c r="F57" s="63">
        <f>IF($A57&lt;=$B$6,IFERROR(VLOOKUP($A57,'13a (2)'!$A:$M,13,FALSE),""),IFERROR(($B$10-$B$7)*$B$8*$B$9+($C57-$B$11)*$B$8*$B$9-($D57-$B$12)/100*$B$13-((INT($A57)-INT($B$5))/360*$B$14*$B$13-(INT($A57)-INT($B$5))/360*$B$15*$B$13*$B$12/100)-($E57/$B$16-1)*$B$17,""))</f>
        <v>368440.42483398219</v>
      </c>
      <c r="G57" s="63">
        <f ca="1">IFERROR(VLOOKUP($A57,'13 (2)'!$A:$M,13,FALSE),"")</f>
        <v>-206687.6320453416</v>
      </c>
    </row>
    <row r="58" spans="1:7" x14ac:dyDescent="0.25">
      <c r="A58" s="61">
        <v>46192.625</v>
      </c>
      <c r="B58" s="62" t="str">
        <f>IFERROR(VLOOKUP($A58,'13a (2)'!$O:$P,2,FALSE),"")</f>
        <v/>
      </c>
      <c r="C58" s="62">
        <f>IFERROR(VLOOKUP($A58,'13a (2)'!$AI:$AJ,2,FALSE),"")</f>
        <v>315.88</v>
      </c>
      <c r="D58" s="62">
        <f>IFERROR(VLOOKUP($A58,'13a (2)'!$Q:$R,2,FALSE),"")</f>
        <v>99.489000000000004</v>
      </c>
      <c r="E58" s="62">
        <f>IFERROR(VLOOKUP(INT($A58),'13a (2)'!$X:$Y,2,FALSE),"")</f>
        <v>270.44040000000001</v>
      </c>
      <c r="F58" s="63">
        <f>IF($A58&lt;=$B$6,IFERROR(VLOOKUP($A58,'13a (2)'!$A:$M,13,FALSE),""),IFERROR(($B$10-$B$7)*$B$8*$B$9+($C58-$B$11)*$B$8*$B$9-($D58-$B$12)/100*$B$13-((INT($A58)-INT($B$5))/360*$B$14*$B$13-(INT($A58)-INT($B$5))/360*$B$15*$B$13*$B$12/100)-($E58/$B$16-1)*$B$17,""))</f>
        <v>416959.67352380982</v>
      </c>
      <c r="G58" s="63">
        <f ca="1">IFERROR(VLOOKUP($A58,'13 (2)'!$A:$M,13,FALSE),"")</f>
        <v>-166760.03940763598</v>
      </c>
    </row>
    <row r="59" spans="1:7" x14ac:dyDescent="0.25">
      <c r="A59" s="61">
        <v>46196.625</v>
      </c>
      <c r="B59" s="62" t="str">
        <f>IFERROR(VLOOKUP($A59,'13a (2)'!$O:$P,2,FALSE),"")</f>
        <v/>
      </c>
      <c r="C59" s="62">
        <f>IFERROR(VLOOKUP($A59,'13a (2)'!$AI:$AJ,2,FALSE),"")</f>
        <v>315.56</v>
      </c>
      <c r="D59" s="62">
        <f>IFERROR(VLOOKUP($A59,'13a (2)'!$Q:$R,2,FALSE),"")</f>
        <v>99.66</v>
      </c>
      <c r="E59" s="62">
        <f>IFERROR(VLOOKUP(INT($A59),'13a (2)'!$X:$Y,2,FALSE),"")</f>
        <v>270.70330000000001</v>
      </c>
      <c r="F59" s="63">
        <f>IF($A59&lt;=$B$6,IFERROR(VLOOKUP($A59,'13a (2)'!$A:$M,13,FALSE),""),IFERROR(($B$10-$B$7)*$B$8*$B$9+($C59-$B$11)*$B$8*$B$9-($D59-$B$12)/100*$B$13-((INT($A59)-INT($B$5))/360*$B$14*$B$13-(INT($A59)-INT($B$5))/360*$B$15*$B$13*$B$12/100)-($E59/$B$16-1)*$B$17,""))</f>
        <v>322578.60908108501</v>
      </c>
      <c r="G59" s="63">
        <f ca="1">IFERROR(VLOOKUP($A59,'13 (2)'!$A:$M,13,FALSE),"")</f>
        <v>-228795.92922278697</v>
      </c>
    </row>
    <row r="60" spans="1:7" x14ac:dyDescent="0.25">
      <c r="A60" s="61">
        <v>46197.625</v>
      </c>
      <c r="B60" s="62" t="str">
        <f>IFERROR(VLOOKUP($A60,'13a (2)'!$O:$P,2,FALSE),"")</f>
        <v/>
      </c>
      <c r="C60" s="62">
        <f>IFERROR(VLOOKUP($A60,'13a (2)'!$AI:$AJ,2,FALSE),"")</f>
        <v>315.52</v>
      </c>
      <c r="D60" s="62">
        <f>IFERROR(VLOOKUP($A60,'13a (2)'!$Q:$R,2,FALSE),"")</f>
        <v>99.724999999999994</v>
      </c>
      <c r="E60" s="62">
        <f>IFERROR(VLOOKUP(INT($A60),'13a (2)'!$X:$Y,2,FALSE),"")</f>
        <v>270.80290000000002</v>
      </c>
      <c r="F60" s="63">
        <f>IF($A60&lt;=$B$6,IFERROR(VLOOKUP($A60,'13a (2)'!$A:$M,13,FALSE),""),IFERROR(($B$10-$B$7)*$B$8*$B$9+($C60-$B$11)*$B$8*$B$9-($D60-$B$12)/100*$B$13-((INT($A60)-INT($B$5))/360*$B$14*$B$13-(INT($A60)-INT($B$5))/360*$B$15*$B$13*$B$12/100)-($E60/$B$16-1)*$B$17,""))</f>
        <v>294712.49869755667</v>
      </c>
      <c r="G60" s="63">
        <f ca="1">IFERROR(VLOOKUP($A60,'13 (2)'!$A:$M,13,FALSE),"")</f>
        <v>-271429.21954115952</v>
      </c>
    </row>
    <row r="61" spans="1:7" x14ac:dyDescent="0.25">
      <c r="A61" s="61">
        <v>46198.625</v>
      </c>
      <c r="B61" s="62" t="str">
        <f>IFERROR(VLOOKUP($A61,'13a (2)'!$O:$P,2,FALSE),"")</f>
        <v/>
      </c>
      <c r="C61" s="62" t="str">
        <f>IFERROR(VLOOKUP($A61,'13a (2)'!$AI:$AJ,2,FALSE),"")</f>
        <v/>
      </c>
      <c r="D61" s="62">
        <f>IFERROR(VLOOKUP($A61,'13a (2)'!$Q:$R,2,FALSE),"")</f>
        <v>99.748999999999995</v>
      </c>
      <c r="E61" s="62">
        <f>IFERROR(VLOOKUP(INT($A61),'13a (2)'!$X:$Y,2,FALSE),"")</f>
        <v>270.97930000000002</v>
      </c>
      <c r="F61" s="63" t="str">
        <f>IF($A61&lt;=$B$6,IFERROR(VLOOKUP($A61,'13a (2)'!$A:$M,13,FALSE),""),IFERROR(($B$10-$B$7)*$B$8*$B$9+($C61-$B$11)*$B$8*$B$9-($D61-$B$12)/100*$B$13-((INT($A61)-INT($B$5))/360*$B$14*$B$13-(INT($A61)-INT($B$5))/360*$B$15*$B$13*$B$12/100)-($E61/$B$16-1)*$B$17,""))</f>
        <v/>
      </c>
      <c r="G61" s="63">
        <f ca="1">IFERROR(VLOOKUP($A61,'13 (2)'!$A:$M,13,FALSE),"")</f>
        <v>-246249.5862100728</v>
      </c>
    </row>
    <row r="62" spans="1:7" x14ac:dyDescent="0.25">
      <c r="A62" s="61">
        <v>46199.625</v>
      </c>
      <c r="B62" s="62" t="str">
        <f>IFERROR(VLOOKUP($A62,'13a (2)'!$O:$P,2,FALSE),"")</f>
        <v/>
      </c>
      <c r="C62" s="62" t="str">
        <f>IFERROR(VLOOKUP($A62,'13a (2)'!$AI:$AJ,2,FALSE),"")</f>
        <v/>
      </c>
      <c r="D62" s="62" t="str">
        <f>IFERROR(VLOOKUP($A62,'13a (2)'!$Q:$R,2,FALSE),"")</f>
        <v/>
      </c>
      <c r="E62" s="62" t="str">
        <f>IFERROR(VLOOKUP(INT($A62),'13a (2)'!$X:$Y,2,FALSE),"")</f>
        <v/>
      </c>
      <c r="F62" s="63" t="str">
        <f>IF($A62&lt;=$B$6,IFERROR(VLOOKUP($A62,'13a (2)'!$A:$M,13,FALSE),""),IFERROR(($B$10-$B$7)*$B$8*$B$9+($C62-$B$11)*$B$8*$B$9-($D62-$B$12)/100*$B$13-((INT($A62)-INT($B$5))/360*$B$14*$B$13-(INT($A62)-INT($B$5))/360*$B$15*$B$13*$B$12/100)-($E62/$B$16-1)*$B$17,""))</f>
        <v/>
      </c>
      <c r="G62" s="63" t="str">
        <f ca="1">IFERROR(VLOOKUP($A62,'13 (2)'!$A:$M,13,FALSE),"")</f>
        <v/>
      </c>
    </row>
    <row r="63" spans="1:7" x14ac:dyDescent="0.25">
      <c r="A63" s="61">
        <v>46202.625</v>
      </c>
      <c r="B63" s="62" t="str">
        <f>IFERROR(VLOOKUP($A63,'13a (2)'!$O:$P,2,FALSE),"")</f>
        <v/>
      </c>
      <c r="C63" s="62" t="str">
        <f>IFERROR(VLOOKUP($A63,'13a (2)'!$AI:$AJ,2,FALSE),"")</f>
        <v/>
      </c>
      <c r="D63" s="62" t="str">
        <f>IFERROR(VLOOKUP($A63,'13a (2)'!$Q:$R,2,FALSE),"")</f>
        <v/>
      </c>
      <c r="E63" s="62" t="str">
        <f>IFERROR(VLOOKUP(INT($A63),'13a (2)'!$X:$Y,2,FALSE),"")</f>
        <v/>
      </c>
      <c r="F63" s="63" t="str">
        <f>IF($A63&lt;=$B$6,IFERROR(VLOOKUP($A63,'13a (2)'!$A:$M,13,FALSE),""),IFERROR(($B$10-$B$7)*$B$8*$B$9+($C63-$B$11)*$B$8*$B$9-($D63-$B$12)/100*$B$13-((INT($A63)-INT($B$5))/360*$B$14*$B$13-(INT($A63)-INT($B$5))/360*$B$15*$B$13*$B$12/100)-($E63/$B$16-1)*$B$17,""))</f>
        <v/>
      </c>
      <c r="G63" s="63" t="str">
        <f ca="1">IFERROR(VLOOKUP($A63,'13 (2)'!$A:$M,13,FALSE),"")</f>
        <v/>
      </c>
    </row>
    <row r="64" spans="1:7" x14ac:dyDescent="0.25">
      <c r="A64" s="61">
        <v>46203.625</v>
      </c>
      <c r="B64" s="62" t="str">
        <f>IFERROR(VLOOKUP($A64,'13a (2)'!$O:$P,2,FALSE),"")</f>
        <v/>
      </c>
      <c r="C64" s="62" t="str">
        <f>IFERROR(VLOOKUP($A64,'13a (2)'!$AI:$AJ,2,FALSE),"")</f>
        <v/>
      </c>
      <c r="D64" s="62" t="str">
        <f>IFERROR(VLOOKUP($A64,'13a (2)'!$Q:$R,2,FALSE),"")</f>
        <v/>
      </c>
      <c r="E64" s="62" t="str">
        <f>IFERROR(VLOOKUP(INT($A64),'13a (2)'!$X:$Y,2,FALSE),"")</f>
        <v/>
      </c>
      <c r="F64" s="63" t="str">
        <f>IF($A64&lt;=$B$6,IFERROR(VLOOKUP($A64,'13a (2)'!$A:$M,13,FALSE),""),IFERROR(($B$10-$B$7)*$B$8*$B$9+($C64-$B$11)*$B$8*$B$9-($D64-$B$12)/100*$B$13-((INT($A64)-INT($B$5))/360*$B$14*$B$13-(INT($A64)-INT($B$5))/360*$B$15*$B$13*$B$12/100)-($E64/$B$16-1)*$B$17,""))</f>
        <v/>
      </c>
      <c r="G64" s="63" t="str">
        <f ca="1">IFERROR(VLOOKUP($A64,'13 (2)'!$A:$M,13,FALSE),"")</f>
        <v/>
      </c>
    </row>
    <row r="65" spans="1:7" x14ac:dyDescent="0.25">
      <c r="A65" s="61">
        <v>46204.625</v>
      </c>
      <c r="B65" s="62" t="str">
        <f>IFERROR(VLOOKUP($A65,'13a (2)'!$O:$P,2,FALSE),"")</f>
        <v/>
      </c>
      <c r="C65" s="62" t="str">
        <f>IFERROR(VLOOKUP($A65,'13a (2)'!$AI:$AJ,2,FALSE),"")</f>
        <v/>
      </c>
      <c r="D65" s="62" t="str">
        <f>IFERROR(VLOOKUP($A65,'13a (2)'!$Q:$R,2,FALSE),"")</f>
        <v/>
      </c>
      <c r="E65" s="62" t="str">
        <f>IFERROR(VLOOKUP(INT($A65),'13a (2)'!$X:$Y,2,FALSE),"")</f>
        <v/>
      </c>
      <c r="F65" s="63" t="str">
        <f>IF($A65&lt;=$B$6,IFERROR(VLOOKUP($A65,'13a (2)'!$A:$M,13,FALSE),""),IFERROR(($B$10-$B$7)*$B$8*$B$9+($C65-$B$11)*$B$8*$B$9-($D65-$B$12)/100*$B$13-((INT($A65)-INT($B$5))/360*$B$14*$B$13-(INT($A65)-INT($B$5))/360*$B$15*$B$13*$B$12/100)-($E65/$B$16-1)*$B$17,""))</f>
        <v/>
      </c>
      <c r="G65" s="63" t="str">
        <f ca="1">IFERROR(VLOOKUP($A65,'13 (2)'!$A:$M,13,FALSE),"")</f>
        <v/>
      </c>
    </row>
    <row r="66" spans="1:7" x14ac:dyDescent="0.25">
      <c r="A66" s="61">
        <v>46205.625</v>
      </c>
      <c r="B66" s="62" t="str">
        <f>IFERROR(VLOOKUP($A66,'13a (2)'!$O:$P,2,FALSE),"")</f>
        <v/>
      </c>
      <c r="C66" s="62" t="str">
        <f>IFERROR(VLOOKUP($A66,'13a (2)'!$AI:$AJ,2,FALSE),"")</f>
        <v/>
      </c>
      <c r="D66" s="62" t="str">
        <f>IFERROR(VLOOKUP($A66,'13a (2)'!$Q:$R,2,FALSE),"")</f>
        <v/>
      </c>
      <c r="E66" s="62" t="str">
        <f>IFERROR(VLOOKUP(INT($A66),'13a (2)'!$X:$Y,2,FALSE),"")</f>
        <v/>
      </c>
      <c r="F66" s="63" t="str">
        <f>IF($A66&lt;=$B$6,IFERROR(VLOOKUP($A66,'13a (2)'!$A:$M,13,FALSE),""),IFERROR(($B$10-$B$7)*$B$8*$B$9+($C66-$B$11)*$B$8*$B$9-($D66-$B$12)/100*$B$13-((INT($A66)-INT($B$5))/360*$B$14*$B$13-(INT($A66)-INT($B$5))/360*$B$15*$B$13*$B$12/100)-($E66/$B$16-1)*$B$17,""))</f>
        <v/>
      </c>
      <c r="G66" s="63" t="str">
        <f ca="1">IFERROR(VLOOKUP($A66,'13 (2)'!$A:$M,13,FALSE),"")</f>
        <v/>
      </c>
    </row>
    <row r="67" spans="1:7" x14ac:dyDescent="0.25">
      <c r="A67" s="61">
        <v>46206.625</v>
      </c>
      <c r="B67" s="62" t="str">
        <f>IFERROR(VLOOKUP($A67,'13a (2)'!$O:$P,2,FALSE),"")</f>
        <v/>
      </c>
      <c r="C67" s="62" t="str">
        <f>IFERROR(VLOOKUP($A67,'13a (2)'!$AI:$AJ,2,FALSE),"")</f>
        <v/>
      </c>
      <c r="D67" s="62" t="str">
        <f>IFERROR(VLOOKUP($A67,'13a (2)'!$Q:$R,2,FALSE),"")</f>
        <v/>
      </c>
      <c r="E67" s="62" t="str">
        <f>IFERROR(VLOOKUP(INT($A67),'13a (2)'!$X:$Y,2,FALSE),"")</f>
        <v/>
      </c>
      <c r="F67" s="63" t="str">
        <f>IF($A67&lt;=$B$6,IFERROR(VLOOKUP($A67,'13a (2)'!$A:$M,13,FALSE),""),IFERROR(($B$10-$B$7)*$B$8*$B$9+($C67-$B$11)*$B$8*$B$9-($D67-$B$12)/100*$B$13-((INT($A67)-INT($B$5))/360*$B$14*$B$13-(INT($A67)-INT($B$5))/360*$B$15*$B$13*$B$12/100)-($E67/$B$16-1)*$B$17,""))</f>
        <v/>
      </c>
      <c r="G67" s="63" t="str">
        <f ca="1">IFERROR(VLOOKUP($A67,'13 (2)'!$A:$M,13,FALSE),"")</f>
        <v/>
      </c>
    </row>
    <row r="68" spans="1:7" x14ac:dyDescent="0.25">
      <c r="A68" s="61">
        <v>46209.625</v>
      </c>
      <c r="B68" s="62" t="str">
        <f>IFERROR(VLOOKUP($A68,'13a (2)'!$O:$P,2,FALSE),"")</f>
        <v/>
      </c>
      <c r="C68" s="62" t="str">
        <f>IFERROR(VLOOKUP($A68,'13a (2)'!$AI:$AJ,2,FALSE),"")</f>
        <v/>
      </c>
      <c r="D68" s="62" t="str">
        <f>IFERROR(VLOOKUP($A68,'13a (2)'!$Q:$R,2,FALSE),"")</f>
        <v/>
      </c>
      <c r="E68" s="62" t="str">
        <f>IFERROR(VLOOKUP(INT($A68),'13a (2)'!$X:$Y,2,FALSE),"")</f>
        <v/>
      </c>
      <c r="F68" s="63" t="str">
        <f>IF($A68&lt;=$B$6,IFERROR(VLOOKUP($A68,'13a (2)'!$A:$M,13,FALSE),""),IFERROR(($B$10-$B$7)*$B$8*$B$9+($C68-$B$11)*$B$8*$B$9-($D68-$B$12)/100*$B$13-((INT($A68)-INT($B$5))/360*$B$14*$B$13-(INT($A68)-INT($B$5))/360*$B$15*$B$13*$B$12/100)-($E68/$B$16-1)*$B$17,""))</f>
        <v/>
      </c>
      <c r="G68" s="63" t="str">
        <f ca="1">IFERROR(VLOOKUP($A68,'13 (2)'!$A:$M,13,FALSE),"")</f>
        <v/>
      </c>
    </row>
    <row r="69" spans="1:7" x14ac:dyDescent="0.25">
      <c r="A69" s="61">
        <v>46210.625</v>
      </c>
      <c r="B69" s="62" t="str">
        <f>IFERROR(VLOOKUP($A69,'13a (2)'!$O:$P,2,FALSE),"")</f>
        <v/>
      </c>
      <c r="C69" s="62" t="str">
        <f>IFERROR(VLOOKUP($A69,'13a (2)'!$AI:$AJ,2,FALSE),"")</f>
        <v/>
      </c>
      <c r="D69" s="62" t="str">
        <f>IFERROR(VLOOKUP($A69,'13a (2)'!$Q:$R,2,FALSE),"")</f>
        <v/>
      </c>
      <c r="E69" s="62" t="str">
        <f>IFERROR(VLOOKUP(INT($A69),'13a (2)'!$X:$Y,2,FALSE),"")</f>
        <v/>
      </c>
      <c r="F69" s="63" t="str">
        <f>IF($A69&lt;=$B$6,IFERROR(VLOOKUP($A69,'13a (2)'!$A:$M,13,FALSE),""),IFERROR(($B$10-$B$7)*$B$8*$B$9+($C69-$B$11)*$B$8*$B$9-($D69-$B$12)/100*$B$13-((INT($A69)-INT($B$5))/360*$B$14*$B$13-(INT($A69)-INT($B$5))/360*$B$15*$B$13*$B$12/100)-($E69/$B$16-1)*$B$17,""))</f>
        <v/>
      </c>
      <c r="G69" s="63" t="str">
        <f ca="1">IFERROR(VLOOKUP($A69,'13 (2)'!$A:$M,13,FALSE),"")</f>
        <v/>
      </c>
    </row>
    <row r="70" spans="1:7" x14ac:dyDescent="0.25">
      <c r="A70" s="61">
        <v>46211.625</v>
      </c>
      <c r="B70" s="62" t="str">
        <f>IFERROR(VLOOKUP($A70,'13a (2)'!$O:$P,2,FALSE),"")</f>
        <v/>
      </c>
      <c r="C70" s="62" t="str">
        <f>IFERROR(VLOOKUP($A70,'13a (2)'!$AI:$AJ,2,FALSE),"")</f>
        <v/>
      </c>
      <c r="D70" s="62" t="str">
        <f>IFERROR(VLOOKUP($A70,'13a (2)'!$Q:$R,2,FALSE),"")</f>
        <v/>
      </c>
      <c r="E70" s="62" t="str">
        <f>IFERROR(VLOOKUP(INT($A70),'13a (2)'!$X:$Y,2,FALSE),"")</f>
        <v/>
      </c>
      <c r="F70" s="63" t="str">
        <f>IF($A70&lt;=$B$6,IFERROR(VLOOKUP($A70,'13a (2)'!$A:$M,13,FALSE),""),IFERROR(($B$10-$B$7)*$B$8*$B$9+($C70-$B$11)*$B$8*$B$9-($D70-$B$12)/100*$B$13-((INT($A70)-INT($B$5))/360*$B$14*$B$13-(INT($A70)-INT($B$5))/360*$B$15*$B$13*$B$12/100)-($E70/$B$16-1)*$B$17,""))</f>
        <v/>
      </c>
      <c r="G70" s="63" t="str">
        <f ca="1">IFERROR(VLOOKUP($A70,'13 (2)'!$A:$M,13,FALSE),"")</f>
        <v/>
      </c>
    </row>
    <row r="71" spans="1:7" x14ac:dyDescent="0.25">
      <c r="A71" s="61">
        <v>46212.625</v>
      </c>
      <c r="B71" s="62" t="str">
        <f>IFERROR(VLOOKUP($A71,'13a (2)'!$O:$P,2,FALSE),"")</f>
        <v/>
      </c>
      <c r="C71" s="62" t="str">
        <f>IFERROR(VLOOKUP($A71,'13a (2)'!$AI:$AJ,2,FALSE),"")</f>
        <v/>
      </c>
      <c r="D71" s="62" t="str">
        <f>IFERROR(VLOOKUP($A71,'13a (2)'!$Q:$R,2,FALSE),"")</f>
        <v/>
      </c>
      <c r="E71" s="62" t="str">
        <f>IFERROR(VLOOKUP(INT($A71),'13a (2)'!$X:$Y,2,FALSE),"")</f>
        <v/>
      </c>
      <c r="F71" s="63" t="str">
        <f>IF($A71&lt;=$B$6,IFERROR(VLOOKUP($A71,'13a (2)'!$A:$M,13,FALSE),""),IFERROR(($B$10-$B$7)*$B$8*$B$9+($C71-$B$11)*$B$8*$B$9-($D71-$B$12)/100*$B$13-((INT($A71)-INT($B$5))/360*$B$14*$B$13-(INT($A71)-INT($B$5))/360*$B$15*$B$13*$B$12/100)-($E71/$B$16-1)*$B$17,""))</f>
        <v/>
      </c>
      <c r="G71" s="63" t="str">
        <f ca="1">IFERROR(VLOOKUP($A71,'13 (2)'!$A:$M,13,FALSE),"")</f>
        <v/>
      </c>
    </row>
    <row r="72" spans="1:7" x14ac:dyDescent="0.25">
      <c r="A72" s="61">
        <v>46213.625</v>
      </c>
      <c r="B72" s="62" t="str">
        <f>IFERROR(VLOOKUP($A72,'13a (2)'!$O:$P,2,FALSE),"")</f>
        <v/>
      </c>
      <c r="C72" s="62" t="str">
        <f>IFERROR(VLOOKUP($A72,'13a (2)'!$AI:$AJ,2,FALSE),"")</f>
        <v/>
      </c>
      <c r="D72" s="62" t="str">
        <f>IFERROR(VLOOKUP($A72,'13a (2)'!$Q:$R,2,FALSE),"")</f>
        <v/>
      </c>
      <c r="E72" s="62" t="str">
        <f>IFERROR(VLOOKUP(INT($A72),'13a (2)'!$X:$Y,2,FALSE),"")</f>
        <v/>
      </c>
      <c r="F72" s="63" t="str">
        <f>IF($A72&lt;=$B$6,IFERROR(VLOOKUP($A72,'13a (2)'!$A:$M,13,FALSE),""),IFERROR(($B$10-$B$7)*$B$8*$B$9+($C72-$B$11)*$B$8*$B$9-($D72-$B$12)/100*$B$13-((INT($A72)-INT($B$5))/360*$B$14*$B$13-(INT($A72)-INT($B$5))/360*$B$15*$B$13*$B$12/100)-($E72/$B$16-1)*$B$17,""))</f>
        <v/>
      </c>
      <c r="G72" s="63" t="str">
        <f ca="1">IFERROR(VLOOKUP($A72,'13 (2)'!$A:$M,13,FALSE),"")</f>
        <v/>
      </c>
    </row>
    <row r="73" spans="1:7" x14ac:dyDescent="0.25">
      <c r="A73" s="61">
        <v>46216.625</v>
      </c>
      <c r="B73" s="62" t="str">
        <f>IFERROR(VLOOKUP($A73,'13a (2)'!$O:$P,2,FALSE),"")</f>
        <v/>
      </c>
      <c r="C73" s="62" t="str">
        <f>IFERROR(VLOOKUP($A73,'13a (2)'!$AI:$AJ,2,FALSE),"")</f>
        <v/>
      </c>
      <c r="D73" s="62" t="str">
        <f>IFERROR(VLOOKUP($A73,'13a (2)'!$Q:$R,2,FALSE),"")</f>
        <v/>
      </c>
      <c r="E73" s="62" t="str">
        <f>IFERROR(VLOOKUP(INT($A73),'13a (2)'!$X:$Y,2,FALSE),"")</f>
        <v/>
      </c>
      <c r="F73" s="63" t="str">
        <f>IF($A73&lt;=$B$6,IFERROR(VLOOKUP($A73,'13a (2)'!$A:$M,13,FALSE),""),IFERROR(($B$10-$B$7)*$B$8*$B$9+($C73-$B$11)*$B$8*$B$9-($D73-$B$12)/100*$B$13-((INT($A73)-INT($B$5))/360*$B$14*$B$13-(INT($A73)-INT($B$5))/360*$B$15*$B$13*$B$12/100)-($E73/$B$16-1)*$B$17,""))</f>
        <v/>
      </c>
      <c r="G73" s="63" t="str">
        <f ca="1">IFERROR(VLOOKUP($A73,'13 (2)'!$A:$M,13,FALSE),"")</f>
        <v/>
      </c>
    </row>
    <row r="74" spans="1:7" x14ac:dyDescent="0.25">
      <c r="A74" s="61">
        <v>46217.625</v>
      </c>
      <c r="B74" s="62" t="str">
        <f>IFERROR(VLOOKUP($A74,'13a (2)'!$O:$P,2,FALSE),"")</f>
        <v/>
      </c>
      <c r="C74" s="62" t="str">
        <f>IFERROR(VLOOKUP($A74,'13a (2)'!$AI:$AJ,2,FALSE),"")</f>
        <v/>
      </c>
      <c r="D74" s="62" t="str">
        <f>IFERROR(VLOOKUP($A74,'13a (2)'!$Q:$R,2,FALSE),"")</f>
        <v/>
      </c>
      <c r="E74" s="62" t="str">
        <f>IFERROR(VLOOKUP(INT($A74),'13a (2)'!$X:$Y,2,FALSE),"")</f>
        <v/>
      </c>
      <c r="F74" s="63" t="str">
        <f>IF($A74&lt;=$B$6,IFERROR(VLOOKUP($A74,'13a (2)'!$A:$M,13,FALSE),""),IFERROR(($B$10-$B$7)*$B$8*$B$9+($C74-$B$11)*$B$8*$B$9-($D74-$B$12)/100*$B$13-((INT($A74)-INT($B$5))/360*$B$14*$B$13-(INT($A74)-INT($B$5))/360*$B$15*$B$13*$B$12/100)-($E74/$B$16-1)*$B$17,""))</f>
        <v/>
      </c>
      <c r="G74" s="63" t="str">
        <f ca="1">IFERROR(VLOOKUP($A74,'13 (2)'!$A:$M,13,FALSE),"")</f>
        <v/>
      </c>
    </row>
    <row r="75" spans="1:7" x14ac:dyDescent="0.25">
      <c r="A75" s="61">
        <v>46218.625</v>
      </c>
      <c r="B75" s="62" t="str">
        <f>IFERROR(VLOOKUP($A75,'13a (2)'!$O:$P,2,FALSE),"")</f>
        <v/>
      </c>
      <c r="C75" s="62" t="str">
        <f>IFERROR(VLOOKUP($A75,'13a (2)'!$AI:$AJ,2,FALSE),"")</f>
        <v/>
      </c>
      <c r="D75" s="62" t="str">
        <f>IFERROR(VLOOKUP($A75,'13a (2)'!$Q:$R,2,FALSE),"")</f>
        <v/>
      </c>
      <c r="E75" s="62" t="str">
        <f>IFERROR(VLOOKUP(INT($A75),'13a (2)'!$X:$Y,2,FALSE),"")</f>
        <v/>
      </c>
      <c r="F75" s="63" t="str">
        <f>IF($A75&lt;=$B$6,IFERROR(VLOOKUP($A75,'13a (2)'!$A:$M,13,FALSE),""),IFERROR(($B$10-$B$7)*$B$8*$B$9+($C75-$B$11)*$B$8*$B$9-($D75-$B$12)/100*$B$13-((INT($A75)-INT($B$5))/360*$B$14*$B$13-(INT($A75)-INT($B$5))/360*$B$15*$B$13*$B$12/100)-($E75/$B$16-1)*$B$17,""))</f>
        <v/>
      </c>
      <c r="G75" s="63" t="str">
        <f ca="1">IFERROR(VLOOKUP($A75,'13 (2)'!$A:$M,13,FALSE),"")</f>
        <v/>
      </c>
    </row>
    <row r="76" spans="1:7" x14ac:dyDescent="0.25">
      <c r="A76" s="61">
        <v>46219.625</v>
      </c>
      <c r="B76" s="62" t="str">
        <f>IFERROR(VLOOKUP($A76,'13a (2)'!$O:$P,2,FALSE),"")</f>
        <v/>
      </c>
      <c r="C76" s="62" t="str">
        <f>IFERROR(VLOOKUP($A76,'13a (2)'!$AI:$AJ,2,FALSE),"")</f>
        <v/>
      </c>
      <c r="D76" s="62" t="str">
        <f>IFERROR(VLOOKUP($A76,'13a (2)'!$Q:$R,2,FALSE),"")</f>
        <v/>
      </c>
      <c r="E76" s="62" t="str">
        <f>IFERROR(VLOOKUP(INT($A76),'13a (2)'!$X:$Y,2,FALSE),"")</f>
        <v/>
      </c>
      <c r="F76" s="63" t="str">
        <f>IF($A76&lt;=$B$6,IFERROR(VLOOKUP($A76,'13a (2)'!$A:$M,13,FALSE),""),IFERROR(($B$10-$B$7)*$B$8*$B$9+($C76-$B$11)*$B$8*$B$9-($D76-$B$12)/100*$B$13-((INT($A76)-INT($B$5))/360*$B$14*$B$13-(INT($A76)-INT($B$5))/360*$B$15*$B$13*$B$12/100)-($E76/$B$16-1)*$B$17,""))</f>
        <v/>
      </c>
      <c r="G76" s="63" t="str">
        <f ca="1">IFERROR(VLOOKUP($A76,'13 (2)'!$A:$M,13,FALSE),"")</f>
        <v/>
      </c>
    </row>
    <row r="77" spans="1:7" x14ac:dyDescent="0.25">
      <c r="A77" s="61">
        <v>46220.625</v>
      </c>
      <c r="B77" s="62" t="str">
        <f>IFERROR(VLOOKUP($A77,'13a (2)'!$O:$P,2,FALSE),"")</f>
        <v/>
      </c>
      <c r="C77" s="62" t="str">
        <f>IFERROR(VLOOKUP($A77,'13a (2)'!$AI:$AJ,2,FALSE),"")</f>
        <v/>
      </c>
      <c r="D77" s="62" t="str">
        <f>IFERROR(VLOOKUP($A77,'13a (2)'!$Q:$R,2,FALSE),"")</f>
        <v/>
      </c>
      <c r="E77" s="62" t="str">
        <f>IFERROR(VLOOKUP(INT($A77),'13a (2)'!$X:$Y,2,FALSE),"")</f>
        <v/>
      </c>
      <c r="F77" s="63" t="str">
        <f>IF($A77&lt;=$B$6,IFERROR(VLOOKUP($A77,'13a (2)'!$A:$M,13,FALSE),""),IFERROR(($B$10-$B$7)*$B$8*$B$9+($C77-$B$11)*$B$8*$B$9-($D77-$B$12)/100*$B$13-((INT($A77)-INT($B$5))/360*$B$14*$B$13-(INT($A77)-INT($B$5))/360*$B$15*$B$13*$B$12/100)-($E77/$B$16-1)*$B$17,""))</f>
        <v/>
      </c>
      <c r="G77" s="63" t="str">
        <f ca="1">IFERROR(VLOOKUP($A77,'13 (2)'!$A:$M,13,FALSE),"")</f>
        <v/>
      </c>
    </row>
    <row r="78" spans="1:7" x14ac:dyDescent="0.25">
      <c r="A78" s="61">
        <v>46223.625</v>
      </c>
      <c r="B78" s="62" t="str">
        <f>IFERROR(VLOOKUP($A78,'13a (2)'!$O:$P,2,FALSE),"")</f>
        <v/>
      </c>
      <c r="C78" s="62" t="str">
        <f>IFERROR(VLOOKUP($A78,'13a (2)'!$AI:$AJ,2,FALSE),"")</f>
        <v/>
      </c>
      <c r="D78" s="62" t="str">
        <f>IFERROR(VLOOKUP($A78,'13a (2)'!$Q:$R,2,FALSE),"")</f>
        <v/>
      </c>
      <c r="E78" s="62" t="str">
        <f>IFERROR(VLOOKUP(INT($A78),'13a (2)'!$X:$Y,2,FALSE),"")</f>
        <v/>
      </c>
      <c r="F78" s="63" t="str">
        <f>IF($A78&lt;=$B$6,IFERROR(VLOOKUP($A78,'13a (2)'!$A:$M,13,FALSE),""),IFERROR(($B$10-$B$7)*$B$8*$B$9+($C78-$B$11)*$B$8*$B$9-($D78-$B$12)/100*$B$13-((INT($A78)-INT($B$5))/360*$B$14*$B$13-(INT($A78)-INT($B$5))/360*$B$15*$B$13*$B$12/100)-($E78/$B$16-1)*$B$17,""))</f>
        <v/>
      </c>
      <c r="G78" s="63" t="str">
        <f ca="1">IFERROR(VLOOKUP($A78,'13 (2)'!$A:$M,13,FALSE),"")</f>
        <v/>
      </c>
    </row>
    <row r="79" spans="1:7" x14ac:dyDescent="0.25">
      <c r="A79" s="61">
        <v>46224.625</v>
      </c>
      <c r="B79" s="62" t="str">
        <f>IFERROR(VLOOKUP($A79,'13a (2)'!$O:$P,2,FALSE),"")</f>
        <v/>
      </c>
      <c r="C79" s="62" t="str">
        <f>IFERROR(VLOOKUP($A79,'13a (2)'!$AI:$AJ,2,FALSE),"")</f>
        <v/>
      </c>
      <c r="D79" s="62" t="str">
        <f>IFERROR(VLOOKUP($A79,'13a (2)'!$Q:$R,2,FALSE),"")</f>
        <v/>
      </c>
      <c r="E79" s="62" t="str">
        <f>IFERROR(VLOOKUP(INT($A79),'13a (2)'!$X:$Y,2,FALSE),"")</f>
        <v/>
      </c>
      <c r="F79" s="63" t="str">
        <f>IF($A79&lt;=$B$6,IFERROR(VLOOKUP($A79,'13a (2)'!$A:$M,13,FALSE),""),IFERROR(($B$10-$B$7)*$B$8*$B$9+($C79-$B$11)*$B$8*$B$9-($D79-$B$12)/100*$B$13-((INT($A79)-INT($B$5))/360*$B$14*$B$13-(INT($A79)-INT($B$5))/360*$B$15*$B$13*$B$12/100)-($E79/$B$16-1)*$B$17,""))</f>
        <v/>
      </c>
      <c r="G79" s="63" t="str">
        <f ca="1">IFERROR(VLOOKUP($A79,'13 (2)'!$A:$M,13,FALSE),"")</f>
        <v/>
      </c>
    </row>
    <row r="80" spans="1:7" x14ac:dyDescent="0.25">
      <c r="A80" s="61">
        <v>46225.625</v>
      </c>
      <c r="B80" s="62" t="str">
        <f>IFERROR(VLOOKUP($A80,'13a (2)'!$O:$P,2,FALSE),"")</f>
        <v/>
      </c>
      <c r="C80" s="62" t="str">
        <f>IFERROR(VLOOKUP($A80,'13a (2)'!$AI:$AJ,2,FALSE),"")</f>
        <v/>
      </c>
      <c r="D80" s="62" t="str">
        <f>IFERROR(VLOOKUP($A80,'13a (2)'!$Q:$R,2,FALSE),"")</f>
        <v/>
      </c>
      <c r="E80" s="62" t="str">
        <f>IFERROR(VLOOKUP(INT($A80),'13a (2)'!$X:$Y,2,FALSE),"")</f>
        <v/>
      </c>
      <c r="F80" s="63" t="str">
        <f>IF($A80&lt;=$B$6,IFERROR(VLOOKUP($A80,'13a (2)'!$A:$M,13,FALSE),""),IFERROR(($B$10-$B$7)*$B$8*$B$9+($C80-$B$11)*$B$8*$B$9-($D80-$B$12)/100*$B$13-((INT($A80)-INT($B$5))/360*$B$14*$B$13-(INT($A80)-INT($B$5))/360*$B$15*$B$13*$B$12/100)-($E80/$B$16-1)*$B$17,""))</f>
        <v/>
      </c>
      <c r="G80" s="63" t="str">
        <f ca="1">IFERROR(VLOOKUP($A80,'13 (2)'!$A:$M,13,FALSE),"")</f>
        <v/>
      </c>
    </row>
    <row r="81" spans="1:7" x14ac:dyDescent="0.25">
      <c r="A81" s="61">
        <v>46226.625</v>
      </c>
      <c r="B81" s="62" t="str">
        <f>IFERROR(VLOOKUP($A81,'13a (2)'!$O:$P,2,FALSE),"")</f>
        <v/>
      </c>
      <c r="C81" s="62" t="str">
        <f>IFERROR(VLOOKUP($A81,'13a (2)'!$AI:$AJ,2,FALSE),"")</f>
        <v/>
      </c>
      <c r="D81" s="62" t="str">
        <f>IFERROR(VLOOKUP($A81,'13a (2)'!$Q:$R,2,FALSE),"")</f>
        <v/>
      </c>
      <c r="E81" s="62" t="str">
        <f>IFERROR(VLOOKUP(INT($A81),'13a (2)'!$X:$Y,2,FALSE),"")</f>
        <v/>
      </c>
      <c r="F81" s="63" t="str">
        <f>IF($A81&lt;=$B$6,IFERROR(VLOOKUP($A81,'13a (2)'!$A:$M,13,FALSE),""),IFERROR(($B$10-$B$7)*$B$8*$B$9+($C81-$B$11)*$B$8*$B$9-($D81-$B$12)/100*$B$13-((INT($A81)-INT($B$5))/360*$B$14*$B$13-(INT($A81)-INT($B$5))/360*$B$15*$B$13*$B$12/100)-($E81/$B$16-1)*$B$17,""))</f>
        <v/>
      </c>
      <c r="G81" s="63" t="str">
        <f ca="1">IFERROR(VLOOKUP($A81,'13 (2)'!$A:$M,13,FALSE),"")</f>
        <v/>
      </c>
    </row>
    <row r="82" spans="1:7" x14ac:dyDescent="0.25">
      <c r="A82" s="61">
        <v>46227.625</v>
      </c>
      <c r="B82" s="62" t="str">
        <f>IFERROR(VLOOKUP($A82,'13a (2)'!$O:$P,2,FALSE),"")</f>
        <v/>
      </c>
      <c r="C82" s="62" t="str">
        <f>IFERROR(VLOOKUP($A82,'13a (2)'!$AI:$AJ,2,FALSE),"")</f>
        <v/>
      </c>
      <c r="D82" s="62" t="str">
        <f>IFERROR(VLOOKUP($A82,'13a (2)'!$Q:$R,2,FALSE),"")</f>
        <v/>
      </c>
      <c r="E82" s="62" t="str">
        <f>IFERROR(VLOOKUP(INT($A82),'13a (2)'!$X:$Y,2,FALSE),"")</f>
        <v/>
      </c>
      <c r="F82" s="63" t="str">
        <f>IF($A82&lt;=$B$6,IFERROR(VLOOKUP($A82,'13a (2)'!$A:$M,13,FALSE),""),IFERROR(($B$10-$B$7)*$B$8*$B$9+($C82-$B$11)*$B$8*$B$9-($D82-$B$12)/100*$B$13-((INT($A82)-INT($B$5))/360*$B$14*$B$13-(INT($A82)-INT($B$5))/360*$B$15*$B$13*$B$12/100)-($E82/$B$16-1)*$B$17,""))</f>
        <v/>
      </c>
      <c r="G82" s="63" t="str">
        <f ca="1">IFERROR(VLOOKUP($A82,'13 (2)'!$A:$M,13,FALSE),"")</f>
        <v/>
      </c>
    </row>
    <row r="83" spans="1:7" x14ac:dyDescent="0.25">
      <c r="A83" s="61">
        <v>46230.625</v>
      </c>
      <c r="B83" s="62" t="str">
        <f>IFERROR(VLOOKUP($A83,'13a (2)'!$O:$P,2,FALSE),"")</f>
        <v/>
      </c>
      <c r="C83" s="62" t="str">
        <f>IFERROR(VLOOKUP($A83,'13a (2)'!$AI:$AJ,2,FALSE),"")</f>
        <v/>
      </c>
      <c r="D83" s="62" t="str">
        <f>IFERROR(VLOOKUP($A83,'13a (2)'!$Q:$R,2,FALSE),"")</f>
        <v/>
      </c>
      <c r="E83" s="62" t="str">
        <f>IFERROR(VLOOKUP(INT($A83),'13a (2)'!$X:$Y,2,FALSE),"")</f>
        <v/>
      </c>
      <c r="F83" s="63" t="str">
        <f>IF($A83&lt;=$B$6,IFERROR(VLOOKUP($A83,'13a (2)'!$A:$M,13,FALSE),""),IFERROR(($B$10-$B$7)*$B$8*$B$9+($C83-$B$11)*$B$8*$B$9-($D83-$B$12)/100*$B$13-((INT($A83)-INT($B$5))/360*$B$14*$B$13-(INT($A83)-INT($B$5))/360*$B$15*$B$13*$B$12/100)-($E83/$B$16-1)*$B$17,""))</f>
        <v/>
      </c>
      <c r="G83" s="63" t="str">
        <f ca="1">IFERROR(VLOOKUP($A83,'13 (2)'!$A:$M,13,FALSE),"")</f>
        <v/>
      </c>
    </row>
    <row r="84" spans="1:7" x14ac:dyDescent="0.25">
      <c r="A84" s="61">
        <v>46231.625</v>
      </c>
      <c r="B84" s="62" t="str">
        <f>IFERROR(VLOOKUP($A84,'13a (2)'!$O:$P,2,FALSE),"")</f>
        <v/>
      </c>
      <c r="C84" s="62" t="str">
        <f>IFERROR(VLOOKUP($A84,'13a (2)'!$AI:$AJ,2,FALSE),"")</f>
        <v/>
      </c>
      <c r="D84" s="62" t="str">
        <f>IFERROR(VLOOKUP($A84,'13a (2)'!$Q:$R,2,FALSE),"")</f>
        <v/>
      </c>
      <c r="E84" s="62" t="str">
        <f>IFERROR(VLOOKUP(INT($A84),'13a (2)'!$X:$Y,2,FALSE),"")</f>
        <v/>
      </c>
      <c r="F84" s="63" t="str">
        <f>IF($A84&lt;=$B$6,IFERROR(VLOOKUP($A84,'13a (2)'!$A:$M,13,FALSE),""),IFERROR(($B$10-$B$7)*$B$8*$B$9+($C84-$B$11)*$B$8*$B$9-($D84-$B$12)/100*$B$13-((INT($A84)-INT($B$5))/360*$B$14*$B$13-(INT($A84)-INT($B$5))/360*$B$15*$B$13*$B$12/100)-($E84/$B$16-1)*$B$17,""))</f>
        <v/>
      </c>
      <c r="G84" s="63" t="str">
        <f ca="1">IFERROR(VLOOKUP($A84,'13 (2)'!$A:$M,13,FALSE),"")</f>
        <v/>
      </c>
    </row>
    <row r="85" spans="1:7" x14ac:dyDescent="0.25">
      <c r="A85" s="61">
        <v>46232.625</v>
      </c>
      <c r="B85" s="62" t="str">
        <f>IFERROR(VLOOKUP($A85,'13a (2)'!$O:$P,2,FALSE),"")</f>
        <v/>
      </c>
      <c r="C85" s="62" t="str">
        <f>IFERROR(VLOOKUP($A85,'13a (2)'!$AI:$AJ,2,FALSE),"")</f>
        <v/>
      </c>
      <c r="D85" s="62" t="str">
        <f>IFERROR(VLOOKUP($A85,'13a (2)'!$Q:$R,2,FALSE),"")</f>
        <v/>
      </c>
      <c r="E85" s="62" t="str">
        <f>IFERROR(VLOOKUP(INT($A85),'13a (2)'!$X:$Y,2,FALSE),"")</f>
        <v/>
      </c>
      <c r="F85" s="63" t="str">
        <f>IF($A85&lt;=$B$6,IFERROR(VLOOKUP($A85,'13a (2)'!$A:$M,13,FALSE),""),IFERROR(($B$10-$B$7)*$B$8*$B$9+($C85-$B$11)*$B$8*$B$9-($D85-$B$12)/100*$B$13-((INT($A85)-INT($B$5))/360*$B$14*$B$13-(INT($A85)-INT($B$5))/360*$B$15*$B$13*$B$12/100)-($E85/$B$16-1)*$B$17,""))</f>
        <v/>
      </c>
      <c r="G85" s="63" t="str">
        <f ca="1">IFERROR(VLOOKUP($A85,'13 (2)'!$A:$M,13,FALSE),"")</f>
        <v/>
      </c>
    </row>
    <row r="86" spans="1:7" x14ac:dyDescent="0.25">
      <c r="A86" s="61">
        <v>46233.625</v>
      </c>
      <c r="B86" s="62" t="str">
        <f>IFERROR(VLOOKUP($A86,'13a (2)'!$O:$P,2,FALSE),"")</f>
        <v/>
      </c>
      <c r="C86" s="62" t="str">
        <f>IFERROR(VLOOKUP($A86,'13a (2)'!$AI:$AJ,2,FALSE),"")</f>
        <v/>
      </c>
      <c r="D86" s="62" t="str">
        <f>IFERROR(VLOOKUP($A86,'13a (2)'!$Q:$R,2,FALSE),"")</f>
        <v/>
      </c>
      <c r="E86" s="62" t="str">
        <f>IFERROR(VLOOKUP(INT($A86),'13a (2)'!$X:$Y,2,FALSE),"")</f>
        <v/>
      </c>
      <c r="F86" s="63" t="str">
        <f>IF($A86&lt;=$B$6,IFERROR(VLOOKUP($A86,'13a (2)'!$A:$M,13,FALSE),""),IFERROR(($B$10-$B$7)*$B$8*$B$9+($C86-$B$11)*$B$8*$B$9-($D86-$B$12)/100*$B$13-((INT($A86)-INT($B$5))/360*$B$14*$B$13-(INT($A86)-INT($B$5))/360*$B$15*$B$13*$B$12/100)-($E86/$B$16-1)*$B$17,""))</f>
        <v/>
      </c>
      <c r="G86" s="63" t="str">
        <f ca="1">IFERROR(VLOOKUP($A86,'13 (2)'!$A:$M,13,FALSE),"")</f>
        <v/>
      </c>
    </row>
    <row r="87" spans="1:7" x14ac:dyDescent="0.25">
      <c r="A87" s="61">
        <v>46234.625</v>
      </c>
      <c r="B87" s="62" t="str">
        <f>IFERROR(VLOOKUP($A87,'13a (2)'!$O:$P,2,FALSE),"")</f>
        <v/>
      </c>
      <c r="C87" s="62" t="str">
        <f>IFERROR(VLOOKUP($A87,'13a (2)'!$AI:$AJ,2,FALSE),"")</f>
        <v/>
      </c>
      <c r="D87" s="62" t="str">
        <f>IFERROR(VLOOKUP($A87,'13a (2)'!$Q:$R,2,FALSE),"")</f>
        <v/>
      </c>
      <c r="E87" s="62" t="str">
        <f>IFERROR(VLOOKUP(INT($A87),'13a (2)'!$X:$Y,2,FALSE),"")</f>
        <v/>
      </c>
      <c r="F87" s="63" t="str">
        <f>IF($A87&lt;=$B$6,IFERROR(VLOOKUP($A87,'13a (2)'!$A:$M,13,FALSE),""),IFERROR(($B$10-$B$7)*$B$8*$B$9+($C87-$B$11)*$B$8*$B$9-($D87-$B$12)/100*$B$13-((INT($A87)-INT($B$5))/360*$B$14*$B$13-(INT($A87)-INT($B$5))/360*$B$15*$B$13*$B$12/100)-($E87/$B$16-1)*$B$17,""))</f>
        <v/>
      </c>
      <c r="G87" s="63" t="str">
        <f ca="1">IFERROR(VLOOKUP($A87,'13 (2)'!$A:$M,13,FALSE),"")</f>
        <v/>
      </c>
    </row>
    <row r="88" spans="1:7" x14ac:dyDescent="0.25">
      <c r="A88" s="61">
        <v>46237.625</v>
      </c>
      <c r="B88" s="62" t="str">
        <f>IFERROR(VLOOKUP($A88,'13a (2)'!$O:$P,2,FALSE),"")</f>
        <v/>
      </c>
      <c r="C88" s="62" t="str">
        <f>IFERROR(VLOOKUP($A88,'13a (2)'!$AI:$AJ,2,FALSE),"")</f>
        <v/>
      </c>
      <c r="D88" s="62" t="str">
        <f>IFERROR(VLOOKUP($A88,'13a (2)'!$Q:$R,2,FALSE),"")</f>
        <v/>
      </c>
      <c r="E88" s="62" t="str">
        <f>IFERROR(VLOOKUP(INT($A88),'13a (2)'!$X:$Y,2,FALSE),"")</f>
        <v/>
      </c>
      <c r="F88" s="63" t="str">
        <f>IF($A88&lt;=$B$6,IFERROR(VLOOKUP($A88,'13a (2)'!$A:$M,13,FALSE),""),IFERROR(($B$10-$B$7)*$B$8*$B$9+($C88-$B$11)*$B$8*$B$9-($D88-$B$12)/100*$B$13-((INT($A88)-INT($B$5))/360*$B$14*$B$13-(INT($A88)-INT($B$5))/360*$B$15*$B$13*$B$12/100)-($E88/$B$16-1)*$B$17,""))</f>
        <v/>
      </c>
      <c r="G88" s="63" t="str">
        <f ca="1">IFERROR(VLOOKUP($A88,'13 (2)'!$A:$M,13,FALSE),"")</f>
        <v/>
      </c>
    </row>
    <row r="89" spans="1:7" x14ac:dyDescent="0.25">
      <c r="A89" s="61">
        <v>46238.625</v>
      </c>
      <c r="B89" s="62" t="str">
        <f>IFERROR(VLOOKUP($A89,'13a (2)'!$O:$P,2,FALSE),"")</f>
        <v/>
      </c>
      <c r="C89" s="62" t="str">
        <f>IFERROR(VLOOKUP($A89,'13a (2)'!$AI:$AJ,2,FALSE),"")</f>
        <v/>
      </c>
      <c r="D89" s="62" t="str">
        <f>IFERROR(VLOOKUP($A89,'13a (2)'!$Q:$R,2,FALSE),"")</f>
        <v/>
      </c>
      <c r="E89" s="62" t="str">
        <f>IFERROR(VLOOKUP(INT($A89),'13a (2)'!$X:$Y,2,FALSE),"")</f>
        <v/>
      </c>
      <c r="F89" s="63" t="str">
        <f>IF($A89&lt;=$B$6,IFERROR(VLOOKUP($A89,'13a (2)'!$A:$M,13,FALSE),""),IFERROR(($B$10-$B$7)*$B$8*$B$9+($C89-$B$11)*$B$8*$B$9-($D89-$B$12)/100*$B$13-((INT($A89)-INT($B$5))/360*$B$14*$B$13-(INT($A89)-INT($B$5))/360*$B$15*$B$13*$B$12/100)-($E89/$B$16-1)*$B$17,""))</f>
        <v/>
      </c>
      <c r="G89" s="63" t="str">
        <f ca="1">IFERROR(VLOOKUP($A89,'13 (2)'!$A:$M,13,FALSE),"")</f>
        <v/>
      </c>
    </row>
    <row r="90" spans="1:7" x14ac:dyDescent="0.25">
      <c r="A90" s="61">
        <v>46239.625</v>
      </c>
      <c r="B90" s="62" t="str">
        <f>IFERROR(VLOOKUP($A90,'13a (2)'!$O:$P,2,FALSE),"")</f>
        <v/>
      </c>
      <c r="C90" s="62" t="str">
        <f>IFERROR(VLOOKUP($A90,'13a (2)'!$AI:$AJ,2,FALSE),"")</f>
        <v/>
      </c>
      <c r="D90" s="62" t="str">
        <f>IFERROR(VLOOKUP($A90,'13a (2)'!$Q:$R,2,FALSE),"")</f>
        <v/>
      </c>
      <c r="E90" s="62" t="str">
        <f>IFERROR(VLOOKUP(INT($A90),'13a (2)'!$X:$Y,2,FALSE),"")</f>
        <v/>
      </c>
      <c r="F90" s="63" t="str">
        <f>IF($A90&lt;=$B$6,IFERROR(VLOOKUP($A90,'13a (2)'!$A:$M,13,FALSE),""),IFERROR(($B$10-$B$7)*$B$8*$B$9+($C90-$B$11)*$B$8*$B$9-($D90-$B$12)/100*$B$13-((INT($A90)-INT($B$5))/360*$B$14*$B$13-(INT($A90)-INT($B$5))/360*$B$15*$B$13*$B$12/100)-($E90/$B$16-1)*$B$17,""))</f>
        <v/>
      </c>
      <c r="G90" s="63" t="str">
        <f ca="1">IFERROR(VLOOKUP($A90,'13 (2)'!$A:$M,13,FALSE),"")</f>
        <v/>
      </c>
    </row>
    <row r="91" spans="1:7" x14ac:dyDescent="0.25">
      <c r="A91" s="61">
        <v>46240.625</v>
      </c>
      <c r="B91" s="62" t="str">
        <f>IFERROR(VLOOKUP($A91,'13a (2)'!$O:$P,2,FALSE),"")</f>
        <v/>
      </c>
      <c r="C91" s="62" t="str">
        <f>IFERROR(VLOOKUP($A91,'13a (2)'!$AI:$AJ,2,FALSE),"")</f>
        <v/>
      </c>
      <c r="D91" s="62" t="str">
        <f>IFERROR(VLOOKUP($A91,'13a (2)'!$Q:$R,2,FALSE),"")</f>
        <v/>
      </c>
      <c r="E91" s="62" t="str">
        <f>IFERROR(VLOOKUP(INT($A91),'13a (2)'!$X:$Y,2,FALSE),"")</f>
        <v/>
      </c>
      <c r="F91" s="63" t="str">
        <f>IF($A91&lt;=$B$6,IFERROR(VLOOKUP($A91,'13a (2)'!$A:$M,13,FALSE),""),IFERROR(($B$10-$B$7)*$B$8*$B$9+($C91-$B$11)*$B$8*$B$9-($D91-$B$12)/100*$B$13-((INT($A91)-INT($B$5))/360*$B$14*$B$13-(INT($A91)-INT($B$5))/360*$B$15*$B$13*$B$12/100)-($E91/$B$16-1)*$B$17,""))</f>
        <v/>
      </c>
      <c r="G91" s="63" t="str">
        <f ca="1">IFERROR(VLOOKUP($A91,'13 (2)'!$A:$M,13,FALSE),"")</f>
        <v/>
      </c>
    </row>
    <row r="92" spans="1:7" x14ac:dyDescent="0.25">
      <c r="A92" s="61">
        <v>46241.625</v>
      </c>
      <c r="B92" s="62" t="str">
        <f>IFERROR(VLOOKUP($A92,'13a (2)'!$O:$P,2,FALSE),"")</f>
        <v/>
      </c>
      <c r="C92" s="62" t="str">
        <f>IFERROR(VLOOKUP($A92,'13a (2)'!$AI:$AJ,2,FALSE),"")</f>
        <v/>
      </c>
      <c r="D92" s="62" t="str">
        <f>IFERROR(VLOOKUP($A92,'13a (2)'!$Q:$R,2,FALSE),"")</f>
        <v/>
      </c>
      <c r="E92" s="62" t="str">
        <f>IFERROR(VLOOKUP(INT($A92),'13a (2)'!$X:$Y,2,FALSE),"")</f>
        <v/>
      </c>
      <c r="F92" s="63" t="str">
        <f>IF($A92&lt;=$B$6,IFERROR(VLOOKUP($A92,'13a (2)'!$A:$M,13,FALSE),""),IFERROR(($B$10-$B$7)*$B$8*$B$9+($C92-$B$11)*$B$8*$B$9-($D92-$B$12)/100*$B$13-((INT($A92)-INT($B$5))/360*$B$14*$B$13-(INT($A92)-INT($B$5))/360*$B$15*$B$13*$B$12/100)-($E92/$B$16-1)*$B$17,""))</f>
        <v/>
      </c>
      <c r="G92" s="63" t="str">
        <f ca="1">IFERROR(VLOOKUP($A92,'13 (2)'!$A:$M,13,FALSE),"")</f>
        <v/>
      </c>
    </row>
    <row r="93" spans="1:7" x14ac:dyDescent="0.25">
      <c r="A93" s="61">
        <v>46244.625</v>
      </c>
      <c r="B93" s="62" t="str">
        <f>IFERROR(VLOOKUP($A93,'13a (2)'!$O:$P,2,FALSE),"")</f>
        <v/>
      </c>
      <c r="C93" s="62" t="str">
        <f>IFERROR(VLOOKUP($A93,'13a (2)'!$AI:$AJ,2,FALSE),"")</f>
        <v/>
      </c>
      <c r="D93" s="62" t="str">
        <f>IFERROR(VLOOKUP($A93,'13a (2)'!$Q:$R,2,FALSE),"")</f>
        <v/>
      </c>
      <c r="E93" s="62" t="str">
        <f>IFERROR(VLOOKUP(INT($A93),'13a (2)'!$X:$Y,2,FALSE),"")</f>
        <v/>
      </c>
      <c r="F93" s="63" t="str">
        <f>IF($A93&lt;=$B$6,IFERROR(VLOOKUP($A93,'13a (2)'!$A:$M,13,FALSE),""),IFERROR(($B$10-$B$7)*$B$8*$B$9+($C93-$B$11)*$B$8*$B$9-($D93-$B$12)/100*$B$13-((INT($A93)-INT($B$5))/360*$B$14*$B$13-(INT($A93)-INT($B$5))/360*$B$15*$B$13*$B$12/100)-($E93/$B$16-1)*$B$17,""))</f>
        <v/>
      </c>
      <c r="G93" s="63" t="str">
        <f ca="1">IFERROR(VLOOKUP($A93,'13 (2)'!$A:$M,13,FALSE),"")</f>
        <v/>
      </c>
    </row>
    <row r="94" spans="1:7" x14ac:dyDescent="0.25">
      <c r="A94" s="61">
        <v>46245.625</v>
      </c>
      <c r="B94" s="62" t="str">
        <f>IFERROR(VLOOKUP($A94,'13a (2)'!$O:$P,2,FALSE),"")</f>
        <v/>
      </c>
      <c r="C94" s="62" t="str">
        <f>IFERROR(VLOOKUP($A94,'13a (2)'!$AI:$AJ,2,FALSE),"")</f>
        <v/>
      </c>
      <c r="D94" s="62" t="str">
        <f>IFERROR(VLOOKUP($A94,'13a (2)'!$Q:$R,2,FALSE),"")</f>
        <v/>
      </c>
      <c r="E94" s="62" t="str">
        <f>IFERROR(VLOOKUP(INT($A94),'13a (2)'!$X:$Y,2,FALSE),"")</f>
        <v/>
      </c>
      <c r="F94" s="63" t="str">
        <f>IF($A94&lt;=$B$6,IFERROR(VLOOKUP($A94,'13a (2)'!$A:$M,13,FALSE),""),IFERROR(($B$10-$B$7)*$B$8*$B$9+($C94-$B$11)*$B$8*$B$9-($D94-$B$12)/100*$B$13-((INT($A94)-INT($B$5))/360*$B$14*$B$13-(INT($A94)-INT($B$5))/360*$B$15*$B$13*$B$12/100)-($E94/$B$16-1)*$B$17,""))</f>
        <v/>
      </c>
      <c r="G94" s="63" t="str">
        <f ca="1">IFERROR(VLOOKUP($A94,'13 (2)'!$A:$M,13,FALSE),"")</f>
        <v/>
      </c>
    </row>
    <row r="95" spans="1:7" x14ac:dyDescent="0.25">
      <c r="A95" s="61">
        <v>46246.625</v>
      </c>
      <c r="B95" s="62" t="str">
        <f>IFERROR(VLOOKUP($A95,'13a (2)'!$O:$P,2,FALSE),"")</f>
        <v/>
      </c>
      <c r="C95" s="62" t="str">
        <f>IFERROR(VLOOKUP($A95,'13a (2)'!$AI:$AJ,2,FALSE),"")</f>
        <v/>
      </c>
      <c r="D95" s="62" t="str">
        <f>IFERROR(VLOOKUP($A95,'13a (2)'!$Q:$R,2,FALSE),"")</f>
        <v/>
      </c>
      <c r="E95" s="62" t="str">
        <f>IFERROR(VLOOKUP(INT($A95),'13a (2)'!$X:$Y,2,FALSE),"")</f>
        <v/>
      </c>
      <c r="F95" s="63" t="str">
        <f>IF($A95&lt;=$B$6,IFERROR(VLOOKUP($A95,'13a (2)'!$A:$M,13,FALSE),""),IFERROR(($B$10-$B$7)*$B$8*$B$9+($C95-$B$11)*$B$8*$B$9-($D95-$B$12)/100*$B$13-((INT($A95)-INT($B$5))/360*$B$14*$B$13-(INT($A95)-INT($B$5))/360*$B$15*$B$13*$B$12/100)-($E95/$B$16-1)*$B$17,""))</f>
        <v/>
      </c>
      <c r="G95" s="63" t="str">
        <f ca="1">IFERROR(VLOOKUP($A95,'13 (2)'!$A:$M,13,FALSE),"")</f>
        <v/>
      </c>
    </row>
    <row r="96" spans="1:7" x14ac:dyDescent="0.25">
      <c r="A96" s="61">
        <v>46247.625</v>
      </c>
      <c r="B96" s="62" t="str">
        <f>IFERROR(VLOOKUP($A96,'13a (2)'!$O:$P,2,FALSE),"")</f>
        <v/>
      </c>
      <c r="C96" s="62" t="str">
        <f>IFERROR(VLOOKUP($A96,'13a (2)'!$AI:$AJ,2,FALSE),"")</f>
        <v/>
      </c>
      <c r="D96" s="62" t="str">
        <f>IFERROR(VLOOKUP($A96,'13a (2)'!$Q:$R,2,FALSE),"")</f>
        <v/>
      </c>
      <c r="E96" s="62" t="str">
        <f>IFERROR(VLOOKUP(INT($A96),'13a (2)'!$X:$Y,2,FALSE),"")</f>
        <v/>
      </c>
      <c r="F96" s="63" t="str">
        <f>IF($A96&lt;=$B$6,IFERROR(VLOOKUP($A96,'13a (2)'!$A:$M,13,FALSE),""),IFERROR(($B$10-$B$7)*$B$8*$B$9+($C96-$B$11)*$B$8*$B$9-($D96-$B$12)/100*$B$13-((INT($A96)-INT($B$5))/360*$B$14*$B$13-(INT($A96)-INT($B$5))/360*$B$15*$B$13*$B$12/100)-($E96/$B$16-1)*$B$17,""))</f>
        <v/>
      </c>
      <c r="G96" s="63" t="str">
        <f ca="1">IFERROR(VLOOKUP($A96,'13 (2)'!$A:$M,13,FALSE),"")</f>
        <v/>
      </c>
    </row>
    <row r="97" spans="1:7" x14ac:dyDescent="0.25">
      <c r="A97" s="61">
        <v>46248.625</v>
      </c>
      <c r="B97" s="62" t="str">
        <f>IFERROR(VLOOKUP($A97,'13a (2)'!$O:$P,2,FALSE),"")</f>
        <v/>
      </c>
      <c r="C97" s="62" t="str">
        <f>IFERROR(VLOOKUP($A97,'13a (2)'!$AI:$AJ,2,FALSE),"")</f>
        <v/>
      </c>
      <c r="D97" s="62" t="str">
        <f>IFERROR(VLOOKUP($A97,'13a (2)'!$Q:$R,2,FALSE),"")</f>
        <v/>
      </c>
      <c r="E97" s="62" t="str">
        <f>IFERROR(VLOOKUP(INT($A97),'13a (2)'!$X:$Y,2,FALSE),"")</f>
        <v/>
      </c>
      <c r="F97" s="63" t="str">
        <f>IF($A97&lt;=$B$6,IFERROR(VLOOKUP($A97,'13a (2)'!$A:$M,13,FALSE),""),IFERROR(($B$10-$B$7)*$B$8*$B$9+($C97-$B$11)*$B$8*$B$9-($D97-$B$12)/100*$B$13-((INT($A97)-INT($B$5))/360*$B$14*$B$13-(INT($A97)-INT($B$5))/360*$B$15*$B$13*$B$12/100)-($E97/$B$16-1)*$B$17,""))</f>
        <v/>
      </c>
      <c r="G97" s="63" t="str">
        <f ca="1">IFERROR(VLOOKUP($A97,'13 (2)'!$A:$M,13,FALSE),"")</f>
        <v/>
      </c>
    </row>
    <row r="98" spans="1:7" x14ac:dyDescent="0.25">
      <c r="A98" s="61">
        <v>46251.625</v>
      </c>
      <c r="B98" s="62" t="str">
        <f>IFERROR(VLOOKUP($A98,'13a (2)'!$O:$P,2,FALSE),"")</f>
        <v/>
      </c>
      <c r="C98" s="62" t="str">
        <f>IFERROR(VLOOKUP($A98,'13a (2)'!$AI:$AJ,2,FALSE),"")</f>
        <v/>
      </c>
      <c r="D98" s="62" t="str">
        <f>IFERROR(VLOOKUP($A98,'13a (2)'!$Q:$R,2,FALSE),"")</f>
        <v/>
      </c>
      <c r="E98" s="62" t="str">
        <f>IFERROR(VLOOKUP(INT($A98),'13a (2)'!$X:$Y,2,FALSE),"")</f>
        <v/>
      </c>
      <c r="F98" s="63" t="str">
        <f>IF($A98&lt;=$B$6,IFERROR(VLOOKUP($A98,'13a (2)'!$A:$M,13,FALSE),""),IFERROR(($B$10-$B$7)*$B$8*$B$9+($C98-$B$11)*$B$8*$B$9-($D98-$B$12)/100*$B$13-((INT($A98)-INT($B$5))/360*$B$14*$B$13-(INT($A98)-INT($B$5))/360*$B$15*$B$13*$B$12/100)-($E98/$B$16-1)*$B$17,""))</f>
        <v/>
      </c>
      <c r="G98" s="63" t="str">
        <f ca="1">IFERROR(VLOOKUP($A98,'13 (2)'!$A:$M,13,FALSE),"")</f>
        <v/>
      </c>
    </row>
    <row r="99" spans="1:7" x14ac:dyDescent="0.25">
      <c r="A99" s="61">
        <v>46252.625</v>
      </c>
      <c r="B99" s="62" t="str">
        <f>IFERROR(VLOOKUP($A99,'13a (2)'!$O:$P,2,FALSE),"")</f>
        <v/>
      </c>
      <c r="C99" s="62" t="str">
        <f>IFERROR(VLOOKUP($A99,'13a (2)'!$AI:$AJ,2,FALSE),"")</f>
        <v/>
      </c>
      <c r="D99" s="62" t="str">
        <f>IFERROR(VLOOKUP($A99,'13a (2)'!$Q:$R,2,FALSE),"")</f>
        <v/>
      </c>
      <c r="E99" s="62" t="str">
        <f>IFERROR(VLOOKUP(INT($A99),'13a (2)'!$X:$Y,2,FALSE),"")</f>
        <v/>
      </c>
      <c r="F99" s="63" t="str">
        <f>IF($A99&lt;=$B$6,IFERROR(VLOOKUP($A99,'13a (2)'!$A:$M,13,FALSE),""),IFERROR(($B$10-$B$7)*$B$8*$B$9+($C99-$B$11)*$B$8*$B$9-($D99-$B$12)/100*$B$13-((INT($A99)-INT($B$5))/360*$B$14*$B$13-(INT($A99)-INT($B$5))/360*$B$15*$B$13*$B$12/100)-($E99/$B$16-1)*$B$17,""))</f>
        <v/>
      </c>
      <c r="G99" s="63" t="str">
        <f ca="1">IFERROR(VLOOKUP($A99,'13 (2)'!$A:$M,13,FALSE),"")</f>
        <v/>
      </c>
    </row>
    <row r="100" spans="1:7" x14ac:dyDescent="0.25">
      <c r="A100" s="61">
        <v>46253.625</v>
      </c>
      <c r="B100" s="62" t="str">
        <f>IFERROR(VLOOKUP($A100,'13a (2)'!$O:$P,2,FALSE),"")</f>
        <v/>
      </c>
      <c r="C100" s="62" t="str">
        <f>IFERROR(VLOOKUP($A100,'13a (2)'!$AI:$AJ,2,FALSE),"")</f>
        <v/>
      </c>
      <c r="D100" s="62" t="str">
        <f>IFERROR(VLOOKUP($A100,'13a (2)'!$Q:$R,2,FALSE),"")</f>
        <v/>
      </c>
      <c r="E100" s="62" t="str">
        <f>IFERROR(VLOOKUP(INT($A100),'13a (2)'!$X:$Y,2,FALSE),"")</f>
        <v/>
      </c>
      <c r="F100" s="63" t="str">
        <f>IF($A100&lt;=$B$6,IFERROR(VLOOKUP($A100,'13a (2)'!$A:$M,13,FALSE),""),IFERROR(($B$10-$B$7)*$B$8*$B$9+($C100-$B$11)*$B$8*$B$9-($D100-$B$12)/100*$B$13-((INT($A100)-INT($B$5))/360*$B$14*$B$13-(INT($A100)-INT($B$5))/360*$B$15*$B$13*$B$12/100)-($E100/$B$16-1)*$B$17,""))</f>
        <v/>
      </c>
      <c r="G100" s="63" t="str">
        <f ca="1">IFERROR(VLOOKUP($A100,'13 (2)'!$A:$M,13,FALSE),"")</f>
        <v/>
      </c>
    </row>
    <row r="101" spans="1:7" x14ac:dyDescent="0.25">
      <c r="A101" s="61">
        <v>46254.625</v>
      </c>
      <c r="B101" s="62" t="str">
        <f>IFERROR(VLOOKUP($A101,'13a (2)'!$O:$P,2,FALSE),"")</f>
        <v/>
      </c>
      <c r="C101" s="62" t="str">
        <f>IFERROR(VLOOKUP($A101,'13a (2)'!$AI:$AJ,2,FALSE),"")</f>
        <v/>
      </c>
      <c r="D101" s="62" t="str">
        <f>IFERROR(VLOOKUP($A101,'13a (2)'!$Q:$R,2,FALSE),"")</f>
        <v/>
      </c>
      <c r="E101" s="62" t="str">
        <f>IFERROR(VLOOKUP(INT($A101),'13a (2)'!$X:$Y,2,FALSE),"")</f>
        <v/>
      </c>
      <c r="F101" s="63" t="str">
        <f>IF($A101&lt;=$B$6,IFERROR(VLOOKUP($A101,'13a (2)'!$A:$M,13,FALSE),""),IFERROR(($B$10-$B$7)*$B$8*$B$9+($C101-$B$11)*$B$8*$B$9-($D101-$B$12)/100*$B$13-((INT($A101)-INT($B$5))/360*$B$14*$B$13-(INT($A101)-INT($B$5))/360*$B$15*$B$13*$B$12/100)-($E101/$B$16-1)*$B$17,""))</f>
        <v/>
      </c>
      <c r="G101" s="63" t="str">
        <f ca="1">IFERROR(VLOOKUP($A101,'13 (2)'!$A:$M,13,FALSE),"")</f>
        <v/>
      </c>
    </row>
    <row r="102" spans="1:7" x14ac:dyDescent="0.25">
      <c r="A102" s="61">
        <v>46255.625</v>
      </c>
      <c r="B102" s="62" t="str">
        <f>IFERROR(VLOOKUP($A102,'13a (2)'!$O:$P,2,FALSE),"")</f>
        <v/>
      </c>
      <c r="C102" s="62" t="str">
        <f>IFERROR(VLOOKUP($A102,'13a (2)'!$AI:$AJ,2,FALSE),"")</f>
        <v/>
      </c>
      <c r="D102" s="62" t="str">
        <f>IFERROR(VLOOKUP($A102,'13a (2)'!$Q:$R,2,FALSE),"")</f>
        <v/>
      </c>
      <c r="E102" s="62" t="str">
        <f>IFERROR(VLOOKUP(INT($A102),'13a (2)'!$X:$Y,2,FALSE),"")</f>
        <v/>
      </c>
      <c r="F102" s="63" t="str">
        <f>IF($A102&lt;=$B$6,IFERROR(VLOOKUP($A102,'13a (2)'!$A:$M,13,FALSE),""),IFERROR(($B$10-$B$7)*$B$8*$B$9+($C102-$B$11)*$B$8*$B$9-($D102-$B$12)/100*$B$13-((INT($A102)-INT($B$5))/360*$B$14*$B$13-(INT($A102)-INT($B$5))/360*$B$15*$B$13*$B$12/100)-($E102/$B$16-1)*$B$17,""))</f>
        <v/>
      </c>
      <c r="G102" s="63" t="str">
        <f ca="1">IFERROR(VLOOKUP($A102,'13 (2)'!$A:$M,13,FALSE),"")</f>
        <v/>
      </c>
    </row>
    <row r="103" spans="1:7" x14ac:dyDescent="0.25">
      <c r="A103" s="61">
        <v>46258.625</v>
      </c>
      <c r="B103" s="62" t="str">
        <f>IFERROR(VLOOKUP($A103,'13a (2)'!$O:$P,2,FALSE),"")</f>
        <v/>
      </c>
      <c r="C103" s="62" t="str">
        <f>IFERROR(VLOOKUP($A103,'13a (2)'!$AI:$AJ,2,FALSE),"")</f>
        <v/>
      </c>
      <c r="D103" s="62" t="str">
        <f>IFERROR(VLOOKUP($A103,'13a (2)'!$Q:$R,2,FALSE),"")</f>
        <v/>
      </c>
      <c r="E103" s="62" t="str">
        <f>IFERROR(VLOOKUP(INT($A103),'13a (2)'!$X:$Y,2,FALSE),"")</f>
        <v/>
      </c>
      <c r="F103" s="63" t="str">
        <f>IF($A103&lt;=$B$6,IFERROR(VLOOKUP($A103,'13a (2)'!$A:$M,13,FALSE),""),IFERROR(($B$10-$B$7)*$B$8*$B$9+($C103-$B$11)*$B$8*$B$9-($D103-$B$12)/100*$B$13-((INT($A103)-INT($B$5))/360*$B$14*$B$13-(INT($A103)-INT($B$5))/360*$B$15*$B$13*$B$12/100)-($E103/$B$16-1)*$B$17,""))</f>
        <v/>
      </c>
      <c r="G103" s="63" t="str">
        <f ca="1">IFERROR(VLOOKUP($A103,'13 (2)'!$A:$M,13,FALSE),"")</f>
        <v/>
      </c>
    </row>
    <row r="104" spans="1:7" x14ac:dyDescent="0.25">
      <c r="A104" s="61">
        <v>46259.625</v>
      </c>
      <c r="B104" s="62" t="str">
        <f>IFERROR(VLOOKUP($A104,'13a (2)'!$O:$P,2,FALSE),"")</f>
        <v/>
      </c>
      <c r="C104" s="62" t="str">
        <f>IFERROR(VLOOKUP($A104,'13a (2)'!$AI:$AJ,2,FALSE),"")</f>
        <v/>
      </c>
      <c r="D104" s="62" t="str">
        <f>IFERROR(VLOOKUP($A104,'13a (2)'!$Q:$R,2,FALSE),"")</f>
        <v/>
      </c>
      <c r="E104" s="62" t="str">
        <f>IFERROR(VLOOKUP(INT($A104),'13a (2)'!$X:$Y,2,FALSE),"")</f>
        <v/>
      </c>
      <c r="F104" s="63" t="str">
        <f>IF($A104&lt;=$B$6,IFERROR(VLOOKUP($A104,'13a (2)'!$A:$M,13,FALSE),""),IFERROR(($B$10-$B$7)*$B$8*$B$9+($C104-$B$11)*$B$8*$B$9-($D104-$B$12)/100*$B$13-((INT($A104)-INT($B$5))/360*$B$14*$B$13-(INT($A104)-INT($B$5))/360*$B$15*$B$13*$B$12/100)-($E104/$B$16-1)*$B$17,""))</f>
        <v/>
      </c>
      <c r="G104" s="63" t="str">
        <f ca="1">IFERROR(VLOOKUP($A104,'13 (2)'!$A:$M,13,FALSE),"")</f>
        <v/>
      </c>
    </row>
    <row r="105" spans="1:7" x14ac:dyDescent="0.25">
      <c r="A105" s="61">
        <v>46260.625</v>
      </c>
      <c r="B105" s="62" t="str">
        <f>IFERROR(VLOOKUP($A105,'13a (2)'!$O:$P,2,FALSE),"")</f>
        <v/>
      </c>
      <c r="C105" s="62" t="str">
        <f>IFERROR(VLOOKUP($A105,'13a (2)'!$AI:$AJ,2,FALSE),"")</f>
        <v/>
      </c>
      <c r="D105" s="62" t="str">
        <f>IFERROR(VLOOKUP($A105,'13a (2)'!$Q:$R,2,FALSE),"")</f>
        <v/>
      </c>
      <c r="E105" s="62" t="str">
        <f>IFERROR(VLOOKUP(INT($A105),'13a (2)'!$X:$Y,2,FALSE),"")</f>
        <v/>
      </c>
      <c r="F105" s="63" t="str">
        <f>IF($A105&lt;=$B$6,IFERROR(VLOOKUP($A105,'13a (2)'!$A:$M,13,FALSE),""),IFERROR(($B$10-$B$7)*$B$8*$B$9+($C105-$B$11)*$B$8*$B$9-($D105-$B$12)/100*$B$13-((INT($A105)-INT($B$5))/360*$B$14*$B$13-(INT($A105)-INT($B$5))/360*$B$15*$B$13*$B$12/100)-($E105/$B$16-1)*$B$17,""))</f>
        <v/>
      </c>
      <c r="G105" s="63" t="str">
        <f ca="1">IFERROR(VLOOKUP($A105,'13 (2)'!$A:$M,13,FALSE),"")</f>
        <v/>
      </c>
    </row>
    <row r="106" spans="1:7" x14ac:dyDescent="0.25">
      <c r="A106" s="61">
        <v>46261.625</v>
      </c>
      <c r="B106" s="62" t="str">
        <f>IFERROR(VLOOKUP($A106,'13a (2)'!$O:$P,2,FALSE),"")</f>
        <v/>
      </c>
      <c r="C106" s="62" t="str">
        <f>IFERROR(VLOOKUP($A106,'13a (2)'!$AI:$AJ,2,FALSE),"")</f>
        <v/>
      </c>
      <c r="D106" s="62" t="str">
        <f>IFERROR(VLOOKUP($A106,'13a (2)'!$Q:$R,2,FALSE),"")</f>
        <v/>
      </c>
      <c r="E106" s="62" t="str">
        <f>IFERROR(VLOOKUP(INT($A106),'13a (2)'!$X:$Y,2,FALSE),"")</f>
        <v/>
      </c>
      <c r="F106" s="63" t="str">
        <f>IF($A106&lt;=$B$6,IFERROR(VLOOKUP($A106,'13a (2)'!$A:$M,13,FALSE),""),IFERROR(($B$10-$B$7)*$B$8*$B$9+($C106-$B$11)*$B$8*$B$9-($D106-$B$12)/100*$B$13-((INT($A106)-INT($B$5))/360*$B$14*$B$13-(INT($A106)-INT($B$5))/360*$B$15*$B$13*$B$12/100)-($E106/$B$16-1)*$B$17,""))</f>
        <v/>
      </c>
      <c r="G106" s="63" t="str">
        <f ca="1">IFERROR(VLOOKUP($A106,'13 (2)'!$A:$M,13,FALSE),"")</f>
        <v/>
      </c>
    </row>
    <row r="107" spans="1:7" x14ac:dyDescent="0.25">
      <c r="A107" s="61">
        <v>46262.625</v>
      </c>
      <c r="B107" s="62" t="str">
        <f>IFERROR(VLOOKUP($A107,'13a (2)'!$O:$P,2,FALSE),"")</f>
        <v/>
      </c>
      <c r="C107" s="62" t="str">
        <f>IFERROR(VLOOKUP($A107,'13a (2)'!$AI:$AJ,2,FALSE),"")</f>
        <v/>
      </c>
      <c r="D107" s="62" t="str">
        <f>IFERROR(VLOOKUP($A107,'13a (2)'!$Q:$R,2,FALSE),"")</f>
        <v/>
      </c>
      <c r="E107" s="62" t="str">
        <f>IFERROR(VLOOKUP(INT($A107),'13a (2)'!$X:$Y,2,FALSE),"")</f>
        <v/>
      </c>
      <c r="F107" s="63" t="str">
        <f>IF($A107&lt;=$B$6,IFERROR(VLOOKUP($A107,'13a (2)'!$A:$M,13,FALSE),""),IFERROR(($B$10-$B$7)*$B$8*$B$9+($C107-$B$11)*$B$8*$B$9-($D107-$B$12)/100*$B$13-((INT($A107)-INT($B$5))/360*$B$14*$B$13-(INT($A107)-INT($B$5))/360*$B$15*$B$13*$B$12/100)-($E107/$B$16-1)*$B$17,""))</f>
        <v/>
      </c>
      <c r="G107" s="63" t="str">
        <f ca="1">IFERROR(VLOOKUP($A107,'13 (2)'!$A:$M,13,FALSE),"")</f>
        <v/>
      </c>
    </row>
    <row r="108" spans="1:7" x14ac:dyDescent="0.25">
      <c r="A108" s="61">
        <v>46265.625</v>
      </c>
      <c r="B108" s="62" t="str">
        <f>IFERROR(VLOOKUP($A108,'13a (2)'!$O:$P,2,FALSE),"")</f>
        <v/>
      </c>
      <c r="C108" s="62" t="str">
        <f>IFERROR(VLOOKUP($A108,'13a (2)'!$AI:$AJ,2,FALSE),"")</f>
        <v/>
      </c>
      <c r="D108" s="62" t="str">
        <f>IFERROR(VLOOKUP($A108,'13a (2)'!$Q:$R,2,FALSE),"")</f>
        <v/>
      </c>
      <c r="E108" s="62" t="str">
        <f>IFERROR(VLOOKUP(INT($A108),'13a (2)'!$X:$Y,2,FALSE),"")</f>
        <v/>
      </c>
      <c r="F108" s="63" t="str">
        <f>IF($A108&lt;=$B$6,IFERROR(VLOOKUP($A108,'13a (2)'!$A:$M,13,FALSE),""),IFERROR(($B$10-$B$7)*$B$8*$B$9+($C108-$B$11)*$B$8*$B$9-($D108-$B$12)/100*$B$13-((INT($A108)-INT($B$5))/360*$B$14*$B$13-(INT($A108)-INT($B$5))/360*$B$15*$B$13*$B$12/100)-($E108/$B$16-1)*$B$17,""))</f>
        <v/>
      </c>
      <c r="G108" s="63" t="str">
        <f ca="1">IFERROR(VLOOKUP($A108,'13 (2)'!$A:$M,13,FALSE),"")</f>
        <v/>
      </c>
    </row>
    <row r="109" spans="1:7" x14ac:dyDescent="0.25">
      <c r="A109" s="61">
        <v>46266.625</v>
      </c>
      <c r="B109" s="62" t="str">
        <f>IFERROR(VLOOKUP($A109,'13a (2)'!$O:$P,2,FALSE),"")</f>
        <v/>
      </c>
      <c r="C109" s="62" t="str">
        <f>IFERROR(VLOOKUP($A109,'13a (2)'!$AI:$AJ,2,FALSE),"")</f>
        <v/>
      </c>
      <c r="D109" s="62" t="str">
        <f>IFERROR(VLOOKUP($A109,'13a (2)'!$Q:$R,2,FALSE),"")</f>
        <v/>
      </c>
      <c r="E109" s="62" t="str">
        <f>IFERROR(VLOOKUP(INT($A109),'13a (2)'!$X:$Y,2,FALSE),"")</f>
        <v/>
      </c>
      <c r="F109" s="63" t="str">
        <f>IF($A109&lt;=$B$6,IFERROR(VLOOKUP($A109,'13a (2)'!$A:$M,13,FALSE),""),IFERROR(($B$10-$B$7)*$B$8*$B$9+($C109-$B$11)*$B$8*$B$9-($D109-$B$12)/100*$B$13-((INT($A109)-INT($B$5))/360*$B$14*$B$13-(INT($A109)-INT($B$5))/360*$B$15*$B$13*$B$12/100)-($E109/$B$16-1)*$B$17,""))</f>
        <v/>
      </c>
      <c r="G109" s="63" t="str">
        <f ca="1">IFERROR(VLOOKUP($A109,'13 (2)'!$A:$M,13,FALSE),"")</f>
        <v/>
      </c>
    </row>
    <row r="110" spans="1:7" x14ac:dyDescent="0.25">
      <c r="A110" s="61">
        <v>46267.625</v>
      </c>
      <c r="B110" s="62" t="str">
        <f>IFERROR(VLOOKUP($A110,'13a (2)'!$O:$P,2,FALSE),"")</f>
        <v/>
      </c>
      <c r="C110" s="62" t="str">
        <f>IFERROR(VLOOKUP($A110,'13a (2)'!$AI:$AJ,2,FALSE),"")</f>
        <v/>
      </c>
      <c r="D110" s="62" t="str">
        <f>IFERROR(VLOOKUP($A110,'13a (2)'!$Q:$R,2,FALSE),"")</f>
        <v/>
      </c>
      <c r="E110" s="62" t="str">
        <f>IFERROR(VLOOKUP(INT($A110),'13a (2)'!$X:$Y,2,FALSE),"")</f>
        <v/>
      </c>
      <c r="F110" s="63" t="str">
        <f>IF($A110&lt;=$B$6,IFERROR(VLOOKUP($A110,'13a (2)'!$A:$M,13,FALSE),""),IFERROR(($B$10-$B$7)*$B$8*$B$9+($C110-$B$11)*$B$8*$B$9-($D110-$B$12)/100*$B$13-((INT($A110)-INT($B$5))/360*$B$14*$B$13-(INT($A110)-INT($B$5))/360*$B$15*$B$13*$B$12/100)-($E110/$B$16-1)*$B$17,""))</f>
        <v/>
      </c>
      <c r="G110" s="63" t="str">
        <f ca="1">IFERROR(VLOOKUP($A110,'13 (2)'!$A:$M,13,FALSE),"")</f>
        <v/>
      </c>
    </row>
    <row r="111" spans="1:7" x14ac:dyDescent="0.25">
      <c r="A111" s="61">
        <v>46268.625</v>
      </c>
      <c r="B111" s="62" t="str">
        <f>IFERROR(VLOOKUP($A111,'13a (2)'!$O:$P,2,FALSE),"")</f>
        <v/>
      </c>
      <c r="C111" s="62" t="str">
        <f>IFERROR(VLOOKUP($A111,'13a (2)'!$AI:$AJ,2,FALSE),"")</f>
        <v/>
      </c>
      <c r="D111" s="62" t="str">
        <f>IFERROR(VLOOKUP($A111,'13a (2)'!$Q:$R,2,FALSE),"")</f>
        <v/>
      </c>
      <c r="E111" s="62" t="str">
        <f>IFERROR(VLOOKUP(INT($A111),'13a (2)'!$X:$Y,2,FALSE),"")</f>
        <v/>
      </c>
      <c r="F111" s="63" t="str">
        <f>IF($A111&lt;=$B$6,IFERROR(VLOOKUP($A111,'13a (2)'!$A:$M,13,FALSE),""),IFERROR(($B$10-$B$7)*$B$8*$B$9+($C111-$B$11)*$B$8*$B$9-($D111-$B$12)/100*$B$13-((INT($A111)-INT($B$5))/360*$B$14*$B$13-(INT($A111)-INT($B$5))/360*$B$15*$B$13*$B$12/100)-($E111/$B$16-1)*$B$17,""))</f>
        <v/>
      </c>
      <c r="G111" s="63" t="str">
        <f ca="1">IFERROR(VLOOKUP($A111,'13 (2)'!$A:$M,13,FALSE),"")</f>
        <v/>
      </c>
    </row>
    <row r="112" spans="1:7" x14ac:dyDescent="0.25">
      <c r="A112" s="61">
        <v>46269.625</v>
      </c>
      <c r="B112" s="62" t="str">
        <f>IFERROR(VLOOKUP($A112,'13a (2)'!$O:$P,2,FALSE),"")</f>
        <v/>
      </c>
      <c r="C112" s="62" t="str">
        <f>IFERROR(VLOOKUP($A112,'13a (2)'!$AI:$AJ,2,FALSE),"")</f>
        <v/>
      </c>
      <c r="D112" s="62" t="str">
        <f>IFERROR(VLOOKUP($A112,'13a (2)'!$Q:$R,2,FALSE),"")</f>
        <v/>
      </c>
      <c r="E112" s="62" t="str">
        <f>IFERROR(VLOOKUP(INT($A112),'13a (2)'!$X:$Y,2,FALSE),"")</f>
        <v/>
      </c>
      <c r="F112" s="63" t="str">
        <f>IF($A112&lt;=$B$6,IFERROR(VLOOKUP($A112,'13a (2)'!$A:$M,13,FALSE),""),IFERROR(($B$10-$B$7)*$B$8*$B$9+($C112-$B$11)*$B$8*$B$9-($D112-$B$12)/100*$B$13-((INT($A112)-INT($B$5))/360*$B$14*$B$13-(INT($A112)-INT($B$5))/360*$B$15*$B$13*$B$12/100)-($E112/$B$16-1)*$B$17,""))</f>
        <v/>
      </c>
      <c r="G112" s="63" t="str">
        <f ca="1">IFERROR(VLOOKUP($A112,'13 (2)'!$A:$M,13,FALSE),"")</f>
        <v/>
      </c>
    </row>
    <row r="113" spans="1:7" x14ac:dyDescent="0.25">
      <c r="A113" s="61">
        <v>46272.625</v>
      </c>
      <c r="B113" s="62" t="str">
        <f>IFERROR(VLOOKUP($A113,'13a (2)'!$O:$P,2,FALSE),"")</f>
        <v/>
      </c>
      <c r="C113" s="62" t="str">
        <f>IFERROR(VLOOKUP($A113,'13a (2)'!$AI:$AJ,2,FALSE),"")</f>
        <v/>
      </c>
      <c r="D113" s="62" t="str">
        <f>IFERROR(VLOOKUP($A113,'13a (2)'!$Q:$R,2,FALSE),"")</f>
        <v/>
      </c>
      <c r="E113" s="62" t="str">
        <f>IFERROR(VLOOKUP(INT($A113),'13a (2)'!$X:$Y,2,FALSE),"")</f>
        <v/>
      </c>
      <c r="F113" s="63" t="str">
        <f>IF($A113&lt;=$B$6,IFERROR(VLOOKUP($A113,'13a (2)'!$A:$M,13,FALSE),""),IFERROR(($B$10-$B$7)*$B$8*$B$9+($C113-$B$11)*$B$8*$B$9-($D113-$B$12)/100*$B$13-((INT($A113)-INT($B$5))/360*$B$14*$B$13-(INT($A113)-INT($B$5))/360*$B$15*$B$13*$B$12/100)-($E113/$B$16-1)*$B$17,""))</f>
        <v/>
      </c>
      <c r="G113" s="63" t="str">
        <f ca="1">IFERROR(VLOOKUP($A113,'13 (2)'!$A:$M,13,FALSE),"")</f>
        <v/>
      </c>
    </row>
    <row r="114" spans="1:7" x14ac:dyDescent="0.25">
      <c r="A114" s="61">
        <v>46273.625</v>
      </c>
      <c r="B114" s="62" t="str">
        <f>IFERROR(VLOOKUP($A114,'13a (2)'!$O:$P,2,FALSE),"")</f>
        <v/>
      </c>
      <c r="C114" s="62" t="str">
        <f>IFERROR(VLOOKUP($A114,'13a (2)'!$AI:$AJ,2,FALSE),"")</f>
        <v/>
      </c>
      <c r="D114" s="62" t="str">
        <f>IFERROR(VLOOKUP($A114,'13a (2)'!$Q:$R,2,FALSE),"")</f>
        <v/>
      </c>
      <c r="E114" s="62" t="str">
        <f>IFERROR(VLOOKUP(INT($A114),'13a (2)'!$X:$Y,2,FALSE),"")</f>
        <v/>
      </c>
      <c r="F114" s="63" t="str">
        <f>IF($A114&lt;=$B$6,IFERROR(VLOOKUP($A114,'13a (2)'!$A:$M,13,FALSE),""),IFERROR(($B$10-$B$7)*$B$8*$B$9+($C114-$B$11)*$B$8*$B$9-($D114-$B$12)/100*$B$13-((INT($A114)-INT($B$5))/360*$B$14*$B$13-(INT($A114)-INT($B$5))/360*$B$15*$B$13*$B$12/100)-($E114/$B$16-1)*$B$17,""))</f>
        <v/>
      </c>
      <c r="G114" s="63" t="str">
        <f ca="1">IFERROR(VLOOKUP($A114,'13 (2)'!$A:$M,13,FALSE),"")</f>
        <v/>
      </c>
    </row>
    <row r="115" spans="1:7" x14ac:dyDescent="0.25">
      <c r="A115" s="61">
        <v>46274.625</v>
      </c>
      <c r="B115" s="62" t="str">
        <f>IFERROR(VLOOKUP($A115,'13a (2)'!$O:$P,2,FALSE),"")</f>
        <v/>
      </c>
      <c r="C115" s="62" t="str">
        <f>IFERROR(VLOOKUP($A115,'13a (2)'!$AI:$AJ,2,FALSE),"")</f>
        <v/>
      </c>
      <c r="D115" s="62" t="str">
        <f>IFERROR(VLOOKUP($A115,'13a (2)'!$Q:$R,2,FALSE),"")</f>
        <v/>
      </c>
      <c r="E115" s="62" t="str">
        <f>IFERROR(VLOOKUP(INT($A115),'13a (2)'!$X:$Y,2,FALSE),"")</f>
        <v/>
      </c>
      <c r="F115" s="63" t="str">
        <f>IF($A115&lt;=$B$6,IFERROR(VLOOKUP($A115,'13a (2)'!$A:$M,13,FALSE),""),IFERROR(($B$10-$B$7)*$B$8*$B$9+($C115-$B$11)*$B$8*$B$9-($D115-$B$12)/100*$B$13-((INT($A115)-INT($B$5))/360*$B$14*$B$13-(INT($A115)-INT($B$5))/360*$B$15*$B$13*$B$12/100)-($E115/$B$16-1)*$B$17,""))</f>
        <v/>
      </c>
      <c r="G115" s="63" t="str">
        <f ca="1">IFERROR(VLOOKUP($A115,'13 (2)'!$A:$M,13,FALSE),"")</f>
        <v/>
      </c>
    </row>
    <row r="116" spans="1:7" x14ac:dyDescent="0.25">
      <c r="A116" s="61">
        <v>46275.625</v>
      </c>
      <c r="B116" s="62" t="str">
        <f>IFERROR(VLOOKUP($A116,'13a (2)'!$O:$P,2,FALSE),"")</f>
        <v/>
      </c>
      <c r="C116" s="62" t="str">
        <f>IFERROR(VLOOKUP($A116,'13a (2)'!$AI:$AJ,2,FALSE),"")</f>
        <v/>
      </c>
      <c r="D116" s="62" t="str">
        <f>IFERROR(VLOOKUP($A116,'13a (2)'!$Q:$R,2,FALSE),"")</f>
        <v/>
      </c>
      <c r="E116" s="62" t="str">
        <f>IFERROR(VLOOKUP(INT($A116),'13a (2)'!$X:$Y,2,FALSE),"")</f>
        <v/>
      </c>
      <c r="F116" s="63" t="str">
        <f>IF($A116&lt;=$B$6,IFERROR(VLOOKUP($A116,'13a (2)'!$A:$M,13,FALSE),""),IFERROR(($B$10-$B$7)*$B$8*$B$9+($C116-$B$11)*$B$8*$B$9-($D116-$B$12)/100*$B$13-((INT($A116)-INT($B$5))/360*$B$14*$B$13-(INT($A116)-INT($B$5))/360*$B$15*$B$13*$B$12/100)-($E116/$B$16-1)*$B$17,""))</f>
        <v/>
      </c>
      <c r="G116" s="63" t="str">
        <f ca="1">IFERROR(VLOOKUP($A116,'13 (2)'!$A:$M,13,FALSE),"")</f>
        <v/>
      </c>
    </row>
    <row r="117" spans="1:7" x14ac:dyDescent="0.25">
      <c r="A117" s="61">
        <v>46276.625</v>
      </c>
      <c r="B117" s="62" t="str">
        <f>IFERROR(VLOOKUP($A117,'13a (2)'!$O:$P,2,FALSE),"")</f>
        <v/>
      </c>
      <c r="C117" s="62" t="str">
        <f>IFERROR(VLOOKUP($A117,'13a (2)'!$AI:$AJ,2,FALSE),"")</f>
        <v/>
      </c>
      <c r="D117" s="62" t="str">
        <f>IFERROR(VLOOKUP($A117,'13a (2)'!$Q:$R,2,FALSE),"")</f>
        <v/>
      </c>
      <c r="E117" s="62" t="str">
        <f>IFERROR(VLOOKUP(INT($A117),'13a (2)'!$X:$Y,2,FALSE),"")</f>
        <v/>
      </c>
      <c r="F117" s="63" t="str">
        <f>IF($A117&lt;=$B$6,IFERROR(VLOOKUP($A117,'13a (2)'!$A:$M,13,FALSE),""),IFERROR(($B$10-$B$7)*$B$8*$B$9+($C117-$B$11)*$B$8*$B$9-($D117-$B$12)/100*$B$13-((INT($A117)-INT($B$5))/360*$B$14*$B$13-(INT($A117)-INT($B$5))/360*$B$15*$B$13*$B$12/100)-($E117/$B$16-1)*$B$17,""))</f>
        <v/>
      </c>
      <c r="G117" s="63" t="str">
        <f ca="1">IFERROR(VLOOKUP($A117,'13 (2)'!$A:$M,13,FALSE),"")</f>
        <v/>
      </c>
    </row>
    <row r="118" spans="1:7" x14ac:dyDescent="0.25">
      <c r="A118" s="61">
        <v>46279.625</v>
      </c>
      <c r="B118" s="62" t="str">
        <f>IFERROR(VLOOKUP($A118,'13a (2)'!$O:$P,2,FALSE),"")</f>
        <v/>
      </c>
      <c r="C118" s="62" t="str">
        <f>IFERROR(VLOOKUP($A118,'13a (2)'!$AI:$AJ,2,FALSE),"")</f>
        <v/>
      </c>
      <c r="D118" s="62" t="str">
        <f>IFERROR(VLOOKUP($A118,'13a (2)'!$Q:$R,2,FALSE),"")</f>
        <v/>
      </c>
      <c r="E118" s="62" t="str">
        <f>IFERROR(VLOOKUP(INT($A118),'13a (2)'!$X:$Y,2,FALSE),"")</f>
        <v/>
      </c>
      <c r="F118" s="63" t="str">
        <f>IF($A118&lt;=$B$6,IFERROR(VLOOKUP($A118,'13a (2)'!$A:$M,13,FALSE),""),IFERROR(($B$10-$B$7)*$B$8*$B$9+($C118-$B$11)*$B$8*$B$9-($D118-$B$12)/100*$B$13-((INT($A118)-INT($B$5))/360*$B$14*$B$13-(INT($A118)-INT($B$5))/360*$B$15*$B$13*$B$12/100)-($E118/$B$16-1)*$B$17,""))</f>
        <v/>
      </c>
      <c r="G118" s="63" t="str">
        <f ca="1">IFERROR(VLOOKUP($A118,'13 (2)'!$A:$M,13,FALSE),"")</f>
        <v/>
      </c>
    </row>
    <row r="119" spans="1:7" x14ac:dyDescent="0.25">
      <c r="A119" s="61">
        <v>46280.625</v>
      </c>
      <c r="B119" s="62" t="str">
        <f>IFERROR(VLOOKUP($A119,'13a (2)'!$O:$P,2,FALSE),"")</f>
        <v/>
      </c>
      <c r="C119" s="62" t="str">
        <f>IFERROR(VLOOKUP($A119,'13a (2)'!$AI:$AJ,2,FALSE),"")</f>
        <v/>
      </c>
      <c r="D119" s="62" t="str">
        <f>IFERROR(VLOOKUP($A119,'13a (2)'!$Q:$R,2,FALSE),"")</f>
        <v/>
      </c>
      <c r="E119" s="62" t="str">
        <f>IFERROR(VLOOKUP(INT($A119),'13a (2)'!$X:$Y,2,FALSE),"")</f>
        <v/>
      </c>
      <c r="F119" s="63" t="str">
        <f>IF($A119&lt;=$B$6,IFERROR(VLOOKUP($A119,'13a (2)'!$A:$M,13,FALSE),""),IFERROR(($B$10-$B$7)*$B$8*$B$9+($C119-$B$11)*$B$8*$B$9-($D119-$B$12)/100*$B$13-((INT($A119)-INT($B$5))/360*$B$14*$B$13-(INT($A119)-INT($B$5))/360*$B$15*$B$13*$B$12/100)-($E119/$B$16-1)*$B$17,""))</f>
        <v/>
      </c>
      <c r="G119" s="63" t="str">
        <f ca="1">IFERROR(VLOOKUP($A119,'13 (2)'!$A:$M,13,FALSE),"")</f>
        <v/>
      </c>
    </row>
    <row r="120" spans="1:7" x14ac:dyDescent="0.25">
      <c r="A120" s="61">
        <v>46281.625</v>
      </c>
      <c r="B120" s="62" t="str">
        <f>IFERROR(VLOOKUP($A120,'13a (2)'!$O:$P,2,FALSE),"")</f>
        <v/>
      </c>
      <c r="C120" s="62" t="str">
        <f>IFERROR(VLOOKUP($A120,'13a (2)'!$AI:$AJ,2,FALSE),"")</f>
        <v/>
      </c>
      <c r="D120" s="62" t="str">
        <f>IFERROR(VLOOKUP($A120,'13a (2)'!$Q:$R,2,FALSE),"")</f>
        <v/>
      </c>
      <c r="E120" s="62" t="str">
        <f>IFERROR(VLOOKUP(INT($A120),'13a (2)'!$X:$Y,2,FALSE),"")</f>
        <v/>
      </c>
      <c r="F120" s="63" t="str">
        <f>IF($A120&lt;=$B$6,IFERROR(VLOOKUP($A120,'13a (2)'!$A:$M,13,FALSE),""),IFERROR(($B$10-$B$7)*$B$8*$B$9+($C120-$B$11)*$B$8*$B$9-($D120-$B$12)/100*$B$13-((INT($A120)-INT($B$5))/360*$B$14*$B$13-(INT($A120)-INT($B$5))/360*$B$15*$B$13*$B$12/100)-($E120/$B$16-1)*$B$17,""))</f>
        <v/>
      </c>
      <c r="G120" s="63" t="str">
        <f ca="1">IFERROR(VLOOKUP($A120,'13 (2)'!$A:$M,13,FALSE),"")</f>
        <v/>
      </c>
    </row>
    <row r="121" spans="1:7" x14ac:dyDescent="0.25">
      <c r="A121" s="61">
        <v>46282.625</v>
      </c>
      <c r="B121" s="62" t="str">
        <f>IFERROR(VLOOKUP($A121,'13a (2)'!$O:$P,2,FALSE),"")</f>
        <v/>
      </c>
      <c r="C121" s="62" t="str">
        <f>IFERROR(VLOOKUP($A121,'13a (2)'!$AI:$AJ,2,FALSE),"")</f>
        <v/>
      </c>
      <c r="D121" s="62" t="str">
        <f>IFERROR(VLOOKUP($A121,'13a (2)'!$Q:$R,2,FALSE),"")</f>
        <v/>
      </c>
      <c r="E121" s="62" t="str">
        <f>IFERROR(VLOOKUP(INT($A121),'13a (2)'!$X:$Y,2,FALSE),"")</f>
        <v/>
      </c>
      <c r="F121" s="63" t="str">
        <f>IF($A121&lt;=$B$6,IFERROR(VLOOKUP($A121,'13a (2)'!$A:$M,13,FALSE),""),IFERROR(($B$10-$B$7)*$B$8*$B$9+($C121-$B$11)*$B$8*$B$9-($D121-$B$12)/100*$B$13-((INT($A121)-INT($B$5))/360*$B$14*$B$13-(INT($A121)-INT($B$5))/360*$B$15*$B$13*$B$12/100)-($E121/$B$16-1)*$B$17,""))</f>
        <v/>
      </c>
      <c r="G121" s="63" t="str">
        <f ca="1">IFERROR(VLOOKUP($A121,'13 (2)'!$A:$M,13,FALSE),"")</f>
        <v/>
      </c>
    </row>
    <row r="122" spans="1:7" x14ac:dyDescent="0.25">
      <c r="A122" s="61">
        <v>46283.625</v>
      </c>
      <c r="B122" s="62" t="str">
        <f>IFERROR(VLOOKUP($A122,'13a (2)'!$O:$P,2,FALSE),"")</f>
        <v/>
      </c>
      <c r="C122" s="62" t="str">
        <f>IFERROR(VLOOKUP($A122,'13a (2)'!$AI:$AJ,2,FALSE),"")</f>
        <v/>
      </c>
      <c r="D122" s="62" t="str">
        <f>IFERROR(VLOOKUP($A122,'13a (2)'!$Q:$R,2,FALSE),"")</f>
        <v/>
      </c>
      <c r="E122" s="62" t="str">
        <f>IFERROR(VLOOKUP(INT($A122),'13a (2)'!$X:$Y,2,FALSE),"")</f>
        <v/>
      </c>
      <c r="F122" s="63" t="str">
        <f>IF($A122&lt;=$B$6,IFERROR(VLOOKUP($A122,'13a (2)'!$A:$M,13,FALSE),""),IFERROR(($B$10-$B$7)*$B$8*$B$9+($C122-$B$11)*$B$8*$B$9-($D122-$B$12)/100*$B$13-((INT($A122)-INT($B$5))/360*$B$14*$B$13-(INT($A122)-INT($B$5))/360*$B$15*$B$13*$B$12/100)-($E122/$B$16-1)*$B$17,""))</f>
        <v/>
      </c>
      <c r="G122" s="63" t="str">
        <f ca="1">IFERROR(VLOOKUP($A122,'13 (2)'!$A:$M,13,FALSE),"")</f>
        <v/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D5E3-B053-4F3D-AA9A-B087FCEFDD74}">
  <dimension ref="A1:J200"/>
  <sheetViews>
    <sheetView workbookViewId="0">
      <selection activeCell="I22" sqref="I22"/>
    </sheetView>
  </sheetViews>
  <sheetFormatPr defaultRowHeight="15" x14ac:dyDescent="0.25"/>
  <cols>
    <col min="1" max="1" width="16.140625" customWidth="1"/>
    <col min="2" max="2" width="14.28515625" customWidth="1"/>
    <col min="3" max="4" width="15.28515625" customWidth="1"/>
    <col min="5" max="5" width="17.140625" customWidth="1"/>
    <col min="6" max="8" width="16.7109375" customWidth="1"/>
  </cols>
  <sheetData>
    <row r="1" spans="1:10" ht="15.75" x14ac:dyDescent="0.25">
      <c r="A1" s="45" t="s">
        <v>40</v>
      </c>
    </row>
    <row r="3" spans="1:10" x14ac:dyDescent="0.25">
      <c r="A3" s="46" t="s">
        <v>41</v>
      </c>
      <c r="D3" s="46" t="s">
        <v>42</v>
      </c>
      <c r="G3" s="46" t="s">
        <v>7</v>
      </c>
    </row>
    <row r="4" spans="1:10" x14ac:dyDescent="0.25">
      <c r="A4" s="47" t="s">
        <v>43</v>
      </c>
      <c r="D4" s="47" t="s">
        <v>44</v>
      </c>
      <c r="G4" s="47" t="s">
        <v>13</v>
      </c>
    </row>
    <row r="5" spans="1:10" x14ac:dyDescent="0.25">
      <c r="A5" s="48" t="s">
        <v>45</v>
      </c>
      <c r="B5" s="48" t="s">
        <v>46</v>
      </c>
      <c r="D5" s="48" t="s">
        <v>45</v>
      </c>
      <c r="E5" s="48" t="s">
        <v>46</v>
      </c>
      <c r="G5" s="48" t="s">
        <v>45</v>
      </c>
      <c r="H5" s="48" t="s">
        <v>46</v>
      </c>
    </row>
    <row r="6" spans="1:10" x14ac:dyDescent="0.25">
      <c r="A6" s="49" cm="1">
        <f t="array" ref="A6:B35">_xlfn.CHOOSECOLS(_xll.BDS($A$4,"DVD_HIST_ALL","DVD_START_DT=20240101","DVD_END_DT=20351231","HEADERS=N"),2,5)</f>
        <v>46174</v>
      </c>
      <c r="B6" s="50">
        <v>0.40704099999999999</v>
      </c>
      <c r="C6" s="49"/>
      <c r="D6" s="49" cm="1">
        <f t="array" ref="D6:E34">_xlfn.CHOOSECOLS(_xll.BDS($D$4,"DVD_HIST_ALL","DVD_START_DT=20240101","DVD_END_DT=20351231","HEADERS=N"),2,5)</f>
        <v>46174</v>
      </c>
      <c r="E6" s="50">
        <v>0.3412</v>
      </c>
      <c r="F6" s="49"/>
      <c r="G6" s="49" cm="1">
        <f t="array" ref="G6:H11">_xlfn.CHOOSECOLS(_xll.BDS($G$4,"DVD_HIST_ALL","DVD_START_DT=20240101","DVD_END_DT=20351231","HEADERS=N"),2,5)</f>
        <v>46191</v>
      </c>
      <c r="H6" s="50">
        <v>1.1646000000000001</v>
      </c>
      <c r="I6" s="49"/>
      <c r="J6" s="49"/>
    </row>
    <row r="7" spans="1:10" x14ac:dyDescent="0.25">
      <c r="A7" s="49">
        <v>46143</v>
      </c>
      <c r="B7" s="50">
        <v>0.410076</v>
      </c>
      <c r="C7" s="49"/>
      <c r="D7" s="49">
        <v>46143</v>
      </c>
      <c r="E7" s="50">
        <v>0.32619999999999999</v>
      </c>
      <c r="F7" s="49"/>
      <c r="G7" s="49">
        <v>46100</v>
      </c>
      <c r="H7" s="50">
        <v>2.3302999999999998</v>
      </c>
      <c r="I7" s="49"/>
      <c r="J7" s="49"/>
    </row>
    <row r="8" spans="1:10" x14ac:dyDescent="0.25">
      <c r="A8" s="49">
        <v>46113</v>
      </c>
      <c r="B8" s="50">
        <v>0.455397</v>
      </c>
      <c r="C8" s="49"/>
      <c r="D8" s="49">
        <v>46113</v>
      </c>
      <c r="E8" s="50">
        <v>0.34379999999999999</v>
      </c>
      <c r="F8" s="49"/>
      <c r="G8" s="49">
        <v>45911</v>
      </c>
      <c r="H8" s="50">
        <v>2.4173</v>
      </c>
      <c r="I8" s="49"/>
      <c r="J8" s="49"/>
    </row>
    <row r="9" spans="1:10" x14ac:dyDescent="0.25">
      <c r="A9" s="49">
        <v>46083</v>
      </c>
      <c r="B9" s="50">
        <v>0.40296300000000002</v>
      </c>
      <c r="C9" s="49"/>
      <c r="D9" s="49">
        <v>46083</v>
      </c>
      <c r="E9" s="50">
        <v>0.30259999999999998</v>
      </c>
      <c r="F9" s="49"/>
      <c r="G9" s="49">
        <v>45729</v>
      </c>
      <c r="H9" s="50">
        <v>2.6722000000000001</v>
      </c>
      <c r="I9" s="49"/>
      <c r="J9" s="49"/>
    </row>
    <row r="10" spans="1:10" x14ac:dyDescent="0.25">
      <c r="A10" s="49">
        <v>46055</v>
      </c>
      <c r="B10" s="50">
        <v>0.41458</v>
      </c>
      <c r="C10" s="49"/>
      <c r="D10" s="49">
        <v>46055</v>
      </c>
      <c r="E10" s="50">
        <v>0.33</v>
      </c>
      <c r="F10" s="49"/>
      <c r="G10" s="49">
        <v>45547</v>
      </c>
      <c r="H10" s="50">
        <v>2.8229000000000002</v>
      </c>
      <c r="I10" s="49"/>
      <c r="J10" s="49"/>
    </row>
    <row r="11" spans="1:10" x14ac:dyDescent="0.25">
      <c r="A11" s="49">
        <v>46010</v>
      </c>
      <c r="B11" s="50">
        <v>0.38289299999999998</v>
      </c>
      <c r="C11" s="49"/>
      <c r="D11" s="49">
        <v>46009</v>
      </c>
      <c r="E11" s="50">
        <v>0.33579999999999999</v>
      </c>
      <c r="F11" s="49"/>
      <c r="G11" s="49">
        <v>45365</v>
      </c>
      <c r="H11" s="50">
        <v>2.9</v>
      </c>
      <c r="I11" s="49"/>
      <c r="J11" s="49"/>
    </row>
    <row r="12" spans="1:10" x14ac:dyDescent="0.25">
      <c r="A12" s="49">
        <v>45992</v>
      </c>
      <c r="B12" s="50">
        <v>0.37220199999999998</v>
      </c>
      <c r="C12" s="49"/>
      <c r="D12" s="49">
        <v>45992</v>
      </c>
      <c r="E12" s="50">
        <v>0.32229999999999998</v>
      </c>
      <c r="F12" s="49"/>
      <c r="G12" s="49"/>
      <c r="H12" s="50"/>
      <c r="I12" s="49"/>
      <c r="J12" s="49"/>
    </row>
    <row r="13" spans="1:10" x14ac:dyDescent="0.25">
      <c r="A13" s="49">
        <v>45964</v>
      </c>
      <c r="B13" s="50">
        <v>0.41755799999999998</v>
      </c>
      <c r="C13" s="49"/>
      <c r="D13" s="49">
        <v>45964</v>
      </c>
      <c r="E13" s="50">
        <v>0.33400000000000002</v>
      </c>
      <c r="F13" s="49"/>
      <c r="G13" s="49"/>
      <c r="H13" s="50"/>
      <c r="I13" s="49"/>
      <c r="J13" s="49"/>
    </row>
    <row r="14" spans="1:10" x14ac:dyDescent="0.25">
      <c r="A14" s="49">
        <v>45931</v>
      </c>
      <c r="B14" s="50">
        <v>0.39252900000000002</v>
      </c>
      <c r="C14" s="49"/>
      <c r="D14" s="49">
        <v>45931</v>
      </c>
      <c r="E14" s="50">
        <v>0.32600000000000001</v>
      </c>
      <c r="F14" s="49"/>
      <c r="G14" s="49"/>
      <c r="H14" s="50"/>
      <c r="I14" s="49"/>
      <c r="J14" s="49"/>
    </row>
    <row r="15" spans="1:10" x14ac:dyDescent="0.25">
      <c r="A15" s="49">
        <v>45902</v>
      </c>
      <c r="B15" s="50">
        <v>0.40192099999999997</v>
      </c>
      <c r="C15" s="49"/>
      <c r="D15" s="49">
        <v>45902</v>
      </c>
      <c r="E15" s="50">
        <v>0.32790000000000002</v>
      </c>
      <c r="F15" s="49"/>
      <c r="G15" s="49"/>
      <c r="H15" s="50"/>
      <c r="I15" s="49"/>
      <c r="J15" s="49"/>
    </row>
    <row r="16" spans="1:10" x14ac:dyDescent="0.25">
      <c r="A16" s="49">
        <v>45870</v>
      </c>
      <c r="B16" s="50">
        <v>0.41103499999999998</v>
      </c>
      <c r="C16" s="49"/>
      <c r="D16" s="49">
        <v>45870</v>
      </c>
      <c r="E16" s="50">
        <v>0.34079999999999999</v>
      </c>
      <c r="F16" s="49"/>
      <c r="G16" s="49"/>
      <c r="H16" s="50"/>
      <c r="I16" s="49"/>
      <c r="J16" s="49"/>
    </row>
    <row r="17" spans="1:10" x14ac:dyDescent="0.25">
      <c r="A17" s="49">
        <v>45839</v>
      </c>
      <c r="B17" s="50">
        <v>0.379909</v>
      </c>
      <c r="C17" s="49"/>
      <c r="D17" s="49">
        <v>45839</v>
      </c>
      <c r="E17" s="50">
        <v>0.32069999999999999</v>
      </c>
      <c r="F17" s="49"/>
      <c r="G17" s="49"/>
      <c r="H17" s="50"/>
      <c r="I17" s="49"/>
      <c r="J17" s="49"/>
    </row>
    <row r="18" spans="1:10" x14ac:dyDescent="0.25">
      <c r="A18" s="49">
        <v>45810</v>
      </c>
      <c r="B18" s="50">
        <v>0.40538299999999999</v>
      </c>
      <c r="C18" s="49"/>
      <c r="D18" s="49">
        <v>45810</v>
      </c>
      <c r="E18" s="50">
        <v>0.32800000000000001</v>
      </c>
      <c r="F18" s="49"/>
      <c r="G18" s="49"/>
      <c r="H18" s="50"/>
      <c r="I18" s="49"/>
      <c r="J18" s="49"/>
    </row>
    <row r="19" spans="1:10" x14ac:dyDescent="0.25">
      <c r="A19" s="49">
        <v>45778</v>
      </c>
      <c r="B19" s="50">
        <v>0.40228799999999998</v>
      </c>
      <c r="C19" s="49"/>
      <c r="D19" s="49">
        <v>45778</v>
      </c>
      <c r="E19" s="50">
        <v>0.31509999999999999</v>
      </c>
      <c r="F19" s="49"/>
      <c r="G19" s="49"/>
      <c r="H19" s="50"/>
      <c r="I19" s="49"/>
      <c r="J19" s="49"/>
    </row>
    <row r="20" spans="1:10" x14ac:dyDescent="0.25">
      <c r="A20" s="49">
        <v>45748</v>
      </c>
      <c r="B20" s="50">
        <v>0.39990399999999998</v>
      </c>
      <c r="C20" s="49"/>
      <c r="D20" s="49">
        <v>45748</v>
      </c>
      <c r="E20" s="50">
        <v>0.31890000000000002</v>
      </c>
      <c r="F20" s="49"/>
      <c r="G20" s="49"/>
      <c r="H20" s="50"/>
      <c r="I20" s="49"/>
      <c r="J20" s="49"/>
    </row>
    <row r="21" spans="1:10" x14ac:dyDescent="0.25">
      <c r="A21" s="49">
        <v>45719</v>
      </c>
      <c r="B21" s="50">
        <v>0.38556400000000002</v>
      </c>
      <c r="C21" s="49"/>
      <c r="D21" s="49">
        <v>45719</v>
      </c>
      <c r="E21" s="50">
        <v>0.28649999999999998</v>
      </c>
      <c r="F21" s="49"/>
      <c r="G21" s="49"/>
      <c r="H21" s="50"/>
      <c r="I21" s="49"/>
      <c r="J21" s="49"/>
    </row>
    <row r="22" spans="1:10" x14ac:dyDescent="0.25">
      <c r="A22" s="49">
        <v>45691</v>
      </c>
      <c r="B22" s="50">
        <v>0.44092900000000002</v>
      </c>
      <c r="C22" s="49"/>
      <c r="D22" s="49">
        <v>45691</v>
      </c>
      <c r="E22" s="50">
        <v>0.31290000000000001</v>
      </c>
      <c r="F22" s="49"/>
      <c r="G22" s="49"/>
      <c r="H22" s="50"/>
      <c r="I22" s="49"/>
      <c r="J22" s="49"/>
    </row>
    <row r="23" spans="1:10" x14ac:dyDescent="0.25">
      <c r="A23" s="49">
        <v>45656</v>
      </c>
      <c r="B23" s="50">
        <v>0.25451499999999999</v>
      </c>
      <c r="C23" s="49"/>
      <c r="D23" s="49">
        <v>45650</v>
      </c>
      <c r="E23" s="50">
        <v>0.31190000000000001</v>
      </c>
      <c r="F23" s="49"/>
      <c r="G23" s="49"/>
      <c r="H23" s="50"/>
      <c r="I23" s="49"/>
      <c r="J23" s="49"/>
    </row>
    <row r="24" spans="1:10" x14ac:dyDescent="0.25">
      <c r="A24" s="49">
        <v>45644</v>
      </c>
      <c r="B24" s="50">
        <v>0.42885600000000001</v>
      </c>
      <c r="C24" s="49"/>
      <c r="D24" s="49">
        <v>45628</v>
      </c>
      <c r="E24" s="50">
        <v>0.29920000000000002</v>
      </c>
      <c r="F24" s="49"/>
      <c r="G24" s="49"/>
      <c r="H24" s="50"/>
      <c r="I24" s="49"/>
      <c r="J24" s="49"/>
    </row>
    <row r="25" spans="1:10" x14ac:dyDescent="0.25">
      <c r="A25" s="49">
        <v>45628</v>
      </c>
      <c r="B25" s="50">
        <v>0.38796399999999998</v>
      </c>
      <c r="C25" s="49"/>
      <c r="D25" s="49">
        <v>45597</v>
      </c>
      <c r="E25" s="50">
        <v>0.31659999999999999</v>
      </c>
      <c r="F25" s="49"/>
      <c r="G25" s="49"/>
      <c r="H25" s="50"/>
      <c r="I25" s="49"/>
      <c r="J25" s="49"/>
    </row>
    <row r="26" spans="1:10" x14ac:dyDescent="0.25">
      <c r="A26" s="49">
        <v>45597</v>
      </c>
      <c r="B26" s="50">
        <v>0.42215799999999998</v>
      </c>
      <c r="C26" s="49"/>
      <c r="D26" s="49">
        <v>45566</v>
      </c>
      <c r="E26" s="50">
        <v>0.29699999999999999</v>
      </c>
      <c r="F26" s="49"/>
      <c r="G26" s="49"/>
      <c r="H26" s="50"/>
      <c r="I26" s="49"/>
      <c r="J26" s="49"/>
    </row>
    <row r="27" spans="1:10" x14ac:dyDescent="0.25">
      <c r="A27" s="49">
        <v>45566</v>
      </c>
      <c r="B27" s="50">
        <v>0.38549099999999997</v>
      </c>
      <c r="C27" s="49"/>
      <c r="D27" s="49">
        <v>45538</v>
      </c>
      <c r="E27" s="50">
        <v>0.30099999999999999</v>
      </c>
      <c r="F27" s="49"/>
      <c r="G27" s="49"/>
      <c r="H27" s="50"/>
      <c r="I27" s="49"/>
      <c r="J27" s="49"/>
    </row>
    <row r="28" spans="1:10" x14ac:dyDescent="0.25">
      <c r="A28" s="49">
        <v>45538</v>
      </c>
      <c r="B28" s="50">
        <v>0.36824299999999999</v>
      </c>
      <c r="C28" s="49"/>
      <c r="D28" s="49">
        <v>45505</v>
      </c>
      <c r="E28" s="50">
        <v>0.30109999999999998</v>
      </c>
      <c r="F28" s="49"/>
      <c r="G28" s="49"/>
      <c r="H28" s="50"/>
      <c r="I28" s="49"/>
      <c r="J28" s="49"/>
    </row>
    <row r="29" spans="1:10" x14ac:dyDescent="0.25">
      <c r="A29" s="49">
        <v>45505</v>
      </c>
      <c r="B29" s="50">
        <v>0.39086799999999999</v>
      </c>
      <c r="C29" s="49"/>
      <c r="D29" s="49">
        <v>45474</v>
      </c>
      <c r="E29" s="50">
        <v>0.28870000000000001</v>
      </c>
      <c r="F29" s="49"/>
      <c r="G29" s="49"/>
      <c r="H29" s="50"/>
      <c r="I29" s="49"/>
      <c r="J29" s="49"/>
    </row>
    <row r="30" spans="1:10" x14ac:dyDescent="0.25">
      <c r="A30" s="49">
        <v>45474</v>
      </c>
      <c r="B30" s="50">
        <v>0.38128499999999999</v>
      </c>
      <c r="C30" s="49"/>
      <c r="D30" s="49">
        <v>45446</v>
      </c>
      <c r="E30" s="50">
        <v>0.29920000000000002</v>
      </c>
      <c r="F30" s="49"/>
      <c r="G30" s="49"/>
      <c r="H30" s="50"/>
      <c r="I30" s="49"/>
      <c r="J30" s="49"/>
    </row>
    <row r="31" spans="1:10" x14ac:dyDescent="0.25">
      <c r="A31" s="49">
        <v>45446</v>
      </c>
      <c r="B31" s="50">
        <v>0.36274299999999998</v>
      </c>
      <c r="C31" s="49"/>
      <c r="D31" s="49">
        <v>45413</v>
      </c>
      <c r="E31" s="50">
        <v>0.29189999999999999</v>
      </c>
      <c r="F31" s="49"/>
      <c r="G31" s="49"/>
      <c r="H31" s="50"/>
      <c r="I31" s="49"/>
      <c r="J31" s="49"/>
    </row>
    <row r="32" spans="1:10" x14ac:dyDescent="0.25">
      <c r="A32" s="49">
        <v>45413</v>
      </c>
      <c r="B32" s="50">
        <v>0.36057699999999998</v>
      </c>
      <c r="C32" s="49"/>
      <c r="D32" s="49">
        <v>45383</v>
      </c>
      <c r="E32" s="50">
        <v>0.2944</v>
      </c>
      <c r="F32" s="49"/>
      <c r="G32" s="49"/>
      <c r="H32" s="50"/>
      <c r="I32" s="49"/>
      <c r="J32" s="49"/>
    </row>
    <row r="33" spans="1:10" x14ac:dyDescent="0.25">
      <c r="A33" s="49">
        <v>45383</v>
      </c>
      <c r="B33" s="50">
        <v>0.36555399999999999</v>
      </c>
      <c r="C33" s="49"/>
      <c r="D33" s="49">
        <v>45352</v>
      </c>
      <c r="E33" s="50">
        <v>0.2732</v>
      </c>
      <c r="F33" s="49"/>
      <c r="G33" s="49"/>
      <c r="H33" s="50"/>
      <c r="I33" s="49"/>
      <c r="J33" s="49"/>
    </row>
    <row r="34" spans="1:10" x14ac:dyDescent="0.25">
      <c r="A34" s="49">
        <v>45352</v>
      </c>
      <c r="B34" s="50">
        <v>0.38571299999999997</v>
      </c>
      <c r="C34" s="49"/>
      <c r="D34" s="49">
        <v>45323</v>
      </c>
      <c r="E34" s="50">
        <v>0.28100000000000003</v>
      </c>
      <c r="F34" s="49"/>
      <c r="G34" s="49"/>
      <c r="H34" s="50"/>
      <c r="I34" s="49"/>
      <c r="J34" s="49"/>
    </row>
    <row r="35" spans="1:10" x14ac:dyDescent="0.25">
      <c r="A35" s="49">
        <v>45323</v>
      </c>
      <c r="B35" s="50">
        <v>0.36726199999999998</v>
      </c>
      <c r="C35" s="49"/>
      <c r="D35" s="49"/>
      <c r="E35" s="50"/>
      <c r="G35" s="49"/>
      <c r="H35" s="50"/>
      <c r="I35" s="49"/>
      <c r="J35" s="49"/>
    </row>
    <row r="36" spans="1:10" x14ac:dyDescent="0.25">
      <c r="A36" s="49"/>
      <c r="B36" s="50"/>
      <c r="D36" s="49"/>
      <c r="E36" s="50"/>
      <c r="G36" s="49"/>
      <c r="H36" s="50"/>
    </row>
    <row r="37" spans="1:10" x14ac:dyDescent="0.25">
      <c r="A37" s="49"/>
      <c r="B37" s="50"/>
      <c r="D37" s="49"/>
      <c r="E37" s="50"/>
      <c r="G37" s="49"/>
      <c r="H37" s="50"/>
    </row>
    <row r="38" spans="1:10" x14ac:dyDescent="0.25">
      <c r="A38" s="49"/>
      <c r="B38" s="50"/>
      <c r="D38" s="49"/>
      <c r="E38" s="50"/>
      <c r="G38" s="49"/>
      <c r="H38" s="50"/>
    </row>
    <row r="39" spans="1:10" x14ac:dyDescent="0.25">
      <c r="A39" s="49"/>
      <c r="B39" s="50"/>
      <c r="D39" s="49"/>
      <c r="E39" s="50"/>
      <c r="G39" s="49"/>
      <c r="H39" s="50"/>
    </row>
    <row r="40" spans="1:10" x14ac:dyDescent="0.25">
      <c r="A40" s="49"/>
      <c r="B40" s="50"/>
      <c r="D40" s="49"/>
      <c r="E40" s="50"/>
      <c r="G40" s="49"/>
      <c r="H40" s="50"/>
    </row>
    <row r="41" spans="1:10" x14ac:dyDescent="0.25">
      <c r="A41" s="49"/>
      <c r="B41" s="50"/>
      <c r="D41" s="49"/>
      <c r="E41" s="50"/>
      <c r="G41" s="49"/>
      <c r="H41" s="50"/>
    </row>
    <row r="42" spans="1:10" x14ac:dyDescent="0.25">
      <c r="A42" s="49"/>
      <c r="B42" s="50"/>
      <c r="D42" s="49"/>
      <c r="E42" s="50"/>
      <c r="G42" s="49"/>
      <c r="H42" s="50"/>
    </row>
    <row r="43" spans="1:10" x14ac:dyDescent="0.25">
      <c r="A43" s="49"/>
      <c r="B43" s="50"/>
      <c r="D43" s="49"/>
      <c r="E43" s="50"/>
      <c r="G43" s="49"/>
      <c r="H43" s="50"/>
    </row>
    <row r="44" spans="1:10" x14ac:dyDescent="0.25">
      <c r="A44" s="49"/>
      <c r="B44" s="50"/>
      <c r="D44" s="49"/>
      <c r="E44" s="50"/>
      <c r="G44" s="49"/>
      <c r="H44" s="50"/>
    </row>
    <row r="45" spans="1:10" x14ac:dyDescent="0.25">
      <c r="A45" s="49"/>
      <c r="B45" s="50"/>
      <c r="D45" s="49"/>
      <c r="E45" s="50"/>
      <c r="G45" s="49"/>
      <c r="H45" s="50"/>
    </row>
    <row r="46" spans="1:10" x14ac:dyDescent="0.25">
      <c r="A46" s="49"/>
      <c r="B46" s="50"/>
      <c r="D46" s="49"/>
      <c r="E46" s="50"/>
      <c r="G46" s="49"/>
      <c r="H46" s="50"/>
    </row>
    <row r="47" spans="1:10" x14ac:dyDescent="0.25">
      <c r="A47" s="49"/>
      <c r="B47" s="50"/>
      <c r="D47" s="49"/>
      <c r="E47" s="50"/>
      <c r="G47" s="49"/>
      <c r="H47" s="50"/>
    </row>
    <row r="48" spans="1:10" x14ac:dyDescent="0.25">
      <c r="A48" s="49"/>
      <c r="B48" s="50"/>
      <c r="D48" s="49"/>
      <c r="E48" s="50"/>
      <c r="G48" s="49"/>
      <c r="H48" s="50"/>
    </row>
    <row r="49" spans="1:8" x14ac:dyDescent="0.25">
      <c r="A49" s="49"/>
      <c r="B49" s="50"/>
      <c r="D49" s="49"/>
      <c r="E49" s="50"/>
      <c r="G49" s="49"/>
      <c r="H49" s="50"/>
    </row>
    <row r="50" spans="1:8" x14ac:dyDescent="0.25">
      <c r="A50" s="49"/>
      <c r="B50" s="50"/>
      <c r="D50" s="49"/>
      <c r="E50" s="50"/>
      <c r="G50" s="49"/>
      <c r="H50" s="50"/>
    </row>
    <row r="51" spans="1:8" x14ac:dyDescent="0.25">
      <c r="A51" s="49"/>
      <c r="B51" s="50"/>
      <c r="D51" s="49"/>
      <c r="E51" s="50"/>
      <c r="G51" s="49"/>
      <c r="H51" s="50"/>
    </row>
    <row r="52" spans="1:8" x14ac:dyDescent="0.25">
      <c r="A52" s="49"/>
      <c r="B52" s="50"/>
      <c r="D52" s="49"/>
      <c r="E52" s="50"/>
      <c r="G52" s="49"/>
      <c r="H52" s="50"/>
    </row>
    <row r="53" spans="1:8" x14ac:dyDescent="0.25">
      <c r="A53" s="49"/>
      <c r="B53" s="50"/>
      <c r="D53" s="49"/>
      <c r="E53" s="50"/>
      <c r="G53" s="49"/>
      <c r="H53" s="50"/>
    </row>
    <row r="54" spans="1:8" x14ac:dyDescent="0.25">
      <c r="A54" s="49"/>
      <c r="B54" s="50"/>
      <c r="D54" s="49"/>
      <c r="E54" s="50"/>
      <c r="G54" s="49"/>
      <c r="H54" s="50"/>
    </row>
    <row r="55" spans="1:8" x14ac:dyDescent="0.25">
      <c r="A55" s="49"/>
      <c r="B55" s="50"/>
      <c r="D55" s="49"/>
      <c r="E55" s="50"/>
      <c r="G55" s="49"/>
      <c r="H55" s="50"/>
    </row>
    <row r="56" spans="1:8" x14ac:dyDescent="0.25">
      <c r="A56" s="49"/>
      <c r="B56" s="50"/>
      <c r="D56" s="49"/>
      <c r="E56" s="50"/>
      <c r="G56" s="49"/>
      <c r="H56" s="50"/>
    </row>
    <row r="57" spans="1:8" x14ac:dyDescent="0.25">
      <c r="A57" s="49"/>
      <c r="B57" s="50"/>
      <c r="D57" s="49"/>
      <c r="E57" s="50"/>
      <c r="G57" s="49"/>
      <c r="H57" s="50"/>
    </row>
    <row r="58" spans="1:8" x14ac:dyDescent="0.25">
      <c r="A58" s="49"/>
      <c r="B58" s="50"/>
      <c r="D58" s="49"/>
      <c r="E58" s="50"/>
      <c r="G58" s="49"/>
      <c r="H58" s="50"/>
    </row>
    <row r="59" spans="1:8" x14ac:dyDescent="0.25">
      <c r="A59" s="49"/>
      <c r="B59" s="50"/>
      <c r="D59" s="49"/>
      <c r="E59" s="50"/>
      <c r="G59" s="49"/>
      <c r="H59" s="50"/>
    </row>
    <row r="60" spans="1:8" x14ac:dyDescent="0.25">
      <c r="A60" s="49"/>
      <c r="B60" s="50"/>
      <c r="D60" s="49"/>
      <c r="E60" s="50"/>
      <c r="G60" s="49"/>
      <c r="H60" s="50"/>
    </row>
    <row r="61" spans="1:8" x14ac:dyDescent="0.25">
      <c r="A61" s="49"/>
      <c r="B61" s="50"/>
      <c r="D61" s="49"/>
      <c r="E61" s="50"/>
      <c r="G61" s="49"/>
      <c r="H61" s="50"/>
    </row>
    <row r="62" spans="1:8" x14ac:dyDescent="0.25">
      <c r="A62" s="49"/>
      <c r="B62" s="50"/>
      <c r="D62" s="49"/>
      <c r="E62" s="50"/>
      <c r="G62" s="49"/>
      <c r="H62" s="50"/>
    </row>
    <row r="63" spans="1:8" x14ac:dyDescent="0.25">
      <c r="A63" s="49"/>
      <c r="B63" s="50"/>
      <c r="D63" s="49"/>
      <c r="E63" s="50"/>
      <c r="G63" s="49"/>
      <c r="H63" s="50"/>
    </row>
    <row r="64" spans="1:8" x14ac:dyDescent="0.25">
      <c r="A64" s="49"/>
      <c r="B64" s="50"/>
      <c r="D64" s="49"/>
      <c r="E64" s="50"/>
      <c r="G64" s="49"/>
      <c r="H64" s="50"/>
    </row>
    <row r="65" spans="1:8" x14ac:dyDescent="0.25">
      <c r="A65" s="49"/>
      <c r="B65" s="50"/>
      <c r="D65" s="49"/>
      <c r="E65" s="50"/>
      <c r="G65" s="49"/>
      <c r="H65" s="50"/>
    </row>
    <row r="66" spans="1:8" x14ac:dyDescent="0.25">
      <c r="A66" s="49"/>
      <c r="B66" s="50"/>
      <c r="D66" s="49"/>
      <c r="E66" s="50"/>
      <c r="G66" s="49"/>
      <c r="H66" s="50"/>
    </row>
    <row r="67" spans="1:8" x14ac:dyDescent="0.25">
      <c r="A67" s="49"/>
      <c r="B67" s="50"/>
      <c r="D67" s="49"/>
      <c r="E67" s="50"/>
      <c r="G67" s="49"/>
      <c r="H67" s="50"/>
    </row>
    <row r="68" spans="1:8" x14ac:dyDescent="0.25">
      <c r="A68" s="49"/>
      <c r="B68" s="50"/>
      <c r="D68" s="49"/>
      <c r="E68" s="50"/>
      <c r="G68" s="49"/>
      <c r="H68" s="50"/>
    </row>
    <row r="69" spans="1:8" x14ac:dyDescent="0.25">
      <c r="A69" s="49"/>
      <c r="B69" s="50"/>
      <c r="D69" s="49"/>
      <c r="E69" s="50"/>
      <c r="G69" s="49"/>
      <c r="H69" s="50"/>
    </row>
    <row r="70" spans="1:8" x14ac:dyDescent="0.25">
      <c r="A70" s="49"/>
      <c r="B70" s="50"/>
      <c r="D70" s="49"/>
      <c r="E70" s="50"/>
      <c r="G70" s="49"/>
      <c r="H70" s="50"/>
    </row>
    <row r="71" spans="1:8" x14ac:dyDescent="0.25">
      <c r="A71" s="49"/>
      <c r="B71" s="50"/>
      <c r="D71" s="49"/>
      <c r="E71" s="50"/>
      <c r="G71" s="49"/>
      <c r="H71" s="50"/>
    </row>
    <row r="72" spans="1:8" x14ac:dyDescent="0.25">
      <c r="A72" s="49"/>
      <c r="B72" s="50"/>
      <c r="D72" s="49"/>
      <c r="E72" s="50"/>
      <c r="G72" s="49"/>
      <c r="H72" s="50"/>
    </row>
    <row r="73" spans="1:8" x14ac:dyDescent="0.25">
      <c r="A73" s="49"/>
      <c r="B73" s="50"/>
      <c r="D73" s="49"/>
      <c r="E73" s="50"/>
      <c r="G73" s="49"/>
      <c r="H73" s="50"/>
    </row>
    <row r="74" spans="1:8" x14ac:dyDescent="0.25">
      <c r="A74" s="49"/>
      <c r="B74" s="50"/>
      <c r="D74" s="49"/>
      <c r="E74" s="50"/>
      <c r="G74" s="49"/>
      <c r="H74" s="50"/>
    </row>
    <row r="75" spans="1:8" x14ac:dyDescent="0.25">
      <c r="A75" s="49"/>
      <c r="B75" s="50"/>
      <c r="D75" s="49"/>
      <c r="E75" s="50"/>
      <c r="G75" s="49"/>
      <c r="H75" s="50"/>
    </row>
    <row r="76" spans="1:8" x14ac:dyDescent="0.25">
      <c r="A76" s="49"/>
      <c r="B76" s="50"/>
      <c r="D76" s="49"/>
      <c r="E76" s="50"/>
      <c r="G76" s="49"/>
      <c r="H76" s="50"/>
    </row>
    <row r="77" spans="1:8" x14ac:dyDescent="0.25">
      <c r="A77" s="49"/>
      <c r="B77" s="50"/>
      <c r="D77" s="49"/>
      <c r="E77" s="50"/>
      <c r="G77" s="49"/>
      <c r="H77" s="50"/>
    </row>
    <row r="78" spans="1:8" x14ac:dyDescent="0.25">
      <c r="A78" s="49"/>
      <c r="B78" s="50"/>
      <c r="D78" s="49"/>
      <c r="E78" s="50"/>
      <c r="G78" s="49"/>
      <c r="H78" s="50"/>
    </row>
    <row r="79" spans="1:8" x14ac:dyDescent="0.25">
      <c r="A79" s="49"/>
      <c r="B79" s="50"/>
      <c r="D79" s="49"/>
      <c r="E79" s="50"/>
      <c r="G79" s="49"/>
      <c r="H79" s="50"/>
    </row>
    <row r="80" spans="1:8" x14ac:dyDescent="0.25">
      <c r="A80" s="49"/>
      <c r="B80" s="50"/>
      <c r="D80" s="49"/>
      <c r="E80" s="50"/>
      <c r="G80" s="49"/>
      <c r="H80" s="50"/>
    </row>
    <row r="81" spans="1:8" x14ac:dyDescent="0.25">
      <c r="A81" s="49"/>
      <c r="B81" s="50"/>
      <c r="D81" s="49"/>
      <c r="E81" s="50"/>
      <c r="G81" s="49"/>
      <c r="H81" s="50"/>
    </row>
    <row r="82" spans="1:8" x14ac:dyDescent="0.25">
      <c r="A82" s="49"/>
      <c r="B82" s="50"/>
      <c r="D82" s="49"/>
      <c r="E82" s="50"/>
      <c r="G82" s="49"/>
      <c r="H82" s="50"/>
    </row>
    <row r="83" spans="1:8" x14ac:dyDescent="0.25">
      <c r="A83" s="49"/>
      <c r="B83" s="50"/>
      <c r="D83" s="49"/>
      <c r="E83" s="50"/>
      <c r="G83" s="49"/>
      <c r="H83" s="50"/>
    </row>
    <row r="84" spans="1:8" x14ac:dyDescent="0.25">
      <c r="A84" s="49"/>
      <c r="B84" s="50"/>
      <c r="D84" s="49"/>
      <c r="E84" s="50"/>
      <c r="G84" s="49"/>
      <c r="H84" s="50"/>
    </row>
    <row r="85" spans="1:8" x14ac:dyDescent="0.25">
      <c r="A85" s="49"/>
      <c r="B85" s="50"/>
      <c r="D85" s="49"/>
      <c r="E85" s="50"/>
      <c r="G85" s="49"/>
      <c r="H85" s="50"/>
    </row>
    <row r="86" spans="1:8" x14ac:dyDescent="0.25">
      <c r="A86" s="49"/>
      <c r="B86" s="50"/>
      <c r="D86" s="49"/>
      <c r="E86" s="50"/>
      <c r="G86" s="49"/>
      <c r="H86" s="50"/>
    </row>
    <row r="87" spans="1:8" x14ac:dyDescent="0.25">
      <c r="A87" s="49"/>
      <c r="B87" s="50"/>
      <c r="D87" s="49"/>
      <c r="E87" s="50"/>
      <c r="G87" s="49"/>
      <c r="H87" s="50"/>
    </row>
    <row r="88" spans="1:8" x14ac:dyDescent="0.25">
      <c r="A88" s="49"/>
      <c r="B88" s="50"/>
      <c r="D88" s="49"/>
      <c r="E88" s="50"/>
      <c r="G88" s="49"/>
      <c r="H88" s="50"/>
    </row>
    <row r="89" spans="1:8" x14ac:dyDescent="0.25">
      <c r="A89" s="49"/>
      <c r="B89" s="50"/>
      <c r="D89" s="49"/>
      <c r="E89" s="50"/>
      <c r="G89" s="49"/>
      <c r="H89" s="50"/>
    </row>
    <row r="90" spans="1:8" x14ac:dyDescent="0.25">
      <c r="A90" s="49"/>
      <c r="B90" s="50"/>
      <c r="D90" s="49"/>
      <c r="E90" s="50"/>
      <c r="G90" s="49"/>
      <c r="H90" s="50"/>
    </row>
    <row r="91" spans="1:8" x14ac:dyDescent="0.25">
      <c r="A91" s="49"/>
      <c r="B91" s="50"/>
      <c r="D91" s="49"/>
      <c r="E91" s="50"/>
      <c r="G91" s="49"/>
      <c r="H91" s="50"/>
    </row>
    <row r="92" spans="1:8" x14ac:dyDescent="0.25">
      <c r="A92" s="49"/>
      <c r="B92" s="50"/>
      <c r="D92" s="49"/>
      <c r="E92" s="50"/>
      <c r="G92" s="49"/>
      <c r="H92" s="50"/>
    </row>
    <row r="93" spans="1:8" x14ac:dyDescent="0.25">
      <c r="A93" s="49"/>
      <c r="B93" s="50"/>
      <c r="D93" s="49"/>
      <c r="E93" s="50"/>
      <c r="G93" s="49"/>
      <c r="H93" s="50"/>
    </row>
    <row r="94" spans="1:8" x14ac:dyDescent="0.25">
      <c r="A94" s="49"/>
      <c r="B94" s="50"/>
      <c r="D94" s="49"/>
      <c r="E94" s="50"/>
      <c r="G94" s="49"/>
      <c r="H94" s="50"/>
    </row>
    <row r="95" spans="1:8" x14ac:dyDescent="0.25">
      <c r="A95" s="49"/>
      <c r="B95" s="50"/>
      <c r="D95" s="49"/>
      <c r="E95" s="50"/>
      <c r="G95" s="49"/>
      <c r="H95" s="50"/>
    </row>
    <row r="96" spans="1:8" x14ac:dyDescent="0.25">
      <c r="A96" s="49"/>
      <c r="B96" s="50"/>
      <c r="D96" s="49"/>
      <c r="E96" s="50"/>
      <c r="G96" s="49"/>
      <c r="H96" s="50"/>
    </row>
    <row r="97" spans="1:8" x14ac:dyDescent="0.25">
      <c r="A97" s="49"/>
      <c r="B97" s="50"/>
      <c r="D97" s="49"/>
      <c r="E97" s="50"/>
      <c r="G97" s="49"/>
      <c r="H97" s="50"/>
    </row>
    <row r="98" spans="1:8" x14ac:dyDescent="0.25">
      <c r="A98" s="49"/>
      <c r="B98" s="50"/>
      <c r="D98" s="49"/>
      <c r="E98" s="50"/>
      <c r="G98" s="49"/>
      <c r="H98" s="50"/>
    </row>
    <row r="99" spans="1:8" x14ac:dyDescent="0.25">
      <c r="A99" s="49"/>
      <c r="B99" s="50"/>
      <c r="D99" s="49"/>
      <c r="E99" s="50"/>
      <c r="G99" s="49"/>
      <c r="H99" s="50"/>
    </row>
    <row r="100" spans="1:8" x14ac:dyDescent="0.25">
      <c r="A100" s="49"/>
      <c r="B100" s="50"/>
      <c r="D100" s="49"/>
      <c r="E100" s="50"/>
      <c r="G100" s="49"/>
      <c r="H100" s="50"/>
    </row>
    <row r="101" spans="1:8" x14ac:dyDescent="0.25">
      <c r="A101" s="49"/>
      <c r="B101" s="50"/>
      <c r="D101" s="49"/>
      <c r="E101" s="50"/>
      <c r="G101" s="49"/>
      <c r="H101" s="50"/>
    </row>
    <row r="102" spans="1:8" x14ac:dyDescent="0.25">
      <c r="A102" s="49"/>
      <c r="B102" s="50"/>
      <c r="D102" s="49"/>
      <c r="E102" s="50"/>
      <c r="G102" s="49"/>
      <c r="H102" s="50"/>
    </row>
    <row r="103" spans="1:8" x14ac:dyDescent="0.25">
      <c r="A103" s="49"/>
      <c r="B103" s="50"/>
      <c r="D103" s="49"/>
      <c r="E103" s="50"/>
      <c r="G103" s="49"/>
      <c r="H103" s="50"/>
    </row>
    <row r="104" spans="1:8" x14ac:dyDescent="0.25">
      <c r="A104" s="49"/>
      <c r="B104" s="50"/>
      <c r="D104" s="49"/>
      <c r="E104" s="50"/>
      <c r="G104" s="49"/>
      <c r="H104" s="50"/>
    </row>
    <row r="105" spans="1:8" x14ac:dyDescent="0.25">
      <c r="A105" s="49"/>
      <c r="B105" s="50"/>
      <c r="D105" s="49"/>
      <c r="E105" s="50"/>
      <c r="G105" s="49"/>
      <c r="H105" s="50"/>
    </row>
    <row r="106" spans="1:8" x14ac:dyDescent="0.25">
      <c r="A106" s="49"/>
      <c r="B106" s="50"/>
      <c r="D106" s="49"/>
      <c r="E106" s="50"/>
      <c r="G106" s="49"/>
      <c r="H106" s="50"/>
    </row>
    <row r="107" spans="1:8" x14ac:dyDescent="0.25">
      <c r="A107" s="49"/>
      <c r="B107" s="50"/>
      <c r="D107" s="49"/>
      <c r="E107" s="50"/>
      <c r="G107" s="49"/>
      <c r="H107" s="50"/>
    </row>
    <row r="108" spans="1:8" x14ac:dyDescent="0.25">
      <c r="A108" s="49"/>
      <c r="B108" s="50"/>
      <c r="D108" s="49"/>
      <c r="E108" s="50"/>
      <c r="G108" s="49"/>
      <c r="H108" s="50"/>
    </row>
    <row r="109" spans="1:8" x14ac:dyDescent="0.25">
      <c r="A109" s="49"/>
      <c r="B109" s="50"/>
      <c r="D109" s="49"/>
      <c r="E109" s="50"/>
      <c r="G109" s="49"/>
      <c r="H109" s="50"/>
    </row>
    <row r="110" spans="1:8" x14ac:dyDescent="0.25">
      <c r="A110" s="49"/>
      <c r="B110" s="50"/>
      <c r="D110" s="49"/>
      <c r="E110" s="50"/>
      <c r="G110" s="49"/>
      <c r="H110" s="50"/>
    </row>
    <row r="111" spans="1:8" x14ac:dyDescent="0.25">
      <c r="A111" s="49"/>
      <c r="B111" s="50"/>
      <c r="D111" s="49"/>
      <c r="E111" s="50"/>
      <c r="G111" s="49"/>
      <c r="H111" s="50"/>
    </row>
    <row r="112" spans="1:8" x14ac:dyDescent="0.25">
      <c r="A112" s="49"/>
      <c r="B112" s="50"/>
      <c r="D112" s="49"/>
      <c r="E112" s="50"/>
      <c r="G112" s="49"/>
      <c r="H112" s="50"/>
    </row>
    <row r="113" spans="1:8" x14ac:dyDescent="0.25">
      <c r="A113" s="49"/>
      <c r="B113" s="50"/>
      <c r="D113" s="49"/>
      <c r="E113" s="50"/>
      <c r="G113" s="49"/>
      <c r="H113" s="50"/>
    </row>
    <row r="114" spans="1:8" x14ac:dyDescent="0.25">
      <c r="A114" s="49"/>
      <c r="B114" s="50"/>
      <c r="D114" s="49"/>
      <c r="E114" s="50"/>
      <c r="G114" s="49"/>
      <c r="H114" s="50"/>
    </row>
    <row r="115" spans="1:8" x14ac:dyDescent="0.25">
      <c r="A115" s="49"/>
      <c r="B115" s="50"/>
      <c r="D115" s="49"/>
      <c r="E115" s="50"/>
      <c r="G115" s="49"/>
      <c r="H115" s="50"/>
    </row>
    <row r="116" spans="1:8" x14ac:dyDescent="0.25">
      <c r="A116" s="49"/>
      <c r="B116" s="50"/>
      <c r="D116" s="49"/>
      <c r="E116" s="50"/>
      <c r="G116" s="49"/>
      <c r="H116" s="50"/>
    </row>
    <row r="117" spans="1:8" x14ac:dyDescent="0.25">
      <c r="A117" s="49"/>
      <c r="B117" s="50"/>
      <c r="D117" s="49"/>
      <c r="E117" s="50"/>
      <c r="G117" s="49"/>
      <c r="H117" s="50"/>
    </row>
    <row r="118" spans="1:8" x14ac:dyDescent="0.25">
      <c r="A118" s="49"/>
      <c r="B118" s="50"/>
      <c r="D118" s="49"/>
      <c r="E118" s="50"/>
      <c r="G118" s="49"/>
      <c r="H118" s="50"/>
    </row>
    <row r="119" spans="1:8" x14ac:dyDescent="0.25">
      <c r="A119" s="49"/>
      <c r="B119" s="50"/>
      <c r="D119" s="49"/>
      <c r="E119" s="50"/>
      <c r="G119" s="49"/>
      <c r="H119" s="50"/>
    </row>
    <row r="120" spans="1:8" x14ac:dyDescent="0.25">
      <c r="A120" s="49"/>
      <c r="B120" s="50"/>
      <c r="D120" s="49"/>
      <c r="E120" s="50"/>
      <c r="G120" s="49"/>
      <c r="H120" s="50"/>
    </row>
    <row r="121" spans="1:8" x14ac:dyDescent="0.25">
      <c r="A121" s="49"/>
      <c r="B121" s="50"/>
      <c r="D121" s="49"/>
      <c r="E121" s="50"/>
      <c r="G121" s="49"/>
      <c r="H121" s="50"/>
    </row>
    <row r="122" spans="1:8" x14ac:dyDescent="0.25">
      <c r="A122" s="49"/>
      <c r="B122" s="50"/>
      <c r="D122" s="49"/>
      <c r="E122" s="50"/>
      <c r="G122" s="49"/>
      <c r="H122" s="50"/>
    </row>
    <row r="123" spans="1:8" x14ac:dyDescent="0.25">
      <c r="A123" s="49"/>
      <c r="B123" s="50"/>
      <c r="D123" s="49"/>
      <c r="E123" s="50"/>
      <c r="G123" s="49"/>
      <c r="H123" s="50"/>
    </row>
    <row r="124" spans="1:8" x14ac:dyDescent="0.25">
      <c r="A124" s="49"/>
      <c r="B124" s="50"/>
      <c r="D124" s="49"/>
      <c r="E124" s="50"/>
      <c r="G124" s="49"/>
      <c r="H124" s="50"/>
    </row>
    <row r="125" spans="1:8" x14ac:dyDescent="0.25">
      <c r="A125" s="49"/>
      <c r="B125" s="50"/>
      <c r="D125" s="49"/>
      <c r="E125" s="50"/>
      <c r="G125" s="49"/>
      <c r="H125" s="50"/>
    </row>
    <row r="126" spans="1:8" x14ac:dyDescent="0.25">
      <c r="A126" s="49"/>
      <c r="B126" s="50"/>
      <c r="D126" s="49"/>
      <c r="E126" s="50"/>
      <c r="G126" s="49"/>
      <c r="H126" s="50"/>
    </row>
    <row r="127" spans="1:8" x14ac:dyDescent="0.25">
      <c r="A127" s="49"/>
      <c r="B127" s="50"/>
      <c r="D127" s="49"/>
      <c r="E127" s="50"/>
      <c r="G127" s="49"/>
      <c r="H127" s="50"/>
    </row>
    <row r="128" spans="1:8" x14ac:dyDescent="0.25">
      <c r="A128" s="49"/>
      <c r="B128" s="50"/>
      <c r="D128" s="49"/>
      <c r="E128" s="50"/>
      <c r="G128" s="49"/>
      <c r="H128" s="50"/>
    </row>
    <row r="129" spans="1:8" x14ac:dyDescent="0.25">
      <c r="A129" s="49"/>
      <c r="B129" s="50"/>
      <c r="D129" s="49"/>
      <c r="E129" s="50"/>
      <c r="G129" s="49"/>
      <c r="H129" s="50"/>
    </row>
    <row r="130" spans="1:8" x14ac:dyDescent="0.25">
      <c r="A130" s="49"/>
      <c r="B130" s="50"/>
      <c r="D130" s="49"/>
      <c r="E130" s="50"/>
      <c r="G130" s="49"/>
      <c r="H130" s="50"/>
    </row>
    <row r="131" spans="1:8" x14ac:dyDescent="0.25">
      <c r="A131" s="49"/>
      <c r="B131" s="50"/>
      <c r="D131" s="49"/>
      <c r="E131" s="50"/>
      <c r="G131" s="49"/>
      <c r="H131" s="50"/>
    </row>
    <row r="132" spans="1:8" x14ac:dyDescent="0.25">
      <c r="A132" s="49"/>
      <c r="B132" s="50"/>
      <c r="D132" s="49"/>
      <c r="E132" s="50"/>
      <c r="G132" s="49"/>
      <c r="H132" s="50"/>
    </row>
    <row r="133" spans="1:8" x14ac:dyDescent="0.25">
      <c r="A133" s="49"/>
      <c r="B133" s="50"/>
      <c r="D133" s="49"/>
      <c r="E133" s="50"/>
      <c r="G133" s="49"/>
      <c r="H133" s="50"/>
    </row>
    <row r="134" spans="1:8" x14ac:dyDescent="0.25">
      <c r="A134" s="49"/>
      <c r="B134" s="50"/>
      <c r="D134" s="49"/>
      <c r="E134" s="50"/>
      <c r="G134" s="49"/>
      <c r="H134" s="50"/>
    </row>
    <row r="135" spans="1:8" x14ac:dyDescent="0.25">
      <c r="A135" s="49"/>
      <c r="B135" s="50"/>
      <c r="D135" s="49"/>
      <c r="E135" s="50"/>
      <c r="G135" s="49"/>
      <c r="H135" s="50"/>
    </row>
    <row r="136" spans="1:8" x14ac:dyDescent="0.25">
      <c r="A136" s="49"/>
      <c r="B136" s="50"/>
      <c r="D136" s="49"/>
      <c r="E136" s="50"/>
      <c r="G136" s="49"/>
      <c r="H136" s="50"/>
    </row>
    <row r="137" spans="1:8" x14ac:dyDescent="0.25">
      <c r="A137" s="49"/>
      <c r="B137" s="50"/>
      <c r="D137" s="49"/>
      <c r="E137" s="50"/>
      <c r="G137" s="49"/>
      <c r="H137" s="50"/>
    </row>
    <row r="138" spans="1:8" x14ac:dyDescent="0.25">
      <c r="A138" s="49"/>
      <c r="B138" s="50"/>
      <c r="D138" s="49"/>
      <c r="E138" s="50"/>
      <c r="G138" s="49"/>
      <c r="H138" s="50"/>
    </row>
    <row r="139" spans="1:8" x14ac:dyDescent="0.25">
      <c r="A139" s="49"/>
      <c r="B139" s="50"/>
      <c r="D139" s="49"/>
      <c r="E139" s="50"/>
      <c r="G139" s="49"/>
      <c r="H139" s="50"/>
    </row>
    <row r="140" spans="1:8" x14ac:dyDescent="0.25">
      <c r="A140" s="49"/>
      <c r="B140" s="50"/>
      <c r="D140" s="49"/>
      <c r="E140" s="50"/>
      <c r="G140" s="49"/>
      <c r="H140" s="50"/>
    </row>
    <row r="141" spans="1:8" x14ac:dyDescent="0.25">
      <c r="A141" s="49"/>
      <c r="B141" s="50"/>
      <c r="D141" s="49"/>
      <c r="E141" s="50"/>
      <c r="G141" s="49"/>
      <c r="H141" s="50"/>
    </row>
    <row r="142" spans="1:8" x14ac:dyDescent="0.25">
      <c r="A142" s="49"/>
      <c r="B142" s="50"/>
      <c r="D142" s="49"/>
      <c r="E142" s="50"/>
      <c r="G142" s="49"/>
      <c r="H142" s="50"/>
    </row>
    <row r="143" spans="1:8" x14ac:dyDescent="0.25">
      <c r="A143" s="49"/>
      <c r="B143" s="50"/>
      <c r="D143" s="49"/>
      <c r="E143" s="50"/>
      <c r="G143" s="49"/>
      <c r="H143" s="50"/>
    </row>
    <row r="144" spans="1:8" x14ac:dyDescent="0.25">
      <c r="A144" s="49"/>
      <c r="B144" s="50"/>
      <c r="D144" s="49"/>
      <c r="E144" s="50"/>
      <c r="G144" s="49"/>
      <c r="H144" s="50"/>
    </row>
    <row r="145" spans="1:8" x14ac:dyDescent="0.25">
      <c r="A145" s="49"/>
      <c r="B145" s="50"/>
      <c r="D145" s="49"/>
      <c r="E145" s="50"/>
      <c r="G145" s="49"/>
      <c r="H145" s="50"/>
    </row>
    <row r="146" spans="1:8" x14ac:dyDescent="0.25">
      <c r="A146" s="49"/>
      <c r="B146" s="50"/>
      <c r="D146" s="49"/>
      <c r="E146" s="50"/>
      <c r="G146" s="49"/>
      <c r="H146" s="50"/>
    </row>
    <row r="147" spans="1:8" x14ac:dyDescent="0.25">
      <c r="A147" s="49"/>
      <c r="B147" s="50"/>
      <c r="D147" s="49"/>
      <c r="E147" s="50"/>
      <c r="G147" s="49"/>
      <c r="H147" s="50"/>
    </row>
    <row r="148" spans="1:8" x14ac:dyDescent="0.25">
      <c r="A148" s="49"/>
      <c r="B148" s="50"/>
      <c r="D148" s="49"/>
      <c r="E148" s="50"/>
      <c r="G148" s="49"/>
      <c r="H148" s="50"/>
    </row>
    <row r="149" spans="1:8" x14ac:dyDescent="0.25">
      <c r="A149" s="49"/>
      <c r="B149" s="50"/>
      <c r="D149" s="49"/>
      <c r="E149" s="50"/>
      <c r="G149" s="49"/>
      <c r="H149" s="50"/>
    </row>
    <row r="150" spans="1:8" x14ac:dyDescent="0.25">
      <c r="A150" s="49"/>
      <c r="B150" s="50"/>
      <c r="D150" s="49"/>
      <c r="E150" s="50"/>
      <c r="G150" s="49"/>
      <c r="H150" s="50"/>
    </row>
    <row r="151" spans="1:8" x14ac:dyDescent="0.25">
      <c r="A151" s="49"/>
      <c r="B151" s="50"/>
      <c r="D151" s="49"/>
      <c r="E151" s="50"/>
      <c r="G151" s="49"/>
      <c r="H151" s="50"/>
    </row>
    <row r="152" spans="1:8" x14ac:dyDescent="0.25">
      <c r="A152" s="49"/>
      <c r="B152" s="50"/>
      <c r="D152" s="49"/>
      <c r="E152" s="50"/>
      <c r="G152" s="49"/>
      <c r="H152" s="50"/>
    </row>
    <row r="153" spans="1:8" x14ac:dyDescent="0.25">
      <c r="A153" s="49"/>
      <c r="B153" s="50"/>
      <c r="D153" s="49"/>
      <c r="E153" s="50"/>
      <c r="G153" s="49"/>
      <c r="H153" s="50"/>
    </row>
    <row r="154" spans="1:8" x14ac:dyDescent="0.25">
      <c r="A154" s="49"/>
      <c r="B154" s="50"/>
      <c r="D154" s="49"/>
      <c r="E154" s="50"/>
      <c r="G154" s="49"/>
      <c r="H154" s="50"/>
    </row>
    <row r="155" spans="1:8" x14ac:dyDescent="0.25">
      <c r="A155" s="49"/>
      <c r="B155" s="50"/>
      <c r="D155" s="49"/>
      <c r="E155" s="50"/>
      <c r="G155" s="49"/>
      <c r="H155" s="50"/>
    </row>
    <row r="156" spans="1:8" x14ac:dyDescent="0.25">
      <c r="A156" s="49"/>
      <c r="B156" s="50"/>
      <c r="D156" s="49"/>
      <c r="E156" s="50"/>
      <c r="G156" s="49"/>
      <c r="H156" s="50"/>
    </row>
    <row r="157" spans="1:8" x14ac:dyDescent="0.25">
      <c r="A157" s="49"/>
      <c r="B157" s="50"/>
      <c r="D157" s="49"/>
      <c r="E157" s="50"/>
      <c r="G157" s="49"/>
      <c r="H157" s="50"/>
    </row>
    <row r="158" spans="1:8" x14ac:dyDescent="0.25">
      <c r="A158" s="49"/>
      <c r="B158" s="50"/>
      <c r="D158" s="49"/>
      <c r="E158" s="50"/>
      <c r="G158" s="49"/>
      <c r="H158" s="50"/>
    </row>
    <row r="159" spans="1:8" x14ac:dyDescent="0.25">
      <c r="A159" s="49"/>
      <c r="B159" s="50"/>
      <c r="D159" s="49"/>
      <c r="E159" s="50"/>
      <c r="G159" s="49"/>
      <c r="H159" s="50"/>
    </row>
    <row r="160" spans="1:8" x14ac:dyDescent="0.25">
      <c r="A160" s="49"/>
      <c r="B160" s="50"/>
      <c r="D160" s="49"/>
      <c r="E160" s="50"/>
      <c r="G160" s="49"/>
      <c r="H160" s="50"/>
    </row>
    <row r="161" spans="1:8" x14ac:dyDescent="0.25">
      <c r="A161" s="49"/>
      <c r="B161" s="50"/>
      <c r="D161" s="49"/>
      <c r="E161" s="50"/>
      <c r="G161" s="49"/>
      <c r="H161" s="50"/>
    </row>
    <row r="162" spans="1:8" x14ac:dyDescent="0.25">
      <c r="A162" s="49"/>
      <c r="B162" s="50"/>
      <c r="D162" s="49"/>
      <c r="E162" s="50"/>
      <c r="G162" s="49"/>
      <c r="H162" s="50"/>
    </row>
    <row r="163" spans="1:8" x14ac:dyDescent="0.25">
      <c r="A163" s="49"/>
      <c r="B163" s="50"/>
      <c r="D163" s="49"/>
      <c r="E163" s="50"/>
      <c r="G163" s="49"/>
      <c r="H163" s="50"/>
    </row>
    <row r="164" spans="1:8" x14ac:dyDescent="0.25">
      <c r="A164" s="49"/>
      <c r="B164" s="50"/>
      <c r="D164" s="49"/>
      <c r="E164" s="50"/>
      <c r="G164" s="49"/>
      <c r="H164" s="50"/>
    </row>
    <row r="165" spans="1:8" x14ac:dyDescent="0.25">
      <c r="A165" s="49"/>
      <c r="B165" s="50"/>
      <c r="D165" s="49"/>
      <c r="E165" s="50"/>
      <c r="G165" s="49"/>
      <c r="H165" s="50"/>
    </row>
    <row r="166" spans="1:8" x14ac:dyDescent="0.25">
      <c r="A166" s="49"/>
      <c r="B166" s="50"/>
      <c r="D166" s="49"/>
      <c r="E166" s="50"/>
      <c r="G166" s="49"/>
      <c r="H166" s="50"/>
    </row>
    <row r="167" spans="1:8" x14ac:dyDescent="0.25">
      <c r="A167" s="49"/>
      <c r="B167" s="50"/>
      <c r="D167" s="49"/>
      <c r="E167" s="50"/>
      <c r="G167" s="49"/>
      <c r="H167" s="50"/>
    </row>
    <row r="168" spans="1:8" x14ac:dyDescent="0.25">
      <c r="A168" s="49"/>
      <c r="B168" s="50"/>
      <c r="D168" s="49"/>
      <c r="E168" s="50"/>
      <c r="G168" s="49"/>
      <c r="H168" s="50"/>
    </row>
    <row r="169" spans="1:8" x14ac:dyDescent="0.25">
      <c r="A169" s="49"/>
      <c r="B169" s="50"/>
      <c r="D169" s="49"/>
      <c r="E169" s="50"/>
      <c r="G169" s="49"/>
      <c r="H169" s="50"/>
    </row>
    <row r="170" spans="1:8" x14ac:dyDescent="0.25">
      <c r="A170" s="49"/>
      <c r="B170" s="50"/>
      <c r="D170" s="49"/>
      <c r="E170" s="50"/>
      <c r="G170" s="49"/>
      <c r="H170" s="50"/>
    </row>
    <row r="171" spans="1:8" x14ac:dyDescent="0.25">
      <c r="A171" s="49"/>
      <c r="B171" s="50"/>
      <c r="D171" s="49"/>
      <c r="E171" s="50"/>
      <c r="G171" s="49"/>
      <c r="H171" s="50"/>
    </row>
    <row r="172" spans="1:8" x14ac:dyDescent="0.25">
      <c r="A172" s="49"/>
      <c r="B172" s="50"/>
      <c r="D172" s="49"/>
      <c r="E172" s="50"/>
      <c r="G172" s="49"/>
      <c r="H172" s="50"/>
    </row>
    <row r="173" spans="1:8" x14ac:dyDescent="0.25">
      <c r="A173" s="49"/>
      <c r="B173" s="50"/>
      <c r="D173" s="49"/>
      <c r="E173" s="50"/>
      <c r="G173" s="49"/>
      <c r="H173" s="50"/>
    </row>
    <row r="174" spans="1:8" x14ac:dyDescent="0.25">
      <c r="A174" s="49"/>
      <c r="B174" s="50"/>
      <c r="D174" s="49"/>
      <c r="E174" s="50"/>
      <c r="G174" s="49"/>
      <c r="H174" s="50"/>
    </row>
    <row r="175" spans="1:8" x14ac:dyDescent="0.25">
      <c r="A175" s="49"/>
      <c r="B175" s="50"/>
      <c r="D175" s="49"/>
      <c r="E175" s="50"/>
      <c r="G175" s="49"/>
      <c r="H175" s="50"/>
    </row>
    <row r="176" spans="1:8" x14ac:dyDescent="0.25">
      <c r="A176" s="49"/>
      <c r="B176" s="50"/>
      <c r="D176" s="49"/>
      <c r="E176" s="50"/>
      <c r="G176" s="49"/>
      <c r="H176" s="50"/>
    </row>
    <row r="177" spans="1:8" x14ac:dyDescent="0.25">
      <c r="A177" s="49"/>
      <c r="B177" s="50"/>
      <c r="D177" s="49"/>
      <c r="E177" s="50"/>
      <c r="G177" s="49"/>
      <c r="H177" s="50"/>
    </row>
    <row r="178" spans="1:8" x14ac:dyDescent="0.25">
      <c r="A178" s="49"/>
      <c r="B178" s="50"/>
      <c r="D178" s="49"/>
      <c r="E178" s="50"/>
      <c r="G178" s="49"/>
      <c r="H178" s="50"/>
    </row>
    <row r="179" spans="1:8" x14ac:dyDescent="0.25">
      <c r="A179" s="49"/>
      <c r="B179" s="50"/>
      <c r="D179" s="49"/>
      <c r="E179" s="50"/>
      <c r="G179" s="49"/>
      <c r="H179" s="50"/>
    </row>
    <row r="180" spans="1:8" x14ac:dyDescent="0.25">
      <c r="A180" s="49"/>
      <c r="B180" s="50"/>
      <c r="D180" s="49"/>
      <c r="E180" s="50"/>
      <c r="G180" s="49"/>
      <c r="H180" s="50"/>
    </row>
    <row r="181" spans="1:8" x14ac:dyDescent="0.25">
      <c r="A181" s="49"/>
      <c r="B181" s="50"/>
      <c r="D181" s="49"/>
      <c r="E181" s="50"/>
      <c r="G181" s="49"/>
      <c r="H181" s="50"/>
    </row>
    <row r="182" spans="1:8" x14ac:dyDescent="0.25">
      <c r="A182" s="49"/>
      <c r="B182" s="50"/>
      <c r="D182" s="49"/>
      <c r="E182" s="50"/>
      <c r="G182" s="49"/>
      <c r="H182" s="50"/>
    </row>
    <row r="183" spans="1:8" x14ac:dyDescent="0.25">
      <c r="A183" s="49"/>
      <c r="B183" s="50"/>
      <c r="D183" s="49"/>
      <c r="E183" s="50"/>
      <c r="G183" s="49"/>
      <c r="H183" s="50"/>
    </row>
    <row r="184" spans="1:8" x14ac:dyDescent="0.25">
      <c r="A184" s="49"/>
      <c r="B184" s="50"/>
      <c r="D184" s="49"/>
      <c r="E184" s="50"/>
      <c r="G184" s="49"/>
      <c r="H184" s="50"/>
    </row>
    <row r="185" spans="1:8" x14ac:dyDescent="0.25">
      <c r="A185" s="49"/>
      <c r="B185" s="50"/>
      <c r="D185" s="49"/>
      <c r="E185" s="50"/>
      <c r="G185" s="49"/>
      <c r="H185" s="50"/>
    </row>
    <row r="186" spans="1:8" x14ac:dyDescent="0.25">
      <c r="A186" s="49"/>
      <c r="B186" s="50"/>
      <c r="D186" s="49"/>
      <c r="E186" s="50"/>
      <c r="G186" s="49"/>
      <c r="H186" s="50"/>
    </row>
    <row r="187" spans="1:8" x14ac:dyDescent="0.25">
      <c r="A187" s="49"/>
      <c r="B187" s="50"/>
      <c r="D187" s="49"/>
      <c r="E187" s="50"/>
      <c r="G187" s="49"/>
      <c r="H187" s="50"/>
    </row>
    <row r="188" spans="1:8" x14ac:dyDescent="0.25">
      <c r="A188" s="49"/>
      <c r="B188" s="50"/>
      <c r="D188" s="49"/>
      <c r="E188" s="50"/>
      <c r="G188" s="49"/>
      <c r="H188" s="50"/>
    </row>
    <row r="189" spans="1:8" x14ac:dyDescent="0.25">
      <c r="A189" s="49"/>
      <c r="B189" s="50"/>
      <c r="D189" s="49"/>
      <c r="E189" s="50"/>
      <c r="G189" s="49"/>
      <c r="H189" s="50"/>
    </row>
    <row r="190" spans="1:8" x14ac:dyDescent="0.25">
      <c r="A190" s="49"/>
      <c r="B190" s="50"/>
      <c r="D190" s="49"/>
      <c r="E190" s="50"/>
      <c r="G190" s="49"/>
      <c r="H190" s="50"/>
    </row>
    <row r="191" spans="1:8" x14ac:dyDescent="0.25">
      <c r="A191" s="49"/>
      <c r="B191" s="50"/>
      <c r="D191" s="49"/>
      <c r="E191" s="50"/>
      <c r="G191" s="49"/>
      <c r="H191" s="50"/>
    </row>
    <row r="192" spans="1:8" x14ac:dyDescent="0.25">
      <c r="A192" s="49"/>
      <c r="B192" s="50"/>
      <c r="D192" s="49"/>
      <c r="E192" s="50"/>
      <c r="G192" s="49"/>
      <c r="H192" s="50"/>
    </row>
    <row r="193" spans="1:8" x14ac:dyDescent="0.25">
      <c r="A193" s="49"/>
      <c r="B193" s="50"/>
      <c r="D193" s="49"/>
      <c r="E193" s="50"/>
      <c r="G193" s="49"/>
      <c r="H193" s="50"/>
    </row>
    <row r="194" spans="1:8" x14ac:dyDescent="0.25">
      <c r="A194" s="49"/>
      <c r="B194" s="50"/>
      <c r="D194" s="49"/>
      <c r="E194" s="50"/>
      <c r="G194" s="49"/>
      <c r="H194" s="50"/>
    </row>
    <row r="195" spans="1:8" x14ac:dyDescent="0.25">
      <c r="A195" s="49"/>
      <c r="B195" s="50"/>
      <c r="D195" s="49"/>
      <c r="E195" s="50"/>
      <c r="G195" s="49"/>
      <c r="H195" s="50"/>
    </row>
    <row r="196" spans="1:8" x14ac:dyDescent="0.25">
      <c r="A196" s="49"/>
      <c r="B196" s="50"/>
      <c r="D196" s="49"/>
      <c r="E196" s="50"/>
      <c r="G196" s="49"/>
      <c r="H196" s="50"/>
    </row>
    <row r="197" spans="1:8" x14ac:dyDescent="0.25">
      <c r="A197" s="49"/>
      <c r="B197" s="50"/>
      <c r="D197" s="49"/>
      <c r="E197" s="50"/>
      <c r="G197" s="49"/>
      <c r="H197" s="50"/>
    </row>
    <row r="198" spans="1:8" x14ac:dyDescent="0.25">
      <c r="A198" s="49"/>
      <c r="B198" s="50"/>
      <c r="D198" s="49"/>
      <c r="E198" s="50"/>
      <c r="G198" s="49"/>
      <c r="H198" s="50"/>
    </row>
    <row r="199" spans="1:8" x14ac:dyDescent="0.25">
      <c r="A199" s="49"/>
      <c r="B199" s="50"/>
      <c r="D199" s="49"/>
      <c r="E199" s="50"/>
      <c r="G199" s="49"/>
      <c r="H199" s="50"/>
    </row>
    <row r="200" spans="1:8" x14ac:dyDescent="0.25">
      <c r="A200" s="49"/>
      <c r="B200" s="50"/>
      <c r="D200" s="49"/>
      <c r="E200" s="50"/>
      <c r="G200" s="49"/>
      <c r="H200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35BE-1F9A-46E1-994A-2372D2E4F12F}">
  <dimension ref="A1:AI569"/>
  <sheetViews>
    <sheetView zoomScale="90" zoomScaleNormal="90" workbookViewId="0">
      <selection activeCell="H3" sqref="H3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4" bestFit="1" customWidth="1"/>
    <col min="5" max="5" width="7.140625" style="4" bestFit="1" customWidth="1"/>
    <col min="6" max="6" width="14.28515625" style="4" bestFit="1" customWidth="1"/>
    <col min="7" max="7" width="10.5703125" style="4" bestFit="1" customWidth="1"/>
    <col min="8" max="8" width="18" style="4" bestFit="1" customWidth="1"/>
    <col min="9" max="9" width="12.8554687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3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46190.625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G2" s="1" t="s">
        <v>34</v>
      </c>
      <c r="H2" s="4" t="s">
        <v>35</v>
      </c>
      <c r="I2" s="1" t="s">
        <v>36</v>
      </c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52">_xlfn._xlws.SORT(_xlfn.UNIQUE(_xlfn._xlws.FILTER(V:V, ISNUMBER(V:V))))</f>
        <v>46094.625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37</v>
      </c>
      <c r="C3" s="18" t="s">
        <v>8</v>
      </c>
      <c r="D3" s="8" t="s">
        <v>9</v>
      </c>
      <c r="F3" s="4" t="s">
        <v>38</v>
      </c>
      <c r="G3" s="1">
        <v>200</v>
      </c>
      <c r="H3" s="4">
        <f>200*B14</f>
        <v>62752</v>
      </c>
      <c r="I3" s="2">
        <f>INT(B5/H3)</f>
        <v>478</v>
      </c>
      <c r="N3" s="4"/>
      <c r="O3" s="3" cm="1">
        <f t="array" ref="O3:P55">_xll.BDH(B4, "LAST_PRICE", "01/26/2026 15:00:00", "01/26/2035 16:00:00", "BarSize=60", "BarType=T", "RecurDaily=True", "TZ=London")</f>
        <v>46094.625</v>
      </c>
      <c r="P3" s="4">
        <v>306.42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46094.625</v>
      </c>
      <c r="V3" s="3">
        <f>IF(U3&gt;$A$14,U3,"")</f>
        <v>46094.625</v>
      </c>
      <c r="W3" s="3">
        <v>46097.625</v>
      </c>
      <c r="Z3" s="3" cm="1">
        <f t="array" ref="Z3:AA293">_xll.BDH(D1, "LAST_PRICE", "05/01/2025","")</f>
        <v>45778</v>
      </c>
      <c r="AA3" s="4">
        <v>231.3922</v>
      </c>
      <c r="AB3" s="74" cm="1">
        <f t="array" ref="AB3:AC294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1" t="s">
        <v>39</v>
      </c>
      <c r="C4" s="22" t="s">
        <v>14</v>
      </c>
      <c r="D4" s="21" t="s">
        <v>15</v>
      </c>
      <c r="G4" s="1"/>
      <c r="I4" s="2"/>
      <c r="N4" s="4"/>
      <c r="O4" s="3">
        <v>46097.625</v>
      </c>
      <c r="P4" s="4">
        <v>306.38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46097.625</v>
      </c>
      <c r="V4" s="3">
        <f t="shared" ref="V4:V67" si="1">IF(U4&gt;$A$14,U4,"")</f>
        <v>46097.625</v>
      </c>
      <c r="W4" s="3">
        <v>46098.625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74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1</v>
      </c>
    </row>
    <row r="5" spans="1:32" x14ac:dyDescent="0.25">
      <c r="A5" s="17" t="s">
        <v>17</v>
      </c>
      <c r="B5" s="23">
        <f>30*10^6</f>
        <v>30000000</v>
      </c>
      <c r="C5" s="24">
        <f>26*10^6</f>
        <v>26000000</v>
      </c>
      <c r="D5" s="23">
        <f>18.7*10^6</f>
        <v>18700000</v>
      </c>
      <c r="F5"/>
      <c r="N5" s="4"/>
      <c r="O5" s="3">
        <v>46098.625</v>
      </c>
      <c r="P5" s="4">
        <v>307.76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46098.625</v>
      </c>
      <c r="V5" s="3">
        <f t="shared" si="1"/>
        <v>46098.625</v>
      </c>
      <c r="W5" s="3">
        <v>46099.625</v>
      </c>
      <c r="X5" s="3">
        <v>46045</v>
      </c>
      <c r="Y5" s="5">
        <v>263.94619999999998</v>
      </c>
      <c r="Z5" s="3">
        <v>45783</v>
      </c>
      <c r="AA5" s="4">
        <v>232.7954</v>
      </c>
      <c r="AB5" s="74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5">
        <v>0</v>
      </c>
      <c r="C6" s="26">
        <v>2.4E-2</v>
      </c>
      <c r="D6" s="27">
        <v>0.05</v>
      </c>
      <c r="N6" s="4"/>
      <c r="O6" s="3">
        <v>46099.625</v>
      </c>
      <c r="P6" s="4">
        <v>307.33999999999997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46099.625</v>
      </c>
      <c r="V6" s="3">
        <f t="shared" si="1"/>
        <v>46099.625</v>
      </c>
      <c r="W6" s="3">
        <v>46100.625</v>
      </c>
      <c r="X6" s="3">
        <v>46048</v>
      </c>
      <c r="Y6" s="5">
        <v>264.02949999999998</v>
      </c>
      <c r="Z6" s="3">
        <v>45784</v>
      </c>
      <c r="AA6" s="4">
        <v>232.8287</v>
      </c>
      <c r="AB6" s="74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6">
        <v>0</v>
      </c>
      <c r="C7" s="26" cm="1">
        <f t="array" ref="C7">_xll.BDP("EURR002W INDEX","PX_LAST")/100</f>
        <v>2.4E-2</v>
      </c>
      <c r="D7" s="27">
        <v>0</v>
      </c>
      <c r="E7" s="1"/>
      <c r="H7" s="1"/>
      <c r="J7" s="1"/>
      <c r="N7" s="4"/>
      <c r="O7" s="3">
        <v>46100.625</v>
      </c>
      <c r="P7" s="4">
        <v>306.06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46100.625</v>
      </c>
      <c r="V7" s="3">
        <f t="shared" si="1"/>
        <v>46100.625</v>
      </c>
      <c r="W7" s="3">
        <v>46101.625</v>
      </c>
      <c r="X7" s="3">
        <v>46049</v>
      </c>
      <c r="Y7" s="5">
        <v>264.17689999999999</v>
      </c>
      <c r="Z7" s="3">
        <v>45785</v>
      </c>
      <c r="AA7" s="4">
        <v>233.9237</v>
      </c>
      <c r="AB7" s="74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46101.625</v>
      </c>
      <c r="P8" s="4">
        <v>304.02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46101.625</v>
      </c>
      <c r="V8" s="3">
        <f t="shared" si="1"/>
        <v>46101.625</v>
      </c>
      <c r="W8" s="3">
        <v>46104.625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74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28" cm="1">
        <f t="array" ref="B9">_xll.BDP(B4,"PX_LAST")</f>
        <v>313.66000000000003</v>
      </c>
      <c r="C9" s="28" cm="1">
        <f t="array" ref="C9">_xll.BDP(C4,"PX_LAST")</f>
        <v>99.774000000000001</v>
      </c>
      <c r="D9" s="28" cm="1">
        <f t="array" ref="D9">_xll.BDP(D4,"PX_LAST")</f>
        <v>249.3082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46104.625</v>
      </c>
      <c r="P9" s="4">
        <v>305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46104.625</v>
      </c>
      <c r="V9" s="3">
        <f t="shared" si="1"/>
        <v>46104.625</v>
      </c>
      <c r="W9" s="3">
        <v>46105.625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74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29" t="s">
        <v>23</v>
      </c>
      <c r="B10" s="30"/>
      <c r="C10" s="31"/>
      <c r="D10" s="30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46105.625</v>
      </c>
      <c r="P10" s="4">
        <v>304.52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46105.625</v>
      </c>
      <c r="V10" s="3">
        <f t="shared" si="1"/>
        <v>46105.625</v>
      </c>
      <c r="W10" s="3">
        <v>46106.625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74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2"/>
      <c r="J11" s="1"/>
      <c r="K11" s="1"/>
      <c r="L11" s="1"/>
      <c r="M11" s="1"/>
      <c r="N11" s="1"/>
      <c r="O11" s="3">
        <v>46106.625</v>
      </c>
      <c r="P11" s="4">
        <v>306.12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46106.625</v>
      </c>
      <c r="V11" s="3">
        <f t="shared" si="1"/>
        <v>46106.625</v>
      </c>
      <c r="W11" s="3">
        <v>46107.625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74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3" t="s">
        <v>24</v>
      </c>
      <c r="B12" s="65" t="s">
        <v>2</v>
      </c>
      <c r="C12" s="66"/>
      <c r="D12" s="67"/>
      <c r="E12" s="68" t="s">
        <v>3</v>
      </c>
      <c r="F12" s="69"/>
      <c r="G12" s="70"/>
      <c r="H12" s="71" t="s">
        <v>3</v>
      </c>
      <c r="I12" s="72"/>
      <c r="J12" s="72"/>
      <c r="K12" s="73"/>
      <c r="L12" s="11" t="s">
        <v>25</v>
      </c>
      <c r="M12" s="33" t="s">
        <v>26</v>
      </c>
      <c r="O12" s="3">
        <v>46107.625</v>
      </c>
      <c r="P12" s="4">
        <v>304.82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46107.625</v>
      </c>
      <c r="V12" s="3">
        <f t="shared" si="1"/>
        <v>46107.625</v>
      </c>
      <c r="W12" s="3">
        <v>46108.625</v>
      </c>
      <c r="X12" s="3">
        <v>46056</v>
      </c>
      <c r="Y12" s="5">
        <v>264</v>
      </c>
      <c r="Z12" s="3">
        <v>45792</v>
      </c>
      <c r="AA12" s="4">
        <v>236.27610000000001</v>
      </c>
      <c r="AB12" s="74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29"/>
      <c r="B13" s="34" t="s">
        <v>27</v>
      </c>
      <c r="C13" s="35" t="s">
        <v>28</v>
      </c>
      <c r="D13" s="36" t="s">
        <v>29</v>
      </c>
      <c r="E13" s="34" t="s">
        <v>27</v>
      </c>
      <c r="F13" s="35" t="s">
        <v>28</v>
      </c>
      <c r="G13" s="36" t="s">
        <v>29</v>
      </c>
      <c r="H13" s="34" t="s">
        <v>30</v>
      </c>
      <c r="I13" s="35" t="s">
        <v>31</v>
      </c>
      <c r="J13" s="35" t="s">
        <v>32</v>
      </c>
      <c r="K13" s="36" t="s">
        <v>33</v>
      </c>
      <c r="L13" s="36"/>
      <c r="M13" s="29"/>
      <c r="O13" s="3">
        <v>46108.625</v>
      </c>
      <c r="P13" s="4">
        <v>303.5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46108.625</v>
      </c>
      <c r="V13" s="3">
        <f t="shared" si="1"/>
        <v>46108.625</v>
      </c>
      <c r="W13" s="3">
        <v>46111.625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74">
        <v>45793</v>
      </c>
      <c r="AC13" s="4">
        <v>301.29500000000002</v>
      </c>
      <c r="AD13" s="6">
        <f t="shared" si="2"/>
        <v>45793</v>
      </c>
    </row>
    <row r="14" spans="1:32" x14ac:dyDescent="0.25">
      <c r="A14" s="37">
        <v>46049.625</v>
      </c>
      <c r="B14" s="38">
        <v>313.76</v>
      </c>
      <c r="C14" s="2"/>
      <c r="D14" s="18"/>
      <c r="E14" s="38">
        <f>IF(COUNTIF($W$2:W999,A14)=1,VLOOKUP(A14,Q:R,2), IF(COUNTIF($W$2:W999,A14)=0,$C$9,""))</f>
        <v>99.774000000000001</v>
      </c>
      <c r="F14" s="1"/>
      <c r="G14" s="18"/>
      <c r="H14" s="38">
        <v>241.37200000000001</v>
      </c>
      <c r="I14" s="39">
        <v>264.18</v>
      </c>
      <c r="J14" s="39">
        <f>IF(ISERROR(H14-2),"",I14)</f>
        <v>264.18</v>
      </c>
      <c r="K14" s="18"/>
      <c r="L14" s="18"/>
      <c r="M14" s="40">
        <v>0</v>
      </c>
      <c r="O14" s="3">
        <v>46111.625</v>
      </c>
      <c r="P14" s="4">
        <v>302.92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46111.625</v>
      </c>
      <c r="V14" s="3">
        <f t="shared" si="1"/>
        <v>46111.625</v>
      </c>
      <c r="W14" s="3">
        <v>46112.625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74">
        <v>45796</v>
      </c>
      <c r="AC14" s="4">
        <v>299.93799999999999</v>
      </c>
      <c r="AD14" s="6">
        <f t="shared" si="2"/>
        <v>45796</v>
      </c>
    </row>
    <row r="15" spans="1:32" x14ac:dyDescent="0.25">
      <c r="A15" s="37">
        <f t="shared" ref="A15:A78" ca="1" si="3">IF(AND(ISBLANK(W4), A14 = $W$1),NOW(),IF(ISBLANK(W4),"",W4))</f>
        <v>46098.625</v>
      </c>
      <c r="B15" s="38">
        <f ca="1">IF(COUNTIF($W$2:W1000,A15)=1,VLOOKUP(A15,O:P,2), IF(COUNTIF($W$2:W1000,A15)=0,$B$9,""))</f>
        <v>307.76</v>
      </c>
      <c r="C15" s="2">
        <f ca="1">IF(ISERROR(B15-2),"",(B15-$B$14)*$G$3*$I$3)</f>
        <v>-573600</v>
      </c>
      <c r="D15" s="41"/>
      <c r="E15" s="38">
        <f ca="1">IF(COUNTIF($W$2:W1000,A15)=1,VLOOKUP(A15,Q:R,2), IF(COUNTIF($W$2:W1000,A15)=0,$C$9,""))</f>
        <v>99.992999999999995</v>
      </c>
      <c r="F15" s="2">
        <f ca="1">IF(ISERROR(B15-2),"",(E15-$E$14)/100*$C$5)</f>
        <v>56939.999999998457</v>
      </c>
      <c r="G15" s="41">
        <f ca="1">IF(ISERROR(B15-2),"",(INT(A15)-INT($A$14))/360*$C$6*$C$5-(INT(A15)-INT($A$14))/360*$C$7*$C$5*$E$14/100)</f>
        <v>191.94933333332301</v>
      </c>
      <c r="H15" s="38">
        <f ca="1">IF(COUNTIF($W$2:W1000,A15)=1,VLOOKUP(A15,S:T,2), IF(COUNTIF($W$2:W1000,A15)=0,$D$9,""))</f>
        <v>294.98399999999998</v>
      </c>
      <c r="I15" s="39">
        <f ca="1">IF(COUNTIF($X$2:X1000,INT(A15))=1,VLOOKUP(INT(A15),X:Y,2), IF(ISERROR(H15-2),"",I14*(1-$D$8*(H15-H14)*0.0001)))</f>
        <v>258.83109999999999</v>
      </c>
      <c r="J15" s="39">
        <f ca="1">IF(ISERROR(H15-2),"",I15)</f>
        <v>258.83109999999999</v>
      </c>
      <c r="K15" s="41">
        <f ca="1">IF(ISERROR(H15-2),"",(J15/$J$14-1)*$D$5)</f>
        <v>-378622.26512226602</v>
      </c>
      <c r="L15" s="41"/>
      <c r="M15" s="42">
        <f ca="1">IF(ISERROR(B15-2),"",C15+D15-F15-G15-K15+SUM($L$14:L15))</f>
        <v>-252109.68421106576</v>
      </c>
      <c r="O15" s="3">
        <v>46112.625</v>
      </c>
      <c r="P15" s="4">
        <v>304.16000000000003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46112.625</v>
      </c>
      <c r="V15" s="3">
        <f t="shared" si="1"/>
        <v>46112.625</v>
      </c>
      <c r="W15" s="3">
        <v>46113.625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74">
        <v>45797</v>
      </c>
      <c r="AC15" s="4">
        <v>295.73700000000002</v>
      </c>
      <c r="AD15" s="6">
        <f t="shared" si="2"/>
        <v>45797</v>
      </c>
    </row>
    <row r="16" spans="1:32" x14ac:dyDescent="0.25">
      <c r="A16" s="37">
        <f t="shared" ca="1" si="3"/>
        <v>46099.625</v>
      </c>
      <c r="B16" s="38">
        <f ca="1">IF(COUNTIF($W$2:W1001,A16)=1,VLOOKUP(A16,O:P,2), IF(COUNTIF($W$2:W1001,A16)=0,$B$9,""))</f>
        <v>307.33999999999997</v>
      </c>
      <c r="C16" s="2">
        <f t="shared" ref="C16:C79" ca="1" si="4">IF(ISERROR(B16-2),"",(B16-$B$14)*$G$3*$I$3)</f>
        <v>-613752.00000000151</v>
      </c>
      <c r="D16" s="41"/>
      <c r="E16" s="38">
        <f ca="1">IF(COUNTIF($W$2:W1001,A16)=1,VLOOKUP(A16,Q:R,2), IF(COUNTIF($W$2:W1001,A16)=0,$C$9,""))</f>
        <v>99.841999999999999</v>
      </c>
      <c r="F16" s="2">
        <f t="shared" ref="F16:F79" ca="1" si="5">IF(ISERROR(B16-2),"",(E16-$E$14)/100*$C$5)</f>
        <v>17679.999999999436</v>
      </c>
      <c r="G16" s="41">
        <f t="shared" ref="G16:G79" ca="1" si="6">IF(ISERROR(B16-2),"",(INT(A16)-INT($A$14))/360*$C$6*$C$5-(INT(A16)-INT($A$14))/360*$C$7*$C$5*$E$14/100)</f>
        <v>195.86666666666861</v>
      </c>
      <c r="H16" s="38">
        <f ca="1">IF(COUNTIF($W$2:W1001,A16)=1,VLOOKUP(A16,S:T,2), IF(COUNTIF($W$2:W1001,A16)=0,$D$9,""))</f>
        <v>298.827</v>
      </c>
      <c r="I16" s="39">
        <f ca="1">IF(COUNTIF($X$2:X1001,INT(A16))=1,VLOOKUP(INT(A16),X:Y,2), IF(ISERROR(H16-2),"",I15*(1-$D$8*(H16-H15)*0.0001)))</f>
        <v>258.3931</v>
      </c>
      <c r="J16" s="39">
        <f t="shared" ref="J16:J79" ca="1" si="7">IF(ISERROR(H16-2),"",I16)</f>
        <v>258.3931</v>
      </c>
      <c r="K16" s="41">
        <f t="shared" ref="K16:K79" ca="1" si="8">IF(ISERROR(H16-2),"",(J16/$J$14-1)*$D$5)</f>
        <v>-409626.1261261254</v>
      </c>
      <c r="L16" s="41"/>
      <c r="M16" s="42">
        <f ca="1">IF(ISERROR(B16-2),"",C16+D16-F16-G16-K16+SUM($L$14:L16))</f>
        <v>-222001.74054054223</v>
      </c>
      <c r="O16" s="3">
        <v>46113.625</v>
      </c>
      <c r="P16" s="4">
        <v>306.24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46113.625</v>
      </c>
      <c r="V16" s="3">
        <f t="shared" si="1"/>
        <v>46113.625</v>
      </c>
      <c r="W16" s="3">
        <v>46114.625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74">
        <v>45798</v>
      </c>
      <c r="AC16" s="4">
        <v>298.613</v>
      </c>
      <c r="AD16" s="6">
        <f t="shared" si="2"/>
        <v>45798</v>
      </c>
    </row>
    <row r="17" spans="1:30" x14ac:dyDescent="0.25">
      <c r="A17" s="37">
        <f t="shared" ca="1" si="3"/>
        <v>46100.625</v>
      </c>
      <c r="B17" s="38">
        <f ca="1">IF(COUNTIF($W$2:W1002,A17)=1,VLOOKUP(A17,O:P,2), IF(COUNTIF($W$2:W1002,A17)=0,$B$9,""))</f>
        <v>306.06</v>
      </c>
      <c r="C17" s="2">
        <f t="shared" ca="1" si="4"/>
        <v>-736119.99999999895</v>
      </c>
      <c r="D17" s="41"/>
      <c r="E17" s="38">
        <f ca="1">IF(COUNTIF($W$2:W1002,A17)=1,VLOOKUP(A17,Q:R,2), IF(COUNTIF($W$2:W1002,A17)=0,$C$9,""))</f>
        <v>99.638999999999996</v>
      </c>
      <c r="F17" s="2">
        <f t="shared" ca="1" si="5"/>
        <v>-35100.000000001332</v>
      </c>
      <c r="G17" s="41">
        <f t="shared" ca="1" si="6"/>
        <v>199.78399999999965</v>
      </c>
      <c r="H17" s="38">
        <f ca="1">IF(COUNTIF($W$2:W1002,A17)=1,VLOOKUP(A17,S:T,2), IF(COUNTIF($W$2:W1002,A17)=0,$D$9,""))</f>
        <v>309.03899999999999</v>
      </c>
      <c r="I17" s="39">
        <f ca="1">IF(COUNTIF($X$2:X1002,INT(A17))=1,VLOOKUP(INT(A17),X:Y,2), IF(ISERROR(H17-2),"",I16*(1-$D$8*(H17-H16)*0.0001)))</f>
        <v>257.0634</v>
      </c>
      <c r="J17" s="39">
        <f t="shared" ca="1" si="7"/>
        <v>257.0634</v>
      </c>
      <c r="K17" s="41">
        <f t="shared" ca="1" si="8"/>
        <v>-503749.03474903549</v>
      </c>
      <c r="L17" s="41"/>
      <c r="M17" s="42">
        <f ca="1">IF(ISERROR(B17-2),"",C17+D17-F17-G17-K17+SUM($L$14:L17))</f>
        <v>-197470.74925096217</v>
      </c>
      <c r="O17" s="3">
        <v>46114.625</v>
      </c>
      <c r="P17" s="4">
        <v>306.5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46114.625</v>
      </c>
      <c r="V17" s="3">
        <f t="shared" si="1"/>
        <v>46114.625</v>
      </c>
      <c r="W17" s="3">
        <v>46119.625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74">
        <v>45799</v>
      </c>
      <c r="AC17" s="4">
        <v>302.62099999999998</v>
      </c>
      <c r="AD17" s="6">
        <f t="shared" si="2"/>
        <v>45799</v>
      </c>
    </row>
    <row r="18" spans="1:30" x14ac:dyDescent="0.25">
      <c r="A18" s="37">
        <f t="shared" ca="1" si="3"/>
        <v>46101.625</v>
      </c>
      <c r="B18" s="38">
        <f ca="1">IF(COUNTIF($W$2:W1003,A18)=1,VLOOKUP(A18,O:P,2), IF(COUNTIF($W$2:W1003,A18)=0,$B$9,""))</f>
        <v>304.02</v>
      </c>
      <c r="C18" s="2">
        <f t="shared" ca="1" si="4"/>
        <v>-931144.00000000081</v>
      </c>
      <c r="D18" s="41"/>
      <c r="E18" s="38">
        <f ca="1">IF(COUNTIF($W$2:W1003,A18)=1,VLOOKUP(A18,Q:R,2), IF(COUNTIF($W$2:W1003,A18)=0,$C$9,""))</f>
        <v>99.41</v>
      </c>
      <c r="F18" s="2">
        <f t="shared" ca="1" si="5"/>
        <v>-94640.00000000112</v>
      </c>
      <c r="G18" s="41">
        <f t="shared" ca="1" si="6"/>
        <v>203.70133333333069</v>
      </c>
      <c r="H18" s="38">
        <f ca="1">IF(COUNTIF($W$2:W1003,A18)=1,VLOOKUP(A18,S:T,2), IF(COUNTIF($W$2:W1003,A18)=0,$D$9,""))</f>
        <v>350.86599999999999</v>
      </c>
      <c r="I18" s="39">
        <f ca="1">IF(COUNTIF($X$2:X1003,INT(A18))=1,VLOOKUP(INT(A18),X:Y,2), IF(ISERROR(H18-2),"",I17*(1-$D$8*(H18-H17)*0.0001)))</f>
        <v>255.87119999999999</v>
      </c>
      <c r="J18" s="39">
        <f t="shared" ca="1" si="7"/>
        <v>255.87119999999999</v>
      </c>
      <c r="K18" s="41">
        <f t="shared" ca="1" si="8"/>
        <v>-588138.99613899842</v>
      </c>
      <c r="L18" s="41"/>
      <c r="M18" s="42">
        <f ca="1">IF(ISERROR(B18-2),"",C18+D18-F18-G18-K18+SUM($L$14:L18))</f>
        <v>-248568.70519433462</v>
      </c>
      <c r="O18" s="3">
        <v>46119.625</v>
      </c>
      <c r="P18" s="4">
        <v>305.86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46119.625</v>
      </c>
      <c r="V18" s="3">
        <f t="shared" si="1"/>
        <v>46119.625</v>
      </c>
      <c r="W18" s="3">
        <v>46120.625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74">
        <v>45800</v>
      </c>
      <c r="AC18" s="4">
        <v>315.95499999999998</v>
      </c>
      <c r="AD18" s="6">
        <f t="shared" si="2"/>
        <v>45800</v>
      </c>
    </row>
    <row r="19" spans="1:30" x14ac:dyDescent="0.25">
      <c r="A19" s="37">
        <f t="shared" ca="1" si="3"/>
        <v>46104.625</v>
      </c>
      <c r="B19" s="38">
        <f ca="1">IF(COUNTIF($W$2:W1004,A19)=1,VLOOKUP(A19,O:P,2), IF(COUNTIF($W$2:W1004,A19)=0,$B$9,""))</f>
        <v>305</v>
      </c>
      <c r="C19" s="2">
        <f t="shared" ca="1" si="4"/>
        <v>-837455.99999999919</v>
      </c>
      <c r="D19" s="41"/>
      <c r="E19" s="38">
        <f ca="1">IF(COUNTIF($W$2:W1004,A19)=1,VLOOKUP(A19,Q:R,2), IF(COUNTIF($W$2:W1004,A19)=0,$C$9,""))</f>
        <v>99.53</v>
      </c>
      <c r="F19" s="2">
        <f t="shared" ca="1" si="5"/>
        <v>-63439.999999999942</v>
      </c>
      <c r="G19" s="41">
        <f t="shared" ca="1" si="6"/>
        <v>215.45333333332383</v>
      </c>
      <c r="H19" s="38">
        <f ca="1">IF(COUNTIF($W$2:W1004,A19)=1,VLOOKUP(A19,S:T,2), IF(COUNTIF($W$2:W1004,A19)=0,$D$9,""))</f>
        <v>341.82299999999998</v>
      </c>
      <c r="I19" s="39">
        <f ca="1">IF(COUNTIF($X$2:X1004,INT(A19))=1,VLOOKUP(INT(A19),X:Y,2), IF(ISERROR(H19-2),"",I18*(1-$D$8*(H19-H18)*0.0001)))</f>
        <v>256.74209999999999</v>
      </c>
      <c r="J19" s="39">
        <f t="shared" ca="1" si="7"/>
        <v>256.74209999999999</v>
      </c>
      <c r="K19" s="41">
        <f t="shared" ca="1" si="8"/>
        <v>-526492.27799227962</v>
      </c>
      <c r="L19" s="41"/>
      <c r="M19" s="42">
        <f ca="1">IF(ISERROR(B19-2),"",C19+D19-F19-G19-K19+SUM($L$14:L19))</f>
        <v>-247739.17534105305</v>
      </c>
      <c r="O19" s="3">
        <v>46120.625</v>
      </c>
      <c r="P19" s="4">
        <v>309.58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46120.625</v>
      </c>
      <c r="V19" s="3">
        <f t="shared" si="1"/>
        <v>46120.625</v>
      </c>
      <c r="W19" s="3">
        <v>46122.625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74">
        <v>45804</v>
      </c>
      <c r="AC19" s="4">
        <v>300.10899999999998</v>
      </c>
      <c r="AD19" s="6">
        <f t="shared" si="2"/>
        <v>45804</v>
      </c>
    </row>
    <row r="20" spans="1:30" x14ac:dyDescent="0.25">
      <c r="A20" s="37">
        <f t="shared" ca="1" si="3"/>
        <v>46105.625</v>
      </c>
      <c r="B20" s="38">
        <f ca="1">IF(COUNTIF($W$2:W1005,A20)=1,VLOOKUP(A20,O:P,2), IF(COUNTIF($W$2:W1005,A20)=0,$B$9,""))</f>
        <v>304.52</v>
      </c>
      <c r="C20" s="2">
        <f t="shared" ca="1" si="4"/>
        <v>-883344.00000000081</v>
      </c>
      <c r="D20" s="41"/>
      <c r="E20" s="38">
        <f ca="1">IF(COUNTIF($W$2:W1005,A20)=1,VLOOKUP(A20,Q:R,2), IF(COUNTIF($W$2:W1005,A20)=0,$C$9,""))</f>
        <v>99.400999999999996</v>
      </c>
      <c r="F20" s="2">
        <f t="shared" ca="1" si="5"/>
        <v>-96980.000000001208</v>
      </c>
      <c r="G20" s="41">
        <f t="shared" ca="1" si="6"/>
        <v>219.37066666665487</v>
      </c>
      <c r="H20" s="38">
        <f ca="1">IF(COUNTIF($W$2:W1005,A20)=1,VLOOKUP(A20,S:T,2), IF(COUNTIF($W$2:W1005,A20)=0,$D$9,""))</f>
        <v>342.43400000000003</v>
      </c>
      <c r="I20" s="39">
        <f ca="1">IF(COUNTIF($X$2:X1005,INT(A20))=1,VLOOKUP(INT(A20),X:Y,2), IF(ISERROR(H20-2),"",I19*(1-$D$8*(H20-H19)*0.0001)))</f>
        <v>256.9957</v>
      </c>
      <c r="J20" s="39">
        <f t="shared" ca="1" si="7"/>
        <v>256.9957</v>
      </c>
      <c r="K20" s="41">
        <f t="shared" ca="1" si="8"/>
        <v>-508541.1840411856</v>
      </c>
      <c r="L20" s="41"/>
      <c r="M20" s="42">
        <f ca="1">IF(ISERROR(B20-2),"",C20+D20-F20-G20-K20+SUM($L$14:L20))</f>
        <v>-278042.18662548071</v>
      </c>
      <c r="O20" s="3">
        <v>46122.625</v>
      </c>
      <c r="P20" s="4">
        <v>309.45999999999998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46122.625</v>
      </c>
      <c r="V20" s="3">
        <f t="shared" si="1"/>
        <v>46122.625</v>
      </c>
      <c r="W20" s="3">
        <v>46126.625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74">
        <v>45805</v>
      </c>
      <c r="AC20" s="4">
        <v>300.60399999999998</v>
      </c>
      <c r="AD20" s="6">
        <f t="shared" si="2"/>
        <v>45805</v>
      </c>
    </row>
    <row r="21" spans="1:30" x14ac:dyDescent="0.25">
      <c r="A21" s="37">
        <f t="shared" ca="1" si="3"/>
        <v>46106.625</v>
      </c>
      <c r="B21" s="38">
        <f ca="1">IF(COUNTIF($W$2:W1006,A21)=1,VLOOKUP(A21,O:P,2), IF(COUNTIF($W$2:W1006,A21)=0,$B$9,""))</f>
        <v>306.12</v>
      </c>
      <c r="C21" s="2">
        <f t="shared" ca="1" si="4"/>
        <v>-730383.99999999872</v>
      </c>
      <c r="D21" s="41"/>
      <c r="E21" s="38">
        <f ca="1">IF(COUNTIF($W$2:W1006,A21)=1,VLOOKUP(A21,Q:R,2), IF(COUNTIF($W$2:W1006,A21)=0,$C$9,""))</f>
        <v>99.501000000000005</v>
      </c>
      <c r="F21" s="2">
        <f t="shared" ca="1" si="5"/>
        <v>-70979.999999998996</v>
      </c>
      <c r="G21" s="41">
        <f t="shared" ca="1" si="6"/>
        <v>223.28800000000047</v>
      </c>
      <c r="H21" s="38">
        <f ca="1">IF(COUNTIF($W$2:W1006,A21)=1,VLOOKUP(A21,S:T,2), IF(COUNTIF($W$2:W1006,A21)=0,$D$9,""))</f>
        <v>334.50400000000002</v>
      </c>
      <c r="I21" s="39">
        <f ca="1">IF(COUNTIF($X$2:X1006,INT(A21))=1,VLOOKUP(INT(A21),X:Y,2), IF(ISERROR(H21-2),"",I20*(1-$D$8*(H21-H20)*0.0001)))</f>
        <v>258.20859999999999</v>
      </c>
      <c r="J21" s="39">
        <f t="shared" ca="1" si="7"/>
        <v>258.20859999999999</v>
      </c>
      <c r="K21" s="41">
        <f t="shared" ca="1" si="8"/>
        <v>-422685.9716859734</v>
      </c>
      <c r="L21" s="41"/>
      <c r="M21" s="42">
        <f ca="1">IF(ISERROR(B21-2),"",C21+D21-F21-G21-K21+SUM($L$14:L21))</f>
        <v>-236941.31631402631</v>
      </c>
      <c r="O21" s="3">
        <v>46126.625</v>
      </c>
      <c r="P21" s="4">
        <v>309.89999999999998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46126.625</v>
      </c>
      <c r="V21" s="3">
        <f t="shared" si="1"/>
        <v>46126.625</v>
      </c>
      <c r="W21" s="3">
        <v>46127.625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74">
        <v>45806</v>
      </c>
      <c r="AC21" s="4">
        <v>300.02</v>
      </c>
      <c r="AD21" s="6">
        <f t="shared" si="2"/>
        <v>45806</v>
      </c>
    </row>
    <row r="22" spans="1:30" x14ac:dyDescent="0.25">
      <c r="A22" s="37">
        <f t="shared" ca="1" si="3"/>
        <v>46107.625</v>
      </c>
      <c r="B22" s="38">
        <f ca="1">IF(COUNTIF($W$2:W1007,A22)=1,VLOOKUP(A22,O:P,2), IF(COUNTIF($W$2:W1007,A22)=0,$B$9,""))</f>
        <v>304.82</v>
      </c>
      <c r="C22" s="2">
        <f t="shared" ca="1" si="4"/>
        <v>-854663.99999999977</v>
      </c>
      <c r="D22" s="41"/>
      <c r="E22" s="38">
        <f ca="1">IF(COUNTIF($W$2:W1007,A22)=1,VLOOKUP(A22,Q:R,2), IF(COUNTIF($W$2:W1007,A22)=0,$C$9,""))</f>
        <v>99.313000000000002</v>
      </c>
      <c r="F22" s="2">
        <f t="shared" ca="1" si="5"/>
        <v>-119859.99999999962</v>
      </c>
      <c r="G22" s="41">
        <f t="shared" ca="1" si="6"/>
        <v>227.20533333333151</v>
      </c>
      <c r="H22" s="38">
        <f ca="1">IF(COUNTIF($W$2:W1007,A22)=1,VLOOKUP(A22,S:T,2), IF(COUNTIF($W$2:W1007,A22)=0,$D$9,""))</f>
        <v>344.47199999999998</v>
      </c>
      <c r="I22" s="39">
        <f ca="1">IF(COUNTIF($X$2:X1007,INT(A22))=1,VLOOKUP(INT(A22),X:Y,2), IF(ISERROR(H22-2),"",I21*(1-$D$8*(H22-H21)*0.0001)))</f>
        <v>255.99350000000001</v>
      </c>
      <c r="J22" s="39">
        <f t="shared" ca="1" si="7"/>
        <v>255.99350000000001</v>
      </c>
      <c r="K22" s="41">
        <f t="shared" ca="1" si="8"/>
        <v>-579481.98198198073</v>
      </c>
      <c r="L22" s="41"/>
      <c r="M22" s="42">
        <f ca="1">IF(ISERROR(B22-2),"",C22+D22-F22-G22-K22+SUM($L$14:L22))</f>
        <v>-155549.22335135273</v>
      </c>
      <c r="O22" s="3">
        <v>46127.625</v>
      </c>
      <c r="P22" s="4">
        <v>310.42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46127.625</v>
      </c>
      <c r="V22" s="3">
        <f t="shared" si="1"/>
        <v>46127.625</v>
      </c>
      <c r="W22" s="3">
        <v>46128.625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74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7">
        <f t="shared" ca="1" si="3"/>
        <v>46108.625</v>
      </c>
      <c r="B23" s="38">
        <f ca="1">IF(COUNTIF($W$2:W1008,A23)=1,VLOOKUP(A23,O:P,2), IF(COUNTIF($W$2:W1008,A23)=0,$B$9,""))</f>
        <v>303.5</v>
      </c>
      <c r="C23" s="2">
        <f t="shared" ca="1" si="4"/>
        <v>-980855.99999999919</v>
      </c>
      <c r="D23" s="41"/>
      <c r="E23" s="38">
        <f ca="1">IF(COUNTIF($W$2:W1008,A23)=1,VLOOKUP(A23,Q:R,2), IF(COUNTIF($W$2:W1008,A23)=0,$C$9,""))</f>
        <v>99.304000000000002</v>
      </c>
      <c r="F23" s="2">
        <f t="shared" ca="1" si="5"/>
        <v>-122199.99999999971</v>
      </c>
      <c r="G23" s="41">
        <f t="shared" ca="1" si="6"/>
        <v>231.12266666666255</v>
      </c>
      <c r="H23" s="38">
        <f ca="1">IF(COUNTIF($W$2:W1008,A23)=1,VLOOKUP(A23,S:T,2), IF(COUNTIF($W$2:W1008,A23)=0,$D$9,""))</f>
        <v>361.33</v>
      </c>
      <c r="I23" s="39">
        <f ca="1">IF(COUNTIF($X$2:X1008,INT(A23))=1,VLOOKUP(INT(A23),X:Y,2), IF(ISERROR(H23-2),"",I22*(1-$D$8*(H23-H22)*0.0001)))</f>
        <v>254.57159999999999</v>
      </c>
      <c r="J23" s="39">
        <f t="shared" ca="1" si="7"/>
        <v>254.57159999999999</v>
      </c>
      <c r="K23" s="41">
        <f t="shared" ca="1" si="8"/>
        <v>-680131.27413127455</v>
      </c>
      <c r="L23" s="41"/>
      <c r="M23" s="42">
        <f ca="1">IF(ISERROR(B23-2),"",C23+D23-F23-G23-K23+SUM($L$14:L23))</f>
        <v>-178755.84853539162</v>
      </c>
      <c r="O23" s="3">
        <v>46128.625</v>
      </c>
      <c r="P23" s="4">
        <v>310.64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46128.625</v>
      </c>
      <c r="V23" s="3">
        <f t="shared" si="1"/>
        <v>46128.625</v>
      </c>
      <c r="W23" s="3">
        <v>46129.625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74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7">
        <f t="shared" ca="1" si="3"/>
        <v>46111.625</v>
      </c>
      <c r="B24" s="38">
        <f ca="1">IF(COUNTIF($W$2:W1009,A24)=1,VLOOKUP(A24,O:P,2), IF(COUNTIF($W$2:W1009,A24)=0,$B$9,""))</f>
        <v>302.92</v>
      </c>
      <c r="C24" s="2">
        <f t="shared" ca="1" si="4"/>
        <v>-1036303.9999999976</v>
      </c>
      <c r="D24" s="41"/>
      <c r="E24" s="38">
        <f ca="1">IF(COUNTIF($W$2:W1009,A24)=1,VLOOKUP(A24,Q:R,2), IF(COUNTIF($W$2:W1009,A24)=0,$C$9,""))</f>
        <v>99.466999999999999</v>
      </c>
      <c r="F24" s="2">
        <f t="shared" ca="1" si="5"/>
        <v>-79820.000000000553</v>
      </c>
      <c r="G24" s="41">
        <f t="shared" ca="1" si="6"/>
        <v>242.87466666665568</v>
      </c>
      <c r="H24" s="38">
        <f ca="1">IF(COUNTIF($W$2:W1009,A24)=1,VLOOKUP(A24,S:T,2), IF(COUNTIF($W$2:W1009,A24)=0,$D$9,""))</f>
        <v>364.03399999999999</v>
      </c>
      <c r="I24" s="39">
        <f ca="1">IF(COUNTIF($X$2:X1009,INT(A24))=1,VLOOKUP(INT(A24),X:Y,2), IF(ISERROR(H24-2),"",I23*(1-$D$8*(H24-H23)*0.0001)))</f>
        <v>254.6893</v>
      </c>
      <c r="J24" s="39">
        <f t="shared" ca="1" si="7"/>
        <v>254.6893</v>
      </c>
      <c r="K24" s="41">
        <f t="shared" ca="1" si="8"/>
        <v>-671799.87129987078</v>
      </c>
      <c r="L24" s="41"/>
      <c r="M24" s="42">
        <f ca="1">IF(ISERROR(B24-2),"",C24+D24-F24-G24-K24+SUM($L$14:L24))</f>
        <v>-284927.00336679281</v>
      </c>
      <c r="O24" s="3">
        <v>46129.625</v>
      </c>
      <c r="P24" s="4">
        <v>312.38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46129.625</v>
      </c>
      <c r="V24" s="3">
        <f t="shared" si="1"/>
        <v>46129.625</v>
      </c>
      <c r="W24" s="3">
        <v>46132.625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74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7">
        <f t="shared" ca="1" si="3"/>
        <v>46112.625</v>
      </c>
      <c r="B25" s="38">
        <f ca="1">IF(COUNTIF($W$2:W1010,A25)=1,VLOOKUP(A25,O:P,2), IF(COUNTIF($W$2:W1010,A25)=0,$B$9,""))</f>
        <v>304.16000000000003</v>
      </c>
      <c r="C25" s="2">
        <f t="shared" ca="1" si="4"/>
        <v>-917759.99999999674</v>
      </c>
      <c r="D25" s="41"/>
      <c r="E25" s="38">
        <f ca="1">IF(COUNTIF($W$2:W1010,A25)=1,VLOOKUP(A25,Q:R,2), IF(COUNTIF($W$2:W1010,A25)=0,$C$9,""))</f>
        <v>99.444000000000003</v>
      </c>
      <c r="F25" s="2">
        <f t="shared" ca="1" si="5"/>
        <v>-85799.999999999563</v>
      </c>
      <c r="G25" s="41">
        <f t="shared" ca="1" si="6"/>
        <v>246.79199999998673</v>
      </c>
      <c r="H25" s="38">
        <f ca="1">IF(COUNTIF($W$2:W1010,A25)=1,VLOOKUP(A25,S:T,2), IF(COUNTIF($W$2:W1010,A25)=0,$D$9,""))</f>
        <v>355.63</v>
      </c>
      <c r="I25" s="39">
        <f ca="1">IF(COUNTIF($X$2:X1010,INT(A25))=1,VLOOKUP(INT(A25),X:Y,2), IF(ISERROR(H25-2),"",I24*(1-$D$8*(H25-H24)*0.0001)))</f>
        <v>255.8124</v>
      </c>
      <c r="J25" s="39">
        <f t="shared" ca="1" si="7"/>
        <v>255.8124</v>
      </c>
      <c r="K25" s="41">
        <f t="shared" ca="1" si="8"/>
        <v>-592301.15830115799</v>
      </c>
      <c r="L25" s="41"/>
      <c r="M25" s="42">
        <f ca="1">IF(ISERROR(B25-2),"",C25+D25-F25-G25-K25+SUM($L$14:L25))</f>
        <v>-239905.63369883923</v>
      </c>
      <c r="O25" s="3">
        <v>46132.625</v>
      </c>
      <c r="P25" s="4">
        <v>311.66000000000003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46132.625</v>
      </c>
      <c r="V25" s="3">
        <f t="shared" si="1"/>
        <v>46132.625</v>
      </c>
      <c r="W25" s="3">
        <v>46133.625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74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7">
        <f t="shared" ca="1" si="3"/>
        <v>46113.625</v>
      </c>
      <c r="B26" s="38">
        <f ca="1">IF(COUNTIF($W$2:W1011,A26)=1,VLOOKUP(A26,O:P,2), IF(COUNTIF($W$2:W1011,A26)=0,$B$9,""))</f>
        <v>306.24</v>
      </c>
      <c r="C26" s="2">
        <f t="shared" ca="1" si="4"/>
        <v>-718911.99999999825</v>
      </c>
      <c r="D26" s="41"/>
      <c r="E26" s="38">
        <f ca="1">IF(COUNTIF($W$2:W1011,A26)=1,VLOOKUP(A26,Q:R,2), IF(COUNTIF($W$2:W1011,A26)=0,$C$9,""))</f>
        <v>99.510999999999996</v>
      </c>
      <c r="F26" s="2">
        <f t="shared" ca="1" si="5"/>
        <v>-68380.000000001368</v>
      </c>
      <c r="G26" s="41">
        <f t="shared" ca="1" si="6"/>
        <v>250.70933333333232</v>
      </c>
      <c r="H26" s="38">
        <f ca="1">IF(COUNTIF($W$2:W1011,A26)=1,VLOOKUP(A26,S:T,2), IF(COUNTIF($W$2:W1011,A26)=0,$D$9,""))</f>
        <v>329.10599999999999</v>
      </c>
      <c r="I26" s="39">
        <f ca="1">IF(COUNTIF($X$2:X1011,INT(A26))=1,VLOOKUP(INT(A26),X:Y,2), IF(ISERROR(H26-2),"",I25*(1-$D$8*(H26-H25)*0.0001)))</f>
        <v>258.79109999999997</v>
      </c>
      <c r="J26" s="39">
        <f t="shared" ca="1" si="7"/>
        <v>258.79109999999997</v>
      </c>
      <c r="K26" s="41">
        <f t="shared" ca="1" si="8"/>
        <v>-381453.66795367067</v>
      </c>
      <c r="L26" s="41"/>
      <c r="M26" s="42">
        <f ca="1">IF(ISERROR(B26-2),"",C26+D26-F26-G26-K26+SUM($L$14:L26))</f>
        <v>-269329.04137965949</v>
      </c>
      <c r="O26" s="3">
        <v>46133.625</v>
      </c>
      <c r="P26" s="4">
        <v>311.39999999999998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46133.625</v>
      </c>
      <c r="V26" s="3">
        <f t="shared" si="1"/>
        <v>46133.625</v>
      </c>
      <c r="W26" s="3">
        <v>46134.625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74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7">
        <f t="shared" ca="1" si="3"/>
        <v>46114.625</v>
      </c>
      <c r="B27" s="38">
        <f ca="1">IF(COUNTIF($W$2:W1012,A27)=1,VLOOKUP(A27,O:P,2), IF(COUNTIF($W$2:W1012,A27)=0,$B$9,""))</f>
        <v>306.5</v>
      </c>
      <c r="C27" s="2">
        <f t="shared" ca="1" si="4"/>
        <v>-694055.99999999919</v>
      </c>
      <c r="D27" s="41"/>
      <c r="E27" s="38">
        <f ca="1">IF(COUNTIF($W$2:W1012,A27)=1,VLOOKUP(A27,Q:R,2), IF(COUNTIF($W$2:W1012,A27)=0,$C$9,""))</f>
        <v>99.484999999999999</v>
      </c>
      <c r="F27" s="2">
        <f t="shared" ca="1" si="5"/>
        <v>-75140.000000000393</v>
      </c>
      <c r="G27" s="41">
        <f t="shared" ca="1" si="6"/>
        <v>254.62666666666337</v>
      </c>
      <c r="H27" s="38">
        <f ca="1">IF(COUNTIF($W$2:W1012,A27)=1,VLOOKUP(A27,S:T,2), IF(COUNTIF($W$2:W1012,A27)=0,$D$9,""))</f>
        <v>326.72000000000003</v>
      </c>
      <c r="I27" s="39">
        <f ca="1">IF(COUNTIF($X$2:X1012,INT(A27))=1,VLOOKUP(INT(A27),X:Y,2), IF(ISERROR(H27-2),"",I26*(1-$D$8*(H27-H26)*0.0001)))</f>
        <v>259.01429999999999</v>
      </c>
      <c r="J27" s="39">
        <f t="shared" ca="1" si="7"/>
        <v>259.01429999999999</v>
      </c>
      <c r="K27" s="41">
        <f t="shared" ca="1" si="8"/>
        <v>-365654.44015444181</v>
      </c>
      <c r="L27" s="41"/>
      <c r="M27" s="42">
        <f ca="1">IF(ISERROR(B27-2),"",C27+D27-F27-G27-K27+SUM($L$14:L27))</f>
        <v>-253516.18651222374</v>
      </c>
      <c r="O27" s="3">
        <v>46134.625</v>
      </c>
      <c r="P27" s="4">
        <v>310.62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46134.625</v>
      </c>
      <c r="V27" s="3">
        <f t="shared" si="1"/>
        <v>46134.625</v>
      </c>
      <c r="W27" s="3">
        <v>46136.625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74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7">
        <f t="shared" ca="1" si="3"/>
        <v>46119.625</v>
      </c>
      <c r="B28" s="38">
        <f ca="1">IF(COUNTIF($W$2:W1013,A28)=1,VLOOKUP(A28,O:P,2), IF(COUNTIF($W$2:W1013,A28)=0,$B$9,""))</f>
        <v>305.86</v>
      </c>
      <c r="C28" s="2">
        <f t="shared" ca="1" si="4"/>
        <v>-755239.99999999779</v>
      </c>
      <c r="D28" s="41"/>
      <c r="E28" s="38">
        <f ca="1">IF(COUNTIF($W$2:W1013,A28)=1,VLOOKUP(A28,Q:R,2), IF(COUNTIF($W$2:W1013,A28)=0,$C$9,""))</f>
        <v>99.212999999999994</v>
      </c>
      <c r="F28" s="2">
        <f t="shared" ca="1" si="5"/>
        <v>-145860.00000000183</v>
      </c>
      <c r="G28" s="41">
        <f t="shared" ca="1" si="6"/>
        <v>274.21333333331859</v>
      </c>
      <c r="H28" s="38">
        <f ca="1">IF(COUNTIF($W$2:W1013,A28)=1,VLOOKUP(A28,S:T,2), IF(COUNTIF($W$2:W1013,A28)=0,$D$9,""))</f>
        <v>333.96699999999998</v>
      </c>
      <c r="I28" s="39">
        <f ca="1">IF(COUNTIF($X$2:X1013,INT(A28))=1,VLOOKUP(INT(A28),X:Y,2), IF(ISERROR(H28-2),"",I27*(1-$D$8*(H28-H27)*0.0001)))</f>
        <v>258.06200000000001</v>
      </c>
      <c r="J28" s="39">
        <f t="shared" ca="1" si="7"/>
        <v>258.06200000000001</v>
      </c>
      <c r="K28" s="41">
        <f t="shared" ca="1" si="8"/>
        <v>-433063.06306306168</v>
      </c>
      <c r="L28" s="41"/>
      <c r="M28" s="42">
        <f ca="1">IF(ISERROR(B28-2),"",C28+D28-F28-G28-K28+SUM($L$14:L28))</f>
        <v>-176591.15027026751</v>
      </c>
      <c r="O28" s="3">
        <v>46136.625</v>
      </c>
      <c r="P28" s="4">
        <v>310.48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46136.625</v>
      </c>
      <c r="V28" s="3">
        <f t="shared" si="1"/>
        <v>46136.625</v>
      </c>
      <c r="W28" s="3">
        <v>46139.625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74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7">
        <f t="shared" ca="1" si="3"/>
        <v>46120.625</v>
      </c>
      <c r="B29" s="38">
        <f ca="1">IF(COUNTIF($W$2:W1014,A29)=1,VLOOKUP(A29,O:P,2), IF(COUNTIF($W$2:W1014,A29)=0,$B$9,""))</f>
        <v>309.58</v>
      </c>
      <c r="C29" s="2">
        <f t="shared" ca="1" si="4"/>
        <v>-399608.00000000064</v>
      </c>
      <c r="D29" s="41"/>
      <c r="E29" s="38">
        <f ca="1">IF(COUNTIF($W$2:W1014,A29)=1,VLOOKUP(A29,Q:R,2), IF(COUNTIF($W$2:W1014,A29)=0,$C$9,""))</f>
        <v>99.777000000000001</v>
      </c>
      <c r="F29" s="2">
        <f t="shared" ca="1" si="5"/>
        <v>780.00000000002956</v>
      </c>
      <c r="G29" s="41">
        <f t="shared" ca="1" si="6"/>
        <v>278.13066666664963</v>
      </c>
      <c r="H29" s="38">
        <f ca="1">IF(COUNTIF($W$2:W1014,A29)=1,VLOOKUP(A29,S:T,2), IF(COUNTIF($W$2:W1014,A29)=0,$D$9,""))</f>
        <v>301.61900000000003</v>
      </c>
      <c r="I29" s="39">
        <f ca="1">IF(COUNTIF($X$2:X1014,INT(A29))=1,VLOOKUP(INT(A29),X:Y,2), IF(ISERROR(H29-2),"",I28*(1-$D$8*(H29-H28)*0.0001)))</f>
        <v>262.38350000000003</v>
      </c>
      <c r="J29" s="39">
        <f t="shared" ca="1" si="7"/>
        <v>262.38350000000003</v>
      </c>
      <c r="K29" s="41">
        <f t="shared" ca="1" si="8"/>
        <v>-127165.37966537764</v>
      </c>
      <c r="L29" s="41"/>
      <c r="M29" s="42">
        <f ca="1">IF(ISERROR(B29-2),"",C29+D29-F29-G29-K29+SUM($L$14:L29))</f>
        <v>-273500.7510012897</v>
      </c>
      <c r="O29" s="3">
        <v>46139.625</v>
      </c>
      <c r="P29" s="4">
        <v>310.7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46139.625</v>
      </c>
      <c r="V29" s="3">
        <f t="shared" si="1"/>
        <v>46139.625</v>
      </c>
      <c r="W29" s="3">
        <v>46140.625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74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7">
        <f t="shared" ca="1" si="3"/>
        <v>46122.625</v>
      </c>
      <c r="B30" s="38">
        <f ca="1">IF(COUNTIF($W$2:W1015,A30)=1,VLOOKUP(A30,O:P,2), IF(COUNTIF($W$2:W1015,A30)=0,$B$9,""))</f>
        <v>309.45999999999998</v>
      </c>
      <c r="C30" s="2">
        <f t="shared" ca="1" si="4"/>
        <v>-411080.00000000111</v>
      </c>
      <c r="D30" s="41"/>
      <c r="E30" s="38">
        <f ca="1">IF(COUNTIF($W$2:W1015,A30)=1,VLOOKUP(A30,Q:R,2), IF(COUNTIF($W$2:W1015,A30)=0,$C$9,""))</f>
        <v>99.55</v>
      </c>
      <c r="F30" s="2">
        <f t="shared" ca="1" si="5"/>
        <v>-58240.000000000975</v>
      </c>
      <c r="G30" s="41">
        <f t="shared" ca="1" si="6"/>
        <v>285.96533333334082</v>
      </c>
      <c r="H30" s="38">
        <f ca="1">IF(COUNTIF($W$2:W1015,A30)=1,VLOOKUP(A30,S:T,2), IF(COUNTIF($W$2:W1015,A30)=0,$D$9,""))</f>
        <v>291.34300000000002</v>
      </c>
      <c r="I30" s="39">
        <f ca="1">IF(COUNTIF($X$2:X1015,INT(A30))=1,VLOOKUP(INT(A30),X:Y,2), IF(ISERROR(H30-2),"",I29*(1-$D$8*(H30-H29)*0.0001)))</f>
        <v>263.29309999999998</v>
      </c>
      <c r="J30" s="39">
        <f t="shared" ca="1" si="7"/>
        <v>263.29309999999998</v>
      </c>
      <c r="K30" s="41">
        <f t="shared" ca="1" si="8"/>
        <v>-62779.279279281996</v>
      </c>
      <c r="L30" s="41"/>
      <c r="M30" s="42">
        <f ca="1">IF(ISERROR(B30-2),"",C30+D30-F30-G30-K30+SUM($L$14:L30))</f>
        <v>-290346.6860540515</v>
      </c>
      <c r="O30" s="3">
        <v>46140.625</v>
      </c>
      <c r="P30" s="4">
        <v>309.88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46140.625</v>
      </c>
      <c r="V30" s="3">
        <f t="shared" si="1"/>
        <v>46140.625</v>
      </c>
      <c r="W30" s="3">
        <v>46141.625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74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7">
        <f t="shared" ca="1" si="3"/>
        <v>46126.625</v>
      </c>
      <c r="B31" s="38">
        <f ca="1">IF(COUNTIF($W$2:W1016,A31)=1,VLOOKUP(A31,O:P,2), IF(COUNTIF($W$2:W1016,A31)=0,$B$9,""))</f>
        <v>309.89999999999998</v>
      </c>
      <c r="C31" s="2">
        <f t="shared" ca="1" si="4"/>
        <v>-369016.00000000128</v>
      </c>
      <c r="D31" s="41"/>
      <c r="E31" s="38">
        <f ca="1">IF(COUNTIF($W$2:W1016,A31)=1,VLOOKUP(A31,Q:R,2), IF(COUNTIF($W$2:W1016,A31)=0,$C$9,""))</f>
        <v>99.619</v>
      </c>
      <c r="F31" s="2">
        <f t="shared" ca="1" si="5"/>
        <v>-40300.000000000298</v>
      </c>
      <c r="G31" s="41">
        <f t="shared" ca="1" si="6"/>
        <v>301.63466666665045</v>
      </c>
      <c r="H31" s="38">
        <f ca="1">IF(COUNTIF($W$2:W1016,A31)=1,VLOOKUP(A31,S:T,2), IF(COUNTIF($W$2:W1016,A31)=0,$D$9,""))</f>
        <v>282.697</v>
      </c>
      <c r="I31" s="39">
        <f ca="1">IF(COUNTIF($X$2:X1016,INT(A31))=1,VLOOKUP(INT(A31),X:Y,2), IF(ISERROR(H31-2),"",I30*(1-$D$8*(H31-H30)*0.0001)))</f>
        <v>264.6927</v>
      </c>
      <c r="J31" s="39">
        <f t="shared" ca="1" si="7"/>
        <v>264.6927</v>
      </c>
      <c r="K31" s="41">
        <f t="shared" ca="1" si="8"/>
        <v>36291.505791503594</v>
      </c>
      <c r="L31" s="41"/>
      <c r="M31" s="42">
        <f ca="1">IF(ISERROR(B31-2),"",C31+D31-F31-G31-K31+SUM($L$14:L31))</f>
        <v>-365309.14045817126</v>
      </c>
      <c r="O31" s="3">
        <v>46141.625</v>
      </c>
      <c r="P31" s="4">
        <v>309.58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46141.625</v>
      </c>
      <c r="V31" s="3">
        <f t="shared" si="1"/>
        <v>46141.625</v>
      </c>
      <c r="W31" s="3">
        <v>46142.625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74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7">
        <f t="shared" ca="1" si="3"/>
        <v>46127.625</v>
      </c>
      <c r="B32" s="38">
        <f ca="1">IF(COUNTIF($W$2:W1017,A32)=1,VLOOKUP(A32,O:P,2), IF(COUNTIF($W$2:W1017,A32)=0,$B$9,""))</f>
        <v>310.42</v>
      </c>
      <c r="C32" s="2">
        <f t="shared" ca="1" si="4"/>
        <v>-319303.99999999761</v>
      </c>
      <c r="D32" s="41"/>
      <c r="E32" s="38">
        <f ca="1">IF(COUNTIF($W$2:W1017,A32)=1,VLOOKUP(A32,Q:R,2), IF(COUNTIF($W$2:W1017,A32)=0,$C$9,""))</f>
        <v>99.653999999999996</v>
      </c>
      <c r="F32" s="2">
        <f t="shared" ca="1" si="5"/>
        <v>-31200.000000001182</v>
      </c>
      <c r="G32" s="41">
        <f t="shared" ca="1" si="6"/>
        <v>305.55199999999604</v>
      </c>
      <c r="H32" s="38">
        <f ca="1">IF(COUNTIF($W$2:W1017,A32)=1,VLOOKUP(A32,S:T,2), IF(COUNTIF($W$2:W1017,A32)=0,$D$9,""))</f>
        <v>282.51900000000001</v>
      </c>
      <c r="I32" s="39">
        <f ca="1">IF(COUNTIF($X$2:X1017,INT(A32))=1,VLOOKUP(INT(A32),X:Y,2), IF(ISERROR(H32-2),"",I31*(1-$D$8*(H32-H31)*0.0001)))</f>
        <v>264.62900000000002</v>
      </c>
      <c r="J32" s="39">
        <f t="shared" ca="1" si="7"/>
        <v>264.62900000000002</v>
      </c>
      <c r="K32" s="41">
        <f t="shared" ca="1" si="8"/>
        <v>31782.496782496895</v>
      </c>
      <c r="L32" s="41"/>
      <c r="M32" s="42">
        <f ca="1">IF(ISERROR(B32-2),"",C32+D32-F32-G32-K32+SUM($L$14:L32))</f>
        <v>-320192.04878249334</v>
      </c>
      <c r="O32" s="3">
        <v>46142.625</v>
      </c>
      <c r="P32" s="4">
        <v>310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46142.625</v>
      </c>
      <c r="V32" s="3">
        <f t="shared" si="1"/>
        <v>46142.625</v>
      </c>
      <c r="W32" s="3">
        <v>46147.625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74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7">
        <f t="shared" ca="1" si="3"/>
        <v>46128.625</v>
      </c>
      <c r="B33" s="38">
        <f ca="1">IF(COUNTIF($W$2:W1018,A33)=1,VLOOKUP(A33,O:P,2), IF(COUNTIF($W$2:W1018,A33)=0,$B$9,""))</f>
        <v>310.64</v>
      </c>
      <c r="C33" s="2">
        <f t="shared" ca="1" si="4"/>
        <v>-298272.00000000041</v>
      </c>
      <c r="D33" s="41"/>
      <c r="E33" s="38">
        <f ca="1">IF(COUNTIF($W$2:W1018,A33)=1,VLOOKUP(A33,Q:R,2), IF(COUNTIF($W$2:W1018,A33)=0,$C$9,""))</f>
        <v>99.677000000000007</v>
      </c>
      <c r="F33" s="2">
        <f t="shared" ca="1" si="5"/>
        <v>-25219.999999998494</v>
      </c>
      <c r="G33" s="41">
        <f t="shared" ca="1" si="6"/>
        <v>309.46933333334164</v>
      </c>
      <c r="H33" s="38">
        <f ca="1">IF(COUNTIF($W$2:W1018,A33)=1,VLOOKUP(A33,S:T,2), IF(COUNTIF($W$2:W1018,A33)=0,$D$9,""))</f>
        <v>286.733</v>
      </c>
      <c r="I33" s="39">
        <f ca="1">IF(COUNTIF($X$2:X1018,INT(A33))=1,VLOOKUP(INT(A33),X:Y,2), IF(ISERROR(H33-2),"",I32*(1-$D$8*(H33-H32)*0.0001)))</f>
        <v>264.24419999999998</v>
      </c>
      <c r="J33" s="39">
        <f t="shared" ca="1" si="7"/>
        <v>264.24419999999998</v>
      </c>
      <c r="K33" s="41">
        <f t="shared" ca="1" si="8"/>
        <v>4544.4015444009219</v>
      </c>
      <c r="L33" s="41"/>
      <c r="M33" s="42">
        <f ca="1">IF(ISERROR(B33-2),"",C33+D33-F33-G33-K33+SUM($L$14:L33))</f>
        <v>-277905.87087773619</v>
      </c>
      <c r="O33" s="3">
        <v>46146.625</v>
      </c>
      <c r="P33" s="4">
        <v>310.38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 t="str">
        <f t="shared" si="0"/>
        <v/>
      </c>
      <c r="V33" s="3" t="str">
        <f t="shared" si="1"/>
        <v/>
      </c>
      <c r="W33" s="3">
        <v>46148.625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74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7">
        <f t="shared" ca="1" si="3"/>
        <v>46129.625</v>
      </c>
      <c r="B34" s="38">
        <f ca="1">IF(COUNTIF($W$2:W1019,A34)=1,VLOOKUP(A34,O:P,2), IF(COUNTIF($W$2:W1019,A34)=0,$B$9,""))</f>
        <v>312.38</v>
      </c>
      <c r="C34" s="2">
        <f t="shared" ca="1" si="4"/>
        <v>-131927.99999999956</v>
      </c>
      <c r="D34" s="41"/>
      <c r="E34" s="38">
        <f ca="1">IF(COUNTIF($W$2:W1019,A34)=1,VLOOKUP(A34,Q:R,2), IF(COUNTIF($W$2:W1019,A34)=0,$C$9,""))</f>
        <v>99.953999999999994</v>
      </c>
      <c r="F34" s="2">
        <f t="shared" ca="1" si="5"/>
        <v>46799.999999998079</v>
      </c>
      <c r="G34" s="41">
        <f t="shared" ca="1" si="6"/>
        <v>313.38666666665813</v>
      </c>
      <c r="H34" s="38">
        <f ca="1">IF(COUNTIF($W$2:W1019,A34)=1,VLOOKUP(A34,S:T,2), IF(COUNTIF($W$2:W1019,A34)=0,$D$9,""))</f>
        <v>275.16800000000001</v>
      </c>
      <c r="I34" s="39">
        <f ca="1">IF(COUNTIF($X$2:X1019,INT(A34))=1,VLOOKUP(INT(A34),X:Y,2), IF(ISERROR(H34-2),"",I33*(1-$D$8*(H34-H33)*0.0001)))</f>
        <v>265.60180000000003</v>
      </c>
      <c r="J34" s="39">
        <f t="shared" ca="1" si="7"/>
        <v>265.60180000000003</v>
      </c>
      <c r="K34" s="41">
        <f t="shared" ca="1" si="8"/>
        <v>100642.21364221333</v>
      </c>
      <c r="L34" s="41"/>
      <c r="M34" s="42">
        <f ca="1">IF(ISERROR(B34-2),"",C34+D34-F34-G34-K34+SUM($L$14:L34))</f>
        <v>-279683.60030887765</v>
      </c>
      <c r="O34" s="3">
        <v>46147.625</v>
      </c>
      <c r="P34" s="4">
        <v>310.38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46147.625</v>
      </c>
      <c r="V34" s="3">
        <f t="shared" si="1"/>
        <v>46147.625</v>
      </c>
      <c r="W34" s="3">
        <v>46149.625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74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7">
        <f t="shared" ca="1" si="3"/>
        <v>46132.625</v>
      </c>
      <c r="B35" s="38">
        <f ca="1">IF(COUNTIF($W$2:W1020,A35)=1,VLOOKUP(A35,O:P,2), IF(COUNTIF($W$2:W1020,A35)=0,$B$9,""))</f>
        <v>311.66000000000003</v>
      </c>
      <c r="C35" s="2">
        <f t="shared" ca="1" si="4"/>
        <v>-200759.99999999674</v>
      </c>
      <c r="D35" s="41"/>
      <c r="E35" s="38">
        <f ca="1">IF(COUNTIF($W$2:W1020,A35)=1,VLOOKUP(A35,Q:R,2), IF(COUNTIF($W$2:W1020,A35)=0,$C$9,""))</f>
        <v>99.831000000000003</v>
      </c>
      <c r="F35" s="2">
        <f t="shared" ca="1" si="5"/>
        <v>14820.00000000056</v>
      </c>
      <c r="G35" s="41">
        <f t="shared" ca="1" si="6"/>
        <v>325.13866666666581</v>
      </c>
      <c r="H35" s="38">
        <f ca="1">IF(COUNTIF($W$2:W1020,A35)=1,VLOOKUP(A35,S:T,2), IF(COUNTIF($W$2:W1020,A35)=0,$D$9,""))</f>
        <v>280.36399999999998</v>
      </c>
      <c r="I35" s="39">
        <f ca="1">IF(COUNTIF($X$2:X1020,INT(A35))=1,VLOOKUP(INT(A35),X:Y,2), IF(ISERROR(H35-2),"",I34*(1-$D$8*(H35-H34)*0.0001)))</f>
        <v>265.2414</v>
      </c>
      <c r="J35" s="39">
        <f t="shared" ca="1" si="7"/>
        <v>265.2414</v>
      </c>
      <c r="K35" s="41">
        <f t="shared" ca="1" si="8"/>
        <v>75131.274131274666</v>
      </c>
      <c r="L35" s="41"/>
      <c r="M35" s="42">
        <f ca="1">IF(ISERROR(B35-2),"",C35+D35-F35-G35-K35+SUM($L$14:L35))</f>
        <v>-291036.41279793862</v>
      </c>
      <c r="O35" s="3">
        <v>46148.625</v>
      </c>
      <c r="P35" s="4">
        <v>311.94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46148.625</v>
      </c>
      <c r="V35" s="3">
        <f t="shared" si="1"/>
        <v>46148.625</v>
      </c>
      <c r="W35" s="3">
        <v>46150.625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74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7">
        <f t="shared" ca="1" si="3"/>
        <v>46133.625</v>
      </c>
      <c r="B36" s="38">
        <f ca="1">IF(COUNTIF($W$2:W1021,A36)=1,VLOOKUP(A36,O:P,2), IF(COUNTIF($W$2:W1021,A36)=0,$B$9,""))</f>
        <v>311.39999999999998</v>
      </c>
      <c r="C36" s="2">
        <f t="shared" ca="1" si="4"/>
        <v>-225616.00000000131</v>
      </c>
      <c r="D36" s="41"/>
      <c r="E36" s="38">
        <f ca="1">IF(COUNTIF($W$2:W1021,A36)=1,VLOOKUP(A36,Q:R,2), IF(COUNTIF($W$2:W1021,A36)=0,$C$9,""))</f>
        <v>99.707999999999998</v>
      </c>
      <c r="F36" s="2">
        <f t="shared" ca="1" si="5"/>
        <v>-17160.000000000651</v>
      </c>
      <c r="G36" s="41">
        <f t="shared" ca="1" si="6"/>
        <v>329.0559999999823</v>
      </c>
      <c r="H36" s="38">
        <f ca="1">IF(COUNTIF($W$2:W1021,A36)=1,VLOOKUP(A36,S:T,2), IF(COUNTIF($W$2:W1021,A36)=0,$D$9,""))</f>
        <v>285.44799999999998</v>
      </c>
      <c r="I36" s="39">
        <f ca="1">IF(COUNTIF($X$2:X1021,INT(A36))=1,VLOOKUP(INT(A36),X:Y,2), IF(ISERROR(H36-2),"",I35*(1-$D$8*(H36-H35)*0.0001)))</f>
        <v>264.60359999999997</v>
      </c>
      <c r="J36" s="39">
        <f t="shared" ca="1" si="7"/>
        <v>264.60359999999997</v>
      </c>
      <c r="K36" s="41">
        <f t="shared" ca="1" si="8"/>
        <v>29984.555984555296</v>
      </c>
      <c r="L36" s="41"/>
      <c r="M36" s="42">
        <f ca="1">IF(ISERROR(B36-2),"",C36+D36-F36-G36-K36+SUM($L$14:L36))</f>
        <v>-238769.61198455596</v>
      </c>
      <c r="O36" s="3">
        <v>46149.625</v>
      </c>
      <c r="P36" s="4">
        <v>312.06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46149.625</v>
      </c>
      <c r="V36" s="3">
        <f t="shared" si="1"/>
        <v>46149.625</v>
      </c>
      <c r="W36" s="3">
        <v>46154.625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74">
        <v>45827</v>
      </c>
      <c r="AC36" s="4">
        <v>313.43900000000002</v>
      </c>
      <c r="AD36" s="6">
        <f t="shared" si="2"/>
        <v>45827</v>
      </c>
    </row>
    <row r="37" spans="1:30" x14ac:dyDescent="0.25">
      <c r="A37" s="37">
        <f t="shared" ca="1" si="3"/>
        <v>46134.625</v>
      </c>
      <c r="B37" s="38">
        <f ca="1">IF(COUNTIF($W$2:W1022,A37)=1,VLOOKUP(A37,O:P,2), IF(COUNTIF($W$2:W1022,A37)=0,$B$9,""))</f>
        <v>310.62</v>
      </c>
      <c r="C37" s="2">
        <f t="shared" ca="1" si="4"/>
        <v>-300183.99999999872</v>
      </c>
      <c r="D37" s="41"/>
      <c r="E37" s="38">
        <f ca="1">IF(COUNTIF($W$2:W1022,A37)=1,VLOOKUP(A37,Q:R,2), IF(COUNTIF($W$2:W1022,A37)=0,$C$9,""))</f>
        <v>99.655000000000001</v>
      </c>
      <c r="F37" s="2">
        <f t="shared" ca="1" si="5"/>
        <v>-30939.999999999942</v>
      </c>
      <c r="G37" s="41">
        <f t="shared" ca="1" si="6"/>
        <v>332.9733333333279</v>
      </c>
      <c r="H37" s="38">
        <f ca="1">IF(COUNTIF($W$2:W1022,A37)=1,VLOOKUP(A37,S:T,2), IF(COUNTIF($W$2:W1022,A37)=0,$D$9,""))</f>
        <v>285.53500000000003</v>
      </c>
      <c r="I37" s="39">
        <f ca="1">IF(COUNTIF($X$2:X1022,INT(A37))=1,VLOOKUP(INT(A37),X:Y,2), IF(ISERROR(H37-2),"",I36*(1-$D$8*(H37-H36)*0.0001)))</f>
        <v>264.55340000000001</v>
      </c>
      <c r="J37" s="39">
        <f t="shared" ca="1" si="7"/>
        <v>264.55340000000001</v>
      </c>
      <c r="K37" s="41">
        <f t="shared" ca="1" si="8"/>
        <v>26431.145431146819</v>
      </c>
      <c r="L37" s="41"/>
      <c r="M37" s="42">
        <f ca="1">IF(ISERROR(B37-2),"",C37+D37-F37-G37-K37+SUM($L$14:L37))</f>
        <v>-296008.11876447895</v>
      </c>
      <c r="O37" s="3">
        <v>46150.625</v>
      </c>
      <c r="P37" s="4">
        <v>312.38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46150.625</v>
      </c>
      <c r="V37" s="3">
        <f t="shared" si="1"/>
        <v>46150.625</v>
      </c>
      <c r="W37" s="3">
        <v>46155.625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74">
        <v>45828</v>
      </c>
      <c r="AC37" s="4">
        <v>304.02</v>
      </c>
      <c r="AD37" s="6">
        <f t="shared" si="2"/>
        <v>45828</v>
      </c>
    </row>
    <row r="38" spans="1:30" x14ac:dyDescent="0.25">
      <c r="A38" s="37">
        <f t="shared" ca="1" si="3"/>
        <v>46136.625</v>
      </c>
      <c r="B38" s="38">
        <f ca="1">IF(COUNTIF($W$2:W1023,A38)=1,VLOOKUP(A38,O:P,2), IF(COUNTIF($W$2:W1023,A38)=0,$B$9,""))</f>
        <v>310.48</v>
      </c>
      <c r="C38" s="2">
        <f t="shared" ca="1" si="4"/>
        <v>-313567.99999999738</v>
      </c>
      <c r="D38" s="41"/>
      <c r="E38" s="38">
        <f ca="1">IF(COUNTIF($W$2:W1023,A38)=1,VLOOKUP(A38,Q:R,2), IF(COUNTIF($W$2:W1023,A38)=0,$C$9,""))</f>
        <v>99.637</v>
      </c>
      <c r="F38" s="2">
        <f t="shared" ca="1" si="5"/>
        <v>-35620.000000000116</v>
      </c>
      <c r="G38" s="41">
        <f t="shared" ca="1" si="6"/>
        <v>340.80800000001909</v>
      </c>
      <c r="H38" s="38">
        <f ca="1">IF(COUNTIF($W$2:W1023,A38)=1,VLOOKUP(A38,S:T,2), IF(COUNTIF($W$2:W1023,A38)=0,$D$9,""))</f>
        <v>288.863</v>
      </c>
      <c r="I38" s="39">
        <f ca="1">IF(COUNTIF($X$2:X1023,INT(A38))=1,VLOOKUP(INT(A38),X:Y,2), IF(ISERROR(H38-2),"",I37*(1-$D$8*(H38-H37)*0.0001)))</f>
        <v>264.2679</v>
      </c>
      <c r="J38" s="39">
        <f t="shared" ca="1" si="7"/>
        <v>264.2679</v>
      </c>
      <c r="K38" s="41">
        <f t="shared" ca="1" si="8"/>
        <v>6222.0077220071616</v>
      </c>
      <c r="L38" s="41"/>
      <c r="M38" s="42">
        <f ca="1">IF(ISERROR(B38-2),"",C38+D38-F38-G38-K38+SUM($L$14:L38))</f>
        <v>-284510.81572200445</v>
      </c>
      <c r="O38" s="3">
        <v>46154.625</v>
      </c>
      <c r="P38" s="4">
        <v>311.7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46154.625</v>
      </c>
      <c r="V38" s="3">
        <f t="shared" si="1"/>
        <v>46154.625</v>
      </c>
      <c r="W38" s="3">
        <v>46157.625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74">
        <v>45831</v>
      </c>
      <c r="AC38" s="4">
        <v>307.142</v>
      </c>
      <c r="AD38" s="6">
        <f t="shared" si="2"/>
        <v>45831</v>
      </c>
    </row>
    <row r="39" spans="1:30" x14ac:dyDescent="0.25">
      <c r="A39" s="37">
        <f t="shared" ca="1" si="3"/>
        <v>46139.625</v>
      </c>
      <c r="B39" s="38">
        <f ca="1">IF(COUNTIF($W$2:W1024,A39)=1,VLOOKUP(A39,O:P,2), IF(COUNTIF($W$2:W1024,A39)=0,$B$9,""))</f>
        <v>310.7</v>
      </c>
      <c r="C39" s="2">
        <f t="shared" ca="1" si="4"/>
        <v>-292536.00000000023</v>
      </c>
      <c r="D39" s="41"/>
      <c r="E39" s="38">
        <f ca="1">IF(COUNTIF($W$2:W1024,A39)=1,VLOOKUP(A39,Q:R,2), IF(COUNTIF($W$2:W1024,A39)=0,$C$9,""))</f>
        <v>99.608000000000004</v>
      </c>
      <c r="F39" s="2">
        <f t="shared" ca="1" si="5"/>
        <v>-43159.999999999171</v>
      </c>
      <c r="G39" s="41">
        <f t="shared" ca="1" si="6"/>
        <v>352.55999999999767</v>
      </c>
      <c r="H39" s="38">
        <f ca="1">IF(COUNTIF($W$2:W1024,A39)=1,VLOOKUP(A39,S:T,2), IF(COUNTIF($W$2:W1024,A39)=0,$D$9,""))</f>
        <v>289.209</v>
      </c>
      <c r="I39" s="39">
        <f ca="1">IF(COUNTIF($X$2:X1024,INT(A39))=1,VLOOKUP(INT(A39),X:Y,2), IF(ISERROR(H39-2),"",I38*(1-$D$8*(H39-H38)*0.0001)))</f>
        <v>264.16750000000002</v>
      </c>
      <c r="J39" s="39">
        <f t="shared" ca="1" si="7"/>
        <v>264.16750000000002</v>
      </c>
      <c r="K39" s="41">
        <f t="shared" ca="1" si="8"/>
        <v>-884.81338481186663</v>
      </c>
      <c r="L39" s="41"/>
      <c r="M39" s="42">
        <f ca="1">IF(ISERROR(B39-2),"",C39+D39-F39-G39-K39+SUM($L$14:L39))</f>
        <v>-248843.74661518919</v>
      </c>
      <c r="O39" s="3">
        <v>46155.625</v>
      </c>
      <c r="P39" s="4">
        <v>311.88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46155.625</v>
      </c>
      <c r="V39" s="3">
        <f t="shared" si="1"/>
        <v>46155.625</v>
      </c>
      <c r="W39" s="3">
        <v>46161.625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74">
        <v>45832</v>
      </c>
      <c r="AC39" s="4">
        <v>291.75099999999998</v>
      </c>
      <c r="AD39" s="6">
        <f t="shared" si="2"/>
        <v>45832</v>
      </c>
    </row>
    <row r="40" spans="1:30" x14ac:dyDescent="0.25">
      <c r="A40" s="37">
        <f t="shared" ca="1" si="3"/>
        <v>46140.625</v>
      </c>
      <c r="B40" s="38">
        <f ca="1">IF(COUNTIF($W$2:W1025,A40)=1,VLOOKUP(A40,O:P,2), IF(COUNTIF($W$2:W1025,A40)=0,$B$9,""))</f>
        <v>309.88</v>
      </c>
      <c r="C40" s="2">
        <f t="shared" ca="1" si="4"/>
        <v>-370927.99999999959</v>
      </c>
      <c r="D40" s="41"/>
      <c r="E40" s="38">
        <f ca="1">IF(COUNTIF($W$2:W1025,A40)=1,VLOOKUP(A40,Q:R,2), IF(COUNTIF($W$2:W1025,A40)=0,$C$9,""))</f>
        <v>99.456000000000003</v>
      </c>
      <c r="F40" s="2">
        <f t="shared" ca="1" si="5"/>
        <v>-82679.999999999432</v>
      </c>
      <c r="G40" s="41">
        <f t="shared" ca="1" si="6"/>
        <v>356.47733333334327</v>
      </c>
      <c r="H40" s="38">
        <f ca="1">IF(COUNTIF($W$2:W1025,A40)=1,VLOOKUP(A40,S:T,2), IF(COUNTIF($W$2:W1025,A40)=0,$D$9,""))</f>
        <v>291.65699999999998</v>
      </c>
      <c r="I40" s="39">
        <f ca="1">IF(COUNTIF($X$2:X1025,INT(A40))=1,VLOOKUP(INT(A40),X:Y,2), IF(ISERROR(H40-2),"",I39*(1-$D$8*(H40-H39)*0.0001)))</f>
        <v>263.87139999999999</v>
      </c>
      <c r="J40" s="39">
        <f t="shared" ca="1" si="7"/>
        <v>263.87139999999999</v>
      </c>
      <c r="K40" s="41">
        <f t="shared" ca="1" si="8"/>
        <v>-21844.272844273248</v>
      </c>
      <c r="L40" s="41"/>
      <c r="M40" s="42">
        <f ca="1">IF(ISERROR(B40-2),"",C40+D40-F40-G40-K40+SUM($L$14:L40))</f>
        <v>-266760.20448906027</v>
      </c>
      <c r="O40" s="3">
        <v>46157.625</v>
      </c>
      <c r="P40" s="4">
        <v>311.48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46157.625</v>
      </c>
      <c r="V40" s="3">
        <f t="shared" si="1"/>
        <v>46157.625</v>
      </c>
      <c r="W40" s="3">
        <v>46162.625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74">
        <v>45833</v>
      </c>
      <c r="AC40" s="4">
        <v>292.76</v>
      </c>
      <c r="AD40" s="6">
        <f t="shared" si="2"/>
        <v>45833</v>
      </c>
    </row>
    <row r="41" spans="1:30" x14ac:dyDescent="0.25">
      <c r="A41" s="37">
        <f t="shared" ca="1" si="3"/>
        <v>46141.625</v>
      </c>
      <c r="B41" s="38">
        <f ca="1">IF(COUNTIF($W$2:W1026,A41)=1,VLOOKUP(A41,O:P,2), IF(COUNTIF($W$2:W1026,A41)=0,$B$9,""))</f>
        <v>309.58</v>
      </c>
      <c r="C41" s="2">
        <f t="shared" ca="1" si="4"/>
        <v>-399608.00000000064</v>
      </c>
      <c r="D41" s="41"/>
      <c r="E41" s="38">
        <f ca="1">IF(COUNTIF($W$2:W1026,A41)=1,VLOOKUP(A41,Q:R,2), IF(COUNTIF($W$2:W1026,A41)=0,$C$9,""))</f>
        <v>99.296000000000006</v>
      </c>
      <c r="F41" s="2">
        <f t="shared" ca="1" si="5"/>
        <v>-124279.99999999854</v>
      </c>
      <c r="G41" s="41">
        <f t="shared" ca="1" si="6"/>
        <v>360.39466666665976</v>
      </c>
      <c r="H41" s="38">
        <f ca="1">IF(COUNTIF($W$2:W1026,A41)=1,VLOOKUP(A41,S:T,2), IF(COUNTIF($W$2:W1026,A41)=0,$D$9,""))</f>
        <v>294.57900000000001</v>
      </c>
      <c r="I41" s="39">
        <f ca="1">IF(COUNTIF($X$2:X1026,INT(A41))=1,VLOOKUP(INT(A41),X:Y,2), IF(ISERROR(H41-2),"",I40*(1-$D$8*(H41-H40)*0.0001)))</f>
        <v>263.29599999999999</v>
      </c>
      <c r="J41" s="39">
        <f t="shared" ca="1" si="7"/>
        <v>263.29599999999999</v>
      </c>
      <c r="K41" s="41">
        <f t="shared" ca="1" si="8"/>
        <v>-62574.002574003418</v>
      </c>
      <c r="L41" s="41"/>
      <c r="M41" s="42">
        <f ca="1">IF(ISERROR(B41-2),"",C41+D41-F41-G41-K41+SUM($L$14:L41))</f>
        <v>-213114.39209266531</v>
      </c>
      <c r="O41" s="3">
        <v>46161.625</v>
      </c>
      <c r="P41" s="4">
        <v>311.22000000000003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46161.625</v>
      </c>
      <c r="V41" s="3">
        <f t="shared" si="1"/>
        <v>46161.625</v>
      </c>
      <c r="W41" s="3">
        <v>46163.625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74">
        <v>45834</v>
      </c>
      <c r="AC41" s="4">
        <v>290.53100000000001</v>
      </c>
      <c r="AD41" s="6">
        <f t="shared" si="2"/>
        <v>45834</v>
      </c>
    </row>
    <row r="42" spans="1:30" x14ac:dyDescent="0.25">
      <c r="A42" s="37">
        <f t="shared" ca="1" si="3"/>
        <v>46142.625</v>
      </c>
      <c r="B42" s="38">
        <f ca="1">IF(COUNTIF($W$2:W1027,A42)=1,VLOOKUP(A42,O:P,2), IF(COUNTIF($W$2:W1027,A42)=0,$B$9,""))</f>
        <v>310</v>
      </c>
      <c r="C42" s="2">
        <f t="shared" ca="1" si="4"/>
        <v>-359455.99999999913</v>
      </c>
      <c r="D42" s="41"/>
      <c r="E42" s="38">
        <f ca="1">IF(COUNTIF($W$2:W1027,A42)=1,VLOOKUP(A42,Q:R,2), IF(COUNTIF($W$2:W1027,A42)=0,$C$9,""))</f>
        <v>99.435000000000002</v>
      </c>
      <c r="F42" s="2">
        <f t="shared" ca="1" si="5"/>
        <v>-88139.999999999651</v>
      </c>
      <c r="G42" s="41">
        <f t="shared" ca="1" si="6"/>
        <v>364.31200000000536</v>
      </c>
      <c r="H42" s="38">
        <f ca="1">IF(COUNTIF($W$2:W1027,A42)=1,VLOOKUP(A42,S:T,2), IF(COUNTIF($W$2:W1027,A42)=0,$D$9,""))</f>
        <v>292.42099999999999</v>
      </c>
      <c r="I42" s="39">
        <f ca="1">IF(COUNTIF($X$2:X1027,INT(A42))=1,VLOOKUP(INT(A42),X:Y,2), IF(ISERROR(H42-2),"",I41*(1-$D$8*(H42-H41)*0.0001)))</f>
        <v>263.72019999999998</v>
      </c>
      <c r="J42" s="39">
        <f t="shared" ca="1" si="7"/>
        <v>263.72019999999998</v>
      </c>
      <c r="K42" s="41">
        <f t="shared" ca="1" si="8"/>
        <v>-32546.975546977552</v>
      </c>
      <c r="L42" s="41"/>
      <c r="M42" s="42">
        <f ca="1">IF(ISERROR(B42-2),"",C42+D42-F42-G42-K42+SUM($L$14:L42))</f>
        <v>-239133.33645302191</v>
      </c>
      <c r="O42" s="3">
        <v>46162.625</v>
      </c>
      <c r="P42" s="4">
        <v>311.52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46162.625</v>
      </c>
      <c r="V42" s="3">
        <f t="shared" si="1"/>
        <v>46162.625</v>
      </c>
      <c r="W42" s="3">
        <v>46168.625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74">
        <v>45835</v>
      </c>
      <c r="AC42" s="4">
        <v>284.21499999999997</v>
      </c>
      <c r="AD42" s="6">
        <f t="shared" si="2"/>
        <v>45835</v>
      </c>
    </row>
    <row r="43" spans="1:30" x14ac:dyDescent="0.25">
      <c r="A43" s="37">
        <f t="shared" ca="1" si="3"/>
        <v>46147.625</v>
      </c>
      <c r="B43" s="38">
        <f ca="1">IF(COUNTIF($W$2:W1028,A43)=1,VLOOKUP(A43,O:P,2), IF(COUNTIF($W$2:W1028,A43)=0,$B$9,""))</f>
        <v>310.38</v>
      </c>
      <c r="C43" s="2">
        <f t="shared" ca="1" si="4"/>
        <v>-323127.99999999959</v>
      </c>
      <c r="D43" s="41"/>
      <c r="E43" s="38">
        <f ca="1">IF(COUNTIF($W$2:W1028,A43)=1,VLOOKUP(A43,Q:R,2), IF(COUNTIF($W$2:W1028,A43)=0,$C$9,""))</f>
        <v>99.343000000000004</v>
      </c>
      <c r="F43" s="2">
        <f t="shared" ca="1" si="5"/>
        <v>-112059.99999999932</v>
      </c>
      <c r="G43" s="41">
        <f t="shared" ca="1" si="6"/>
        <v>383.89866666664602</v>
      </c>
      <c r="H43" s="38">
        <f ca="1">IF(COUNTIF($W$2:W1028,A43)=1,VLOOKUP(A43,S:T,2), IF(COUNTIF($W$2:W1028,A43)=0,$D$9,""))</f>
        <v>287.88900000000001</v>
      </c>
      <c r="I43" s="39">
        <f ca="1">IF(COUNTIF($X$2:X1028,INT(A43))=1,VLOOKUP(INT(A43),X:Y,2), IF(ISERROR(H43-2),"",I42*(1-$D$8*(H43-H42)*0.0001)))</f>
        <v>264.5573</v>
      </c>
      <c r="J43" s="39">
        <f t="shared" ca="1" si="7"/>
        <v>264.5573</v>
      </c>
      <c r="K43" s="41">
        <f t="shared" ca="1" si="8"/>
        <v>26707.207207207604</v>
      </c>
      <c r="L43" s="41"/>
      <c r="M43" s="42">
        <f ca="1">IF(ISERROR(B43-2),"",C43+D43-F43-G43-K43+SUM($L$14:L43))</f>
        <v>-238159.10587387453</v>
      </c>
      <c r="O43" s="3">
        <v>46163.625</v>
      </c>
      <c r="P43" s="4">
        <v>311.18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46163.625</v>
      </c>
      <c r="V43" s="3">
        <f t="shared" si="1"/>
        <v>46163.625</v>
      </c>
      <c r="W43" s="3">
        <v>46169.625</v>
      </c>
      <c r="X43" s="3">
        <v>46099</v>
      </c>
      <c r="Y43" s="5">
        <v>258.3931</v>
      </c>
      <c r="Z43" s="3">
        <v>45838</v>
      </c>
      <c r="AA43" s="4">
        <v>239.3235</v>
      </c>
      <c r="AB43" s="74">
        <v>45838</v>
      </c>
      <c r="AC43" s="4">
        <v>282.54000000000002</v>
      </c>
      <c r="AD43" s="6">
        <f t="shared" si="2"/>
        <v>45838</v>
      </c>
    </row>
    <row r="44" spans="1:30" x14ac:dyDescent="0.25">
      <c r="A44" s="37">
        <f t="shared" ca="1" si="3"/>
        <v>46148.625</v>
      </c>
      <c r="B44" s="38">
        <f ca="1">IF(COUNTIF($W$2:W1029,A44)=1,VLOOKUP(A44,O:P,2), IF(COUNTIF($W$2:W1029,A44)=0,$B$9,""))</f>
        <v>311.94</v>
      </c>
      <c r="C44" s="2">
        <f t="shared" ca="1" si="4"/>
        <v>-173991.99999999936</v>
      </c>
      <c r="D44" s="41"/>
      <c r="E44" s="38">
        <f ca="1">IF(COUNTIF($W$2:W1029,A44)=1,VLOOKUP(A44,Q:R,2), IF(COUNTIF($W$2:W1029,A44)=0,$C$9,""))</f>
        <v>99.63</v>
      </c>
      <c r="F44" s="2">
        <f t="shared" ca="1" si="5"/>
        <v>-37440.000000001419</v>
      </c>
      <c r="G44" s="41">
        <f t="shared" ca="1" si="6"/>
        <v>387.81600000002072</v>
      </c>
      <c r="H44" s="38">
        <f ca="1">IF(COUNTIF($W$2:W1029,A44)=1,VLOOKUP(A44,S:T,2), IF(COUNTIF($W$2:W1029,A44)=0,$D$9,""))</f>
        <v>275.09699999999998</v>
      </c>
      <c r="I44" s="39">
        <f ca="1">IF(COUNTIF($X$2:X1029,INT(A44))=1,VLOOKUP(INT(A44),X:Y,2), IF(ISERROR(H44-2),"",I43*(1-$D$8*(H44-H43)*0.0001)))</f>
        <v>266.11750000000001</v>
      </c>
      <c r="J44" s="39">
        <f t="shared" ca="1" si="7"/>
        <v>266.11750000000001</v>
      </c>
      <c r="K44" s="41">
        <f t="shared" ca="1" si="8"/>
        <v>137146.07464607395</v>
      </c>
      <c r="L44" s="41"/>
      <c r="M44" s="42">
        <f ca="1">IF(ISERROR(B44-2),"",C44+D44-F44-G44-K44+SUM($L$14:L44))</f>
        <v>-274085.89064607187</v>
      </c>
      <c r="O44" s="3">
        <v>46167.625</v>
      </c>
      <c r="P44" s="4">
        <v>313.02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 t="str">
        <f t="shared" si="0"/>
        <v/>
      </c>
      <c r="V44" s="3" t="str">
        <f t="shared" si="1"/>
        <v/>
      </c>
      <c r="W44" s="3">
        <v>46170.625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74">
        <v>45839</v>
      </c>
      <c r="AC44" s="4">
        <v>282.95999999999998</v>
      </c>
      <c r="AD44" s="6">
        <f t="shared" si="2"/>
        <v>45839</v>
      </c>
    </row>
    <row r="45" spans="1:30" x14ac:dyDescent="0.25">
      <c r="A45" s="37">
        <f t="shared" ca="1" si="3"/>
        <v>46149.625</v>
      </c>
      <c r="B45" s="38">
        <f ca="1">IF(COUNTIF($W$2:W1030,A45)=1,VLOOKUP(A45,O:P,2), IF(COUNTIF($W$2:W1030,A45)=0,$B$9,""))</f>
        <v>312.06</v>
      </c>
      <c r="C45" s="2">
        <f t="shared" ca="1" si="4"/>
        <v>-162519.99999999892</v>
      </c>
      <c r="D45" s="41"/>
      <c r="E45" s="38">
        <f ca="1">IF(COUNTIF($W$2:W1030,A45)=1,VLOOKUP(A45,Q:R,2), IF(COUNTIF($W$2:W1030,A45)=0,$C$9,""))</f>
        <v>99.650999999999996</v>
      </c>
      <c r="F45" s="2">
        <f t="shared" ca="1" si="5"/>
        <v>-31980.000000001211</v>
      </c>
      <c r="G45" s="41">
        <f t="shared" ca="1" si="6"/>
        <v>391.73333333333721</v>
      </c>
      <c r="H45" s="38">
        <f ca="1">IF(COUNTIF($W$2:W1030,A45)=1,VLOOKUP(A45,S:T,2), IF(COUNTIF($W$2:W1030,A45)=0,$D$9,""))</f>
        <v>275.04599999999999</v>
      </c>
      <c r="I45" s="39">
        <f ca="1">IF(COUNTIF($X$2:X1030,INT(A45))=1,VLOOKUP(INT(A45),X:Y,2), IF(ISERROR(H45-2),"",I44*(1-$D$8*(H45-H44)*0.0001)))</f>
        <v>265.79050000000001</v>
      </c>
      <c r="J45" s="39">
        <f t="shared" ca="1" si="7"/>
        <v>265.79050000000001</v>
      </c>
      <c r="K45" s="41">
        <f t="shared" ca="1" si="8"/>
        <v>113999.35649935532</v>
      </c>
      <c r="L45" s="41"/>
      <c r="M45" s="42">
        <f ca="1">IF(ISERROR(B45-2),"",C45+D45-F45-G45-K45+SUM($L$14:L45))</f>
        <v>-244931.08983268635</v>
      </c>
      <c r="O45" s="3">
        <v>46168.625</v>
      </c>
      <c r="P45" s="4">
        <v>312.5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46168.625</v>
      </c>
      <c r="V45" s="3">
        <f t="shared" si="1"/>
        <v>46168.625</v>
      </c>
      <c r="W45" s="3">
        <v>46171.625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74">
        <v>45840</v>
      </c>
      <c r="AC45" s="4">
        <v>283.459</v>
      </c>
      <c r="AD45" s="6">
        <f t="shared" si="2"/>
        <v>45840</v>
      </c>
    </row>
    <row r="46" spans="1:30" x14ac:dyDescent="0.25">
      <c r="A46" s="37">
        <f t="shared" ca="1" si="3"/>
        <v>46150.625</v>
      </c>
      <c r="B46" s="38">
        <f ca="1">IF(COUNTIF($W$2:W1031,A46)=1,VLOOKUP(A46,O:P,2), IF(COUNTIF($W$2:W1031,A46)=0,$B$9,""))</f>
        <v>312.38</v>
      </c>
      <c r="C46" s="2">
        <f t="shared" ca="1" si="4"/>
        <v>-131927.99999999956</v>
      </c>
      <c r="D46" s="41"/>
      <c r="E46" s="38">
        <f ca="1">IF(COUNTIF($W$2:W1031,A46)=1,VLOOKUP(A46,Q:R,2), IF(COUNTIF($W$2:W1031,A46)=0,$C$9,""))</f>
        <v>99.58</v>
      </c>
      <c r="F46" s="2">
        <f t="shared" ca="1" si="5"/>
        <v>-50440.000000000677</v>
      </c>
      <c r="G46" s="41">
        <f t="shared" ca="1" si="6"/>
        <v>395.65066666668281</v>
      </c>
      <c r="H46" s="38">
        <f ca="1">IF(COUNTIF($W$2:W1031,A46)=1,VLOOKUP(A46,S:T,2), IF(COUNTIF($W$2:W1031,A46)=0,$D$9,""))</f>
        <v>277.74599999999998</v>
      </c>
      <c r="I46" s="39">
        <f ca="1">IF(COUNTIF($X$2:X1031,INT(A46))=1,VLOOKUP(INT(A46),X:Y,2), IF(ISERROR(H46-2),"",I45*(1-$D$8*(H46-H45)*0.0001)))</f>
        <v>265.83870000000002</v>
      </c>
      <c r="J46" s="39">
        <f t="shared" ca="1" si="7"/>
        <v>265.83870000000002</v>
      </c>
      <c r="K46" s="41">
        <f t="shared" ca="1" si="8"/>
        <v>117411.19691119937</v>
      </c>
      <c r="L46" s="41"/>
      <c r="M46" s="42">
        <f ca="1">IF(ISERROR(B46-2),"",C46+D46-F46-G46-K46+SUM($L$14:L46))</f>
        <v>-199294.84757786494</v>
      </c>
      <c r="O46" s="3">
        <v>46169.625</v>
      </c>
      <c r="P46" s="4">
        <v>312.83999999999997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46169.625</v>
      </c>
      <c r="V46" s="3">
        <f t="shared" si="1"/>
        <v>46169.625</v>
      </c>
      <c r="W46" s="3">
        <v>46174.625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74">
        <v>45841</v>
      </c>
      <c r="AC46" s="4">
        <v>278.322</v>
      </c>
      <c r="AD46" s="6">
        <f t="shared" si="2"/>
        <v>45841</v>
      </c>
    </row>
    <row r="47" spans="1:30" x14ac:dyDescent="0.25">
      <c r="A47" s="37">
        <f t="shared" ca="1" si="3"/>
        <v>46154.625</v>
      </c>
      <c r="B47" s="38">
        <f ca="1">IF(COUNTIF($W$2:W1032,A47)=1,VLOOKUP(A47,O:P,2), IF(COUNTIF($W$2:W1032,A47)=0,$B$9,""))</f>
        <v>311.7</v>
      </c>
      <c r="C47" s="2">
        <f t="shared" ca="1" si="4"/>
        <v>-196936.0000000002</v>
      </c>
      <c r="D47" s="41"/>
      <c r="E47" s="38">
        <f ca="1">IF(COUNTIF($W$2:W1032,A47)=1,VLOOKUP(A47,Q:R,2), IF(COUNTIF($W$2:W1032,A47)=0,$C$9,""))</f>
        <v>99.322999999999993</v>
      </c>
      <c r="F47" s="2">
        <f t="shared" ca="1" si="5"/>
        <v>-117260.00000000199</v>
      </c>
      <c r="G47" s="41">
        <f t="shared" ca="1" si="6"/>
        <v>411.31999999997788</v>
      </c>
      <c r="H47" s="38">
        <f ca="1">IF(COUNTIF($W$2:W1032,A47)=1,VLOOKUP(A47,S:T,2), IF(COUNTIF($W$2:W1032,A47)=0,$D$9,""))</f>
        <v>283.721</v>
      </c>
      <c r="I47" s="39">
        <f ca="1">IF(COUNTIF($X$2:X1032,INT(A47))=1,VLOOKUP(INT(A47),X:Y,2), IF(ISERROR(H47-2),"",I46*(1-$D$8*(H47-H46)*0.0001)))</f>
        <v>265.19240000000002</v>
      </c>
      <c r="J47" s="39">
        <f t="shared" ca="1" si="7"/>
        <v>265.19240000000002</v>
      </c>
      <c r="K47" s="41">
        <f t="shared" ca="1" si="8"/>
        <v>71662.805662807339</v>
      </c>
      <c r="L47" s="41"/>
      <c r="M47" s="42">
        <f ca="1">IF(ISERROR(B47-2),"",C47+D47-F47-G47-K47+SUM($L$14:L47))</f>
        <v>-151750.12566280551</v>
      </c>
      <c r="O47" s="3">
        <v>46170.625</v>
      </c>
      <c r="P47" s="4">
        <v>312.7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46170.625</v>
      </c>
      <c r="V47" s="3">
        <f t="shared" si="1"/>
        <v>46170.625</v>
      </c>
      <c r="W47" s="3">
        <v>46176.625</v>
      </c>
      <c r="X47" s="3">
        <v>46105</v>
      </c>
      <c r="Y47" s="5">
        <v>256.9957</v>
      </c>
      <c r="Z47" s="3">
        <v>45842</v>
      </c>
      <c r="AA47" s="4">
        <v>239.0291</v>
      </c>
      <c r="AB47" s="74">
        <v>45842</v>
      </c>
      <c r="AC47" s="4">
        <v>286.32499999999999</v>
      </c>
      <c r="AD47" s="6">
        <f t="shared" si="2"/>
        <v>45842</v>
      </c>
    </row>
    <row r="48" spans="1:30" x14ac:dyDescent="0.25">
      <c r="A48" s="37">
        <f t="shared" ca="1" si="3"/>
        <v>46155.625</v>
      </c>
      <c r="B48" s="38">
        <f ca="1">IF(COUNTIF($W$2:W1033,A48)=1,VLOOKUP(A48,O:P,2), IF(COUNTIF($W$2:W1033,A48)=0,$B$9,""))</f>
        <v>311.88</v>
      </c>
      <c r="C48" s="2">
        <f t="shared" ca="1" si="4"/>
        <v>-179727.99999999956</v>
      </c>
      <c r="D48" s="41"/>
      <c r="E48" s="38">
        <f ca="1">IF(COUNTIF($W$2:W1033,A48)=1,VLOOKUP(A48,Q:R,2), IF(COUNTIF($W$2:W1033,A48)=0,$C$9,""))</f>
        <v>99.292000000000002</v>
      </c>
      <c r="F48" s="2">
        <f t="shared" ca="1" si="5"/>
        <v>-125319.99999999983</v>
      </c>
      <c r="G48" s="41">
        <f t="shared" ca="1" si="6"/>
        <v>415.23733333332348</v>
      </c>
      <c r="H48" s="38">
        <f ca="1">IF(COUNTIF($W$2:W1033,A48)=1,VLOOKUP(A48,S:T,2), IF(COUNTIF($W$2:W1033,A48)=0,$D$9,""))</f>
        <v>280.03899999999999</v>
      </c>
      <c r="I48" s="39">
        <f ca="1">IF(COUNTIF($X$2:X1033,INT(A48))=1,VLOOKUP(INT(A48),X:Y,2), IF(ISERROR(H48-2),"",I47*(1-$D$8*(H48-H47)*0.0001)))</f>
        <v>265.76659999999998</v>
      </c>
      <c r="J48" s="39">
        <f t="shared" ca="1" si="7"/>
        <v>265.76659999999998</v>
      </c>
      <c r="K48" s="41">
        <f t="shared" ca="1" si="8"/>
        <v>112307.59330759221</v>
      </c>
      <c r="L48" s="41"/>
      <c r="M48" s="42">
        <f ca="1">IF(ISERROR(B48-2),"",C48+D48-F48-G48-K48+SUM($L$14:L48))</f>
        <v>-167130.83064092527</v>
      </c>
      <c r="O48" s="3">
        <v>46171.625</v>
      </c>
      <c r="P48" s="4">
        <v>313.77999999999997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46171.625</v>
      </c>
      <c r="V48" s="3">
        <f t="shared" si="1"/>
        <v>46171.625</v>
      </c>
      <c r="W48" s="3">
        <v>46177.625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74">
        <v>45845</v>
      </c>
      <c r="AC48" s="4">
        <v>282.00400000000002</v>
      </c>
      <c r="AD48" s="6">
        <f t="shared" si="2"/>
        <v>45845</v>
      </c>
    </row>
    <row r="49" spans="1:35" x14ac:dyDescent="0.25">
      <c r="A49" s="37">
        <f t="shared" ca="1" si="3"/>
        <v>46157.625</v>
      </c>
      <c r="B49" s="38">
        <f ca="1">IF(COUNTIF($W$2:W1034,A49)=1,VLOOKUP(A49,O:P,2), IF(COUNTIF($W$2:W1034,A49)=0,$B$9,""))</f>
        <v>311.48</v>
      </c>
      <c r="C49" s="2">
        <f t="shared" ca="1" si="4"/>
        <v>-217967.99999999738</v>
      </c>
      <c r="D49" s="41"/>
      <c r="E49" s="38">
        <f ca="1">IF(COUNTIF($W$2:W1034,A49)=1,VLOOKUP(A49,Q:R,2), IF(COUNTIF($W$2:W1034,A49)=0,$C$9,""))</f>
        <v>99.259</v>
      </c>
      <c r="F49" s="2">
        <f t="shared" ca="1" si="5"/>
        <v>-133900.00000000015</v>
      </c>
      <c r="G49" s="41">
        <f t="shared" ca="1" si="6"/>
        <v>423.07199999998556</v>
      </c>
      <c r="H49" s="38">
        <f ca="1">IF(COUNTIF($W$2:W1034,A49)=1,VLOOKUP(A49,S:T,2), IF(COUNTIF($W$2:W1034,A49)=0,$D$9,""))</f>
        <v>280.37200000000001</v>
      </c>
      <c r="I49" s="39">
        <f ca="1">IF(COUNTIF($X$2:X1034,INT(A49))=1,VLOOKUP(INT(A49),X:Y,2), IF(ISERROR(H49-2),"",I48*(1-$D$8*(H49-H48)*0.0001)))</f>
        <v>265.51639999999998</v>
      </c>
      <c r="J49" s="39">
        <f t="shared" ca="1" si="7"/>
        <v>265.51639999999998</v>
      </c>
      <c r="K49" s="41">
        <f t="shared" ca="1" si="8"/>
        <v>94597.168597164811</v>
      </c>
      <c r="L49" s="41"/>
      <c r="M49" s="42">
        <f ca="1">IF(ISERROR(B49-2),"",C49+D49-F49-G49-K49+SUM($L$14:L49))</f>
        <v>-179088.24059716205</v>
      </c>
      <c r="O49" s="3">
        <v>46174.625</v>
      </c>
      <c r="P49" s="4">
        <v>312.83999999999997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46174.625</v>
      </c>
      <c r="V49" s="3">
        <f t="shared" si="1"/>
        <v>46174.625</v>
      </c>
      <c r="W49" s="3">
        <v>46182.625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74">
        <v>45846</v>
      </c>
      <c r="AC49" s="4">
        <v>282.16399999999999</v>
      </c>
      <c r="AD49" s="6">
        <f t="shared" si="2"/>
        <v>45846</v>
      </c>
    </row>
    <row r="50" spans="1:35" x14ac:dyDescent="0.25">
      <c r="A50" s="37">
        <f t="shared" ca="1" si="3"/>
        <v>46161.625</v>
      </c>
      <c r="B50" s="38">
        <f ca="1">IF(COUNTIF($W$2:W1035,A50)=1,VLOOKUP(A50,O:P,2), IF(COUNTIF($W$2:W1035,A50)=0,$B$9,""))</f>
        <v>311.22000000000003</v>
      </c>
      <c r="C50" s="2">
        <f t="shared" ca="1" si="4"/>
        <v>-242823.99999999651</v>
      </c>
      <c r="D50" s="41"/>
      <c r="E50" s="38">
        <f ca="1">IF(COUNTIF($W$2:W1035,A50)=1,VLOOKUP(A50,Q:R,2), IF(COUNTIF($W$2:W1035,A50)=0,$C$9,""))</f>
        <v>99.180999999999997</v>
      </c>
      <c r="F50" s="2">
        <f t="shared" ca="1" si="5"/>
        <v>-154180.0000000009</v>
      </c>
      <c r="G50" s="41">
        <f t="shared" ca="1" si="6"/>
        <v>438.74133333330974</v>
      </c>
      <c r="H50" s="38">
        <f ca="1">IF(COUNTIF($W$2:W1035,A50)=1,VLOOKUP(A50,S:T,2), IF(COUNTIF($W$2:W1035,A50)=0,$D$9,""))</f>
        <v>285.488</v>
      </c>
      <c r="I50" s="39">
        <f ca="1">IF(COUNTIF($X$2:X1035,INT(A50))=1,VLOOKUP(INT(A50),X:Y,2), IF(ISERROR(H50-2),"",I49*(1-$D$8*(H50-H49)*0.0001)))</f>
        <v>265.08920000000001</v>
      </c>
      <c r="J50" s="39">
        <f t="shared" ca="1" si="7"/>
        <v>265.08920000000001</v>
      </c>
      <c r="K50" s="41">
        <f t="shared" ca="1" si="8"/>
        <v>64357.786357786084</v>
      </c>
      <c r="L50" s="41"/>
      <c r="M50" s="42">
        <f ca="1">IF(ISERROR(B50-2),"",C50+D50-F50-G50-K50+SUM($L$14:L50))</f>
        <v>-153440.52769111498</v>
      </c>
      <c r="O50" s="3">
        <v>46176.625</v>
      </c>
      <c r="P50" s="4">
        <v>313.08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46176.625</v>
      </c>
      <c r="V50" s="3">
        <f t="shared" si="1"/>
        <v>46176.625</v>
      </c>
      <c r="W50" s="3">
        <v>46188.625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74">
        <v>45847</v>
      </c>
      <c r="AC50" s="4">
        <v>278.887</v>
      </c>
      <c r="AD50" s="6">
        <f t="shared" si="2"/>
        <v>45847</v>
      </c>
    </row>
    <row r="51" spans="1:35" x14ac:dyDescent="0.25">
      <c r="A51" s="37">
        <f t="shared" ca="1" si="3"/>
        <v>46162.625</v>
      </c>
      <c r="B51" s="38">
        <f ca="1">IF(COUNTIF($W$2:W1036,A51)=1,VLOOKUP(A51,O:P,2), IF(COUNTIF($W$2:W1036,A51)=0,$B$9,""))</f>
        <v>311.52</v>
      </c>
      <c r="C51" s="2">
        <f t="shared" ca="1" si="4"/>
        <v>-214144.00000000087</v>
      </c>
      <c r="D51" s="41"/>
      <c r="E51" s="38">
        <f ca="1">IF(COUNTIF($W$2:W1036,A51)=1,VLOOKUP(A51,Q:R,2), IF(COUNTIF($W$2:W1036,A51)=0,$C$9,""))</f>
        <v>99.39</v>
      </c>
      <c r="F51" s="2">
        <f t="shared" ca="1" si="5"/>
        <v>-99840.000000000087</v>
      </c>
      <c r="G51" s="41">
        <f t="shared" ca="1" si="6"/>
        <v>442.65866666668444</v>
      </c>
      <c r="H51" s="38">
        <f ca="1">IF(COUNTIF($W$2:W1036,A51)=1,VLOOKUP(A51,S:T,2), IF(COUNTIF($W$2:W1036,A51)=0,$D$9,""))</f>
        <v>278.315</v>
      </c>
      <c r="I51" s="39">
        <f ca="1">IF(COUNTIF($X$2:X1036,INT(A51))=1,VLOOKUP(INT(A51),X:Y,2), IF(ISERROR(H51-2),"",I50*(1-$D$8*(H51-H50)*0.0001)))</f>
        <v>266.18329999999997</v>
      </c>
      <c r="J51" s="39">
        <f t="shared" ca="1" si="7"/>
        <v>266.18329999999997</v>
      </c>
      <c r="K51" s="41">
        <f t="shared" ca="1" si="8"/>
        <v>141803.73230372972</v>
      </c>
      <c r="L51" s="41"/>
      <c r="M51" s="42">
        <f ca="1">IF(ISERROR(B51-2),"",C51+D51-F51-G51-K51+SUM($L$14:L51))</f>
        <v>-256550.39097039719</v>
      </c>
      <c r="O51" s="3">
        <v>46177.625</v>
      </c>
      <c r="P51" s="4">
        <v>313.04000000000002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46177.625</v>
      </c>
      <c r="V51" s="3">
        <f t="shared" si="1"/>
        <v>46177.625</v>
      </c>
      <c r="W51" s="3">
        <v>46189.625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74">
        <v>45848</v>
      </c>
      <c r="AC51" s="4">
        <v>277.661</v>
      </c>
      <c r="AD51" s="6">
        <f t="shared" si="2"/>
        <v>45848</v>
      </c>
    </row>
    <row r="52" spans="1:35" x14ac:dyDescent="0.25">
      <c r="A52" s="37">
        <f t="shared" ca="1" si="3"/>
        <v>46163.625</v>
      </c>
      <c r="B52" s="38">
        <f ca="1">IF(COUNTIF($W$2:W1037,A52)=1,VLOOKUP(A52,O:P,2), IF(COUNTIF($W$2:W1037,A52)=0,$B$9,""))</f>
        <v>311.18</v>
      </c>
      <c r="C52" s="2">
        <f t="shared" ca="1" si="4"/>
        <v>-246647.99999999849</v>
      </c>
      <c r="D52" s="41"/>
      <c r="E52" s="38">
        <f ca="1">IF(COUNTIF($W$2:W1037,A52)=1,VLOOKUP(A52,Q:R,2), IF(COUNTIF($W$2:W1037,A52)=0,$C$9,""))</f>
        <v>99.37</v>
      </c>
      <c r="F52" s="2">
        <f t="shared" ca="1" si="5"/>
        <v>-105039.99999999905</v>
      </c>
      <c r="G52" s="41">
        <f t="shared" ca="1" si="6"/>
        <v>446.57600000000093</v>
      </c>
      <c r="H52" s="38">
        <f ca="1">IF(COUNTIF($W$2:W1037,A52)=1,VLOOKUP(A52,S:T,2), IF(COUNTIF($W$2:W1037,A52)=0,$D$9,""))</f>
        <v>279.541</v>
      </c>
      <c r="I52" s="39">
        <f ca="1">IF(COUNTIF($X$2:X1037,INT(A52))=1,VLOOKUP(INT(A52),X:Y,2), IF(ISERROR(H52-2),"",I51*(1-$D$8*(H52-H51)*0.0001)))</f>
        <v>265.81610000000001</v>
      </c>
      <c r="J52" s="39">
        <f t="shared" ca="1" si="7"/>
        <v>265.81610000000001</v>
      </c>
      <c r="K52" s="41">
        <f t="shared" ca="1" si="8"/>
        <v>115811.45431145377</v>
      </c>
      <c r="L52" s="41"/>
      <c r="M52" s="42">
        <f ca="1">IF(ISERROR(B52-2),"",C52+D52-F52-G52-K52+SUM($L$14:L52))</f>
        <v>-257866.03031145319</v>
      </c>
      <c r="O52" s="3">
        <v>46182.625</v>
      </c>
      <c r="P52" s="4">
        <v>313.3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46182.625</v>
      </c>
      <c r="V52" s="3">
        <f t="shared" si="1"/>
        <v>46182.625</v>
      </c>
      <c r="W52" s="3">
        <v>46190.625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74">
        <v>45849</v>
      </c>
      <c r="AC52" s="4">
        <v>281.73500000000001</v>
      </c>
      <c r="AD52" s="6">
        <f t="shared" si="2"/>
        <v>45849</v>
      </c>
    </row>
    <row r="53" spans="1:35" x14ac:dyDescent="0.25">
      <c r="A53" s="37">
        <f t="shared" ca="1" si="3"/>
        <v>46168.625</v>
      </c>
      <c r="B53" s="38">
        <f ca="1">IF(COUNTIF($W$2:W1038,A53)=1,VLOOKUP(A53,O:P,2), IF(COUNTIF($W$2:W1038,A53)=0,$B$9,""))</f>
        <v>312.5</v>
      </c>
      <c r="C53" s="2">
        <f t="shared" ca="1" si="4"/>
        <v>-120455.99999999913</v>
      </c>
      <c r="D53" s="41"/>
      <c r="E53" s="38">
        <f ca="1">IF(COUNTIF($W$2:W1038,A53)=1,VLOOKUP(A53,Q:R,2), IF(COUNTIF($W$2:W1038,A53)=0,$C$9,""))</f>
        <v>99.56</v>
      </c>
      <c r="F53" s="2">
        <f t="shared" ca="1" si="5"/>
        <v>-55639.999999999651</v>
      </c>
      <c r="G53" s="41">
        <f t="shared" ca="1" si="6"/>
        <v>466.1626666666707</v>
      </c>
      <c r="H53" s="38">
        <f ca="1">IF(COUNTIF($W$2:W1038,A53)=1,VLOOKUP(A53,S:T,2), IF(COUNTIF($W$2:W1038,A53)=0,$D$9,""))</f>
        <v>268.83499999999998</v>
      </c>
      <c r="I53" s="39">
        <f ca="1">IF(COUNTIF($X$2:X1038,INT(A53))=1,VLOOKUP(INT(A53),X:Y,2), IF(ISERROR(H53-2),"",I52*(1-$D$8*(H53-H52)*0.0001)))</f>
        <v>267.40750000000003</v>
      </c>
      <c r="J53" s="39">
        <f t="shared" ca="1" si="7"/>
        <v>267.40750000000003</v>
      </c>
      <c r="K53" s="41">
        <f t="shared" ca="1" si="8"/>
        <v>228458.81595881886</v>
      </c>
      <c r="L53" s="41"/>
      <c r="M53" s="42">
        <f ca="1">IF(ISERROR(B53-2),"",C53+D53-F53-G53-K53+SUM($L$14:L53))</f>
        <v>-293740.97862548498</v>
      </c>
      <c r="O53" s="3">
        <v>46188.625</v>
      </c>
      <c r="P53" s="4">
        <v>314.27999999999997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46188.625</v>
      </c>
      <c r="V53" s="3">
        <f t="shared" si="1"/>
        <v>46188.625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74">
        <v>45852</v>
      </c>
      <c r="AC53" s="4">
        <v>282.80599999999998</v>
      </c>
      <c r="AD53" s="6">
        <f t="shared" si="2"/>
        <v>45852</v>
      </c>
    </row>
    <row r="54" spans="1:35" x14ac:dyDescent="0.25">
      <c r="A54" s="37">
        <f t="shared" ca="1" si="3"/>
        <v>46169.625</v>
      </c>
      <c r="B54" s="38">
        <f ca="1">IF(COUNTIF($W$2:W1039,A54)=1,VLOOKUP(A54,O:P,2), IF(COUNTIF($W$2:W1039,A54)=0,$B$9,""))</f>
        <v>312.83999999999997</v>
      </c>
      <c r="C54" s="2">
        <f t="shared" ca="1" si="4"/>
        <v>-87952.000000001528</v>
      </c>
      <c r="D54" s="41"/>
      <c r="E54" s="38">
        <f ca="1">IF(COUNTIF($W$2:W1039,A54)=1,VLOOKUP(A54,Q:R,2), IF(COUNTIF($W$2:W1039,A54)=0,$C$9,""))</f>
        <v>99.588999999999999</v>
      </c>
      <c r="F54" s="2">
        <f t="shared" ca="1" si="5"/>
        <v>-48100.000000000589</v>
      </c>
      <c r="G54" s="41">
        <f t="shared" ca="1" si="6"/>
        <v>470.07999999998719</v>
      </c>
      <c r="H54" s="38">
        <f ca="1">IF(COUNTIF($W$2:W1039,A54)=1,VLOOKUP(A54,S:T,2), IF(COUNTIF($W$2:W1039,A54)=0,$D$9,""))</f>
        <v>266.55900000000003</v>
      </c>
      <c r="I54" s="39">
        <f ca="1">IF(COUNTIF($X$2:X1039,INT(A54))=1,VLOOKUP(INT(A54),X:Y,2), IF(ISERROR(H54-2),"",I53*(1-$D$8*(H54-H53)*0.0001)))</f>
        <v>267.66390000000001</v>
      </c>
      <c r="J54" s="39">
        <f t="shared" ca="1" si="7"/>
        <v>267.66390000000001</v>
      </c>
      <c r="K54" s="41">
        <f t="shared" ca="1" si="8"/>
        <v>246608.10810810883</v>
      </c>
      <c r="L54" s="41"/>
      <c r="M54" s="42">
        <f ca="1">IF(ISERROR(B54-2),"",C54+D54-F54-G54-K54+SUM($L$14:L54))</f>
        <v>-286930.18810810975</v>
      </c>
      <c r="O54" s="3">
        <v>46189.625</v>
      </c>
      <c r="P54" s="4">
        <v>314.16000000000003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46189.625</v>
      </c>
      <c r="V54" s="3">
        <f t="shared" si="1"/>
        <v>46189.625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74">
        <v>45853</v>
      </c>
      <c r="AC54" s="4">
        <v>282.98599999999999</v>
      </c>
      <c r="AD54" s="6">
        <f t="shared" si="2"/>
        <v>45853</v>
      </c>
    </row>
    <row r="55" spans="1:35" x14ac:dyDescent="0.25">
      <c r="A55" s="37">
        <f t="shared" ca="1" si="3"/>
        <v>46170.625</v>
      </c>
      <c r="B55" s="38">
        <f ca="1">IF(COUNTIF($W$2:W1040,A55)=1,VLOOKUP(A55,O:P,2), IF(COUNTIF($W$2:W1040,A55)=0,$B$9,""))</f>
        <v>312.7</v>
      </c>
      <c r="C55" s="2">
        <f t="shared" ca="1" si="4"/>
        <v>-101336.00000000022</v>
      </c>
      <c r="D55" s="41"/>
      <c r="E55" s="38">
        <f ca="1">IF(COUNTIF($W$2:W1040,A55)=1,VLOOKUP(A55,Q:R,2), IF(COUNTIF($W$2:W1040,A55)=0,$C$9,""))</f>
        <v>99.653999999999996</v>
      </c>
      <c r="F55" s="2">
        <f t="shared" ca="1" si="5"/>
        <v>-31200.000000001182</v>
      </c>
      <c r="G55" s="41">
        <f t="shared" ca="1" si="6"/>
        <v>473.99733333333279</v>
      </c>
      <c r="H55" s="38">
        <f ca="1">IF(COUNTIF($W$2:W1040,A55)=1,VLOOKUP(A55,S:T,2), IF(COUNTIF($W$2:W1040,A55)=0,$D$9,""))</f>
        <v>264.23200000000003</v>
      </c>
      <c r="I55" s="39">
        <f ca="1">IF(COUNTIF($X$2:X1040,INT(A55))=1,VLOOKUP(INT(A55),X:Y,2), IF(ISERROR(H55-2),"",I54*(1-$D$8*(H55-H54)*0.0001)))</f>
        <v>268.21620000000001</v>
      </c>
      <c r="J55" s="39">
        <f t="shared" ca="1" si="7"/>
        <v>268.21620000000001</v>
      </c>
      <c r="K55" s="41">
        <f t="shared" ca="1" si="8"/>
        <v>285702.7027027033</v>
      </c>
      <c r="L55" s="41"/>
      <c r="M55" s="42">
        <f ca="1">IF(ISERROR(B55-2),"",C55+D55-F55-G55-K55+SUM($L$14:L55))</f>
        <v>-356312.70003603568</v>
      </c>
      <c r="O55" s="3">
        <v>46190.625</v>
      </c>
      <c r="P55" s="4">
        <v>313.66000000000003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46190.625</v>
      </c>
      <c r="V55" s="3">
        <f t="shared" si="1"/>
        <v>46190.625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74">
        <v>45854</v>
      </c>
      <c r="AC55" s="4">
        <v>285.26100000000002</v>
      </c>
      <c r="AD55" s="6">
        <f t="shared" si="2"/>
        <v>45854</v>
      </c>
    </row>
    <row r="56" spans="1:35" x14ac:dyDescent="0.25">
      <c r="A56" s="37">
        <f t="shared" ca="1" si="3"/>
        <v>46171.625</v>
      </c>
      <c r="B56" s="38">
        <f ca="1">IF(COUNTIF($W$2:W1041,A56)=1,VLOOKUP(A56,O:P,2), IF(COUNTIF($W$2:W1041,A56)=0,$B$9,""))</f>
        <v>313.77999999999997</v>
      </c>
      <c r="C56" s="2">
        <f t="shared" ca="1" si="4"/>
        <v>1911.999999998261</v>
      </c>
      <c r="D56" s="41"/>
      <c r="E56" s="38">
        <f ca="1">IF(COUNTIF($W$2:W1041,A56)=1,VLOOKUP(A56,Q:R,2), IF(COUNTIF($W$2:W1041,A56)=0,$C$9,""))</f>
        <v>99.679000000000002</v>
      </c>
      <c r="F56" s="2">
        <f t="shared" ca="1" si="5"/>
        <v>-24699.999999999705</v>
      </c>
      <c r="G56" s="41">
        <f t="shared" ca="1" si="6"/>
        <v>477.91466666664928</v>
      </c>
      <c r="H56" s="38">
        <f ca="1">IF(COUNTIF($W$2:W1041,A56)=1,VLOOKUP(A56,S:T,2), IF(COUNTIF($W$2:W1041,A56)=0,$D$9,""))</f>
        <v>258.70600000000002</v>
      </c>
      <c r="I56" s="39">
        <f ca="1">IF(COUNTIF($X$2:X1041,INT(A56))=1,VLOOKUP(INT(A56),X:Y,2), IF(ISERROR(H56-2),"",I55*(1-$D$8*(H56-H55)*0.0001)))</f>
        <v>268.76229999999998</v>
      </c>
      <c r="J56" s="39">
        <f t="shared" ca="1" si="7"/>
        <v>268.76229999999998</v>
      </c>
      <c r="K56" s="41">
        <f t="shared" ca="1" si="8"/>
        <v>324358.42985842697</v>
      </c>
      <c r="L56" s="41"/>
      <c r="M56" s="42">
        <f ca="1">IF(ISERROR(B56-2),"",C56+D56-F56-G56-K56+SUM($L$14:L56))</f>
        <v>-298224.34452509566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 t="str">
        <f t="shared" si="0"/>
        <v/>
      </c>
      <c r="V56" s="3" t="str">
        <f t="shared" si="1"/>
        <v/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74">
        <v>45855</v>
      </c>
      <c r="AC56" s="4">
        <v>278.76799999999997</v>
      </c>
      <c r="AD56" s="6">
        <f t="shared" si="2"/>
        <v>45855</v>
      </c>
    </row>
    <row r="57" spans="1:35" x14ac:dyDescent="0.25">
      <c r="A57" s="37">
        <f t="shared" ca="1" si="3"/>
        <v>46174.625</v>
      </c>
      <c r="B57" s="38">
        <f ca="1">IF(COUNTIF($W$2:W1042,A57)=1,VLOOKUP(A57,O:P,2), IF(COUNTIF($W$2:W1042,A57)=0,$B$9,""))</f>
        <v>312.83999999999997</v>
      </c>
      <c r="C57" s="2">
        <f t="shared" ca="1" si="4"/>
        <v>-87952.000000001528</v>
      </c>
      <c r="D57" s="41"/>
      <c r="E57" s="38">
        <f ca="1">IF(COUNTIF($W$2:W1042,A57)=1,VLOOKUP(A57,Q:R,2), IF(COUNTIF($W$2:W1042,A57)=0,$C$9,""))</f>
        <v>99.450999999999993</v>
      </c>
      <c r="F57" s="2">
        <f t="shared" ca="1" si="5"/>
        <v>-83980.00000000195</v>
      </c>
      <c r="G57" s="41">
        <f t="shared" ca="1" si="6"/>
        <v>489.66666666665697</v>
      </c>
      <c r="H57" s="38">
        <f ca="1">IF(COUNTIF($W$2:W1042,A57)=1,VLOOKUP(A57,S:T,2), IF(COUNTIF($W$2:W1042,A57)=0,$D$9,""))</f>
        <v>265.43599999999998</v>
      </c>
      <c r="I57" s="39">
        <f ca="1">IF(COUNTIF($X$2:X1042,INT(A57))=1,VLOOKUP(INT(A57),X:Y,2), IF(ISERROR(H57-2),"",I56*(1-$D$8*(H57-H56)*0.0001)))</f>
        <v>268.39839999999998</v>
      </c>
      <c r="J57" s="39">
        <f t="shared" ca="1" si="7"/>
        <v>268.39839999999998</v>
      </c>
      <c r="K57" s="41">
        <f t="shared" ca="1" si="8"/>
        <v>298599.74259974121</v>
      </c>
      <c r="L57" s="41"/>
      <c r="M57" s="42">
        <f ca="1">IF(ISERROR(B57-2),"",C57+D57-F57-G57-K57+SUM($L$14:L57))</f>
        <v>-303061.40926640743</v>
      </c>
      <c r="Q57" s="3">
        <v>46126.625</v>
      </c>
      <c r="R57" s="4">
        <v>99.619</v>
      </c>
      <c r="S57" s="3">
        <v>46126.625</v>
      </c>
      <c r="T57" s="4">
        <v>282.697</v>
      </c>
      <c r="U57" s="3" t="str">
        <f t="shared" si="0"/>
        <v/>
      </c>
      <c r="V57" s="3" t="str">
        <f t="shared" si="1"/>
        <v/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74">
        <v>45856</v>
      </c>
      <c r="AC57" s="4">
        <v>277.18599999999998</v>
      </c>
      <c r="AD57" s="6">
        <f t="shared" si="2"/>
        <v>45856</v>
      </c>
    </row>
    <row r="58" spans="1:35" x14ac:dyDescent="0.25">
      <c r="A58" s="37">
        <f t="shared" ca="1" si="3"/>
        <v>46176.625</v>
      </c>
      <c r="B58" s="38">
        <f ca="1">IF(COUNTIF($W$2:W1043,A58)=1,VLOOKUP(A58,O:P,2), IF(COUNTIF($W$2:W1043,A58)=0,$B$9,""))</f>
        <v>313.08</v>
      </c>
      <c r="C58" s="2">
        <f t="shared" ca="1" si="4"/>
        <v>-65008.000000000655</v>
      </c>
      <c r="D58" s="41"/>
      <c r="E58" s="38">
        <f ca="1">IF(COUNTIF($W$2:W1043,A58)=1,VLOOKUP(A58,Q:R,2), IF(COUNTIF($W$2:W1043,A58)=0,$C$9,""))</f>
        <v>99.421999999999997</v>
      </c>
      <c r="F58" s="2">
        <f t="shared" ca="1" si="5"/>
        <v>-91520.000000001004</v>
      </c>
      <c r="G58" s="41">
        <f t="shared" ca="1" si="6"/>
        <v>497.50133333331905</v>
      </c>
      <c r="H58" s="38">
        <f ca="1">IF(COUNTIF($W$2:W1043,A58)=1,VLOOKUP(A58,S:T,2), IF(COUNTIF($W$2:W1043,A58)=0,$D$9,""))</f>
        <v>261.79599999999999</v>
      </c>
      <c r="I58" s="39">
        <f ca="1">IF(COUNTIF($X$2:X1043,INT(A58))=1,VLOOKUP(INT(A58),X:Y,2), IF(ISERROR(H58-2),"",I57*(1-$D$8*(H58-H57)*0.0001)))</f>
        <v>268.40789999999998</v>
      </c>
      <c r="J58" s="39">
        <f t="shared" ca="1" si="7"/>
        <v>268.40789999999998</v>
      </c>
      <c r="K58" s="41">
        <f t="shared" ca="1" si="8"/>
        <v>299272.20077219815</v>
      </c>
      <c r="L58" s="41"/>
      <c r="M58" s="42">
        <f ca="1">IF(ISERROR(B58-2),"",C58+D58-F58-G58-K58+SUM($L$14:L58))</f>
        <v>-273257.70210553112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 t="str">
        <f t="shared" si="0"/>
        <v/>
      </c>
      <c r="V58" s="3" t="str">
        <f t="shared" si="1"/>
        <v/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74">
        <v>45859</v>
      </c>
      <c r="AC58" s="4">
        <v>277.45800000000003</v>
      </c>
      <c r="AD58" s="6">
        <f t="shared" si="2"/>
        <v>45859</v>
      </c>
    </row>
    <row r="59" spans="1:35" x14ac:dyDescent="0.25">
      <c r="A59" s="37">
        <f t="shared" ca="1" si="3"/>
        <v>46177.625</v>
      </c>
      <c r="B59" s="38">
        <f ca="1">IF(COUNTIF($W$2:W1044,A59)=1,VLOOKUP(A59,O:P,2), IF(COUNTIF($W$2:W1044,A59)=0,$B$9,""))</f>
        <v>313.04000000000002</v>
      </c>
      <c r="C59" s="2">
        <f t="shared" ca="1" si="4"/>
        <v>-68831.999999997177</v>
      </c>
      <c r="D59" s="41"/>
      <c r="E59" s="38">
        <f ca="1">IF(COUNTIF($W$2:W1044,A59)=1,VLOOKUP(A59,Q:R,2), IF(COUNTIF($W$2:W1044,A59)=0,$C$9,""))</f>
        <v>99.430999999999997</v>
      </c>
      <c r="F59" s="2">
        <f t="shared" ca="1" si="5"/>
        <v>-89180.000000000917</v>
      </c>
      <c r="G59" s="41">
        <f t="shared" ca="1" si="6"/>
        <v>501.41866666666465</v>
      </c>
      <c r="H59" s="38">
        <f ca="1">IF(COUNTIF($W$2:W1044,A59)=1,VLOOKUP(A59,S:T,2), IF(COUNTIF($W$2:W1044,A59)=0,$D$9,""))</f>
        <v>261.392</v>
      </c>
      <c r="I59" s="39">
        <f ca="1">IF(COUNTIF($X$2:X1044,INT(A59))=1,VLOOKUP(INT(A59),X:Y,2), IF(ISERROR(H59-2),"",I58*(1-$D$8*(H59-H58)*0.0001)))</f>
        <v>268.64510000000001</v>
      </c>
      <c r="J59" s="39">
        <f t="shared" ca="1" si="7"/>
        <v>268.64510000000001</v>
      </c>
      <c r="K59" s="41">
        <f t="shared" ca="1" si="8"/>
        <v>316062.41956242156</v>
      </c>
      <c r="L59" s="41"/>
      <c r="M59" s="42">
        <f ca="1">IF(ISERROR(B59-2),"",C59+D59-F59-G59-K59+SUM($L$14:L59))</f>
        <v>-296215.8382290845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 t="str">
        <f t="shared" si="0"/>
        <v/>
      </c>
      <c r="V59" s="3" t="str">
        <f t="shared" si="1"/>
        <v/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74">
        <v>45860</v>
      </c>
      <c r="AC59" s="4">
        <v>279.55700000000002</v>
      </c>
      <c r="AD59" s="6">
        <f t="shared" si="2"/>
        <v>45860</v>
      </c>
    </row>
    <row r="60" spans="1:35" x14ac:dyDescent="0.25">
      <c r="A60" s="37">
        <f t="shared" ca="1" si="3"/>
        <v>46182.625</v>
      </c>
      <c r="B60" s="38">
        <f ca="1">IF(COUNTIF($W$2:W1045,A60)=1,VLOOKUP(A60,O:P,2), IF(COUNTIF($W$2:W1045,A60)=0,$B$9,""))</f>
        <v>313.3</v>
      </c>
      <c r="C60" s="2">
        <f t="shared" ca="1" si="4"/>
        <v>-43975.999999998043</v>
      </c>
      <c r="D60" s="41"/>
      <c r="E60" s="38">
        <f ca="1">IF(COUNTIF($W$2:W1045,A60)=1,VLOOKUP(A60,Q:R,2), IF(COUNTIF($W$2:W1045,A60)=0,$C$9,""))</f>
        <v>99.396000000000001</v>
      </c>
      <c r="F60" s="2">
        <f t="shared" ca="1" si="5"/>
        <v>-98280.000000000029</v>
      </c>
      <c r="G60" s="41">
        <f t="shared" ca="1" si="6"/>
        <v>521.00533333333442</v>
      </c>
      <c r="H60" s="38">
        <f ca="1">IF(COUNTIF($W$2:W1045,A60)=1,VLOOKUP(A60,S:T,2), IF(COUNTIF($W$2:W1045,A60)=0,$D$9,""))</f>
        <v>261.05</v>
      </c>
      <c r="I60" s="39">
        <f ca="1">IF(COUNTIF($X$2:X1045,INT(A60))=1,VLOOKUP(INT(A60),X:Y,2), IF(ISERROR(H60-2),"",I59*(1-$D$8*(H60-H59)*0.0001)))</f>
        <v>268.3329</v>
      </c>
      <c r="J60" s="39">
        <f t="shared" ca="1" si="7"/>
        <v>268.3329</v>
      </c>
      <c r="K60" s="41">
        <f t="shared" ca="1" si="8"/>
        <v>293963.32046331867</v>
      </c>
      <c r="L60" s="41"/>
      <c r="M60" s="42">
        <f ca="1">IF(ISERROR(B60-2),"",C60+D60-F60-G60-K60+SUM($L$14:L60))</f>
        <v>-240180.32579665002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 t="str">
        <f t="shared" si="0"/>
        <v/>
      </c>
      <c r="V60" s="3" t="str">
        <f t="shared" si="1"/>
        <v/>
      </c>
      <c r="X60" s="3">
        <v>46126</v>
      </c>
      <c r="Y60" s="5">
        <v>264.6927</v>
      </c>
      <c r="Z60" s="3">
        <v>45861</v>
      </c>
      <c r="AA60" s="4">
        <v>240.6497</v>
      </c>
      <c r="AB60" s="74">
        <v>45861</v>
      </c>
      <c r="AC60" s="4">
        <v>273.14100000000002</v>
      </c>
      <c r="AD60" s="6">
        <f t="shared" si="2"/>
        <v>45861</v>
      </c>
    </row>
    <row r="61" spans="1:35" x14ac:dyDescent="0.25">
      <c r="A61" s="37">
        <f t="shared" ca="1" si="3"/>
        <v>46188.625</v>
      </c>
      <c r="B61" s="38">
        <f ca="1">IF(COUNTIF($W$2:W1046,A61)=1,VLOOKUP(A61,O:P,2), IF(COUNTIF($W$2:W1046,A61)=0,$B$9,""))</f>
        <v>314.27999999999997</v>
      </c>
      <c r="C61" s="2">
        <f t="shared" ca="1" si="4"/>
        <v>49711.999999998261</v>
      </c>
      <c r="D61" s="41"/>
      <c r="E61" s="38">
        <f ca="1">IF(COUNTIF($W$2:W1046,A61)=1,VLOOKUP(A61,Q:R,2), IF(COUNTIF($W$2:W1046,A61)=0,$C$9,""))</f>
        <v>99.631</v>
      </c>
      <c r="F61" s="2">
        <f t="shared" ca="1" si="5"/>
        <v>-37180.000000000175</v>
      </c>
      <c r="G61" s="41">
        <f t="shared" ca="1" si="6"/>
        <v>544.50933333334979</v>
      </c>
      <c r="H61" s="38">
        <f ca="1">IF(COUNTIF($W$2:W1046,A61)=1,VLOOKUP(A61,S:T,2), IF(COUNTIF($W$2:W1046,A61)=0,$D$9,""))</f>
        <v>248.518</v>
      </c>
      <c r="I61" s="39">
        <f ca="1">IF(COUNTIF($X$2:X1046,INT(A61))=1,VLOOKUP(INT(A61),X:Y,2), IF(ISERROR(H61-2),"",I60*(1-$D$8*(H61-H60)*0.0001)))</f>
        <v>270.47059999999999</v>
      </c>
      <c r="J61" s="39">
        <f t="shared" ca="1" si="7"/>
        <v>270.47059999999999</v>
      </c>
      <c r="K61" s="41">
        <f t="shared" ca="1" si="8"/>
        <v>445280.56628056424</v>
      </c>
      <c r="L61" s="41"/>
      <c r="M61" s="42">
        <f ca="1">IF(ISERROR(B61-2),"",C61+D61-F61-G61-K61+SUM($L$14:L61))</f>
        <v>-358933.07561389916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 t="str">
        <f t="shared" si="0"/>
        <v/>
      </c>
      <c r="V61" s="3" t="str">
        <f t="shared" si="1"/>
        <v/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74">
        <v>45862</v>
      </c>
      <c r="AC61" s="4">
        <v>270.69799999999998</v>
      </c>
      <c r="AD61" s="6">
        <f t="shared" si="2"/>
        <v>45862</v>
      </c>
    </row>
    <row r="62" spans="1:35" x14ac:dyDescent="0.25">
      <c r="A62" s="37">
        <f t="shared" ca="1" si="3"/>
        <v>46189.625</v>
      </c>
      <c r="B62" s="38">
        <f ca="1">IF(COUNTIF($W$2:W1047,A62)=1,VLOOKUP(A62,O:P,2), IF(COUNTIF($W$2:W1047,A62)=0,$B$9,""))</f>
        <v>314.16000000000003</v>
      </c>
      <c r="C62" s="2">
        <f t="shared" ca="1" si="4"/>
        <v>38240.00000000326</v>
      </c>
      <c r="D62" s="41"/>
      <c r="E62" s="38">
        <f ca="1">IF(COUNTIF($W$2:W1047,A62)=1,VLOOKUP(A62,Q:R,2), IF(COUNTIF($W$2:W1047,A62)=0,$C$9,""))</f>
        <v>99.625</v>
      </c>
      <c r="F62" s="2">
        <f t="shared" ca="1" si="5"/>
        <v>-38740.00000000024</v>
      </c>
      <c r="G62" s="41">
        <f t="shared" ca="1" si="6"/>
        <v>548.42666666663717</v>
      </c>
      <c r="H62" s="38">
        <f ca="1">IF(COUNTIF($W$2:W1047,A62)=1,VLOOKUP(A62,S:T,2), IF(COUNTIF($W$2:W1047,A62)=0,$D$9,""))</f>
        <v>249.79400000000001</v>
      </c>
      <c r="I62" s="39">
        <f ca="1">IF(COUNTIF($X$2:X1047,INT(A62))=1,VLOOKUP(INT(A62),X:Y,2), IF(ISERROR(H62-2),"",I61*(1-$D$8*(H62-H61)*0.0001)))</f>
        <v>270.3356</v>
      </c>
      <c r="J62" s="39">
        <f t="shared" ca="1" si="7"/>
        <v>270.3356</v>
      </c>
      <c r="K62" s="41">
        <f t="shared" ca="1" si="8"/>
        <v>435724.58172458195</v>
      </c>
      <c r="L62" s="41"/>
      <c r="M62" s="42">
        <f ca="1">IF(ISERROR(B62-2),"",C62+D62-F62-G62-K62+SUM($L$14:L62))</f>
        <v>-359293.00839124509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 t="str">
        <f t="shared" si="0"/>
        <v/>
      </c>
      <c r="V62" s="3" t="str">
        <f t="shared" si="1"/>
        <v/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74">
        <v>45863</v>
      </c>
      <c r="AC62" s="4">
        <v>269.24400000000003</v>
      </c>
      <c r="AD62" s="6">
        <f t="shared" si="2"/>
        <v>45863</v>
      </c>
    </row>
    <row r="63" spans="1:35" x14ac:dyDescent="0.25">
      <c r="A63" s="37">
        <f t="shared" ca="1" si="3"/>
        <v>46190.625</v>
      </c>
      <c r="B63" s="38">
        <f ca="1">IF(COUNTIF($W$2:W1048,A63)=1,VLOOKUP(A63,O:P,2), IF(COUNTIF($W$2:W1048,A63)=0,$B$9,""))</f>
        <v>313.66000000000003</v>
      </c>
      <c r="C63" s="2">
        <f t="shared" ca="1" si="4"/>
        <v>-9559.9999999967404</v>
      </c>
      <c r="D63" s="41"/>
      <c r="E63" s="38">
        <f ca="1">IF(COUNTIF($W$2:W1048,A63)=1,VLOOKUP(A63,Q:R,2), IF(COUNTIF($W$2:W1048,A63)=0,$C$9,""))</f>
        <v>99.600999999999999</v>
      </c>
      <c r="F63" s="2">
        <f t="shared" ca="1" si="5"/>
        <v>-44980.000000000473</v>
      </c>
      <c r="G63" s="41">
        <f t="shared" ca="1" si="6"/>
        <v>552.34399999998277</v>
      </c>
      <c r="H63" s="38">
        <f ca="1">IF(COUNTIF($W$2:W1048,A63)=1,VLOOKUP(A63,S:T,2), IF(COUNTIF($W$2:W1048,A63)=0,$D$9,""))</f>
        <v>252.459</v>
      </c>
      <c r="I63" s="39">
        <f ca="1">IF(COUNTIF($X$2:X1048,INT(A63))=1,VLOOKUP(INT(A63),X:Y,2), IF(ISERROR(H63-2),"",I62*(1-$D$8*(H63-H62)*0.0001)))</f>
        <v>270.1644</v>
      </c>
      <c r="J63" s="39">
        <f t="shared" ca="1" si="7"/>
        <v>270.1644</v>
      </c>
      <c r="K63" s="41">
        <f t="shared" ca="1" si="8"/>
        <v>423606.17760617536</v>
      </c>
      <c r="L63" s="41"/>
      <c r="M63" s="42">
        <f ca="1">IF(ISERROR(B63-2),"",C63+D63-F63-G63-K63+SUM($L$14:L63))</f>
        <v>-388738.52160617162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 t="str">
        <f t="shared" si="0"/>
        <v/>
      </c>
      <c r="V63" s="3" t="str">
        <f t="shared" si="1"/>
        <v/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74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7">
        <f t="shared" ca="1" si="3"/>
        <v>46199.367903009261</v>
      </c>
      <c r="B64" s="38">
        <f ca="1">IF(COUNTIF($W$2:W1049,A64)=1,VLOOKUP(A64,O:P,2), IF(COUNTIF($W$2:W1049,A64)=0,$B$9,""))</f>
        <v>313.66000000000003</v>
      </c>
      <c r="C64" s="2">
        <f t="shared" ca="1" si="4"/>
        <v>-9559.9999999967404</v>
      </c>
      <c r="D64" s="41"/>
      <c r="E64" s="38">
        <f ca="1">IF(COUNTIF($W$2:W1049,A64)=1,VLOOKUP(A64,Q:R,2), IF(COUNTIF($W$2:W1049,A64)=0,$C$9,""))</f>
        <v>99.774000000000001</v>
      </c>
      <c r="F64" s="2">
        <f t="shared" ca="1" si="5"/>
        <v>0</v>
      </c>
      <c r="G64" s="41">
        <f t="shared" ca="1" si="6"/>
        <v>587.60000000000582</v>
      </c>
      <c r="H64" s="38">
        <f ca="1">IF(COUNTIF($W$2:W1049,A64)=1,VLOOKUP(A64,S:T,2), IF(COUNTIF($W$2:W1049,A64)=0,$D$9,""))</f>
        <v>249.3082</v>
      </c>
      <c r="I64" s="39">
        <f ca="1">IF(COUNTIF($X$2:X1049,INT(A64))=1,VLOOKUP(INT(A64),X:Y,2), IF(ISERROR(H64-2),"",I63*(1-$D$8*(H64-H63)*0.0001)))</f>
        <v>270.57801459647959</v>
      </c>
      <c r="J64" s="39">
        <f t="shared" ca="1" si="7"/>
        <v>270.57801459647959</v>
      </c>
      <c r="K64" s="41">
        <f t="shared" ca="1" si="8"/>
        <v>452883.91609572538</v>
      </c>
      <c r="L64" s="41"/>
      <c r="M64" s="42">
        <f ca="1">IF(ISERROR(B64-2),"",C64+D64-F64-G64-K64+SUM($L$14:L64))</f>
        <v>-463031.51609572209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 t="str">
        <f t="shared" si="0"/>
        <v/>
      </c>
      <c r="V64" s="3" t="str">
        <f t="shared" si="1"/>
        <v/>
      </c>
      <c r="X64" s="3">
        <v>46132</v>
      </c>
      <c r="Y64" s="5">
        <v>265.2414</v>
      </c>
      <c r="Z64" s="3">
        <v>45867</v>
      </c>
      <c r="AA64" s="19">
        <v>241.9485</v>
      </c>
      <c r="AB64" s="75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3"/>
      <c r="AI64" s="7"/>
    </row>
    <row r="65" spans="1:35" x14ac:dyDescent="0.25">
      <c r="A65" s="37" t="str">
        <f t="shared" ca="1" si="3"/>
        <v/>
      </c>
      <c r="B65" s="38" t="str">
        <f ca="1">IF(COUNTIF($W$2:W1050,A65)=1,VLOOKUP(A65,O:P,2), IF(COUNTIF($W$2:W1050,A65)=0,$B$9,""))</f>
        <v/>
      </c>
      <c r="C65" s="2" t="str">
        <f t="shared" ca="1" si="4"/>
        <v/>
      </c>
      <c r="D65" s="41"/>
      <c r="E65" s="38" t="str">
        <f ca="1">IF(COUNTIF($W$2:W1050,A65)=1,VLOOKUP(A65,Q:R,2), IF(COUNTIF($W$2:W1050,A65)=0,$C$9,""))</f>
        <v/>
      </c>
      <c r="F65" s="2" t="str">
        <f t="shared" ca="1" si="5"/>
        <v/>
      </c>
      <c r="G65" s="41" t="str">
        <f t="shared" ca="1" si="6"/>
        <v/>
      </c>
      <c r="H65" s="38" t="str">
        <f ca="1">IF(COUNTIF($W$2:W1050,A65)=1,VLOOKUP(A65,S:T,2), IF(COUNTIF($W$2:W1050,A65)=0,$D$9,""))</f>
        <v/>
      </c>
      <c r="I65" s="39" t="str">
        <f ca="1">IF(COUNTIF($X$2:X1050,INT(A65))=1,VLOOKUP(INT(A65),X:Y,2), IF(ISERROR(H65-2),"",I64*(1-$D$8*(H65-H64)*0.0001)))</f>
        <v/>
      </c>
      <c r="J65" s="39" t="str">
        <f t="shared" ca="1" si="7"/>
        <v/>
      </c>
      <c r="K65" s="41" t="str">
        <f t="shared" ca="1" si="8"/>
        <v/>
      </c>
      <c r="L65" s="41"/>
      <c r="M65" s="42" t="str">
        <f ca="1">IF(ISERROR(B65-2),"",C65+D65-F65-G65-K65+SUM($L$14:L65))</f>
        <v/>
      </c>
      <c r="Q65" s="3">
        <v>46136.625</v>
      </c>
      <c r="R65" s="4">
        <v>99.637</v>
      </c>
      <c r="S65" s="3">
        <v>46136.625</v>
      </c>
      <c r="T65" s="4">
        <v>288.863</v>
      </c>
      <c r="U65" s="3" t="str">
        <f t="shared" si="0"/>
        <v/>
      </c>
      <c r="V65" s="3" t="str">
        <f t="shared" si="1"/>
        <v/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76">
        <v>45868</v>
      </c>
      <c r="AC65" s="20">
        <v>266.43200000000002</v>
      </c>
      <c r="AD65" s="6">
        <f t="shared" si="2"/>
        <v>45868</v>
      </c>
      <c r="AE65" s="20"/>
      <c r="AF65" s="20"/>
      <c r="AG65" s="20"/>
      <c r="AH65" s="20"/>
      <c r="AI65" s="7"/>
    </row>
    <row r="66" spans="1:35" x14ac:dyDescent="0.25">
      <c r="A66" s="37" t="str">
        <f t="shared" ca="1" si="3"/>
        <v/>
      </c>
      <c r="B66" s="38" t="str">
        <f ca="1">IF(COUNTIF($W$2:W1051,A66)=1,VLOOKUP(A66,O:P,2), IF(COUNTIF($W$2:W1051,A66)=0,$B$9,""))</f>
        <v/>
      </c>
      <c r="C66" s="2" t="str">
        <f t="shared" ca="1" si="4"/>
        <v/>
      </c>
      <c r="D66" s="41"/>
      <c r="E66" s="38" t="str">
        <f ca="1">IF(COUNTIF($W$2:W1051,A66)=1,VLOOKUP(A66,Q:R,2), IF(COUNTIF($W$2:W1051,A66)=0,$C$9,""))</f>
        <v/>
      </c>
      <c r="F66" s="2" t="str">
        <f t="shared" ca="1" si="5"/>
        <v/>
      </c>
      <c r="G66" s="41" t="str">
        <f t="shared" ca="1" si="6"/>
        <v/>
      </c>
      <c r="H66" s="38" t="str">
        <f ca="1">IF(COUNTIF($W$2:W1051,A66)=1,VLOOKUP(A66,S:T,2), IF(COUNTIF($W$2:W1051,A66)=0,$D$9,""))</f>
        <v/>
      </c>
      <c r="I66" s="39" t="str">
        <f ca="1">IF(COUNTIF($X$2:X1051,INT(A66))=1,VLOOKUP(INT(A66),X:Y,2), IF(ISERROR(H66-2),"",I65*(1-$D$8*(H66-H65)*0.0001)))</f>
        <v/>
      </c>
      <c r="J66" s="39" t="str">
        <f t="shared" ca="1" si="7"/>
        <v/>
      </c>
      <c r="K66" s="41" t="str">
        <f t="shared" ca="1" si="8"/>
        <v/>
      </c>
      <c r="L66" s="41"/>
      <c r="M66" s="42" t="str">
        <f ca="1">IF(ISERROR(B66-2),"",C66+D66-F66-G66-K66+SUM($L$14:L66))</f>
        <v/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 t="str">
        <f t="shared" si="0"/>
        <v/>
      </c>
      <c r="V66" s="3" t="str">
        <f t="shared" si="1"/>
        <v/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76">
        <v>45869</v>
      </c>
      <c r="AC66" s="20">
        <v>268.46899999999999</v>
      </c>
      <c r="AD66" s="6">
        <f t="shared" si="2"/>
        <v>45869</v>
      </c>
      <c r="AE66" s="20"/>
      <c r="AF66" s="20"/>
      <c r="AG66" s="20"/>
      <c r="AH66" s="20"/>
      <c r="AI66" s="7"/>
    </row>
    <row r="67" spans="1:35" x14ac:dyDescent="0.25">
      <c r="A67" s="37" t="str">
        <f t="shared" ca="1" si="3"/>
        <v/>
      </c>
      <c r="B67" s="38" t="str">
        <f ca="1">IF(COUNTIF($W$2:W1052,A67)=1,VLOOKUP(A67,O:P,2), IF(COUNTIF($W$2:W1052,A67)=0,$B$9,""))</f>
        <v/>
      </c>
      <c r="C67" s="2" t="str">
        <f t="shared" ca="1" si="4"/>
        <v/>
      </c>
      <c r="D67" s="41"/>
      <c r="E67" s="38" t="str">
        <f ca="1">IF(COUNTIF($W$2:W1052,A67)=1,VLOOKUP(A67,Q:R,2), IF(COUNTIF($W$2:W1052,A67)=0,$C$9,""))</f>
        <v/>
      </c>
      <c r="F67" s="2" t="str">
        <f t="shared" ca="1" si="5"/>
        <v/>
      </c>
      <c r="G67" s="41" t="str">
        <f t="shared" ca="1" si="6"/>
        <v/>
      </c>
      <c r="H67" s="38" t="str">
        <f ca="1">IF(COUNTIF($W$2:W1052,A67)=1,VLOOKUP(A67,S:T,2), IF(COUNTIF($W$2:W1052,A67)=0,$D$9,""))</f>
        <v/>
      </c>
      <c r="I67" s="39" t="str">
        <f ca="1">IF(COUNTIF($X$2:X1052,INT(A67))=1,VLOOKUP(INT(A67),X:Y,2), IF(ISERROR(H67-2),"",I66*(1-$D$8*(H67-H66)*0.0001)))</f>
        <v/>
      </c>
      <c r="J67" s="39" t="str">
        <f t="shared" ca="1" si="7"/>
        <v/>
      </c>
      <c r="K67" s="41" t="str">
        <f t="shared" ca="1" si="8"/>
        <v/>
      </c>
      <c r="L67" s="41"/>
      <c r="M67" s="42" t="str">
        <f ca="1">IF(ISERROR(B67-2),"",C67+D67-F67-G67-K67+SUM($L$14:L67))</f>
        <v/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 t="str">
        <f t="shared" si="0"/>
        <v/>
      </c>
      <c r="V67" s="3" t="str">
        <f t="shared" si="1"/>
        <v/>
      </c>
      <c r="X67" s="3">
        <v>46135</v>
      </c>
      <c r="Y67" s="5">
        <v>264.38159999999999</v>
      </c>
      <c r="Z67" s="3">
        <v>45870</v>
      </c>
      <c r="AA67" s="19">
        <v>240.1619</v>
      </c>
      <c r="AB67" s="76">
        <v>45870</v>
      </c>
      <c r="AC67" s="20">
        <v>279.928</v>
      </c>
      <c r="AD67" s="6">
        <f t="shared" si="2"/>
        <v>45870</v>
      </c>
      <c r="AE67" s="20"/>
      <c r="AF67" s="20"/>
      <c r="AG67" s="20"/>
      <c r="AH67" s="20"/>
      <c r="AI67" s="7"/>
    </row>
    <row r="68" spans="1:35" x14ac:dyDescent="0.25">
      <c r="A68" s="37" t="str">
        <f t="shared" ca="1" si="3"/>
        <v/>
      </c>
      <c r="B68" s="38" t="str">
        <f ca="1">IF(COUNTIF($W$2:W1053,A68)=1,VLOOKUP(A68,O:P,2), IF(COUNTIF($W$2:W1053,A68)=0,$B$9,""))</f>
        <v/>
      </c>
      <c r="C68" s="2" t="str">
        <f t="shared" ca="1" si="4"/>
        <v/>
      </c>
      <c r="D68" s="41"/>
      <c r="E68" s="38" t="str">
        <f ca="1">IF(COUNTIF($W$2:W1053,A68)=1,VLOOKUP(A68,Q:R,2), IF(COUNTIF($W$2:W1053,A68)=0,$C$9,""))</f>
        <v/>
      </c>
      <c r="F68" s="2" t="str">
        <f t="shared" ca="1" si="5"/>
        <v/>
      </c>
      <c r="G68" s="41" t="str">
        <f t="shared" ca="1" si="6"/>
        <v/>
      </c>
      <c r="H68" s="38" t="str">
        <f ca="1">IF(COUNTIF($W$2:W1053,A68)=1,VLOOKUP(A68,S:T,2), IF(COUNTIF($W$2:W1053,A68)=0,$D$9,""))</f>
        <v/>
      </c>
      <c r="I68" s="39" t="str">
        <f ca="1">IF(COUNTIF($X$2:X1053,INT(A68))=1,VLOOKUP(INT(A68),X:Y,2), IF(ISERROR(H68-2),"",I67*(1-$D$8*(H68-H67)*0.0001)))</f>
        <v/>
      </c>
      <c r="J68" s="39" t="str">
        <f t="shared" ca="1" si="7"/>
        <v/>
      </c>
      <c r="K68" s="41" t="str">
        <f t="shared" ca="1" si="8"/>
        <v/>
      </c>
      <c r="L68" s="41"/>
      <c r="M68" s="42" t="str">
        <f ca="1">IF(ISERROR(B68-2),"",C68+D68-F68-G68-K68+SUM($L$14:L68))</f>
        <v/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 t="str">
        <f t="shared" ref="U68:U131" si="9">IF(COUNTIF(Q:Q,O68)*COUNTIF(S:S,O68),O68,"")</f>
        <v/>
      </c>
      <c r="V68" s="3" t="str">
        <f t="shared" ref="V68:V131" si="10">IF(U68&gt;$A$14,U68,"")</f>
        <v/>
      </c>
      <c r="X68" s="3">
        <v>46136</v>
      </c>
      <c r="Y68" s="5">
        <v>264.2679</v>
      </c>
      <c r="Z68" s="3">
        <v>45873</v>
      </c>
      <c r="AA68" s="19">
        <v>240.82929999999999</v>
      </c>
      <c r="AB68" s="76">
        <v>45873</v>
      </c>
      <c r="AC68" s="20">
        <v>275.71300000000002</v>
      </c>
      <c r="AD68" s="6">
        <f t="shared" ref="AD68:AD131" si="11">IF(COUNTIF(AB:AB,Z68),Z68,"")</f>
        <v>45873</v>
      </c>
      <c r="AE68" s="20"/>
      <c r="AF68" s="20"/>
      <c r="AG68" s="20"/>
      <c r="AH68" s="20"/>
      <c r="AI68" s="7"/>
    </row>
    <row r="69" spans="1:35" x14ac:dyDescent="0.25">
      <c r="A69" s="37" t="str">
        <f t="shared" ca="1" si="3"/>
        <v/>
      </c>
      <c r="B69" s="38" t="str">
        <f ca="1">IF(COUNTIF($W$2:W1054,A69)=1,VLOOKUP(A69,O:P,2), IF(COUNTIF($W$2:W1054,A69)=0,$B$9,""))</f>
        <v/>
      </c>
      <c r="C69" s="2" t="str">
        <f t="shared" ca="1" si="4"/>
        <v/>
      </c>
      <c r="D69" s="41"/>
      <c r="E69" s="38" t="str">
        <f ca="1">IF(COUNTIF($W$2:W1054,A69)=1,VLOOKUP(A69,Q:R,2), IF(COUNTIF($W$2:W1054,A69)=0,$C$9,""))</f>
        <v/>
      </c>
      <c r="F69" s="2" t="str">
        <f t="shared" ca="1" si="5"/>
        <v/>
      </c>
      <c r="G69" s="41" t="str">
        <f t="shared" ca="1" si="6"/>
        <v/>
      </c>
      <c r="H69" s="38" t="str">
        <f ca="1">IF(COUNTIF($W$2:W1054,A69)=1,VLOOKUP(A69,S:T,2), IF(COUNTIF($W$2:W1054,A69)=0,$D$9,""))</f>
        <v/>
      </c>
      <c r="I69" s="39" t="str">
        <f ca="1">IF(COUNTIF($X$2:X1054,INT(A69))=1,VLOOKUP(INT(A69),X:Y,2), IF(ISERROR(H69-2),"",I68*(1-$D$8*(H69-H68)*0.0001)))</f>
        <v/>
      </c>
      <c r="J69" s="39" t="str">
        <f t="shared" ca="1" si="7"/>
        <v/>
      </c>
      <c r="K69" s="41" t="str">
        <f t="shared" ca="1" si="8"/>
        <v/>
      </c>
      <c r="L69" s="41"/>
      <c r="M69" s="42" t="str">
        <f ca="1">IF(ISERROR(B69-2),"",C69+D69-F69-G69-K69+SUM($L$14:L69))</f>
        <v/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 t="str">
        <f t="shared" si="9"/>
        <v/>
      </c>
      <c r="V69" s="3" t="str">
        <f t="shared" si="10"/>
        <v/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76">
        <v>45874</v>
      </c>
      <c r="AC69" s="20">
        <v>275.75200000000001</v>
      </c>
      <c r="AD69" s="6">
        <f t="shared" si="11"/>
        <v>45874</v>
      </c>
      <c r="AE69" s="20"/>
      <c r="AF69" s="20"/>
      <c r="AG69" s="20"/>
      <c r="AH69" s="20"/>
      <c r="AI69" s="7"/>
    </row>
    <row r="70" spans="1:35" x14ac:dyDescent="0.25">
      <c r="A70" s="37" t="str">
        <f t="shared" ca="1" si="3"/>
        <v/>
      </c>
      <c r="B70" s="38" t="str">
        <f ca="1">IF(COUNTIF($W$2:W1055,A70)=1,VLOOKUP(A70,O:P,2), IF(COUNTIF($W$2:W1055,A70)=0,$B$9,""))</f>
        <v/>
      </c>
      <c r="C70" s="2" t="str">
        <f t="shared" ca="1" si="4"/>
        <v/>
      </c>
      <c r="D70" s="41"/>
      <c r="E70" s="38" t="str">
        <f ca="1">IF(COUNTIF($W$2:W1055,A70)=1,VLOOKUP(A70,Q:R,2), IF(COUNTIF($W$2:W1055,A70)=0,$C$9,""))</f>
        <v/>
      </c>
      <c r="F70" s="2" t="str">
        <f t="shared" ca="1" si="5"/>
        <v/>
      </c>
      <c r="G70" s="41" t="str">
        <f t="shared" ca="1" si="6"/>
        <v/>
      </c>
      <c r="H70" s="38" t="str">
        <f ca="1">IF(COUNTIF($W$2:W1055,A70)=1,VLOOKUP(A70,S:T,2), IF(COUNTIF($W$2:W1055,A70)=0,$D$9,""))</f>
        <v/>
      </c>
      <c r="I70" s="39" t="str">
        <f ca="1">IF(COUNTIF($X$2:X1055,INT(A70))=1,VLOOKUP(INT(A70),X:Y,2), IF(ISERROR(H70-2),"",I69*(1-$D$8*(H70-H69)*0.0001)))</f>
        <v/>
      </c>
      <c r="J70" s="39" t="str">
        <f t="shared" ca="1" si="7"/>
        <v/>
      </c>
      <c r="K70" s="41" t="str">
        <f t="shared" ca="1" si="8"/>
        <v/>
      </c>
      <c r="L70" s="41"/>
      <c r="M70" s="42" t="str">
        <f ca="1">IF(ISERROR(B70-2),"",C70+D70-F70-G70-K70+SUM($L$14:L70))</f>
        <v/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 t="str">
        <f t="shared" si="9"/>
        <v/>
      </c>
      <c r="V70" s="3" t="str">
        <f t="shared" si="10"/>
        <v/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74">
        <v>45875</v>
      </c>
      <c r="AC70" s="4">
        <v>275.17599999999999</v>
      </c>
      <c r="AD70" s="6">
        <f t="shared" si="11"/>
        <v>45875</v>
      </c>
      <c r="AI70" s="7"/>
    </row>
    <row r="71" spans="1:35" x14ac:dyDescent="0.25">
      <c r="A71" s="37" t="str">
        <f t="shared" ca="1" si="3"/>
        <v/>
      </c>
      <c r="B71" s="38" t="str">
        <f ca="1">IF(COUNTIF($W$2:W1056,A71)=1,VLOOKUP(A71,O:P,2), IF(COUNTIF($W$2:W1056,A71)=0,$B$9,""))</f>
        <v/>
      </c>
      <c r="C71" s="2" t="str">
        <f t="shared" ca="1" si="4"/>
        <v/>
      </c>
      <c r="D71" s="41"/>
      <c r="E71" s="38" t="str">
        <f ca="1">IF(COUNTIF($W$2:W1056,A71)=1,VLOOKUP(A71,Q:R,2), IF(COUNTIF($W$2:W1056,A71)=0,$C$9,""))</f>
        <v/>
      </c>
      <c r="F71" s="2" t="str">
        <f t="shared" ca="1" si="5"/>
        <v/>
      </c>
      <c r="G71" s="41" t="str">
        <f t="shared" ca="1" si="6"/>
        <v/>
      </c>
      <c r="H71" s="38" t="str">
        <f ca="1">IF(COUNTIF($W$2:W1056,A71)=1,VLOOKUP(A71,S:T,2), IF(COUNTIF($W$2:W1056,A71)=0,$D$9,""))</f>
        <v/>
      </c>
      <c r="I71" s="39" t="str">
        <f ca="1">IF(COUNTIF($X$2:X1056,INT(A71))=1,VLOOKUP(INT(A71),X:Y,2), IF(ISERROR(H71-2),"",I70*(1-$D$8*(H71-H70)*0.0001)))</f>
        <v/>
      </c>
      <c r="J71" s="39" t="str">
        <f t="shared" ca="1" si="7"/>
        <v/>
      </c>
      <c r="K71" s="41" t="str">
        <f t="shared" ca="1" si="8"/>
        <v/>
      </c>
      <c r="L71" s="41"/>
      <c r="M71" s="42" t="str">
        <f ca="1">IF(ISERROR(B71-2),"",C71+D71-F71-G71-K71+SUM($L$14:L71))</f>
        <v/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 t="str">
        <f t="shared" si="9"/>
        <v/>
      </c>
      <c r="V71" s="3" t="str">
        <f t="shared" si="10"/>
        <v/>
      </c>
      <c r="X71" s="3">
        <v>46141</v>
      </c>
      <c r="Y71" s="5">
        <v>263.29599999999999</v>
      </c>
      <c r="Z71" s="3">
        <v>45876</v>
      </c>
      <c r="AA71" s="4">
        <v>241.5027</v>
      </c>
      <c r="AB71" s="74">
        <v>45876</v>
      </c>
      <c r="AC71" s="4">
        <v>270.50400000000002</v>
      </c>
      <c r="AD71" s="6">
        <f t="shared" si="11"/>
        <v>45876</v>
      </c>
      <c r="AI71" s="7"/>
    </row>
    <row r="72" spans="1:35" x14ac:dyDescent="0.25">
      <c r="A72" s="37" t="str">
        <f t="shared" ca="1" si="3"/>
        <v/>
      </c>
      <c r="B72" s="38" t="str">
        <f ca="1">IF(COUNTIF($W$2:W1057,A72)=1,VLOOKUP(A72,O:P,2), IF(COUNTIF($W$2:W1057,A72)=0,$B$9,""))</f>
        <v/>
      </c>
      <c r="C72" s="2" t="str">
        <f t="shared" ca="1" si="4"/>
        <v/>
      </c>
      <c r="D72" s="41"/>
      <c r="E72" s="38" t="str">
        <f ca="1">IF(COUNTIF($W$2:W1057,A72)=1,VLOOKUP(A72,Q:R,2), IF(COUNTIF($W$2:W1057,A72)=0,$C$9,""))</f>
        <v/>
      </c>
      <c r="F72" s="2" t="str">
        <f t="shared" ca="1" si="5"/>
        <v/>
      </c>
      <c r="G72" s="41" t="str">
        <f t="shared" ca="1" si="6"/>
        <v/>
      </c>
      <c r="H72" s="38" t="str">
        <f ca="1">IF(COUNTIF($W$2:W1057,A72)=1,VLOOKUP(A72,S:T,2), IF(COUNTIF($W$2:W1057,A72)=0,$D$9,""))</f>
        <v/>
      </c>
      <c r="I72" s="39" t="str">
        <f ca="1">IF(COUNTIF($X$2:X1057,INT(A72))=1,VLOOKUP(INT(A72),X:Y,2), IF(ISERROR(H72-2),"",I71*(1-$D$8*(H72-H71)*0.0001)))</f>
        <v/>
      </c>
      <c r="J72" s="39" t="str">
        <f t="shared" ca="1" si="7"/>
        <v/>
      </c>
      <c r="K72" s="41" t="str">
        <f t="shared" ca="1" si="8"/>
        <v/>
      </c>
      <c r="L72" s="41"/>
      <c r="M72" s="42" t="str">
        <f ca="1">IF(ISERROR(B72-2),"",C72+D72-F72-G72-K72+SUM($L$14:L72))</f>
        <v/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 t="str">
        <f t="shared" si="9"/>
        <v/>
      </c>
      <c r="V72" s="3" t="str">
        <f t="shared" si="10"/>
        <v/>
      </c>
      <c r="X72" s="3">
        <v>46142</v>
      </c>
      <c r="Y72" s="5">
        <v>263.72019999999998</v>
      </c>
      <c r="Z72" s="3">
        <v>45877</v>
      </c>
      <c r="AA72" s="4">
        <v>241.9376</v>
      </c>
      <c r="AB72" s="74">
        <v>45877</v>
      </c>
      <c r="AC72" s="4">
        <v>266.57299999999998</v>
      </c>
      <c r="AD72" s="6">
        <f t="shared" si="11"/>
        <v>45877</v>
      </c>
      <c r="AI72" s="7"/>
    </row>
    <row r="73" spans="1:35" x14ac:dyDescent="0.25">
      <c r="A73" s="37" t="str">
        <f t="shared" ca="1" si="3"/>
        <v/>
      </c>
      <c r="B73" s="38" t="str">
        <f ca="1">IF(COUNTIF($W$2:W1058,A73)=1,VLOOKUP(A73,O:P,2), IF(COUNTIF($W$2:W1058,A73)=0,$B$9,""))</f>
        <v/>
      </c>
      <c r="C73" s="2" t="str">
        <f t="shared" ca="1" si="4"/>
        <v/>
      </c>
      <c r="D73" s="41"/>
      <c r="E73" s="38" t="str">
        <f ca="1">IF(COUNTIF($W$2:W1058,A73)=1,VLOOKUP(A73,Q:R,2), IF(COUNTIF($W$2:W1058,A73)=0,$C$9,""))</f>
        <v/>
      </c>
      <c r="F73" s="2" t="str">
        <f t="shared" ca="1" si="5"/>
        <v/>
      </c>
      <c r="G73" s="41" t="str">
        <f t="shared" ca="1" si="6"/>
        <v/>
      </c>
      <c r="H73" s="38" t="str">
        <f ca="1">IF(COUNTIF($W$2:W1058,A73)=1,VLOOKUP(A73,S:T,2), IF(COUNTIF($W$2:W1058,A73)=0,$D$9,""))</f>
        <v/>
      </c>
      <c r="I73" s="39" t="str">
        <f ca="1">IF(COUNTIF($X$2:X1058,INT(A73))=1,VLOOKUP(INT(A73),X:Y,2), IF(ISERROR(H73-2),"",I72*(1-$D$8*(H73-H72)*0.0001)))</f>
        <v/>
      </c>
      <c r="J73" s="39" t="str">
        <f t="shared" ca="1" si="7"/>
        <v/>
      </c>
      <c r="K73" s="41" t="str">
        <f t="shared" ca="1" si="8"/>
        <v/>
      </c>
      <c r="L73" s="41"/>
      <c r="M73" s="42" t="str">
        <f ca="1">IF(ISERROR(B73-2),"",C73+D73-F73-G73-K73+SUM($L$14:L73))</f>
        <v/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 t="str">
        <f t="shared" si="9"/>
        <v/>
      </c>
      <c r="V73" s="3" t="str">
        <f t="shared" si="10"/>
        <v/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74">
        <v>45880</v>
      </c>
      <c r="AC73" s="4">
        <v>265.935</v>
      </c>
      <c r="AD73" s="6">
        <f t="shared" si="11"/>
        <v>45880</v>
      </c>
      <c r="AI73" s="7"/>
    </row>
    <row r="74" spans="1:35" x14ac:dyDescent="0.25">
      <c r="A74" s="37" t="str">
        <f t="shared" ca="1" si="3"/>
        <v/>
      </c>
      <c r="B74" s="38" t="str">
        <f ca="1">IF(COUNTIF($W$2:W1059,A74)=1,VLOOKUP(A74,O:P,2), IF(COUNTIF($W$2:W1059,A74)=0,$B$9,""))</f>
        <v/>
      </c>
      <c r="C74" s="2" t="str">
        <f t="shared" ca="1" si="4"/>
        <v/>
      </c>
      <c r="D74" s="41"/>
      <c r="E74" s="38" t="str">
        <f ca="1">IF(COUNTIF($W$2:W1059,A74)=1,VLOOKUP(A74,Q:R,2), IF(COUNTIF($W$2:W1059,A74)=0,$C$9,""))</f>
        <v/>
      </c>
      <c r="F74" s="2" t="str">
        <f t="shared" ca="1" si="5"/>
        <v/>
      </c>
      <c r="G74" s="41" t="str">
        <f t="shared" ca="1" si="6"/>
        <v/>
      </c>
      <c r="H74" s="38" t="str">
        <f ca="1">IF(COUNTIF($W$2:W1059,A74)=1,VLOOKUP(A74,S:T,2), IF(COUNTIF($W$2:W1059,A74)=0,$D$9,""))</f>
        <v/>
      </c>
      <c r="I74" s="39" t="str">
        <f ca="1">IF(COUNTIF($X$2:X1059,INT(A74))=1,VLOOKUP(INT(A74),X:Y,2), IF(ISERROR(H74-2),"",I73*(1-$D$8*(H74-H73)*0.0001)))</f>
        <v/>
      </c>
      <c r="J74" s="39" t="str">
        <f t="shared" ca="1" si="7"/>
        <v/>
      </c>
      <c r="K74" s="41" t="str">
        <f t="shared" ca="1" si="8"/>
        <v/>
      </c>
      <c r="L74" s="41"/>
      <c r="M74" s="42" t="str">
        <f ca="1">IF(ISERROR(B74-2),"",C74+D74-F74-G74-K74+SUM($L$14:L74))</f>
        <v/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 t="str">
        <f t="shared" si="9"/>
        <v/>
      </c>
      <c r="V74" s="3" t="str">
        <f t="shared" si="10"/>
        <v/>
      </c>
      <c r="X74" s="3">
        <v>46147</v>
      </c>
      <c r="Y74" s="5">
        <v>264.5573</v>
      </c>
      <c r="Z74" s="3">
        <v>45881</v>
      </c>
      <c r="AA74" s="4">
        <v>242.30109999999999</v>
      </c>
      <c r="AB74" s="74">
        <v>45881</v>
      </c>
      <c r="AC74" s="4">
        <v>263.49</v>
      </c>
      <c r="AD74" s="6">
        <f t="shared" si="11"/>
        <v>45881</v>
      </c>
      <c r="AI74" s="7"/>
    </row>
    <row r="75" spans="1:35" x14ac:dyDescent="0.25">
      <c r="A75" s="37" t="str">
        <f t="shared" ca="1" si="3"/>
        <v/>
      </c>
      <c r="B75" s="38" t="str">
        <f ca="1">IF(COUNTIF($W$2:W1060,A75)=1,VLOOKUP(A75,O:P,2), IF(COUNTIF($W$2:W1060,A75)=0,$B$9,""))</f>
        <v/>
      </c>
      <c r="C75" s="2" t="str">
        <f t="shared" ca="1" si="4"/>
        <v/>
      </c>
      <c r="D75" s="41"/>
      <c r="E75" s="38" t="str">
        <f ca="1">IF(COUNTIF($W$2:W1060,A75)=1,VLOOKUP(A75,Q:R,2), IF(COUNTIF($W$2:W1060,A75)=0,$C$9,""))</f>
        <v/>
      </c>
      <c r="F75" s="2" t="str">
        <f t="shared" ca="1" si="5"/>
        <v/>
      </c>
      <c r="G75" s="41" t="str">
        <f t="shared" ca="1" si="6"/>
        <v/>
      </c>
      <c r="H75" s="38" t="str">
        <f ca="1">IF(COUNTIF($W$2:W1060,A75)=1,VLOOKUP(A75,S:T,2), IF(COUNTIF($W$2:W1060,A75)=0,$D$9,""))</f>
        <v/>
      </c>
      <c r="I75" s="39" t="str">
        <f ca="1">IF(COUNTIF($X$2:X1060,INT(A75))=1,VLOOKUP(INT(A75),X:Y,2), IF(ISERROR(H75-2),"",I74*(1-$D$8*(H75-H74)*0.0001)))</f>
        <v/>
      </c>
      <c r="J75" s="39" t="str">
        <f t="shared" ca="1" si="7"/>
        <v/>
      </c>
      <c r="K75" s="41" t="str">
        <f t="shared" ca="1" si="8"/>
        <v/>
      </c>
      <c r="L75" s="41"/>
      <c r="M75" s="42" t="str">
        <f ca="1">IF(ISERROR(B75-2),"",C75+D75-F75-G75-K75+SUM($L$14:L75))</f>
        <v/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 t="str">
        <f t="shared" si="9"/>
        <v/>
      </c>
      <c r="V75" s="3" t="str">
        <f t="shared" si="10"/>
        <v/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74">
        <v>45882</v>
      </c>
      <c r="AC75" s="4">
        <v>261.18700000000001</v>
      </c>
      <c r="AD75" s="6">
        <f t="shared" si="11"/>
        <v>45882</v>
      </c>
      <c r="AI75" s="7"/>
    </row>
    <row r="76" spans="1:35" x14ac:dyDescent="0.25">
      <c r="A76" s="37" t="str">
        <f t="shared" ca="1" si="3"/>
        <v/>
      </c>
      <c r="B76" s="38" t="str">
        <f ca="1">IF(COUNTIF($W$2:W1061,A76)=1,VLOOKUP(A76,O:P,2), IF(COUNTIF($W$2:W1061,A76)=0,$B$9,""))</f>
        <v/>
      </c>
      <c r="C76" s="2" t="str">
        <f t="shared" ca="1" si="4"/>
        <v/>
      </c>
      <c r="D76" s="41"/>
      <c r="E76" s="38" t="str">
        <f ca="1">IF(COUNTIF($W$2:W1061,A76)=1,VLOOKUP(A76,Q:R,2), IF(COUNTIF($W$2:W1061,A76)=0,$C$9,""))</f>
        <v/>
      </c>
      <c r="F76" s="2" t="str">
        <f t="shared" ca="1" si="5"/>
        <v/>
      </c>
      <c r="G76" s="41" t="str">
        <f t="shared" ca="1" si="6"/>
        <v/>
      </c>
      <c r="H76" s="38" t="str">
        <f ca="1">IF(COUNTIF($W$2:W1061,A76)=1,VLOOKUP(A76,S:T,2), IF(COUNTIF($W$2:W1061,A76)=0,$D$9,""))</f>
        <v/>
      </c>
      <c r="I76" s="39" t="str">
        <f ca="1">IF(COUNTIF($X$2:X1061,INT(A76))=1,VLOOKUP(INT(A76),X:Y,2), IF(ISERROR(H76-2),"",I75*(1-$D$8*(H76-H75)*0.0001)))</f>
        <v/>
      </c>
      <c r="J76" s="39" t="str">
        <f t="shared" ca="1" si="7"/>
        <v/>
      </c>
      <c r="K76" s="41" t="str">
        <f t="shared" ca="1" si="8"/>
        <v/>
      </c>
      <c r="L76" s="41"/>
      <c r="M76" s="42" t="str">
        <f ca="1">IF(ISERROR(B76-2),"",C76+D76-F76-G76-K76+SUM($L$14:L76))</f>
        <v/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 t="str">
        <f t="shared" si="9"/>
        <v/>
      </c>
      <c r="V76" s="3" t="str">
        <f t="shared" si="10"/>
        <v/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74">
        <v>45883</v>
      </c>
      <c r="AC76" s="4">
        <v>260.53300000000002</v>
      </c>
      <c r="AD76" s="6">
        <f t="shared" si="11"/>
        <v>45883</v>
      </c>
      <c r="AI76" s="7"/>
    </row>
    <row r="77" spans="1:35" x14ac:dyDescent="0.25">
      <c r="A77" s="37" t="str">
        <f t="shared" ca="1" si="3"/>
        <v/>
      </c>
      <c r="B77" s="38" t="str">
        <f ca="1">IF(COUNTIF($W$2:W1062,A77)=1,VLOOKUP(A77,O:P,2), IF(COUNTIF($W$2:W1062,A77)=0,$B$9,""))</f>
        <v/>
      </c>
      <c r="C77" s="2" t="str">
        <f t="shared" ca="1" si="4"/>
        <v/>
      </c>
      <c r="D77" s="41"/>
      <c r="E77" s="38" t="str">
        <f ca="1">IF(COUNTIF($W$2:W1062,A77)=1,VLOOKUP(A77,Q:R,2), IF(COUNTIF($W$2:W1062,A77)=0,$C$9,""))</f>
        <v/>
      </c>
      <c r="F77" s="2" t="str">
        <f t="shared" ca="1" si="5"/>
        <v/>
      </c>
      <c r="G77" s="41" t="str">
        <f t="shared" ca="1" si="6"/>
        <v/>
      </c>
      <c r="H77" s="38" t="str">
        <f ca="1">IF(COUNTIF($W$2:W1062,A77)=1,VLOOKUP(A77,S:T,2), IF(COUNTIF($W$2:W1062,A77)=0,$D$9,""))</f>
        <v/>
      </c>
      <c r="I77" s="39" t="str">
        <f ca="1">IF(COUNTIF($X$2:X1062,INT(A77))=1,VLOOKUP(INT(A77),X:Y,2), IF(ISERROR(H77-2),"",I76*(1-$D$8*(H77-H76)*0.0001)))</f>
        <v/>
      </c>
      <c r="J77" s="39" t="str">
        <f t="shared" ca="1" si="7"/>
        <v/>
      </c>
      <c r="K77" s="41" t="str">
        <f t="shared" ca="1" si="8"/>
        <v/>
      </c>
      <c r="L77" s="41"/>
      <c r="M77" s="42" t="str">
        <f ca="1">IF(ISERROR(B77-2),"",C77+D77-F77-G77-K77+SUM($L$14:L77))</f>
        <v/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 t="str">
        <f t="shared" si="9"/>
        <v/>
      </c>
      <c r="V77" s="3" t="str">
        <f t="shared" si="10"/>
        <v/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74">
        <v>45884</v>
      </c>
      <c r="AC77" s="4">
        <v>259.50799999999998</v>
      </c>
      <c r="AD77" s="6">
        <f t="shared" si="11"/>
        <v>45884</v>
      </c>
      <c r="AI77" s="7"/>
    </row>
    <row r="78" spans="1:35" x14ac:dyDescent="0.25">
      <c r="A78" s="37" t="str">
        <f t="shared" ca="1" si="3"/>
        <v/>
      </c>
      <c r="B78" s="38" t="str">
        <f ca="1">IF(COUNTIF($W$2:W1063,A78)=1,VLOOKUP(A78,O:P,2), IF(COUNTIF($W$2:W1063,A78)=0,$B$9,""))</f>
        <v/>
      </c>
      <c r="C78" s="2" t="str">
        <f t="shared" ca="1" si="4"/>
        <v/>
      </c>
      <c r="D78" s="41"/>
      <c r="E78" s="38" t="str">
        <f ca="1">IF(COUNTIF($W$2:W1063,A78)=1,VLOOKUP(A78,Q:R,2), IF(COUNTIF($W$2:W1063,A78)=0,$C$9,""))</f>
        <v/>
      </c>
      <c r="F78" s="2" t="str">
        <f t="shared" ca="1" si="5"/>
        <v/>
      </c>
      <c r="G78" s="41" t="str">
        <f t="shared" ca="1" si="6"/>
        <v/>
      </c>
      <c r="H78" s="38" t="str">
        <f ca="1">IF(COUNTIF($W$2:W1063,A78)=1,VLOOKUP(A78,S:T,2), IF(COUNTIF($W$2:W1063,A78)=0,$D$9,""))</f>
        <v/>
      </c>
      <c r="I78" s="39" t="str">
        <f ca="1">IF(COUNTIF($X$2:X1063,INT(A78))=1,VLOOKUP(INT(A78),X:Y,2), IF(ISERROR(H78-2),"",I77*(1-$D$8*(H78-H77)*0.0001)))</f>
        <v/>
      </c>
      <c r="J78" s="39" t="str">
        <f t="shared" ca="1" si="7"/>
        <v/>
      </c>
      <c r="K78" s="41" t="str">
        <f t="shared" ca="1" si="8"/>
        <v/>
      </c>
      <c r="L78" s="41"/>
      <c r="M78" s="42" t="str">
        <f ca="1">IF(ISERROR(B78-2),"",C78+D78-F78-G78-K78+SUM($L$14:L78))</f>
        <v/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 t="str">
        <f t="shared" si="9"/>
        <v/>
      </c>
      <c r="V78" s="3" t="str">
        <f t="shared" si="10"/>
        <v/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74">
        <v>45887</v>
      </c>
      <c r="AC78" s="4">
        <v>259.964</v>
      </c>
      <c r="AD78" s="6">
        <f t="shared" si="11"/>
        <v>45887</v>
      </c>
    </row>
    <row r="79" spans="1:35" x14ac:dyDescent="0.25">
      <c r="A79" s="37" t="str">
        <f t="shared" ref="A79:A142" ca="1" si="12">IF(AND(ISBLANK(W68), A78 = $W$1),NOW(),IF(ISBLANK(W68),"",W68))</f>
        <v/>
      </c>
      <c r="B79" s="38" t="str">
        <f ca="1">IF(COUNTIF($W$2:W1064,A79)=1,VLOOKUP(A79,O:P,2), IF(COUNTIF($W$2:W1064,A79)=0,$B$9,""))</f>
        <v/>
      </c>
      <c r="C79" s="2" t="str">
        <f t="shared" ca="1" si="4"/>
        <v/>
      </c>
      <c r="D79" s="41"/>
      <c r="E79" s="38" t="str">
        <f ca="1">IF(COUNTIF($W$2:W1064,A79)=1,VLOOKUP(A79,Q:R,2), IF(COUNTIF($W$2:W1064,A79)=0,$C$9,""))</f>
        <v/>
      </c>
      <c r="F79" s="2" t="str">
        <f t="shared" ca="1" si="5"/>
        <v/>
      </c>
      <c r="G79" s="41" t="str">
        <f t="shared" ca="1" si="6"/>
        <v/>
      </c>
      <c r="H79" s="38" t="str">
        <f ca="1">IF(COUNTIF($W$2:W1064,A79)=1,VLOOKUP(A79,S:T,2), IF(COUNTIF($W$2:W1064,A79)=0,$D$9,""))</f>
        <v/>
      </c>
      <c r="I79" s="39" t="str">
        <f ca="1">IF(COUNTIF($X$2:X1064,INT(A79))=1,VLOOKUP(INT(A79),X:Y,2), IF(ISERROR(H79-2),"",I78*(1-$D$8*(H79-H78)*0.0001)))</f>
        <v/>
      </c>
      <c r="J79" s="39" t="str">
        <f t="shared" ca="1" si="7"/>
        <v/>
      </c>
      <c r="K79" s="41" t="str">
        <f t="shared" ca="1" si="8"/>
        <v/>
      </c>
      <c r="L79" s="41"/>
      <c r="M79" s="42" t="str">
        <f ca="1">IF(ISERROR(B79-2),"",C79+D79-F79-G79-K79+SUM($L$14:L79))</f>
        <v/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 t="str">
        <f t="shared" si="9"/>
        <v/>
      </c>
      <c r="V79" s="3" t="str">
        <f t="shared" si="10"/>
        <v/>
      </c>
      <c r="X79" s="3">
        <v>46154</v>
      </c>
      <c r="Y79" s="5">
        <v>265.19240000000002</v>
      </c>
      <c r="Z79" s="3">
        <v>45888</v>
      </c>
      <c r="AA79" s="4">
        <v>242.8905</v>
      </c>
      <c r="AB79" s="74">
        <v>45888</v>
      </c>
      <c r="AC79" s="4">
        <v>260.928</v>
      </c>
      <c r="AD79" s="6">
        <f t="shared" si="11"/>
        <v>45888</v>
      </c>
    </row>
    <row r="80" spans="1:35" x14ac:dyDescent="0.25">
      <c r="A80" s="37" t="str">
        <f t="shared" ca="1" si="12"/>
        <v/>
      </c>
      <c r="B80" s="38" t="str">
        <f ca="1">IF(COUNTIF($W$2:W1065,A80)=1,VLOOKUP(A80,O:P,2), IF(COUNTIF($W$2:W1065,A80)=0,$B$9,""))</f>
        <v/>
      </c>
      <c r="C80" s="2" t="str">
        <f t="shared" ref="C80:C143" ca="1" si="13">IF(ISERROR(B80-2),"",(B80-$B$14)*$G$3*$I$3)</f>
        <v/>
      </c>
      <c r="D80" s="41"/>
      <c r="E80" s="38" t="str">
        <f ca="1">IF(COUNTIF($W$2:W1065,A80)=1,VLOOKUP(A80,Q:R,2), IF(COUNTIF($W$2:W1065,A80)=0,$C$9,""))</f>
        <v/>
      </c>
      <c r="F80" s="2" t="str">
        <f t="shared" ref="F80:F143" ca="1" si="14">IF(ISERROR(B80-2),"",(E80-$E$14)/100*$C$5)</f>
        <v/>
      </c>
      <c r="G80" s="41" t="str">
        <f t="shared" ref="G80:G143" ca="1" si="15">IF(ISERROR(B80-2),"",(INT(A80)-INT($A$14))/360*$C$6*$C$5-(INT(A80)-INT($A$14))/360*$C$7*$C$5*$E$14/100)</f>
        <v/>
      </c>
      <c r="H80" s="38" t="str">
        <f ca="1">IF(COUNTIF($W$2:W1065,A80)=1,VLOOKUP(A80,S:T,2), IF(COUNTIF($W$2:W1065,A80)=0,$D$9,""))</f>
        <v/>
      </c>
      <c r="I80" s="39" t="str">
        <f ca="1">IF(COUNTIF($X$2:X1065,INT(A80))=1,VLOOKUP(INT(A80),X:Y,2), IF(ISERROR(H80-2),"",I79*(1-$D$8*(H80-H79)*0.0001)))</f>
        <v/>
      </c>
      <c r="J80" s="39" t="str">
        <f t="shared" ref="J80:J143" ca="1" si="16">IF(ISERROR(H80-2),"",I80)</f>
        <v/>
      </c>
      <c r="K80" s="41" t="str">
        <f t="shared" ref="K80:K143" ca="1" si="17">IF(ISERROR(H80-2),"",(J80/$J$14-1)*$D$5)</f>
        <v/>
      </c>
      <c r="L80" s="41"/>
      <c r="M80" s="42" t="str">
        <f ca="1">IF(ISERROR(B80-2),"",C80+D80-F80-G80-K80+SUM($L$14:L80))</f>
        <v/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 t="str">
        <f t="shared" si="9"/>
        <v/>
      </c>
      <c r="V80" s="3" t="str">
        <f t="shared" si="10"/>
        <v/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74">
        <v>45889</v>
      </c>
      <c r="AC80" s="4">
        <v>265.03500000000003</v>
      </c>
      <c r="AD80" s="6">
        <f t="shared" si="11"/>
        <v>45889</v>
      </c>
    </row>
    <row r="81" spans="1:30" x14ac:dyDescent="0.25">
      <c r="A81" s="37" t="str">
        <f t="shared" ca="1" si="12"/>
        <v/>
      </c>
      <c r="B81" s="38" t="str">
        <f ca="1">IF(COUNTIF($W$2:W1066,A81)=1,VLOOKUP(A81,O:P,2), IF(COUNTIF($W$2:W1066,A81)=0,$B$9,""))</f>
        <v/>
      </c>
      <c r="C81" s="2" t="str">
        <f t="shared" ca="1" si="13"/>
        <v/>
      </c>
      <c r="D81" s="41"/>
      <c r="E81" s="38" t="str">
        <f ca="1">IF(COUNTIF($W$2:W1066,A81)=1,VLOOKUP(A81,Q:R,2), IF(COUNTIF($W$2:W1066,A81)=0,$C$9,""))</f>
        <v/>
      </c>
      <c r="F81" s="2" t="str">
        <f t="shared" ca="1" si="14"/>
        <v/>
      </c>
      <c r="G81" s="41" t="str">
        <f t="shared" ca="1" si="15"/>
        <v/>
      </c>
      <c r="H81" s="38" t="str">
        <f ca="1">IF(COUNTIF($W$2:W1066,A81)=1,VLOOKUP(A81,S:T,2), IF(COUNTIF($W$2:W1066,A81)=0,$D$9,""))</f>
        <v/>
      </c>
      <c r="I81" s="39" t="str">
        <f ca="1">IF(COUNTIF($X$2:X1066,INT(A81))=1,VLOOKUP(INT(A81),X:Y,2), IF(ISERROR(H81-2),"",I80*(1-$D$8*(H81-H80)*0.0001)))</f>
        <v/>
      </c>
      <c r="J81" s="39" t="str">
        <f t="shared" ca="1" si="16"/>
        <v/>
      </c>
      <c r="K81" s="41" t="str">
        <f t="shared" ca="1" si="17"/>
        <v/>
      </c>
      <c r="L81" s="41"/>
      <c r="M81" s="42" t="str">
        <f ca="1">IF(ISERROR(B81-2),"",C81+D81-F81-G81-K81+SUM($L$14:L81))</f>
        <v/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 t="str">
        <f t="shared" si="9"/>
        <v/>
      </c>
      <c r="V81" s="3" t="str">
        <f t="shared" si="10"/>
        <v/>
      </c>
      <c r="X81" s="3">
        <v>46156</v>
      </c>
      <c r="Y81" s="5">
        <v>266.41410000000002</v>
      </c>
      <c r="Z81" s="3">
        <v>45890</v>
      </c>
      <c r="AA81" s="4">
        <v>242.1087</v>
      </c>
      <c r="AB81" s="74">
        <v>45890</v>
      </c>
      <c r="AC81" s="4">
        <v>267.86399999999998</v>
      </c>
      <c r="AD81" s="6">
        <f t="shared" si="11"/>
        <v>45890</v>
      </c>
    </row>
    <row r="82" spans="1:30" x14ac:dyDescent="0.25">
      <c r="A82" s="37" t="str">
        <f t="shared" ca="1" si="12"/>
        <v/>
      </c>
      <c r="B82" s="38" t="str">
        <f ca="1">IF(COUNTIF($W$2:W1067,A82)=1,VLOOKUP(A82,O:P,2), IF(COUNTIF($W$2:W1067,A82)=0,$B$9,""))</f>
        <v/>
      </c>
      <c r="C82" s="2" t="str">
        <f t="shared" ca="1" si="13"/>
        <v/>
      </c>
      <c r="D82" s="41"/>
      <c r="E82" s="38" t="str">
        <f ca="1">IF(COUNTIF($W$2:W1067,A82)=1,VLOOKUP(A82,Q:R,2), IF(COUNTIF($W$2:W1067,A82)=0,$C$9,""))</f>
        <v/>
      </c>
      <c r="F82" s="2" t="str">
        <f t="shared" ca="1" si="14"/>
        <v/>
      </c>
      <c r="G82" s="41" t="str">
        <f t="shared" ca="1" si="15"/>
        <v/>
      </c>
      <c r="H82" s="38" t="str">
        <f ca="1">IF(COUNTIF($W$2:W1067,A82)=1,VLOOKUP(A82,S:T,2), IF(COUNTIF($W$2:W1067,A82)=0,$D$9,""))</f>
        <v/>
      </c>
      <c r="I82" s="39" t="str">
        <f ca="1">IF(COUNTIF($X$2:X1067,INT(A82))=1,VLOOKUP(INT(A82),X:Y,2), IF(ISERROR(H82-2),"",I81*(1-$D$8*(H82-H81)*0.0001)))</f>
        <v/>
      </c>
      <c r="J82" s="39" t="str">
        <f t="shared" ca="1" si="16"/>
        <v/>
      </c>
      <c r="K82" s="41" t="str">
        <f t="shared" ca="1" si="17"/>
        <v/>
      </c>
      <c r="L82" s="41"/>
      <c r="M82" s="42" t="str">
        <f ca="1">IF(ISERROR(B82-2),"",C82+D82-F82-G82-K82+SUM($L$14:L82))</f>
        <v/>
      </c>
      <c r="Q82" s="3">
        <v>46162.625</v>
      </c>
      <c r="R82" s="4">
        <v>99.39</v>
      </c>
      <c r="S82" s="3">
        <v>46162.625</v>
      </c>
      <c r="T82" s="4">
        <v>278.315</v>
      </c>
      <c r="U82" s="3" t="str">
        <f t="shared" si="9"/>
        <v/>
      </c>
      <c r="V82" s="3" t="str">
        <f t="shared" si="10"/>
        <v/>
      </c>
      <c r="X82" s="3">
        <v>46157</v>
      </c>
      <c r="Y82" s="5">
        <v>265.51639999999998</v>
      </c>
      <c r="Z82" s="3">
        <v>45891</v>
      </c>
      <c r="AA82" s="4">
        <v>242.8244</v>
      </c>
      <c r="AB82" s="74">
        <v>45891</v>
      </c>
      <c r="AC82" s="4">
        <v>260.35599999999999</v>
      </c>
      <c r="AD82" s="6">
        <f t="shared" si="11"/>
        <v>45891</v>
      </c>
    </row>
    <row r="83" spans="1:30" x14ac:dyDescent="0.25">
      <c r="A83" s="37" t="str">
        <f t="shared" ca="1" si="12"/>
        <v/>
      </c>
      <c r="B83" s="38" t="str">
        <f ca="1">IF(COUNTIF($W$2:W1068,A83)=1,VLOOKUP(A83,O:P,2), IF(COUNTIF($W$2:W1068,A83)=0,$B$9,""))</f>
        <v/>
      </c>
      <c r="C83" s="2" t="str">
        <f t="shared" ca="1" si="13"/>
        <v/>
      </c>
      <c r="D83" s="41"/>
      <c r="E83" s="38" t="str">
        <f ca="1">IF(COUNTIF($W$2:W1068,A83)=1,VLOOKUP(A83,Q:R,2), IF(COUNTIF($W$2:W1068,A83)=0,$C$9,""))</f>
        <v/>
      </c>
      <c r="F83" s="2" t="str">
        <f t="shared" ca="1" si="14"/>
        <v/>
      </c>
      <c r="G83" s="41" t="str">
        <f t="shared" ca="1" si="15"/>
        <v/>
      </c>
      <c r="H83" s="38" t="str">
        <f ca="1">IF(COUNTIF($W$2:W1068,A83)=1,VLOOKUP(A83,S:T,2), IF(COUNTIF($W$2:W1068,A83)=0,$D$9,""))</f>
        <v/>
      </c>
      <c r="I83" s="39" t="str">
        <f ca="1">IF(COUNTIF($X$2:X1068,INT(A83))=1,VLOOKUP(INT(A83),X:Y,2), IF(ISERROR(H83-2),"",I82*(1-$D$8*(H83-H82)*0.0001)))</f>
        <v/>
      </c>
      <c r="J83" s="39" t="str">
        <f t="shared" ca="1" si="16"/>
        <v/>
      </c>
      <c r="K83" s="41" t="str">
        <f t="shared" ca="1" si="17"/>
        <v/>
      </c>
      <c r="L83" s="41"/>
      <c r="M83" s="42" t="str">
        <f ca="1">IF(ISERROR(B83-2),"",C83+D83-F83-G83-K83+SUM($L$14:L83))</f>
        <v/>
      </c>
      <c r="Q83" s="3">
        <v>46163.625</v>
      </c>
      <c r="R83" s="4">
        <v>99.37</v>
      </c>
      <c r="S83" s="3">
        <v>46163.625</v>
      </c>
      <c r="T83" s="4">
        <v>279.541</v>
      </c>
      <c r="U83" s="3" t="str">
        <f t="shared" si="9"/>
        <v/>
      </c>
      <c r="V83" s="3" t="str">
        <f t="shared" si="10"/>
        <v/>
      </c>
      <c r="X83" s="3">
        <v>46160</v>
      </c>
      <c r="Y83" s="5">
        <v>265.6705</v>
      </c>
      <c r="Z83" s="3">
        <v>45895</v>
      </c>
      <c r="AA83" s="4">
        <v>242.22980000000001</v>
      </c>
      <c r="AB83" s="74">
        <v>45895</v>
      </c>
      <c r="AC83" s="4">
        <v>267.541</v>
      </c>
      <c r="AD83" s="6">
        <f t="shared" si="11"/>
        <v>45895</v>
      </c>
    </row>
    <row r="84" spans="1:30" x14ac:dyDescent="0.25">
      <c r="A84" s="37" t="str">
        <f t="shared" ca="1" si="12"/>
        <v/>
      </c>
      <c r="B84" s="38" t="str">
        <f ca="1">IF(COUNTIF($W$2:W1069,A84)=1,VLOOKUP(A84,O:P,2), IF(COUNTIF($W$2:W1069,A84)=0,$B$9,""))</f>
        <v/>
      </c>
      <c r="C84" s="2" t="str">
        <f t="shared" ca="1" si="13"/>
        <v/>
      </c>
      <c r="D84" s="41"/>
      <c r="E84" s="38" t="str">
        <f ca="1">IF(COUNTIF($W$2:W1069,A84)=1,VLOOKUP(A84,Q:R,2), IF(COUNTIF($W$2:W1069,A84)=0,$C$9,""))</f>
        <v/>
      </c>
      <c r="F84" s="2" t="str">
        <f t="shared" ca="1" si="14"/>
        <v/>
      </c>
      <c r="G84" s="41" t="str">
        <f t="shared" ca="1" si="15"/>
        <v/>
      </c>
      <c r="H84" s="38" t="str">
        <f ca="1">IF(COUNTIF($W$2:W1069,A84)=1,VLOOKUP(A84,S:T,2), IF(COUNTIF($W$2:W1069,A84)=0,$D$9,""))</f>
        <v/>
      </c>
      <c r="I84" s="39" t="str">
        <f ca="1">IF(COUNTIF($X$2:X1069,INT(A84))=1,VLOOKUP(INT(A84),X:Y,2), IF(ISERROR(H84-2),"",I83*(1-$D$8*(H84-H83)*0.0001)))</f>
        <v/>
      </c>
      <c r="J84" s="39" t="str">
        <f t="shared" ca="1" si="16"/>
        <v/>
      </c>
      <c r="K84" s="41" t="str">
        <f t="shared" ca="1" si="17"/>
        <v/>
      </c>
      <c r="L84" s="41"/>
      <c r="M84" s="42" t="str">
        <f ca="1">IF(ISERROR(B84-2),"",C84+D84-F84-G84-K84+SUM($L$14:L84))</f>
        <v/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 t="str">
        <f t="shared" si="9"/>
        <v/>
      </c>
      <c r="V84" s="3" t="str">
        <f t="shared" si="10"/>
        <v/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74">
        <v>45896</v>
      </c>
      <c r="AC84" s="4">
        <v>274.06099999999998</v>
      </c>
      <c r="AD84" s="6">
        <f t="shared" si="11"/>
        <v>45896</v>
      </c>
    </row>
    <row r="85" spans="1:30" x14ac:dyDescent="0.25">
      <c r="A85" s="37" t="str">
        <f t="shared" ca="1" si="12"/>
        <v/>
      </c>
      <c r="B85" s="38" t="str">
        <f ca="1">IF(COUNTIF($W$2:W1070,A85)=1,VLOOKUP(A85,O:P,2), IF(COUNTIF($W$2:W1070,A85)=0,$B$9,""))</f>
        <v/>
      </c>
      <c r="C85" s="2" t="str">
        <f t="shared" ca="1" si="13"/>
        <v/>
      </c>
      <c r="D85" s="41"/>
      <c r="E85" s="38" t="str">
        <f ca="1">IF(COUNTIF($W$2:W1070,A85)=1,VLOOKUP(A85,Q:R,2), IF(COUNTIF($W$2:W1070,A85)=0,$C$9,""))</f>
        <v/>
      </c>
      <c r="F85" s="2" t="str">
        <f t="shared" ca="1" si="14"/>
        <v/>
      </c>
      <c r="G85" s="41" t="str">
        <f t="shared" ca="1" si="15"/>
        <v/>
      </c>
      <c r="H85" s="38" t="str">
        <f ca="1">IF(COUNTIF($W$2:W1070,A85)=1,VLOOKUP(A85,S:T,2), IF(COUNTIF($W$2:W1070,A85)=0,$D$9,""))</f>
        <v/>
      </c>
      <c r="I85" s="39" t="str">
        <f ca="1">IF(COUNTIF($X$2:X1070,INT(A85))=1,VLOOKUP(INT(A85),X:Y,2), IF(ISERROR(H85-2),"",I84*(1-$D$8*(H85-H84)*0.0001)))</f>
        <v/>
      </c>
      <c r="J85" s="39" t="str">
        <f t="shared" ca="1" si="16"/>
        <v/>
      </c>
      <c r="K85" s="41" t="str">
        <f t="shared" ca="1" si="17"/>
        <v/>
      </c>
      <c r="L85" s="41"/>
      <c r="M85" s="42" t="str">
        <f ca="1">IF(ISERROR(B85-2),"",C85+D85-F85-G85-K85+SUM($L$14:L85))</f>
        <v/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 t="str">
        <f t="shared" si="9"/>
        <v/>
      </c>
      <c r="V85" s="3" t="str">
        <f t="shared" si="10"/>
        <v/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74">
        <v>45897</v>
      </c>
      <c r="AC85" s="4">
        <v>262.23500000000001</v>
      </c>
      <c r="AD85" s="6">
        <f t="shared" si="11"/>
        <v>45897</v>
      </c>
    </row>
    <row r="86" spans="1:30" x14ac:dyDescent="0.25">
      <c r="A86" s="37" t="str">
        <f t="shared" ca="1" si="12"/>
        <v/>
      </c>
      <c r="B86" s="38" t="str">
        <f ca="1">IF(COUNTIF($W$2:W1071,A86)=1,VLOOKUP(A86,O:P,2), IF(COUNTIF($W$2:W1071,A86)=0,$B$9,""))</f>
        <v/>
      </c>
      <c r="C86" s="2" t="str">
        <f t="shared" ca="1" si="13"/>
        <v/>
      </c>
      <c r="D86" s="41"/>
      <c r="E86" s="38" t="str">
        <f ca="1">IF(COUNTIF($W$2:W1071,A86)=1,VLOOKUP(A86,Q:R,2), IF(COUNTIF($W$2:W1071,A86)=0,$C$9,""))</f>
        <v/>
      </c>
      <c r="F86" s="2" t="str">
        <f t="shared" ca="1" si="14"/>
        <v/>
      </c>
      <c r="G86" s="41" t="str">
        <f t="shared" ca="1" si="15"/>
        <v/>
      </c>
      <c r="H86" s="38" t="str">
        <f ca="1">IF(COUNTIF($W$2:W1071,A86)=1,VLOOKUP(A86,S:T,2), IF(COUNTIF($W$2:W1071,A86)=0,$D$9,""))</f>
        <v/>
      </c>
      <c r="I86" s="39" t="str">
        <f ca="1">IF(COUNTIF($X$2:X1071,INT(A86))=1,VLOOKUP(INT(A86),X:Y,2), IF(ISERROR(H86-2),"",I85*(1-$D$8*(H86-H85)*0.0001)))</f>
        <v/>
      </c>
      <c r="J86" s="39" t="str">
        <f t="shared" ca="1" si="16"/>
        <v/>
      </c>
      <c r="K86" s="41" t="str">
        <f t="shared" ca="1" si="17"/>
        <v/>
      </c>
      <c r="L86" s="41"/>
      <c r="M86" s="42" t="str">
        <f ca="1">IF(ISERROR(B86-2),"",C86+D86-F86-G86-K86+SUM($L$14:L86))</f>
        <v/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 t="str">
        <f t="shared" si="9"/>
        <v/>
      </c>
      <c r="V86" s="3" t="str">
        <f t="shared" si="10"/>
        <v/>
      </c>
      <c r="X86" s="3">
        <v>46163</v>
      </c>
      <c r="Y86" s="5">
        <v>265.81610000000001</v>
      </c>
      <c r="Z86" s="3">
        <v>45898</v>
      </c>
      <c r="AA86" s="4">
        <v>241.4692</v>
      </c>
      <c r="AB86" s="74">
        <v>45898</v>
      </c>
      <c r="AC86" s="4">
        <v>267.947</v>
      </c>
      <c r="AD86" s="6">
        <f t="shared" si="11"/>
        <v>45898</v>
      </c>
    </row>
    <row r="87" spans="1:30" x14ac:dyDescent="0.25">
      <c r="A87" s="37" t="str">
        <f t="shared" ca="1" si="12"/>
        <v/>
      </c>
      <c r="B87" s="38" t="str">
        <f ca="1">IF(COUNTIF($W$2:W1072,A87)=1,VLOOKUP(A87,O:P,2), IF(COUNTIF($W$2:W1072,A87)=0,$B$9,""))</f>
        <v/>
      </c>
      <c r="C87" s="2" t="str">
        <f t="shared" ca="1" si="13"/>
        <v/>
      </c>
      <c r="D87" s="41"/>
      <c r="E87" s="38" t="str">
        <f ca="1">IF(COUNTIF($W$2:W1072,A87)=1,VLOOKUP(A87,Q:R,2), IF(COUNTIF($W$2:W1072,A87)=0,$C$9,""))</f>
        <v/>
      </c>
      <c r="F87" s="2" t="str">
        <f t="shared" ca="1" si="14"/>
        <v/>
      </c>
      <c r="G87" s="41" t="str">
        <f t="shared" ca="1" si="15"/>
        <v/>
      </c>
      <c r="H87" s="38" t="str">
        <f ca="1">IF(COUNTIF($W$2:W1072,A87)=1,VLOOKUP(A87,S:T,2), IF(COUNTIF($W$2:W1072,A87)=0,$D$9,""))</f>
        <v/>
      </c>
      <c r="I87" s="39" t="str">
        <f ca="1">IF(COUNTIF($X$2:X1072,INT(A87))=1,VLOOKUP(INT(A87),X:Y,2), IF(ISERROR(H87-2),"",I86*(1-$D$8*(H87-H86)*0.0001)))</f>
        <v/>
      </c>
      <c r="J87" s="39" t="str">
        <f t="shared" ca="1" si="16"/>
        <v/>
      </c>
      <c r="K87" s="41" t="str">
        <f t="shared" ca="1" si="17"/>
        <v/>
      </c>
      <c r="L87" s="41"/>
      <c r="M87" s="42" t="str">
        <f ca="1">IF(ISERROR(B87-2),"",C87+D87-F87-G87-K87+SUM($L$14:L87))</f>
        <v/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 t="str">
        <f t="shared" si="9"/>
        <v/>
      </c>
      <c r="V87" s="3" t="str">
        <f t="shared" si="10"/>
        <v/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74">
        <v>45901</v>
      </c>
      <c r="AC87" s="4">
        <v>268.048</v>
      </c>
      <c r="AD87" s="6">
        <f t="shared" si="11"/>
        <v>45901</v>
      </c>
    </row>
    <row r="88" spans="1:30" x14ac:dyDescent="0.25">
      <c r="A88" s="37" t="str">
        <f t="shared" ca="1" si="12"/>
        <v/>
      </c>
      <c r="B88" s="38" t="str">
        <f ca="1">IF(COUNTIF($W$2:W1073,A88)=1,VLOOKUP(A88,O:P,2), IF(COUNTIF($W$2:W1073,A88)=0,$B$9,""))</f>
        <v/>
      </c>
      <c r="C88" s="2" t="str">
        <f t="shared" ca="1" si="13"/>
        <v/>
      </c>
      <c r="D88" s="41"/>
      <c r="E88" s="38" t="str">
        <f ca="1">IF(COUNTIF($W$2:W1073,A88)=1,VLOOKUP(A88,Q:R,2), IF(COUNTIF($W$2:W1073,A88)=0,$C$9,""))</f>
        <v/>
      </c>
      <c r="F88" s="2" t="str">
        <f t="shared" ca="1" si="14"/>
        <v/>
      </c>
      <c r="G88" s="41" t="str">
        <f t="shared" ca="1" si="15"/>
        <v/>
      </c>
      <c r="H88" s="38" t="str">
        <f ca="1">IF(COUNTIF($W$2:W1073,A88)=1,VLOOKUP(A88,S:T,2), IF(COUNTIF($W$2:W1073,A88)=0,$D$9,""))</f>
        <v/>
      </c>
      <c r="I88" s="39" t="str">
        <f ca="1">IF(COUNTIF($X$2:X1073,INT(A88))=1,VLOOKUP(INT(A88),X:Y,2), IF(ISERROR(H88-2),"",I87*(1-$D$8*(H88-H87)*0.0001)))</f>
        <v/>
      </c>
      <c r="J88" s="39" t="str">
        <f t="shared" ca="1" si="16"/>
        <v/>
      </c>
      <c r="K88" s="41" t="str">
        <f t="shared" ca="1" si="17"/>
        <v/>
      </c>
      <c r="L88" s="41"/>
      <c r="M88" s="42" t="str">
        <f ca="1">IF(ISERROR(B88-2),"",C88+D88-F88-G88-K88+SUM($L$14:L88))</f>
        <v/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 t="str">
        <f t="shared" si="9"/>
        <v/>
      </c>
      <c r="V88" s="3" t="str">
        <f t="shared" si="10"/>
        <v/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74">
        <v>45902</v>
      </c>
      <c r="AC88" s="4">
        <v>274.36700000000002</v>
      </c>
      <c r="AD88" s="6">
        <f t="shared" si="11"/>
        <v>45902</v>
      </c>
    </row>
    <row r="89" spans="1:30" x14ac:dyDescent="0.25">
      <c r="A89" s="37" t="str">
        <f t="shared" ca="1" si="12"/>
        <v/>
      </c>
      <c r="B89" s="38" t="str">
        <f ca="1">IF(COUNTIF($W$2:W1074,A89)=1,VLOOKUP(A89,O:P,2), IF(COUNTIF($W$2:W1074,A89)=0,$B$9,""))</f>
        <v/>
      </c>
      <c r="C89" s="2" t="str">
        <f t="shared" ca="1" si="13"/>
        <v/>
      </c>
      <c r="D89" s="41"/>
      <c r="E89" s="38" t="str">
        <f ca="1">IF(COUNTIF($W$2:W1074,A89)=1,VLOOKUP(A89,Q:R,2), IF(COUNTIF($W$2:W1074,A89)=0,$C$9,""))</f>
        <v/>
      </c>
      <c r="F89" s="2" t="str">
        <f t="shared" ca="1" si="14"/>
        <v/>
      </c>
      <c r="G89" s="41" t="str">
        <f t="shared" ca="1" si="15"/>
        <v/>
      </c>
      <c r="H89" s="38" t="str">
        <f ca="1">IF(COUNTIF($W$2:W1074,A89)=1,VLOOKUP(A89,S:T,2), IF(COUNTIF($W$2:W1074,A89)=0,$D$9,""))</f>
        <v/>
      </c>
      <c r="I89" s="39" t="str">
        <f ca="1">IF(COUNTIF($X$2:X1074,INT(A89))=1,VLOOKUP(INT(A89),X:Y,2), IF(ISERROR(H89-2),"",I88*(1-$D$8*(H89-H88)*0.0001)))</f>
        <v/>
      </c>
      <c r="J89" s="39" t="str">
        <f t="shared" ca="1" si="16"/>
        <v/>
      </c>
      <c r="K89" s="41" t="str">
        <f t="shared" ca="1" si="17"/>
        <v/>
      </c>
      <c r="L89" s="41"/>
      <c r="M89" s="42" t="str">
        <f ca="1">IF(ISERROR(B89-2),"",C89+D89-F89-G89-K89+SUM($L$14:L89))</f>
        <v/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 t="str">
        <f t="shared" si="9"/>
        <v/>
      </c>
      <c r="V89" s="3" t="str">
        <f t="shared" si="10"/>
        <v/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74">
        <v>45903</v>
      </c>
      <c r="AC89" s="4">
        <v>267.29599999999999</v>
      </c>
      <c r="AD89" s="6">
        <f t="shared" si="11"/>
        <v>45903</v>
      </c>
    </row>
    <row r="90" spans="1:30" x14ac:dyDescent="0.25">
      <c r="A90" s="37" t="str">
        <f t="shared" ca="1" si="12"/>
        <v/>
      </c>
      <c r="B90" s="38" t="str">
        <f ca="1">IF(COUNTIF($W$2:W1075,A90)=1,VLOOKUP(A90,O:P,2), IF(COUNTIF($W$2:W1075,A90)=0,$B$9,""))</f>
        <v/>
      </c>
      <c r="C90" s="2" t="str">
        <f t="shared" ca="1" si="13"/>
        <v/>
      </c>
      <c r="D90" s="41"/>
      <c r="E90" s="38" t="str">
        <f ca="1">IF(COUNTIF($W$2:W1075,A90)=1,VLOOKUP(A90,Q:R,2), IF(COUNTIF($W$2:W1075,A90)=0,$C$9,""))</f>
        <v/>
      </c>
      <c r="F90" s="2" t="str">
        <f t="shared" ca="1" si="14"/>
        <v/>
      </c>
      <c r="G90" s="41" t="str">
        <f t="shared" ca="1" si="15"/>
        <v/>
      </c>
      <c r="H90" s="38" t="str">
        <f ca="1">IF(COUNTIF($W$2:W1075,A90)=1,VLOOKUP(A90,S:T,2), IF(COUNTIF($W$2:W1075,A90)=0,$D$9,""))</f>
        <v/>
      </c>
      <c r="I90" s="39" t="str">
        <f ca="1">IF(COUNTIF($X$2:X1075,INT(A90))=1,VLOOKUP(INT(A90),X:Y,2), IF(ISERROR(H90-2),"",I89*(1-$D$8*(H90-H89)*0.0001)))</f>
        <v/>
      </c>
      <c r="J90" s="39" t="str">
        <f t="shared" ca="1" si="16"/>
        <v/>
      </c>
      <c r="K90" s="41" t="str">
        <f t="shared" ca="1" si="17"/>
        <v/>
      </c>
      <c r="L90" s="41"/>
      <c r="M90" s="42" t="str">
        <f ca="1">IF(ISERROR(B90-2),"",C90+D90-F90-G90-K90+SUM($L$14:L90))</f>
        <v/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 t="str">
        <f t="shared" si="9"/>
        <v/>
      </c>
      <c r="V90" s="3" t="str">
        <f t="shared" si="10"/>
        <v/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74">
        <v>45904</v>
      </c>
      <c r="AC90" s="4">
        <v>262.767</v>
      </c>
      <c r="AD90" s="6">
        <f t="shared" si="11"/>
        <v>45904</v>
      </c>
    </row>
    <row r="91" spans="1:30" x14ac:dyDescent="0.25">
      <c r="A91" s="37" t="str">
        <f t="shared" ca="1" si="12"/>
        <v/>
      </c>
      <c r="B91" s="38" t="str">
        <f ca="1">IF(COUNTIF($W$2:W1076,A91)=1,VLOOKUP(A91,O:P,2), IF(COUNTIF($W$2:W1076,A91)=0,$B$9,""))</f>
        <v/>
      </c>
      <c r="C91" s="2" t="str">
        <f t="shared" ca="1" si="13"/>
        <v/>
      </c>
      <c r="D91" s="41"/>
      <c r="E91" s="38" t="str">
        <f ca="1">IF(COUNTIF($W$2:W1076,A91)=1,VLOOKUP(A91,Q:R,2), IF(COUNTIF($W$2:W1076,A91)=0,$C$9,""))</f>
        <v/>
      </c>
      <c r="F91" s="2" t="str">
        <f t="shared" ca="1" si="14"/>
        <v/>
      </c>
      <c r="G91" s="41" t="str">
        <f t="shared" ca="1" si="15"/>
        <v/>
      </c>
      <c r="H91" s="38" t="str">
        <f ca="1">IF(COUNTIF($W$2:W1076,A91)=1,VLOOKUP(A91,S:T,2), IF(COUNTIF($W$2:W1076,A91)=0,$D$9,""))</f>
        <v/>
      </c>
      <c r="I91" s="39" t="str">
        <f ca="1">IF(COUNTIF($X$2:X1076,INT(A91))=1,VLOOKUP(INT(A91),X:Y,2), IF(ISERROR(H91-2),"",I90*(1-$D$8*(H91-H90)*0.0001)))</f>
        <v/>
      </c>
      <c r="J91" s="39" t="str">
        <f t="shared" ca="1" si="16"/>
        <v/>
      </c>
      <c r="K91" s="41" t="str">
        <f t="shared" ca="1" si="17"/>
        <v/>
      </c>
      <c r="L91" s="41"/>
      <c r="M91" s="42" t="str">
        <f ca="1">IF(ISERROR(B91-2),"",C91+D91-F91-G91-K91+SUM($L$14:L91))</f>
        <v/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 t="str">
        <f t="shared" si="9"/>
        <v/>
      </c>
      <c r="V91" s="3" t="str">
        <f t="shared" si="10"/>
        <v/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74">
        <v>45905</v>
      </c>
      <c r="AC91" s="4">
        <v>262.98399999999998</v>
      </c>
      <c r="AD91" s="6">
        <f t="shared" si="11"/>
        <v>45905</v>
      </c>
    </row>
    <row r="92" spans="1:30" x14ac:dyDescent="0.25">
      <c r="A92" s="37" t="str">
        <f t="shared" ca="1" si="12"/>
        <v/>
      </c>
      <c r="B92" s="38" t="str">
        <f ca="1">IF(COUNTIF($W$2:W1077,A92)=1,VLOOKUP(A92,O:P,2), IF(COUNTIF($W$2:W1077,A92)=0,$B$9,""))</f>
        <v/>
      </c>
      <c r="C92" s="2" t="str">
        <f t="shared" ca="1" si="13"/>
        <v/>
      </c>
      <c r="D92" s="41"/>
      <c r="E92" s="38" t="str">
        <f ca="1">IF(COUNTIF($W$2:W1077,A92)=1,VLOOKUP(A92,Q:R,2), IF(COUNTIF($W$2:W1077,A92)=0,$C$9,""))</f>
        <v/>
      </c>
      <c r="F92" s="2" t="str">
        <f t="shared" ca="1" si="14"/>
        <v/>
      </c>
      <c r="G92" s="41" t="str">
        <f t="shared" ca="1" si="15"/>
        <v/>
      </c>
      <c r="H92" s="38" t="str">
        <f ca="1">IF(COUNTIF($W$2:W1077,A92)=1,VLOOKUP(A92,S:T,2), IF(COUNTIF($W$2:W1077,A92)=0,$D$9,""))</f>
        <v/>
      </c>
      <c r="I92" s="39" t="str">
        <f ca="1">IF(COUNTIF($X$2:X1077,INT(A92))=1,VLOOKUP(INT(A92),X:Y,2), IF(ISERROR(H92-2),"",I91*(1-$D$8*(H92-H91)*0.0001)))</f>
        <v/>
      </c>
      <c r="J92" s="39" t="str">
        <f t="shared" ca="1" si="16"/>
        <v/>
      </c>
      <c r="K92" s="41" t="str">
        <f t="shared" ca="1" si="17"/>
        <v/>
      </c>
      <c r="L92" s="41"/>
      <c r="M92" s="42" t="str">
        <f ca="1">IF(ISERROR(B92-2),"",C92+D92-F92-G92-K92+SUM($L$14:L92))</f>
        <v/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 t="str">
        <f t="shared" si="9"/>
        <v/>
      </c>
      <c r="V92" s="3" t="str">
        <f t="shared" si="10"/>
        <v/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74">
        <v>45908</v>
      </c>
      <c r="AC92" s="4">
        <v>260.62700000000001</v>
      </c>
      <c r="AD92" s="6">
        <f t="shared" si="11"/>
        <v>45908</v>
      </c>
    </row>
    <row r="93" spans="1:30" x14ac:dyDescent="0.25">
      <c r="A93" s="37" t="str">
        <f t="shared" ca="1" si="12"/>
        <v/>
      </c>
      <c r="B93" s="38" t="str">
        <f ca="1">IF(COUNTIF($W$2:W1078,A93)=1,VLOOKUP(A93,O:P,2), IF(COUNTIF($W$2:W1078,A93)=0,$B$9,""))</f>
        <v/>
      </c>
      <c r="C93" s="2" t="str">
        <f t="shared" ca="1" si="13"/>
        <v/>
      </c>
      <c r="D93" s="41"/>
      <c r="E93" s="38" t="str">
        <f ca="1">IF(COUNTIF($W$2:W1078,A93)=1,VLOOKUP(A93,Q:R,2), IF(COUNTIF($W$2:W1078,A93)=0,$C$9,""))</f>
        <v/>
      </c>
      <c r="F93" s="2" t="str">
        <f t="shared" ca="1" si="14"/>
        <v/>
      </c>
      <c r="G93" s="41" t="str">
        <f t="shared" ca="1" si="15"/>
        <v/>
      </c>
      <c r="H93" s="38" t="str">
        <f ca="1">IF(COUNTIF($W$2:W1078,A93)=1,VLOOKUP(A93,S:T,2), IF(COUNTIF($W$2:W1078,A93)=0,$D$9,""))</f>
        <v/>
      </c>
      <c r="I93" s="39" t="str">
        <f ca="1">IF(COUNTIF($X$2:X1078,INT(A93))=1,VLOOKUP(INT(A93),X:Y,2), IF(ISERROR(H93-2),"",I92*(1-$D$8*(H93-H92)*0.0001)))</f>
        <v/>
      </c>
      <c r="J93" s="39" t="str">
        <f t="shared" ca="1" si="16"/>
        <v/>
      </c>
      <c r="K93" s="41" t="str">
        <f t="shared" ca="1" si="17"/>
        <v/>
      </c>
      <c r="L93" s="41"/>
      <c r="M93" s="42" t="str">
        <f ca="1">IF(ISERROR(B93-2),"",C93+D93-F93-G93-K93+SUM($L$14:L93))</f>
        <v/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 t="str">
        <f t="shared" si="9"/>
        <v/>
      </c>
      <c r="V93" s="3" t="str">
        <f t="shared" si="10"/>
        <v/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74">
        <v>45909</v>
      </c>
      <c r="AC93" s="4">
        <v>260.81900000000002</v>
      </c>
      <c r="AD93" s="6">
        <f t="shared" si="11"/>
        <v>45909</v>
      </c>
    </row>
    <row r="94" spans="1:30" x14ac:dyDescent="0.25">
      <c r="A94" s="37" t="str">
        <f t="shared" ca="1" si="12"/>
        <v/>
      </c>
      <c r="B94" s="38" t="str">
        <f ca="1">IF(COUNTIF($W$2:W1079,A94)=1,VLOOKUP(A94,O:P,2), IF(COUNTIF($W$2:W1079,A94)=0,$B$9,""))</f>
        <v/>
      </c>
      <c r="C94" s="2" t="str">
        <f t="shared" ca="1" si="13"/>
        <v/>
      </c>
      <c r="D94" s="41"/>
      <c r="E94" s="38" t="str">
        <f ca="1">IF(COUNTIF($W$2:W1079,A94)=1,VLOOKUP(A94,Q:R,2), IF(COUNTIF($W$2:W1079,A94)=0,$C$9,""))</f>
        <v/>
      </c>
      <c r="F94" s="2" t="str">
        <f t="shared" ca="1" si="14"/>
        <v/>
      </c>
      <c r="G94" s="41" t="str">
        <f t="shared" ca="1" si="15"/>
        <v/>
      </c>
      <c r="H94" s="38" t="str">
        <f ca="1">IF(COUNTIF($W$2:W1079,A94)=1,VLOOKUP(A94,S:T,2), IF(COUNTIF($W$2:W1079,A94)=0,$D$9,""))</f>
        <v/>
      </c>
      <c r="I94" s="39" t="str">
        <f ca="1">IF(COUNTIF($X$2:X1079,INT(A94))=1,VLOOKUP(INT(A94),X:Y,2), IF(ISERROR(H94-2),"",I93*(1-$D$8*(H94-H93)*0.0001)))</f>
        <v/>
      </c>
      <c r="J94" s="39" t="str">
        <f t="shared" ca="1" si="16"/>
        <v/>
      </c>
      <c r="K94" s="41" t="str">
        <f t="shared" ca="1" si="17"/>
        <v/>
      </c>
      <c r="L94" s="41"/>
      <c r="M94" s="42" t="str">
        <f ca="1">IF(ISERROR(B94-2),"",C94+D94-F94-G94-K94+SUM($L$14:L94))</f>
        <v/>
      </c>
      <c r="Q94" s="3">
        <v>46178.625</v>
      </c>
      <c r="R94" s="4">
        <v>99.38</v>
      </c>
      <c r="S94" s="3">
        <v>46181.625</v>
      </c>
      <c r="T94" s="4">
        <v>263.755</v>
      </c>
      <c r="U94" s="3" t="str">
        <f t="shared" si="9"/>
        <v/>
      </c>
      <c r="V94" s="3" t="str">
        <f t="shared" si="10"/>
        <v/>
      </c>
      <c r="X94" s="3">
        <v>46176</v>
      </c>
      <c r="Y94" s="5">
        <v>268.40789999999998</v>
      </c>
      <c r="Z94" s="3">
        <v>45910</v>
      </c>
      <c r="AA94" s="4">
        <v>242.7055</v>
      </c>
      <c r="AB94" s="74">
        <v>45910</v>
      </c>
      <c r="AC94" s="4">
        <v>258.92</v>
      </c>
      <c r="AD94" s="6">
        <f t="shared" si="11"/>
        <v>45910</v>
      </c>
    </row>
    <row r="95" spans="1:30" x14ac:dyDescent="0.25">
      <c r="A95" s="37" t="str">
        <f t="shared" ca="1" si="12"/>
        <v/>
      </c>
      <c r="B95" s="38" t="str">
        <f ca="1">IF(COUNTIF($W$2:W1080,A95)=1,VLOOKUP(A95,O:P,2), IF(COUNTIF($W$2:W1080,A95)=0,$B$9,""))</f>
        <v/>
      </c>
      <c r="C95" s="2" t="str">
        <f t="shared" ca="1" si="13"/>
        <v/>
      </c>
      <c r="D95" s="41"/>
      <c r="E95" s="38" t="str">
        <f ca="1">IF(COUNTIF($W$2:W1080,A95)=1,VLOOKUP(A95,Q:R,2), IF(COUNTIF($W$2:W1080,A95)=0,$C$9,""))</f>
        <v/>
      </c>
      <c r="F95" s="2" t="str">
        <f t="shared" ca="1" si="14"/>
        <v/>
      </c>
      <c r="G95" s="41" t="str">
        <f t="shared" ca="1" si="15"/>
        <v/>
      </c>
      <c r="H95" s="38" t="str">
        <f ca="1">IF(COUNTIF($W$2:W1080,A95)=1,VLOOKUP(A95,S:T,2), IF(COUNTIF($W$2:W1080,A95)=0,$D$9,""))</f>
        <v/>
      </c>
      <c r="I95" s="39" t="str">
        <f ca="1">IF(COUNTIF($X$2:X1080,INT(A95))=1,VLOOKUP(INT(A95),X:Y,2), IF(ISERROR(H95-2),"",I94*(1-$D$8*(H95-H94)*0.0001)))</f>
        <v/>
      </c>
      <c r="J95" s="39" t="str">
        <f t="shared" ca="1" si="16"/>
        <v/>
      </c>
      <c r="K95" s="41" t="str">
        <f t="shared" ca="1" si="17"/>
        <v/>
      </c>
      <c r="L95" s="41"/>
      <c r="M95" s="42" t="str">
        <f ca="1">IF(ISERROR(B95-2),"",C95+D95-F95-G95-K95+SUM($L$14:L95))</f>
        <v/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 t="str">
        <f t="shared" si="9"/>
        <v/>
      </c>
      <c r="V95" s="3" t="str">
        <f t="shared" si="10"/>
        <v/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74">
        <v>45911</v>
      </c>
      <c r="AC95" s="4">
        <v>252.2</v>
      </c>
      <c r="AD95" s="6">
        <f t="shared" si="11"/>
        <v>45911</v>
      </c>
    </row>
    <row r="96" spans="1:30" x14ac:dyDescent="0.25">
      <c r="A96" s="37" t="str">
        <f t="shared" ca="1" si="12"/>
        <v/>
      </c>
      <c r="B96" s="38" t="str">
        <f ca="1">IF(COUNTIF($W$2:W1081,A96)=1,VLOOKUP(A96,O:P,2), IF(COUNTIF($W$2:W1081,A96)=0,$B$9,""))</f>
        <v/>
      </c>
      <c r="C96" s="2" t="str">
        <f t="shared" ca="1" si="13"/>
        <v/>
      </c>
      <c r="D96" s="41"/>
      <c r="E96" s="38" t="str">
        <f ca="1">IF(COUNTIF($W$2:W1081,A96)=1,VLOOKUP(A96,Q:R,2), IF(COUNTIF($W$2:W1081,A96)=0,$C$9,""))</f>
        <v/>
      </c>
      <c r="F96" s="2" t="str">
        <f t="shared" ca="1" si="14"/>
        <v/>
      </c>
      <c r="G96" s="41" t="str">
        <f t="shared" ca="1" si="15"/>
        <v/>
      </c>
      <c r="H96" s="38" t="str">
        <f ca="1">IF(COUNTIF($W$2:W1081,A96)=1,VLOOKUP(A96,S:T,2), IF(COUNTIF($W$2:W1081,A96)=0,$D$9,""))</f>
        <v/>
      </c>
      <c r="I96" s="39" t="str">
        <f ca="1">IF(COUNTIF($X$2:X1081,INT(A96))=1,VLOOKUP(INT(A96),X:Y,2), IF(ISERROR(H96-2),"",I95*(1-$D$8*(H96-H95)*0.0001)))</f>
        <v/>
      </c>
      <c r="J96" s="39" t="str">
        <f t="shared" ca="1" si="16"/>
        <v/>
      </c>
      <c r="K96" s="41" t="str">
        <f t="shared" ca="1" si="17"/>
        <v/>
      </c>
      <c r="L96" s="41"/>
      <c r="M96" s="42" t="str">
        <f ca="1">IF(ISERROR(B96-2),"",C96+D96-F96-G96-K96+SUM($L$14:L96))</f>
        <v/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 t="str">
        <f t="shared" si="9"/>
        <v/>
      </c>
      <c r="V96" s="3" t="str">
        <f t="shared" si="10"/>
        <v/>
      </c>
      <c r="X96" s="3">
        <v>46178</v>
      </c>
      <c r="Y96" s="5">
        <v>268.35000000000002</v>
      </c>
      <c r="Z96" s="3">
        <v>45912</v>
      </c>
      <c r="AA96" s="4">
        <v>243.55</v>
      </c>
      <c r="AB96" s="74">
        <v>45912</v>
      </c>
      <c r="AC96" s="4">
        <v>251.792</v>
      </c>
      <c r="AD96" s="6">
        <f t="shared" si="11"/>
        <v>45912</v>
      </c>
    </row>
    <row r="97" spans="1:30" x14ac:dyDescent="0.25">
      <c r="A97" s="37" t="str">
        <f t="shared" ca="1" si="12"/>
        <v/>
      </c>
      <c r="B97" s="38" t="str">
        <f ca="1">IF(COUNTIF($W$2:W1082,A97)=1,VLOOKUP(A97,O:P,2), IF(COUNTIF($W$2:W1082,A97)=0,$B$9,""))</f>
        <v/>
      </c>
      <c r="C97" s="2" t="str">
        <f t="shared" ca="1" si="13"/>
        <v/>
      </c>
      <c r="D97" s="41"/>
      <c r="E97" s="38" t="str">
        <f ca="1">IF(COUNTIF($W$2:W1082,A97)=1,VLOOKUP(A97,Q:R,2), IF(COUNTIF($W$2:W1082,A97)=0,$C$9,""))</f>
        <v/>
      </c>
      <c r="F97" s="2" t="str">
        <f t="shared" ca="1" si="14"/>
        <v/>
      </c>
      <c r="G97" s="41" t="str">
        <f t="shared" ca="1" si="15"/>
        <v/>
      </c>
      <c r="H97" s="38" t="str">
        <f ca="1">IF(COUNTIF($W$2:W1082,A97)=1,VLOOKUP(A97,S:T,2), IF(COUNTIF($W$2:W1082,A97)=0,$D$9,""))</f>
        <v/>
      </c>
      <c r="I97" s="39" t="str">
        <f ca="1">IF(COUNTIF($X$2:X1082,INT(A97))=1,VLOOKUP(INT(A97),X:Y,2), IF(ISERROR(H97-2),"",I96*(1-$D$8*(H97-H96)*0.0001)))</f>
        <v/>
      </c>
      <c r="J97" s="39" t="str">
        <f t="shared" ca="1" si="16"/>
        <v/>
      </c>
      <c r="K97" s="41" t="str">
        <f t="shared" ca="1" si="17"/>
        <v/>
      </c>
      <c r="L97" s="41"/>
      <c r="M97" s="42" t="str">
        <f ca="1">IF(ISERROR(B97-2),"",C97+D97-F97-G97-K97+SUM($L$14:L97))</f>
        <v/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 t="str">
        <f t="shared" si="9"/>
        <v/>
      </c>
      <c r="V97" s="3" t="str">
        <f t="shared" si="10"/>
        <v/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74">
        <v>45915</v>
      </c>
      <c r="AC97" s="4">
        <v>248.089</v>
      </c>
      <c r="AD97" s="6">
        <f t="shared" si="11"/>
        <v>45915</v>
      </c>
    </row>
    <row r="98" spans="1:30" x14ac:dyDescent="0.25">
      <c r="A98" s="37" t="str">
        <f t="shared" ca="1" si="12"/>
        <v/>
      </c>
      <c r="B98" s="38" t="str">
        <f ca="1">IF(COUNTIF($W$2:W1083,A98)=1,VLOOKUP(A98,O:P,2), IF(COUNTIF($W$2:W1083,A98)=0,$B$9,""))</f>
        <v/>
      </c>
      <c r="C98" s="2" t="str">
        <f t="shared" ca="1" si="13"/>
        <v/>
      </c>
      <c r="D98" s="41"/>
      <c r="E98" s="38" t="str">
        <f ca="1">IF(COUNTIF($W$2:W1083,A98)=1,VLOOKUP(A98,Q:R,2), IF(COUNTIF($W$2:W1083,A98)=0,$C$9,""))</f>
        <v/>
      </c>
      <c r="F98" s="2" t="str">
        <f t="shared" ca="1" si="14"/>
        <v/>
      </c>
      <c r="G98" s="41" t="str">
        <f t="shared" ca="1" si="15"/>
        <v/>
      </c>
      <c r="H98" s="38" t="str">
        <f ca="1">IF(COUNTIF($W$2:W1083,A98)=1,VLOOKUP(A98,S:T,2), IF(COUNTIF($W$2:W1083,A98)=0,$D$9,""))</f>
        <v/>
      </c>
      <c r="I98" s="39" t="str">
        <f ca="1">IF(COUNTIF($X$2:X1083,INT(A98))=1,VLOOKUP(INT(A98),X:Y,2), IF(ISERROR(H98-2),"",I97*(1-$D$8*(H98-H97)*0.0001)))</f>
        <v/>
      </c>
      <c r="J98" s="39" t="str">
        <f t="shared" ca="1" si="16"/>
        <v/>
      </c>
      <c r="K98" s="41" t="str">
        <f t="shared" ca="1" si="17"/>
        <v/>
      </c>
      <c r="L98" s="41"/>
      <c r="M98" s="42" t="str">
        <f ca="1">IF(ISERROR(B98-2),"",C98+D98-F98-G98-K98+SUM($L$14:L98))</f>
        <v/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 t="str">
        <f t="shared" si="9"/>
        <v/>
      </c>
      <c r="V98" s="3" t="str">
        <f t="shared" si="10"/>
        <v/>
      </c>
      <c r="X98" s="3">
        <v>46182</v>
      </c>
      <c r="Y98" s="5">
        <v>268.3329</v>
      </c>
      <c r="Z98" s="3">
        <v>45916</v>
      </c>
      <c r="AA98" s="4">
        <v>243.57589999999999</v>
      </c>
      <c r="AB98" s="74">
        <v>45916</v>
      </c>
      <c r="AC98" s="4">
        <v>252.04</v>
      </c>
      <c r="AD98" s="6">
        <f t="shared" si="11"/>
        <v>45916</v>
      </c>
    </row>
    <row r="99" spans="1:30" x14ac:dyDescent="0.25">
      <c r="A99" s="37" t="str">
        <f t="shared" ca="1" si="12"/>
        <v/>
      </c>
      <c r="B99" s="38" t="str">
        <f ca="1">IF(COUNTIF($W$2:W1084,A99)=1,VLOOKUP(A99,O:P,2), IF(COUNTIF($W$2:W1084,A99)=0,$B$9,""))</f>
        <v/>
      </c>
      <c r="C99" s="2" t="str">
        <f t="shared" ca="1" si="13"/>
        <v/>
      </c>
      <c r="D99" s="41"/>
      <c r="E99" s="38" t="str">
        <f ca="1">IF(COUNTIF($W$2:W1084,A99)=1,VLOOKUP(A99,Q:R,2), IF(COUNTIF($W$2:W1084,A99)=0,$C$9,""))</f>
        <v/>
      </c>
      <c r="F99" s="2" t="str">
        <f t="shared" ca="1" si="14"/>
        <v/>
      </c>
      <c r="G99" s="41" t="str">
        <f t="shared" ca="1" si="15"/>
        <v/>
      </c>
      <c r="H99" s="38" t="str">
        <f ca="1">IF(COUNTIF($W$2:W1084,A99)=1,VLOOKUP(A99,S:T,2), IF(COUNTIF($W$2:W1084,A99)=0,$D$9,""))</f>
        <v/>
      </c>
      <c r="I99" s="39" t="str">
        <f ca="1">IF(COUNTIF($X$2:X1084,INT(A99))=1,VLOOKUP(INT(A99),X:Y,2), IF(ISERROR(H99-2),"",I98*(1-$D$8*(H99-H98)*0.0001)))</f>
        <v/>
      </c>
      <c r="J99" s="39" t="str">
        <f t="shared" ca="1" si="16"/>
        <v/>
      </c>
      <c r="K99" s="41" t="str">
        <f t="shared" ca="1" si="17"/>
        <v/>
      </c>
      <c r="L99" s="41"/>
      <c r="M99" s="42" t="str">
        <f ca="1">IF(ISERROR(B99-2),"",C99+D99-F99-G99-K99+SUM($L$14:L99))</f>
        <v/>
      </c>
      <c r="Q99" s="3">
        <v>46185.625</v>
      </c>
      <c r="R99" s="4">
        <v>99.512</v>
      </c>
      <c r="S99" s="3">
        <v>46188.625</v>
      </c>
      <c r="T99" s="4">
        <v>248.518</v>
      </c>
      <c r="U99" s="3" t="str">
        <f t="shared" si="9"/>
        <v/>
      </c>
      <c r="V99" s="3" t="str">
        <f t="shared" si="10"/>
        <v/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74">
        <v>45917</v>
      </c>
      <c r="AC99" s="4">
        <v>250.89500000000001</v>
      </c>
      <c r="AD99" s="6">
        <f t="shared" si="11"/>
        <v>45917</v>
      </c>
    </row>
    <row r="100" spans="1:30" x14ac:dyDescent="0.25">
      <c r="A100" s="37" t="str">
        <f t="shared" ca="1" si="12"/>
        <v/>
      </c>
      <c r="B100" s="38" t="str">
        <f ca="1">IF(COUNTIF($W$2:W1085,A100)=1,VLOOKUP(A100,O:P,2), IF(COUNTIF($W$2:W1085,A100)=0,$B$9,""))</f>
        <v/>
      </c>
      <c r="C100" s="2" t="str">
        <f t="shared" ca="1" si="13"/>
        <v/>
      </c>
      <c r="D100" s="41"/>
      <c r="E100" s="38" t="str">
        <f ca="1">IF(COUNTIF($W$2:W1085,A100)=1,VLOOKUP(A100,Q:R,2), IF(COUNTIF($W$2:W1085,A100)=0,$C$9,""))</f>
        <v/>
      </c>
      <c r="F100" s="2" t="str">
        <f t="shared" ca="1" si="14"/>
        <v/>
      </c>
      <c r="G100" s="41" t="str">
        <f t="shared" ca="1" si="15"/>
        <v/>
      </c>
      <c r="H100" s="38" t="str">
        <f ca="1">IF(COUNTIF($W$2:W1085,A100)=1,VLOOKUP(A100,S:T,2), IF(COUNTIF($W$2:W1085,A100)=0,$D$9,""))</f>
        <v/>
      </c>
      <c r="I100" s="39" t="str">
        <f ca="1">IF(COUNTIF($X$2:X1085,INT(A100))=1,VLOOKUP(INT(A100),X:Y,2), IF(ISERROR(H100-2),"",I99*(1-$D$8*(H100-H99)*0.0001)))</f>
        <v/>
      </c>
      <c r="J100" s="39" t="str">
        <f t="shared" ca="1" si="16"/>
        <v/>
      </c>
      <c r="K100" s="41" t="str">
        <f t="shared" ca="1" si="17"/>
        <v/>
      </c>
      <c r="L100" s="41"/>
      <c r="M100" s="42" t="str">
        <f ca="1">IF(ISERROR(B100-2),"",C100+D100-F100-G100-K100+SUM($L$14:L100))</f>
        <v/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 t="str">
        <f t="shared" si="9"/>
        <v/>
      </c>
      <c r="V100" s="3" t="str">
        <f t="shared" si="10"/>
        <v/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74">
        <v>45918</v>
      </c>
      <c r="AC100" s="4">
        <v>247.65700000000001</v>
      </c>
      <c r="AD100" s="6">
        <f t="shared" si="11"/>
        <v>45918</v>
      </c>
    </row>
    <row r="101" spans="1:30" x14ac:dyDescent="0.25">
      <c r="A101" s="37" t="str">
        <f t="shared" ca="1" si="12"/>
        <v/>
      </c>
      <c r="B101" s="38" t="str">
        <f ca="1">IF(COUNTIF($W$2:W1086,A101)=1,VLOOKUP(A101,O:P,2), IF(COUNTIF($W$2:W1086,A101)=0,$B$9,""))</f>
        <v/>
      </c>
      <c r="C101" s="2" t="str">
        <f t="shared" ca="1" si="13"/>
        <v/>
      </c>
      <c r="D101" s="41"/>
      <c r="E101" s="38" t="str">
        <f ca="1">IF(COUNTIF($W$2:W1086,A101)=1,VLOOKUP(A101,Q:R,2), IF(COUNTIF($W$2:W1086,A101)=0,$C$9,""))</f>
        <v/>
      </c>
      <c r="F101" s="2" t="str">
        <f t="shared" ca="1" si="14"/>
        <v/>
      </c>
      <c r="G101" s="41" t="str">
        <f t="shared" ca="1" si="15"/>
        <v/>
      </c>
      <c r="H101" s="38" t="str">
        <f ca="1">IF(COUNTIF($W$2:W1086,A101)=1,VLOOKUP(A101,S:T,2), IF(COUNTIF($W$2:W1086,A101)=0,$D$9,""))</f>
        <v/>
      </c>
      <c r="I101" s="39" t="str">
        <f ca="1">IF(COUNTIF($X$2:X1086,INT(A101))=1,VLOOKUP(INT(A101),X:Y,2), IF(ISERROR(H101-2),"",I100*(1-$D$8*(H101-H100)*0.0001)))</f>
        <v/>
      </c>
      <c r="J101" s="39" t="str">
        <f t="shared" ca="1" si="16"/>
        <v/>
      </c>
      <c r="K101" s="41" t="str">
        <f t="shared" ca="1" si="17"/>
        <v/>
      </c>
      <c r="L101" s="41"/>
      <c r="M101" s="42" t="str">
        <f ca="1">IF(ISERROR(B101-2),"",C101+D101-F101-G101-K101+SUM($L$14:L101))</f>
        <v/>
      </c>
      <c r="Q101" s="3">
        <v>46189.625</v>
      </c>
      <c r="R101" s="4">
        <v>99.625</v>
      </c>
      <c r="S101" s="3">
        <v>46190.625</v>
      </c>
      <c r="T101" s="4">
        <v>252.459</v>
      </c>
      <c r="U101" s="3" t="str">
        <f t="shared" si="9"/>
        <v/>
      </c>
      <c r="V101" s="3" t="str">
        <f t="shared" si="10"/>
        <v/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74">
        <v>45919</v>
      </c>
      <c r="AC101" s="4">
        <v>248.416</v>
      </c>
      <c r="AD101" s="6">
        <f t="shared" si="11"/>
        <v>45919</v>
      </c>
    </row>
    <row r="102" spans="1:30" x14ac:dyDescent="0.25">
      <c r="A102" s="37" t="str">
        <f t="shared" ca="1" si="12"/>
        <v/>
      </c>
      <c r="B102" s="38" t="str">
        <f ca="1">IF(COUNTIF($W$2:W1087,A102)=1,VLOOKUP(A102,O:P,2), IF(COUNTIF($W$2:W1087,A102)=0,$B$9,""))</f>
        <v/>
      </c>
      <c r="C102" s="2" t="str">
        <f t="shared" ca="1" si="13"/>
        <v/>
      </c>
      <c r="D102" s="41"/>
      <c r="E102" s="38" t="str">
        <f ca="1">IF(COUNTIF($W$2:W1087,A102)=1,VLOOKUP(A102,Q:R,2), IF(COUNTIF($W$2:W1087,A102)=0,$C$9,""))</f>
        <v/>
      </c>
      <c r="F102" s="2" t="str">
        <f t="shared" ca="1" si="14"/>
        <v/>
      </c>
      <c r="G102" s="41" t="str">
        <f t="shared" ca="1" si="15"/>
        <v/>
      </c>
      <c r="H102" s="38" t="str">
        <f ca="1">IF(COUNTIF($W$2:W1087,A102)=1,VLOOKUP(A102,S:T,2), IF(COUNTIF($W$2:W1087,A102)=0,$D$9,""))</f>
        <v/>
      </c>
      <c r="I102" s="39" t="str">
        <f ca="1">IF(COUNTIF($X$2:X1087,INT(A102))=1,VLOOKUP(INT(A102),X:Y,2), IF(ISERROR(H102-2),"",I101*(1-$D$8*(H102-H101)*0.0001)))</f>
        <v/>
      </c>
      <c r="J102" s="39" t="str">
        <f t="shared" ca="1" si="16"/>
        <v/>
      </c>
      <c r="K102" s="41" t="str">
        <f t="shared" ca="1" si="17"/>
        <v/>
      </c>
      <c r="L102" s="41"/>
      <c r="M102" s="42" t="str">
        <f ca="1">IF(ISERROR(B102-2),"",C102+D102-F102-G102-K102+SUM($L$14:L102))</f>
        <v/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 t="str">
        <f t="shared" si="9"/>
        <v/>
      </c>
      <c r="V102" s="3" t="str">
        <f t="shared" si="10"/>
        <v/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74">
        <v>45922</v>
      </c>
      <c r="AC102" s="4">
        <v>268.25200000000001</v>
      </c>
      <c r="AD102" s="6">
        <f t="shared" si="11"/>
        <v>45922</v>
      </c>
    </row>
    <row r="103" spans="1:30" x14ac:dyDescent="0.25">
      <c r="A103" s="37" t="str">
        <f t="shared" ca="1" si="12"/>
        <v/>
      </c>
      <c r="B103" s="38" t="str">
        <f ca="1">IF(COUNTIF($W$2:W1088,A103)=1,VLOOKUP(A103,O:P,2), IF(COUNTIF($W$2:W1088,A103)=0,$B$9,""))</f>
        <v/>
      </c>
      <c r="C103" s="2" t="str">
        <f t="shared" ca="1" si="13"/>
        <v/>
      </c>
      <c r="D103" s="41"/>
      <c r="E103" s="38" t="str">
        <f ca="1">IF(COUNTIF($W$2:W1088,A103)=1,VLOOKUP(A103,Q:R,2), IF(COUNTIF($W$2:W1088,A103)=0,$C$9,""))</f>
        <v/>
      </c>
      <c r="F103" s="2" t="str">
        <f t="shared" ca="1" si="14"/>
        <v/>
      </c>
      <c r="G103" s="41" t="str">
        <f t="shared" ca="1" si="15"/>
        <v/>
      </c>
      <c r="H103" s="38" t="str">
        <f ca="1">IF(COUNTIF($W$2:W1088,A103)=1,VLOOKUP(A103,S:T,2), IF(COUNTIF($W$2:W1088,A103)=0,$D$9,""))</f>
        <v/>
      </c>
      <c r="I103" s="39" t="str">
        <f ca="1">IF(COUNTIF($X$2:X1088,INT(A103))=1,VLOOKUP(INT(A103),X:Y,2), IF(ISERROR(H103-2),"",I102*(1-$D$8*(H103-H102)*0.0001)))</f>
        <v/>
      </c>
      <c r="J103" s="39" t="str">
        <f t="shared" ca="1" si="16"/>
        <v/>
      </c>
      <c r="K103" s="41" t="str">
        <f t="shared" ca="1" si="17"/>
        <v/>
      </c>
      <c r="L103" s="41"/>
      <c r="M103" s="42" t="str">
        <f ca="1">IF(ISERROR(B103-2),"",C103+D103-F103-G103-K103+SUM($L$14:L103))</f>
        <v/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 t="str">
        <f t="shared" si="9"/>
        <v/>
      </c>
      <c r="V103" s="3" t="str">
        <f t="shared" si="10"/>
        <v/>
      </c>
      <c r="X103" s="3">
        <v>46189</v>
      </c>
      <c r="Y103" s="5">
        <v>270.3356</v>
      </c>
      <c r="Z103" s="3">
        <v>45923</v>
      </c>
      <c r="AA103" s="4">
        <v>244.0994</v>
      </c>
      <c r="AB103" s="74">
        <v>45923</v>
      </c>
      <c r="AC103" s="4">
        <v>264.339</v>
      </c>
      <c r="AD103" s="6">
        <f t="shared" si="11"/>
        <v>45923</v>
      </c>
    </row>
    <row r="104" spans="1:30" x14ac:dyDescent="0.25">
      <c r="A104" s="37" t="str">
        <f t="shared" ca="1" si="12"/>
        <v/>
      </c>
      <c r="B104" s="38" t="str">
        <f ca="1">IF(COUNTIF($W$2:W1089,A104)=1,VLOOKUP(A104,O:P,2), IF(COUNTIF($W$2:W1089,A104)=0,$B$9,""))</f>
        <v/>
      </c>
      <c r="C104" s="2" t="str">
        <f t="shared" ca="1" si="13"/>
        <v/>
      </c>
      <c r="D104" s="41"/>
      <c r="E104" s="38" t="str">
        <f ca="1">IF(COUNTIF($W$2:W1089,A104)=1,VLOOKUP(A104,Q:R,2), IF(COUNTIF($W$2:W1089,A104)=0,$C$9,""))</f>
        <v/>
      </c>
      <c r="F104" s="2" t="str">
        <f t="shared" ca="1" si="14"/>
        <v/>
      </c>
      <c r="G104" s="41" t="str">
        <f t="shared" ca="1" si="15"/>
        <v/>
      </c>
      <c r="H104" s="38" t="str">
        <f ca="1">IF(COUNTIF($W$2:W1089,A104)=1,VLOOKUP(A104,S:T,2), IF(COUNTIF($W$2:W1089,A104)=0,$D$9,""))</f>
        <v/>
      </c>
      <c r="I104" s="39" t="str">
        <f ca="1">IF(COUNTIF($X$2:X1089,INT(A104))=1,VLOOKUP(INT(A104),X:Y,2), IF(ISERROR(H104-2),"",I103*(1-$D$8*(H104-H103)*0.0001)))</f>
        <v/>
      </c>
      <c r="J104" s="39" t="str">
        <f t="shared" ca="1" si="16"/>
        <v/>
      </c>
      <c r="K104" s="41" t="str">
        <f t="shared" ca="1" si="17"/>
        <v/>
      </c>
      <c r="L104" s="41"/>
      <c r="M104" s="42" t="str">
        <f ca="1">IF(ISERROR(B104-2),"",C104+D104-F104-G104-K104+SUM($L$14:L104))</f>
        <v/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 t="str">
        <f t="shared" si="9"/>
        <v/>
      </c>
      <c r="V104" s="3" t="str">
        <f t="shared" si="10"/>
        <v/>
      </c>
      <c r="X104" s="3">
        <v>46190</v>
      </c>
      <c r="Y104" s="5">
        <v>270.1644</v>
      </c>
      <c r="Z104" s="3">
        <v>45924</v>
      </c>
      <c r="AA104" s="4">
        <v>244.1028</v>
      </c>
      <c r="AB104" s="74">
        <v>45924</v>
      </c>
      <c r="AC104" s="4">
        <v>264.625</v>
      </c>
      <c r="AD104" s="6">
        <f t="shared" si="11"/>
        <v>45924</v>
      </c>
    </row>
    <row r="105" spans="1:30" x14ac:dyDescent="0.25">
      <c r="A105" s="37" t="str">
        <f t="shared" ca="1" si="12"/>
        <v/>
      </c>
      <c r="B105" s="38" t="str">
        <f ca="1">IF(COUNTIF($W$2:W1090,A105)=1,VLOOKUP(A105,O:P,2), IF(COUNTIF($W$2:W1090,A105)=0,$B$9,""))</f>
        <v/>
      </c>
      <c r="C105" s="2" t="str">
        <f t="shared" ca="1" si="13"/>
        <v/>
      </c>
      <c r="D105" s="41"/>
      <c r="E105" s="38" t="str">
        <f ca="1">IF(COUNTIF($W$2:W1090,A105)=1,VLOOKUP(A105,Q:R,2), IF(COUNTIF($W$2:W1090,A105)=0,$C$9,""))</f>
        <v/>
      </c>
      <c r="F105" s="2" t="str">
        <f t="shared" ca="1" si="14"/>
        <v/>
      </c>
      <c r="G105" s="41" t="str">
        <f t="shared" ca="1" si="15"/>
        <v/>
      </c>
      <c r="H105" s="38" t="str">
        <f ca="1">IF(COUNTIF($W$2:W1090,A105)=1,VLOOKUP(A105,S:T,2), IF(COUNTIF($W$2:W1090,A105)=0,$D$9,""))</f>
        <v/>
      </c>
      <c r="I105" s="39" t="str">
        <f ca="1">IF(COUNTIF($X$2:X1090,INT(A105))=1,VLOOKUP(INT(A105),X:Y,2), IF(ISERROR(H105-2),"",I104*(1-$D$8*(H105-H104)*0.0001)))</f>
        <v/>
      </c>
      <c r="J105" s="39" t="str">
        <f t="shared" ca="1" si="16"/>
        <v/>
      </c>
      <c r="K105" s="41" t="str">
        <f t="shared" ca="1" si="17"/>
        <v/>
      </c>
      <c r="L105" s="41"/>
      <c r="M105" s="42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9"/>
        <v/>
      </c>
      <c r="V105" s="3" t="str">
        <f t="shared" si="10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74">
        <v>45925</v>
      </c>
      <c r="AC105" s="4">
        <v>268.18400000000003</v>
      </c>
      <c r="AD105" s="6">
        <f t="shared" si="11"/>
        <v>45925</v>
      </c>
    </row>
    <row r="106" spans="1:30" x14ac:dyDescent="0.25">
      <c r="A106" s="37" t="str">
        <f t="shared" ca="1" si="12"/>
        <v/>
      </c>
      <c r="B106" s="38" t="str">
        <f ca="1">IF(COUNTIF($W$2:W1091,A106)=1,VLOOKUP(A106,O:P,2), IF(COUNTIF($W$2:W1091,A106)=0,$B$9,""))</f>
        <v/>
      </c>
      <c r="C106" s="2" t="str">
        <f t="shared" ca="1" si="13"/>
        <v/>
      </c>
      <c r="D106" s="41"/>
      <c r="E106" s="38" t="str">
        <f ca="1">IF(COUNTIF($W$2:W1091,A106)=1,VLOOKUP(A106,Q:R,2), IF(COUNTIF($W$2:W1091,A106)=0,$C$9,""))</f>
        <v/>
      </c>
      <c r="F106" s="2" t="str">
        <f t="shared" ca="1" si="14"/>
        <v/>
      </c>
      <c r="G106" s="41" t="str">
        <f t="shared" ca="1" si="15"/>
        <v/>
      </c>
      <c r="H106" s="38" t="str">
        <f ca="1">IF(COUNTIF($W$2:W1091,A106)=1,VLOOKUP(A106,S:T,2), IF(COUNTIF($W$2:W1091,A106)=0,$D$9,""))</f>
        <v/>
      </c>
      <c r="I106" s="39" t="str">
        <f ca="1">IF(COUNTIF($X$2:X1091,INT(A106))=1,VLOOKUP(INT(A106),X:Y,2), IF(ISERROR(H106-2),"",I105*(1-$D$8*(H106-H105)*0.0001)))</f>
        <v/>
      </c>
      <c r="J106" s="39" t="str">
        <f t="shared" ca="1" si="16"/>
        <v/>
      </c>
      <c r="K106" s="41" t="str">
        <f t="shared" ca="1" si="17"/>
        <v/>
      </c>
      <c r="L106" s="41"/>
      <c r="M106" s="42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9"/>
        <v/>
      </c>
      <c r="V106" s="3" t="str">
        <f t="shared" si="10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74">
        <v>45926</v>
      </c>
      <c r="AC106" s="4">
        <v>265.48200000000003</v>
      </c>
      <c r="AD106" s="6">
        <f t="shared" si="11"/>
        <v>45926</v>
      </c>
    </row>
    <row r="107" spans="1:30" x14ac:dyDescent="0.25">
      <c r="A107" s="37" t="str">
        <f t="shared" ca="1" si="12"/>
        <v/>
      </c>
      <c r="B107" s="38" t="str">
        <f ca="1">IF(COUNTIF($W$2:W1092,A107)=1,VLOOKUP(A107,O:P,2), IF(COUNTIF($W$2:W1092,A107)=0,$B$9,""))</f>
        <v/>
      </c>
      <c r="C107" s="2" t="str">
        <f t="shared" ca="1" si="13"/>
        <v/>
      </c>
      <c r="D107" s="41"/>
      <c r="E107" s="38" t="str">
        <f ca="1">IF(COUNTIF($W$2:W1092,A107)=1,VLOOKUP(A107,Q:R,2), IF(COUNTIF($W$2:W1092,A107)=0,$C$9,""))</f>
        <v/>
      </c>
      <c r="F107" s="2" t="str">
        <f t="shared" ca="1" si="14"/>
        <v/>
      </c>
      <c r="G107" s="41" t="str">
        <f t="shared" ca="1" si="15"/>
        <v/>
      </c>
      <c r="H107" s="38" t="str">
        <f ca="1">IF(COUNTIF($W$2:W1092,A107)=1,VLOOKUP(A107,S:T,2), IF(COUNTIF($W$2:W1092,A107)=0,$D$9,""))</f>
        <v/>
      </c>
      <c r="I107" s="39" t="str">
        <f ca="1">IF(COUNTIF($X$2:X1092,INT(A107))=1,VLOOKUP(INT(A107),X:Y,2), IF(ISERROR(H107-2),"",I106*(1-$D$8*(H107-H106)*0.0001)))</f>
        <v/>
      </c>
      <c r="J107" s="39" t="str">
        <f t="shared" ca="1" si="16"/>
        <v/>
      </c>
      <c r="K107" s="41" t="str">
        <f t="shared" ca="1" si="17"/>
        <v/>
      </c>
      <c r="L107" s="41"/>
      <c r="M107" s="42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9"/>
        <v/>
      </c>
      <c r="V107" s="3" t="str">
        <f t="shared" si="10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74">
        <v>45929</v>
      </c>
      <c r="AC107" s="4">
        <v>262.72199999999998</v>
      </c>
      <c r="AD107" s="6">
        <f t="shared" si="11"/>
        <v>45929</v>
      </c>
    </row>
    <row r="108" spans="1:30" x14ac:dyDescent="0.25">
      <c r="A108" s="37" t="str">
        <f t="shared" ca="1" si="12"/>
        <v/>
      </c>
      <c r="B108" s="38" t="str">
        <f ca="1">IF(COUNTIF($W$2:W1093,A108)=1,VLOOKUP(A108,O:P,2), IF(COUNTIF($W$2:W1093,A108)=0,$B$9,""))</f>
        <v/>
      </c>
      <c r="C108" s="2" t="str">
        <f t="shared" ca="1" si="13"/>
        <v/>
      </c>
      <c r="D108" s="41"/>
      <c r="E108" s="38" t="str">
        <f ca="1">IF(COUNTIF($W$2:W1093,A108)=1,VLOOKUP(A108,Q:R,2), IF(COUNTIF($W$2:W1093,A108)=0,$C$9,""))</f>
        <v/>
      </c>
      <c r="F108" s="2" t="str">
        <f t="shared" ca="1" si="14"/>
        <v/>
      </c>
      <c r="G108" s="41" t="str">
        <f t="shared" ca="1" si="15"/>
        <v/>
      </c>
      <c r="H108" s="38" t="str">
        <f ca="1">IF(COUNTIF($W$2:W1093,A108)=1,VLOOKUP(A108,S:T,2), IF(COUNTIF($W$2:W1093,A108)=0,$D$9,""))</f>
        <v/>
      </c>
      <c r="I108" s="39" t="str">
        <f ca="1">IF(COUNTIF($X$2:X1093,INT(A108))=1,VLOOKUP(INT(A108),X:Y,2), IF(ISERROR(H108-2),"",I107*(1-$D$8*(H108-H107)*0.0001)))</f>
        <v/>
      </c>
      <c r="J108" s="39" t="str">
        <f t="shared" ca="1" si="16"/>
        <v/>
      </c>
      <c r="K108" s="41" t="str">
        <f t="shared" ca="1" si="17"/>
        <v/>
      </c>
      <c r="L108" s="41"/>
      <c r="M108" s="42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9"/>
        <v/>
      </c>
      <c r="V108" s="3" t="str">
        <f t="shared" si="10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74">
        <v>45930</v>
      </c>
      <c r="AC108" s="4">
        <v>262.26600000000002</v>
      </c>
      <c r="AD108" s="6">
        <f t="shared" si="11"/>
        <v>45930</v>
      </c>
    </row>
    <row r="109" spans="1:30" x14ac:dyDescent="0.25">
      <c r="A109" s="37" t="str">
        <f t="shared" ca="1" si="12"/>
        <v/>
      </c>
      <c r="B109" s="38" t="str">
        <f ca="1">IF(COUNTIF($W$2:W1094,A109)=1,VLOOKUP(A109,O:P,2), IF(COUNTIF($W$2:W1094,A109)=0,$B$9,""))</f>
        <v/>
      </c>
      <c r="C109" s="2" t="str">
        <f t="shared" ca="1" si="13"/>
        <v/>
      </c>
      <c r="D109" s="41"/>
      <c r="E109" s="38" t="str">
        <f ca="1">IF(COUNTIF($W$2:W1094,A109)=1,VLOOKUP(A109,Q:R,2), IF(COUNTIF($W$2:W1094,A109)=0,$C$9,""))</f>
        <v/>
      </c>
      <c r="F109" s="2" t="str">
        <f t="shared" ca="1" si="14"/>
        <v/>
      </c>
      <c r="G109" s="41" t="str">
        <f t="shared" ca="1" si="15"/>
        <v/>
      </c>
      <c r="H109" s="38" t="str">
        <f ca="1">IF(COUNTIF($W$2:W1094,A109)=1,VLOOKUP(A109,S:T,2), IF(COUNTIF($W$2:W1094,A109)=0,$D$9,""))</f>
        <v/>
      </c>
      <c r="I109" s="39" t="str">
        <f ca="1">IF(COUNTIF($X$2:X1094,INT(A109))=1,VLOOKUP(INT(A109),X:Y,2), IF(ISERROR(H109-2),"",I108*(1-$D$8*(H109-H108)*0.0001)))</f>
        <v/>
      </c>
      <c r="J109" s="39" t="str">
        <f t="shared" ca="1" si="16"/>
        <v/>
      </c>
      <c r="K109" s="41" t="str">
        <f t="shared" ca="1" si="17"/>
        <v/>
      </c>
      <c r="L109" s="41"/>
      <c r="M109" s="42" t="str">
        <f ca="1">IF(ISERROR(B109-2),"",C109+D109-F109-G109-K109+SUM($L$14:L109))</f>
        <v/>
      </c>
      <c r="U109" s="3" t="str">
        <f t="shared" si="9"/>
        <v/>
      </c>
      <c r="V109" s="3" t="str">
        <f t="shared" si="10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74">
        <v>45931</v>
      </c>
      <c r="AC109" s="4">
        <v>260.63</v>
      </c>
      <c r="AD109" s="6">
        <f t="shared" si="11"/>
        <v>45931</v>
      </c>
    </row>
    <row r="110" spans="1:30" x14ac:dyDescent="0.25">
      <c r="A110" s="37" t="str">
        <f t="shared" ca="1" si="12"/>
        <v/>
      </c>
      <c r="B110" s="38" t="str">
        <f ca="1">IF(COUNTIF($W$2:W1095,A110)=1,VLOOKUP(A110,O:P,2), IF(COUNTIF($W$2:W1095,A110)=0,$B$9,""))</f>
        <v/>
      </c>
      <c r="C110" s="2" t="str">
        <f t="shared" ca="1" si="13"/>
        <v/>
      </c>
      <c r="D110" s="41"/>
      <c r="E110" s="38" t="str">
        <f ca="1">IF(COUNTIF($W$2:W1095,A110)=1,VLOOKUP(A110,Q:R,2), IF(COUNTIF($W$2:W1095,A110)=0,$C$9,""))</f>
        <v/>
      </c>
      <c r="F110" s="2" t="str">
        <f t="shared" ca="1" si="14"/>
        <v/>
      </c>
      <c r="G110" s="41" t="str">
        <f t="shared" ca="1" si="15"/>
        <v/>
      </c>
      <c r="H110" s="38" t="str">
        <f ca="1">IF(COUNTIF($W$2:W1095,A110)=1,VLOOKUP(A110,S:T,2), IF(COUNTIF($W$2:W1095,A110)=0,$D$9,""))</f>
        <v/>
      </c>
      <c r="I110" s="39" t="str">
        <f ca="1">IF(COUNTIF($X$2:X1095,INT(A110))=1,VLOOKUP(INT(A110),X:Y,2), IF(ISERROR(H110-2),"",I109*(1-$D$8*(H110-H109)*0.0001)))</f>
        <v/>
      </c>
      <c r="J110" s="39" t="str">
        <f t="shared" ca="1" si="16"/>
        <v/>
      </c>
      <c r="K110" s="41" t="str">
        <f t="shared" ca="1" si="17"/>
        <v/>
      </c>
      <c r="L110" s="41"/>
      <c r="M110" s="42" t="str">
        <f ca="1">IF(ISERROR(B110-2),"",C110+D110-F110-G110-K110+SUM($L$14:L110))</f>
        <v/>
      </c>
      <c r="U110" s="3" t="str">
        <f t="shared" si="9"/>
        <v/>
      </c>
      <c r="V110" s="3" t="str">
        <f t="shared" si="10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74">
        <v>45932</v>
      </c>
      <c r="AC110" s="4">
        <v>257.88900000000001</v>
      </c>
      <c r="AD110" s="6">
        <f t="shared" si="11"/>
        <v>45932</v>
      </c>
    </row>
    <row r="111" spans="1:30" x14ac:dyDescent="0.25">
      <c r="A111" s="37" t="str">
        <f t="shared" ca="1" si="12"/>
        <v/>
      </c>
      <c r="B111" s="38" t="str">
        <f ca="1">IF(COUNTIF($W$2:W1096,A111)=1,VLOOKUP(A111,O:P,2), IF(COUNTIF($W$2:W1096,A111)=0,$B$9,""))</f>
        <v/>
      </c>
      <c r="C111" s="2" t="str">
        <f t="shared" ca="1" si="13"/>
        <v/>
      </c>
      <c r="D111" s="41"/>
      <c r="E111" s="38" t="str">
        <f ca="1">IF(COUNTIF($W$2:W1096,A111)=1,VLOOKUP(A111,Q:R,2), IF(COUNTIF($W$2:W1096,A111)=0,$C$9,""))</f>
        <v/>
      </c>
      <c r="F111" s="2" t="str">
        <f t="shared" ca="1" si="14"/>
        <v/>
      </c>
      <c r="G111" s="41" t="str">
        <f t="shared" ca="1" si="15"/>
        <v/>
      </c>
      <c r="H111" s="38" t="str">
        <f ca="1">IF(COUNTIF($W$2:W1096,A111)=1,VLOOKUP(A111,S:T,2), IF(COUNTIF($W$2:W1096,A111)=0,$D$9,""))</f>
        <v/>
      </c>
      <c r="I111" s="39" t="str">
        <f ca="1">IF(COUNTIF($X$2:X1096,INT(A111))=1,VLOOKUP(INT(A111),X:Y,2), IF(ISERROR(H111-2),"",I110*(1-$D$8*(H111-H110)*0.0001)))</f>
        <v/>
      </c>
      <c r="J111" s="39" t="str">
        <f t="shared" ca="1" si="16"/>
        <v/>
      </c>
      <c r="K111" s="41" t="str">
        <f t="shared" ca="1" si="17"/>
        <v/>
      </c>
      <c r="L111" s="41"/>
      <c r="M111" s="42" t="str">
        <f ca="1">IF(ISERROR(B111-2),"",C111+D111-F111-G111-K111+SUM($L$14:L111))</f>
        <v/>
      </c>
      <c r="U111" s="3" t="str">
        <f t="shared" si="9"/>
        <v/>
      </c>
      <c r="V111" s="3" t="str">
        <f t="shared" si="10"/>
        <v/>
      </c>
      <c r="Z111" s="3">
        <v>45933</v>
      </c>
      <c r="AA111" s="4">
        <v>244.96510000000001</v>
      </c>
      <c r="AB111" s="74">
        <v>45933</v>
      </c>
      <c r="AC111" s="4">
        <v>258.346</v>
      </c>
      <c r="AD111" s="6">
        <f t="shared" si="11"/>
        <v>45933</v>
      </c>
    </row>
    <row r="112" spans="1:30" x14ac:dyDescent="0.25">
      <c r="A112" s="37" t="str">
        <f t="shared" ca="1" si="12"/>
        <v/>
      </c>
      <c r="B112" s="38" t="str">
        <f ca="1">IF(COUNTIF($W$2:W1097,A112)=1,VLOOKUP(A112,O:P,2), IF(COUNTIF($W$2:W1097,A112)=0,$B$9,""))</f>
        <v/>
      </c>
      <c r="C112" s="2" t="str">
        <f t="shared" ca="1" si="13"/>
        <v/>
      </c>
      <c r="D112" s="41"/>
      <c r="E112" s="38" t="str">
        <f ca="1">IF(COUNTIF($W$2:W1097,A112)=1,VLOOKUP(A112,Q:R,2), IF(COUNTIF($W$2:W1097,A112)=0,$C$9,""))</f>
        <v/>
      </c>
      <c r="F112" s="2" t="str">
        <f t="shared" ca="1" si="14"/>
        <v/>
      </c>
      <c r="G112" s="41" t="str">
        <f t="shared" ca="1" si="15"/>
        <v/>
      </c>
      <c r="H112" s="38" t="str">
        <f ca="1">IF(COUNTIF($W$2:W1097,A112)=1,VLOOKUP(A112,S:T,2), IF(COUNTIF($W$2:W1097,A112)=0,$D$9,""))</f>
        <v/>
      </c>
      <c r="I112" s="39" t="str">
        <f ca="1">IF(COUNTIF($X$2:X1097,INT(A112))=1,VLOOKUP(INT(A112),X:Y,2), IF(ISERROR(H112-2),"",I111*(1-$D$8*(H112-H111)*0.0001)))</f>
        <v/>
      </c>
      <c r="J112" s="39" t="str">
        <f t="shared" ca="1" si="16"/>
        <v/>
      </c>
      <c r="K112" s="41" t="str">
        <f t="shared" ca="1" si="17"/>
        <v/>
      </c>
      <c r="L112" s="41"/>
      <c r="M112" s="42" t="str">
        <f ca="1">IF(ISERROR(B112-2),"",C112+D112-F112-G112-K112+SUM($L$14:L112))</f>
        <v/>
      </c>
      <c r="U112" s="3" t="str">
        <f t="shared" si="9"/>
        <v/>
      </c>
      <c r="V112" s="3" t="str">
        <f t="shared" si="10"/>
        <v/>
      </c>
      <c r="Z112" s="3">
        <v>45936</v>
      </c>
      <c r="AA112" s="4">
        <v>244.72149999999999</v>
      </c>
      <c r="AB112" s="74">
        <v>45936</v>
      </c>
      <c r="AC112" s="4">
        <v>261.209</v>
      </c>
      <c r="AD112" s="6">
        <f t="shared" si="11"/>
        <v>45936</v>
      </c>
    </row>
    <row r="113" spans="1:30" x14ac:dyDescent="0.25">
      <c r="A113" s="37" t="str">
        <f t="shared" ca="1" si="12"/>
        <v/>
      </c>
      <c r="B113" s="38" t="str">
        <f ca="1">IF(COUNTIF($W$2:W1098,A113)=1,VLOOKUP(A113,O:P,2), IF(COUNTIF($W$2:W1098,A113)=0,$B$9,""))</f>
        <v/>
      </c>
      <c r="C113" s="2" t="str">
        <f t="shared" ca="1" si="13"/>
        <v/>
      </c>
      <c r="D113" s="41"/>
      <c r="E113" s="38" t="str">
        <f ca="1">IF(COUNTIF($W$2:W1098,A113)=1,VLOOKUP(A113,Q:R,2), IF(COUNTIF($W$2:W1098,A113)=0,$C$9,""))</f>
        <v/>
      </c>
      <c r="F113" s="2" t="str">
        <f t="shared" ca="1" si="14"/>
        <v/>
      </c>
      <c r="G113" s="41" t="str">
        <f t="shared" ca="1" si="15"/>
        <v/>
      </c>
      <c r="H113" s="38" t="str">
        <f ca="1">IF(COUNTIF($W$2:W1098,A113)=1,VLOOKUP(A113,S:T,2), IF(COUNTIF($W$2:W1098,A113)=0,$D$9,""))</f>
        <v/>
      </c>
      <c r="I113" s="39" t="str">
        <f ca="1">IF(COUNTIF($X$2:X1098,INT(A113))=1,VLOOKUP(INT(A113),X:Y,2), IF(ISERROR(H113-2),"",I112*(1-$D$8*(H113-H112)*0.0001)))</f>
        <v/>
      </c>
      <c r="J113" s="39" t="str">
        <f t="shared" ca="1" si="16"/>
        <v/>
      </c>
      <c r="K113" s="41" t="str">
        <f t="shared" ca="1" si="17"/>
        <v/>
      </c>
      <c r="L113" s="41"/>
      <c r="M113" s="42" t="str">
        <f ca="1">IF(ISERROR(B113-2),"",C113+D113-F113-G113-K113+SUM($L$14:L113))</f>
        <v/>
      </c>
      <c r="U113" s="3" t="str">
        <f t="shared" si="9"/>
        <v/>
      </c>
      <c r="V113" s="3" t="str">
        <f t="shared" si="10"/>
        <v/>
      </c>
      <c r="Z113" s="3">
        <v>45937</v>
      </c>
      <c r="AA113" s="4">
        <v>244.3331</v>
      </c>
      <c r="AB113" s="74">
        <v>45937</v>
      </c>
      <c r="AC113" s="4">
        <v>265.35199999999998</v>
      </c>
      <c r="AD113" s="6">
        <f t="shared" si="11"/>
        <v>45937</v>
      </c>
    </row>
    <row r="114" spans="1:30" x14ac:dyDescent="0.25">
      <c r="A114" s="37" t="str">
        <f t="shared" ca="1" si="12"/>
        <v/>
      </c>
      <c r="B114" s="38" t="str">
        <f ca="1">IF(COUNTIF($W$2:W1099,A114)=1,VLOOKUP(A114,O:P,2), IF(COUNTIF($W$2:W1099,A114)=0,$B$9,""))</f>
        <v/>
      </c>
      <c r="C114" s="2" t="str">
        <f t="shared" ca="1" si="13"/>
        <v/>
      </c>
      <c r="D114" s="41"/>
      <c r="E114" s="38" t="str">
        <f ca="1">IF(COUNTIF($W$2:W1099,A114)=1,VLOOKUP(A114,Q:R,2), IF(COUNTIF($W$2:W1099,A114)=0,$C$9,""))</f>
        <v/>
      </c>
      <c r="F114" s="2" t="str">
        <f t="shared" ca="1" si="14"/>
        <v/>
      </c>
      <c r="G114" s="41" t="str">
        <f t="shared" ca="1" si="15"/>
        <v/>
      </c>
      <c r="H114" s="38" t="str">
        <f ca="1">IF(COUNTIF($W$2:W1099,A114)=1,VLOOKUP(A114,S:T,2), IF(COUNTIF($W$2:W1099,A114)=0,$D$9,""))</f>
        <v/>
      </c>
      <c r="I114" s="39" t="str">
        <f ca="1">IF(COUNTIF($X$2:X1099,INT(A114))=1,VLOOKUP(INT(A114),X:Y,2), IF(ISERROR(H114-2),"",I113*(1-$D$8*(H114-H113)*0.0001)))</f>
        <v/>
      </c>
      <c r="J114" s="39" t="str">
        <f t="shared" ca="1" si="16"/>
        <v/>
      </c>
      <c r="K114" s="41" t="str">
        <f t="shared" ca="1" si="17"/>
        <v/>
      </c>
      <c r="L114" s="41"/>
      <c r="M114" s="42" t="str">
        <f ca="1">IF(ISERROR(B114-2),"",C114+D114-F114-G114-K114+SUM($L$14:L114))</f>
        <v/>
      </c>
      <c r="U114" s="3" t="str">
        <f t="shared" si="9"/>
        <v/>
      </c>
      <c r="V114" s="3" t="str">
        <f t="shared" si="10"/>
        <v/>
      </c>
      <c r="Z114" s="3">
        <v>45938</v>
      </c>
      <c r="AA114" s="4">
        <v>244.23560000000001</v>
      </c>
      <c r="AB114" s="74">
        <v>45938</v>
      </c>
      <c r="AC114" s="4">
        <v>265.35300000000001</v>
      </c>
      <c r="AD114" s="6">
        <f t="shared" si="11"/>
        <v>45938</v>
      </c>
    </row>
    <row r="115" spans="1:30" x14ac:dyDescent="0.25">
      <c r="A115" s="37" t="str">
        <f t="shared" ca="1" si="12"/>
        <v/>
      </c>
      <c r="B115" s="38" t="str">
        <f ca="1">IF(COUNTIF($W$2:W1100,A115)=1,VLOOKUP(A115,O:P,2), IF(COUNTIF($W$2:W1100,A115)=0,$B$9,""))</f>
        <v/>
      </c>
      <c r="C115" s="2" t="str">
        <f t="shared" ca="1" si="13"/>
        <v/>
      </c>
      <c r="D115" s="41"/>
      <c r="E115" s="38" t="str">
        <f ca="1">IF(COUNTIF($W$2:W1100,A115)=1,VLOOKUP(A115,Q:R,2), IF(COUNTIF($W$2:W1100,A115)=0,$C$9,""))</f>
        <v/>
      </c>
      <c r="F115" s="2" t="str">
        <f t="shared" ca="1" si="14"/>
        <v/>
      </c>
      <c r="G115" s="41" t="str">
        <f t="shared" ca="1" si="15"/>
        <v/>
      </c>
      <c r="H115" s="38" t="str">
        <f ca="1">IF(COUNTIF($W$2:W1100,A115)=1,VLOOKUP(A115,S:T,2), IF(COUNTIF($W$2:W1100,A115)=0,$D$9,""))</f>
        <v/>
      </c>
      <c r="I115" s="39" t="str">
        <f ca="1">IF(COUNTIF($X$2:X1100,INT(A115))=1,VLOOKUP(INT(A115),X:Y,2), IF(ISERROR(H115-2),"",I114*(1-$D$8*(H115-H114)*0.0001)))</f>
        <v/>
      </c>
      <c r="J115" s="39" t="str">
        <f t="shared" ca="1" si="16"/>
        <v/>
      </c>
      <c r="K115" s="41" t="str">
        <f t="shared" ca="1" si="17"/>
        <v/>
      </c>
      <c r="L115" s="41"/>
      <c r="M115" s="42" t="str">
        <f ca="1">IF(ISERROR(B115-2),"",C115+D115-F115-G115-K115+SUM($L$14:L115))</f>
        <v/>
      </c>
      <c r="U115" s="3" t="str">
        <f t="shared" si="9"/>
        <v/>
      </c>
      <c r="V115" s="3" t="str">
        <f t="shared" si="10"/>
        <v/>
      </c>
      <c r="Z115" s="3">
        <v>45939</v>
      </c>
      <c r="AA115" s="4">
        <v>243.46870000000001</v>
      </c>
      <c r="AB115" s="74">
        <v>45939</v>
      </c>
      <c r="AC115" s="4">
        <v>271.95800000000003</v>
      </c>
      <c r="AD115" s="6">
        <f t="shared" si="11"/>
        <v>45939</v>
      </c>
    </row>
    <row r="116" spans="1:30" x14ac:dyDescent="0.25">
      <c r="A116" s="37" t="str">
        <f t="shared" ca="1" si="12"/>
        <v/>
      </c>
      <c r="B116" s="38" t="str">
        <f ca="1">IF(COUNTIF($W$2:W1101,A116)=1,VLOOKUP(A116,O:P,2), IF(COUNTIF($W$2:W1101,A116)=0,$B$9,""))</f>
        <v/>
      </c>
      <c r="C116" s="2" t="str">
        <f t="shared" ca="1" si="13"/>
        <v/>
      </c>
      <c r="D116" s="41"/>
      <c r="E116" s="38" t="str">
        <f ca="1">IF(COUNTIF($W$2:W1101,A116)=1,VLOOKUP(A116,Q:R,2), IF(COUNTIF($W$2:W1101,A116)=0,$C$9,""))</f>
        <v/>
      </c>
      <c r="F116" s="2" t="str">
        <f t="shared" ca="1" si="14"/>
        <v/>
      </c>
      <c r="G116" s="41" t="str">
        <f t="shared" ca="1" si="15"/>
        <v/>
      </c>
      <c r="H116" s="38" t="str">
        <f ca="1">IF(COUNTIF($W$2:W1101,A116)=1,VLOOKUP(A116,S:T,2), IF(COUNTIF($W$2:W1101,A116)=0,$D$9,""))</f>
        <v/>
      </c>
      <c r="I116" s="39" t="str">
        <f ca="1">IF(COUNTIF($X$2:X1101,INT(A116))=1,VLOOKUP(INT(A116),X:Y,2), IF(ISERROR(H116-2),"",I115*(1-$D$8*(H116-H115)*0.0001)))</f>
        <v/>
      </c>
      <c r="J116" s="39" t="str">
        <f t="shared" ca="1" si="16"/>
        <v/>
      </c>
      <c r="K116" s="41" t="str">
        <f t="shared" ca="1" si="17"/>
        <v/>
      </c>
      <c r="L116" s="41"/>
      <c r="M116" s="42" t="str">
        <f ca="1">IF(ISERROR(B116-2),"",C116+D116-F116-G116-K116+SUM($L$14:L116))</f>
        <v/>
      </c>
      <c r="U116" s="3" t="str">
        <f t="shared" si="9"/>
        <v/>
      </c>
      <c r="V116" s="3" t="str">
        <f t="shared" si="10"/>
        <v/>
      </c>
      <c r="Z116" s="3">
        <v>45940</v>
      </c>
      <c r="AA116" s="4">
        <v>242.13290000000001</v>
      </c>
      <c r="AB116" s="74">
        <v>45940</v>
      </c>
      <c r="AC116" s="4">
        <v>283.27499999999998</v>
      </c>
      <c r="AD116" s="6">
        <f t="shared" si="11"/>
        <v>45940</v>
      </c>
    </row>
    <row r="117" spans="1:30" x14ac:dyDescent="0.25">
      <c r="A117" s="37" t="str">
        <f t="shared" ca="1" si="12"/>
        <v/>
      </c>
      <c r="B117" s="38" t="str">
        <f ca="1">IF(COUNTIF($W$2:W1102,A117)=1,VLOOKUP(A117,O:P,2), IF(COUNTIF($W$2:W1102,A117)=0,$B$9,""))</f>
        <v/>
      </c>
      <c r="C117" s="2" t="str">
        <f t="shared" ca="1" si="13"/>
        <v/>
      </c>
      <c r="D117" s="41"/>
      <c r="E117" s="38" t="str">
        <f ca="1">IF(COUNTIF($W$2:W1102,A117)=1,VLOOKUP(A117,Q:R,2), IF(COUNTIF($W$2:W1102,A117)=0,$C$9,""))</f>
        <v/>
      </c>
      <c r="F117" s="2" t="str">
        <f t="shared" ca="1" si="14"/>
        <v/>
      </c>
      <c r="G117" s="41" t="str">
        <f t="shared" ca="1" si="15"/>
        <v/>
      </c>
      <c r="H117" s="38" t="str">
        <f ca="1">IF(COUNTIF($W$2:W1102,A117)=1,VLOOKUP(A117,S:T,2), IF(COUNTIF($W$2:W1102,A117)=0,$D$9,""))</f>
        <v/>
      </c>
      <c r="I117" s="39" t="str">
        <f ca="1">IF(COUNTIF($X$2:X1102,INT(A117))=1,VLOOKUP(INT(A117),X:Y,2), IF(ISERROR(H117-2),"",I116*(1-$D$8*(H117-H116)*0.0001)))</f>
        <v/>
      </c>
      <c r="J117" s="39" t="str">
        <f t="shared" ca="1" si="16"/>
        <v/>
      </c>
      <c r="K117" s="41" t="str">
        <f t="shared" ca="1" si="17"/>
        <v/>
      </c>
      <c r="L117" s="41"/>
      <c r="M117" s="42" t="str">
        <f ca="1">IF(ISERROR(B117-2),"",C117+D117-F117-G117-K117+SUM($L$14:L117))</f>
        <v/>
      </c>
      <c r="U117" s="3" t="str">
        <f t="shared" si="9"/>
        <v/>
      </c>
      <c r="V117" s="3" t="str">
        <f t="shared" si="10"/>
        <v/>
      </c>
      <c r="Z117" s="3">
        <v>45943</v>
      </c>
      <c r="AA117" s="4">
        <v>242.50720000000001</v>
      </c>
      <c r="AB117" s="74">
        <v>45943</v>
      </c>
      <c r="AC117" s="4">
        <v>280.70100000000002</v>
      </c>
      <c r="AD117" s="6">
        <f t="shared" si="11"/>
        <v>45943</v>
      </c>
    </row>
    <row r="118" spans="1:30" x14ac:dyDescent="0.25">
      <c r="A118" s="37" t="str">
        <f t="shared" ca="1" si="12"/>
        <v/>
      </c>
      <c r="B118" s="38" t="str">
        <f ca="1">IF(COUNTIF($W$2:W1103,A118)=1,VLOOKUP(A118,O:P,2), IF(COUNTIF($W$2:W1103,A118)=0,$B$9,""))</f>
        <v/>
      </c>
      <c r="C118" s="2" t="str">
        <f t="shared" ca="1" si="13"/>
        <v/>
      </c>
      <c r="D118" s="41"/>
      <c r="E118" s="38" t="str">
        <f ca="1">IF(COUNTIF($W$2:W1103,A118)=1,VLOOKUP(A118,Q:R,2), IF(COUNTIF($W$2:W1103,A118)=0,$C$9,""))</f>
        <v/>
      </c>
      <c r="F118" s="2" t="str">
        <f t="shared" ca="1" si="14"/>
        <v/>
      </c>
      <c r="G118" s="41" t="str">
        <f t="shared" ca="1" si="15"/>
        <v/>
      </c>
      <c r="H118" s="38" t="str">
        <f ca="1">IF(COUNTIF($W$2:W1103,A118)=1,VLOOKUP(A118,S:T,2), IF(COUNTIF($W$2:W1103,A118)=0,$D$9,""))</f>
        <v/>
      </c>
      <c r="I118" s="39" t="str">
        <f ca="1">IF(COUNTIF($X$2:X1103,INT(A118))=1,VLOOKUP(INT(A118),X:Y,2), IF(ISERROR(H118-2),"",I117*(1-$D$8*(H118-H117)*0.0001)))</f>
        <v/>
      </c>
      <c r="J118" s="39" t="str">
        <f t="shared" ca="1" si="16"/>
        <v/>
      </c>
      <c r="K118" s="41" t="str">
        <f t="shared" ca="1" si="17"/>
        <v/>
      </c>
      <c r="L118" s="41"/>
      <c r="M118" s="42" t="str">
        <f ca="1">IF(ISERROR(B118-2),"",C118+D118-F118-G118-K118+SUM($L$14:L118))</f>
        <v/>
      </c>
      <c r="U118" s="3" t="str">
        <f t="shared" si="9"/>
        <v/>
      </c>
      <c r="V118" s="3" t="str">
        <f t="shared" si="10"/>
        <v/>
      </c>
      <c r="Z118" s="3">
        <v>45944</v>
      </c>
      <c r="AA118" s="4">
        <v>242.9716</v>
      </c>
      <c r="AB118" s="74">
        <v>45944</v>
      </c>
      <c r="AC118" s="4">
        <v>275.89800000000002</v>
      </c>
      <c r="AD118" s="6">
        <f t="shared" si="11"/>
        <v>45944</v>
      </c>
    </row>
    <row r="119" spans="1:30" x14ac:dyDescent="0.25">
      <c r="A119" s="37" t="str">
        <f t="shared" ca="1" si="12"/>
        <v/>
      </c>
      <c r="B119" s="38" t="str">
        <f ca="1">IF(COUNTIF($W$2:W1104,A119)=1,VLOOKUP(A119,O:P,2), IF(COUNTIF($W$2:W1104,A119)=0,$B$9,""))</f>
        <v/>
      </c>
      <c r="C119" s="2" t="str">
        <f t="shared" ca="1" si="13"/>
        <v/>
      </c>
      <c r="D119" s="41"/>
      <c r="E119" s="38" t="str">
        <f ca="1">IF(COUNTIF($W$2:W1104,A119)=1,VLOOKUP(A119,Q:R,2), IF(COUNTIF($W$2:W1104,A119)=0,$C$9,""))</f>
        <v/>
      </c>
      <c r="F119" s="2" t="str">
        <f t="shared" ca="1" si="14"/>
        <v/>
      </c>
      <c r="G119" s="41" t="str">
        <f t="shared" ca="1" si="15"/>
        <v/>
      </c>
      <c r="H119" s="38" t="str">
        <f ca="1">IF(COUNTIF($W$2:W1104,A119)=1,VLOOKUP(A119,S:T,2), IF(COUNTIF($W$2:W1104,A119)=0,$D$9,""))</f>
        <v/>
      </c>
      <c r="I119" s="39" t="str">
        <f ca="1">IF(COUNTIF($X$2:X1104,INT(A119))=1,VLOOKUP(INT(A119),X:Y,2), IF(ISERROR(H119-2),"",I118*(1-$D$8*(H119-H118)*0.0001)))</f>
        <v/>
      </c>
      <c r="J119" s="39" t="str">
        <f t="shared" ca="1" si="16"/>
        <v/>
      </c>
      <c r="K119" s="41" t="str">
        <f t="shared" ca="1" si="17"/>
        <v/>
      </c>
      <c r="L119" s="41"/>
      <c r="M119" s="42" t="str">
        <f ca="1">IF(ISERROR(B119-2),"",C119+D119-F119-G119-K119+SUM($L$14:L119))</f>
        <v/>
      </c>
      <c r="U119" s="3" t="str">
        <f t="shared" si="9"/>
        <v/>
      </c>
      <c r="V119" s="3" t="str">
        <f t="shared" si="10"/>
        <v/>
      </c>
      <c r="Z119" s="3">
        <v>45945</v>
      </c>
      <c r="AA119" s="4">
        <v>244.08959999999999</v>
      </c>
      <c r="AB119" s="74">
        <v>45945</v>
      </c>
      <c r="AC119" s="4">
        <v>269.79700000000003</v>
      </c>
      <c r="AD119" s="6">
        <f t="shared" si="11"/>
        <v>45945</v>
      </c>
    </row>
    <row r="120" spans="1:30" x14ac:dyDescent="0.25">
      <c r="A120" s="37" t="str">
        <f t="shared" ca="1" si="12"/>
        <v/>
      </c>
      <c r="B120" s="38" t="str">
        <f ca="1">IF(COUNTIF($W$2:W1105,A120)=1,VLOOKUP(A120,O:P,2), IF(COUNTIF($W$2:W1105,A120)=0,$B$9,""))</f>
        <v/>
      </c>
      <c r="C120" s="2" t="str">
        <f t="shared" ca="1" si="13"/>
        <v/>
      </c>
      <c r="D120" s="41"/>
      <c r="E120" s="38" t="str">
        <f ca="1">IF(COUNTIF($W$2:W1105,A120)=1,VLOOKUP(A120,Q:R,2), IF(COUNTIF($W$2:W1105,A120)=0,$C$9,""))</f>
        <v/>
      </c>
      <c r="F120" s="2" t="str">
        <f t="shared" ca="1" si="14"/>
        <v/>
      </c>
      <c r="G120" s="41" t="str">
        <f t="shared" ca="1" si="15"/>
        <v/>
      </c>
      <c r="H120" s="38" t="str">
        <f ca="1">IF(COUNTIF($W$2:W1105,A120)=1,VLOOKUP(A120,S:T,2), IF(COUNTIF($W$2:W1105,A120)=0,$D$9,""))</f>
        <v/>
      </c>
      <c r="I120" s="39" t="str">
        <f ca="1">IF(COUNTIF($X$2:X1105,INT(A120))=1,VLOOKUP(INT(A120),X:Y,2), IF(ISERROR(H120-2),"",I119*(1-$D$8*(H120-H119)*0.0001)))</f>
        <v/>
      </c>
      <c r="J120" s="39" t="str">
        <f t="shared" ca="1" si="16"/>
        <v/>
      </c>
      <c r="K120" s="41" t="str">
        <f t="shared" ca="1" si="17"/>
        <v/>
      </c>
      <c r="L120" s="41"/>
      <c r="M120" s="42" t="str">
        <f ca="1">IF(ISERROR(B120-2),"",C120+D120-F120-G120-K120+SUM($L$14:L120))</f>
        <v/>
      </c>
      <c r="U120" s="3" t="str">
        <f t="shared" si="9"/>
        <v/>
      </c>
      <c r="V120" s="3" t="str">
        <f t="shared" si="10"/>
        <v/>
      </c>
      <c r="Z120" s="3">
        <v>45946</v>
      </c>
      <c r="AA120" s="4">
        <v>243.5917</v>
      </c>
      <c r="AB120" s="74">
        <v>45946</v>
      </c>
      <c r="AC120" s="4">
        <v>273.65499999999997</v>
      </c>
      <c r="AD120" s="6">
        <f t="shared" si="11"/>
        <v>45946</v>
      </c>
    </row>
    <row r="121" spans="1:30" x14ac:dyDescent="0.25">
      <c r="A121" s="37" t="str">
        <f t="shared" ca="1" si="12"/>
        <v/>
      </c>
      <c r="B121" s="38" t="str">
        <f ca="1">IF(COUNTIF($W$2:W1106,A121)=1,VLOOKUP(A121,O:P,2), IF(COUNTIF($W$2:W1106,A121)=0,$B$9,""))</f>
        <v/>
      </c>
      <c r="C121" s="2" t="str">
        <f t="shared" ca="1" si="13"/>
        <v/>
      </c>
      <c r="D121" s="41"/>
      <c r="E121" s="38" t="str">
        <f ca="1">IF(COUNTIF($W$2:W1106,A121)=1,VLOOKUP(A121,Q:R,2), IF(COUNTIF($W$2:W1106,A121)=0,$C$9,""))</f>
        <v/>
      </c>
      <c r="F121" s="2" t="str">
        <f t="shared" ca="1" si="14"/>
        <v/>
      </c>
      <c r="G121" s="41" t="str">
        <f t="shared" ca="1" si="15"/>
        <v/>
      </c>
      <c r="H121" s="38" t="str">
        <f ca="1">IF(COUNTIF($W$2:W1106,A121)=1,VLOOKUP(A121,S:T,2), IF(COUNTIF($W$2:W1106,A121)=0,$D$9,""))</f>
        <v/>
      </c>
      <c r="I121" s="39" t="str">
        <f ca="1">IF(COUNTIF($X$2:X1106,INT(A121))=1,VLOOKUP(INT(A121),X:Y,2), IF(ISERROR(H121-2),"",I120*(1-$D$8*(H121-H120)*0.0001)))</f>
        <v/>
      </c>
      <c r="J121" s="39" t="str">
        <f t="shared" ca="1" si="16"/>
        <v/>
      </c>
      <c r="K121" s="41" t="str">
        <f t="shared" ca="1" si="17"/>
        <v/>
      </c>
      <c r="L121" s="41"/>
      <c r="M121" s="42" t="str">
        <f ca="1">IF(ISERROR(B121-2),"",C121+D121-F121-G121-K121+SUM($L$14:L121))</f>
        <v/>
      </c>
      <c r="U121" s="3" t="str">
        <f t="shared" si="9"/>
        <v/>
      </c>
      <c r="V121" s="3" t="str">
        <f t="shared" si="10"/>
        <v/>
      </c>
      <c r="Z121" s="3">
        <v>45947</v>
      </c>
      <c r="AA121" s="4">
        <v>243.0658</v>
      </c>
      <c r="AB121" s="74">
        <v>45947</v>
      </c>
      <c r="AC121" s="4">
        <v>277.44600000000003</v>
      </c>
      <c r="AD121" s="6">
        <f t="shared" si="11"/>
        <v>45947</v>
      </c>
    </row>
    <row r="122" spans="1:30" x14ac:dyDescent="0.25">
      <c r="A122" s="37" t="str">
        <f t="shared" ca="1" si="12"/>
        <v/>
      </c>
      <c r="B122" s="38" t="str">
        <f ca="1">IF(COUNTIF($W$2:W1107,A122)=1,VLOOKUP(A122,O:P,2), IF(COUNTIF($W$2:W1107,A122)=0,$B$9,""))</f>
        <v/>
      </c>
      <c r="C122" s="2" t="str">
        <f t="shared" ca="1" si="13"/>
        <v/>
      </c>
      <c r="D122" s="41"/>
      <c r="E122" s="38" t="str">
        <f ca="1">IF(COUNTIF($W$2:W1107,A122)=1,VLOOKUP(A122,Q:R,2), IF(COUNTIF($W$2:W1107,A122)=0,$C$9,""))</f>
        <v/>
      </c>
      <c r="F122" s="2" t="str">
        <f t="shared" ca="1" si="14"/>
        <v/>
      </c>
      <c r="G122" s="41" t="str">
        <f t="shared" ca="1" si="15"/>
        <v/>
      </c>
      <c r="H122" s="38" t="str">
        <f ca="1">IF(COUNTIF($W$2:W1107,A122)=1,VLOOKUP(A122,S:T,2), IF(COUNTIF($W$2:W1107,A122)=0,$D$9,""))</f>
        <v/>
      </c>
      <c r="I122" s="39" t="str">
        <f ca="1">IF(COUNTIF($X$2:X1107,INT(A122))=1,VLOOKUP(INT(A122),X:Y,2), IF(ISERROR(H122-2),"",I121*(1-$D$8*(H122-H121)*0.0001)))</f>
        <v/>
      </c>
      <c r="J122" s="39" t="str">
        <f t="shared" ca="1" si="16"/>
        <v/>
      </c>
      <c r="K122" s="41" t="str">
        <f t="shared" ca="1" si="17"/>
        <v/>
      </c>
      <c r="L122" s="41"/>
      <c r="M122" s="42" t="str">
        <f ca="1">IF(ISERROR(B122-2),"",C122+D122-F122-G122-K122+SUM($L$14:L122))</f>
        <v/>
      </c>
      <c r="U122" s="3" t="str">
        <f t="shared" si="9"/>
        <v/>
      </c>
      <c r="V122" s="3" t="str">
        <f t="shared" si="10"/>
        <v/>
      </c>
      <c r="Z122" s="3">
        <v>45950</v>
      </c>
      <c r="AA122" s="4">
        <v>244.0598</v>
      </c>
      <c r="AB122" s="74">
        <v>45950</v>
      </c>
      <c r="AC122" s="4">
        <v>269.54399999999998</v>
      </c>
      <c r="AD122" s="6">
        <f t="shared" si="11"/>
        <v>45950</v>
      </c>
    </row>
    <row r="123" spans="1:30" x14ac:dyDescent="0.25">
      <c r="A123" s="37" t="str">
        <f t="shared" ca="1" si="12"/>
        <v/>
      </c>
      <c r="B123" s="38" t="str">
        <f ca="1">IF(COUNTIF($W$2:W1108,A123)=1,VLOOKUP(A123,O:P,2), IF(COUNTIF($W$2:W1108,A123)=0,$B$9,""))</f>
        <v/>
      </c>
      <c r="C123" s="2" t="str">
        <f t="shared" ca="1" si="13"/>
        <v/>
      </c>
      <c r="D123" s="41"/>
      <c r="E123" s="38" t="str">
        <f ca="1">IF(COUNTIF($W$2:W1108,A123)=1,VLOOKUP(A123,Q:R,2), IF(COUNTIF($W$2:W1108,A123)=0,$C$9,""))</f>
        <v/>
      </c>
      <c r="F123" s="2" t="str">
        <f t="shared" ca="1" si="14"/>
        <v/>
      </c>
      <c r="G123" s="41" t="str">
        <f t="shared" ca="1" si="15"/>
        <v/>
      </c>
      <c r="H123" s="38" t="str">
        <f ca="1">IF(COUNTIF($W$2:W1108,A123)=1,VLOOKUP(A123,S:T,2), IF(COUNTIF($W$2:W1108,A123)=0,$D$9,""))</f>
        <v/>
      </c>
      <c r="I123" s="39" t="str">
        <f ca="1">IF(COUNTIF($X$2:X1108,INT(A123))=1,VLOOKUP(INT(A123),X:Y,2), IF(ISERROR(H123-2),"",I122*(1-$D$8*(H123-H122)*0.0001)))</f>
        <v/>
      </c>
      <c r="J123" s="39" t="str">
        <f t="shared" ca="1" si="16"/>
        <v/>
      </c>
      <c r="K123" s="41" t="str">
        <f t="shared" ca="1" si="17"/>
        <v/>
      </c>
      <c r="L123" s="41"/>
      <c r="M123" s="42" t="str">
        <f ca="1">IF(ISERROR(B123-2),"",C123+D123-F123-G123-K123+SUM($L$14:L123))</f>
        <v/>
      </c>
      <c r="U123" s="3" t="str">
        <f t="shared" si="9"/>
        <v/>
      </c>
      <c r="V123" s="3" t="str">
        <f t="shared" si="10"/>
        <v/>
      </c>
      <c r="Z123" s="3">
        <v>45951</v>
      </c>
      <c r="AA123" s="4">
        <v>244.31870000000001</v>
      </c>
      <c r="AB123" s="74">
        <v>45951</v>
      </c>
      <c r="AC123" s="4">
        <v>267.43400000000003</v>
      </c>
      <c r="AD123" s="6">
        <f t="shared" si="11"/>
        <v>45951</v>
      </c>
    </row>
    <row r="124" spans="1:30" x14ac:dyDescent="0.25">
      <c r="A124" s="37" t="str">
        <f t="shared" ca="1" si="12"/>
        <v/>
      </c>
      <c r="B124" s="38" t="str">
        <f ca="1">IF(COUNTIF($W$2:W1109,A124)=1,VLOOKUP(A124,O:P,2), IF(COUNTIF($W$2:W1109,A124)=0,$B$9,""))</f>
        <v/>
      </c>
      <c r="C124" s="2" t="str">
        <f t="shared" ca="1" si="13"/>
        <v/>
      </c>
      <c r="D124" s="41"/>
      <c r="E124" s="38" t="str">
        <f ca="1">IF(COUNTIF($W$2:W1109,A124)=1,VLOOKUP(A124,Q:R,2), IF(COUNTIF($W$2:W1109,A124)=0,$C$9,""))</f>
        <v/>
      </c>
      <c r="F124" s="2" t="str">
        <f t="shared" ca="1" si="14"/>
        <v/>
      </c>
      <c r="G124" s="41" t="str">
        <f t="shared" ca="1" si="15"/>
        <v/>
      </c>
      <c r="H124" s="38" t="str">
        <f ca="1">IF(COUNTIF($W$2:W1109,A124)=1,VLOOKUP(A124,S:T,2), IF(COUNTIF($W$2:W1109,A124)=0,$D$9,""))</f>
        <v/>
      </c>
      <c r="I124" s="39" t="str">
        <f ca="1">IF(COUNTIF($X$2:X1109,INT(A124))=1,VLOOKUP(INT(A124),X:Y,2), IF(ISERROR(H124-2),"",I123*(1-$D$8*(H124-H123)*0.0001)))</f>
        <v/>
      </c>
      <c r="J124" s="39" t="str">
        <f t="shared" ca="1" si="16"/>
        <v/>
      </c>
      <c r="K124" s="41" t="str">
        <f t="shared" ca="1" si="17"/>
        <v/>
      </c>
      <c r="L124" s="41"/>
      <c r="M124" s="42" t="str">
        <f ca="1">IF(ISERROR(B124-2),"",C124+D124-F124-G124-K124+SUM($L$14:L124))</f>
        <v/>
      </c>
      <c r="U124" s="3" t="str">
        <f t="shared" si="9"/>
        <v/>
      </c>
      <c r="V124" s="3" t="str">
        <f t="shared" si="10"/>
        <v/>
      </c>
      <c r="Z124" s="3">
        <v>45952</v>
      </c>
      <c r="AA124" s="4">
        <v>244.07040000000001</v>
      </c>
      <c r="AB124" s="74">
        <v>45952</v>
      </c>
      <c r="AC124" s="4">
        <v>269.74599999999998</v>
      </c>
      <c r="AD124" s="6">
        <f t="shared" si="11"/>
        <v>45952</v>
      </c>
    </row>
    <row r="125" spans="1:30" x14ac:dyDescent="0.25">
      <c r="A125" s="37" t="str">
        <f t="shared" ca="1" si="12"/>
        <v/>
      </c>
      <c r="B125" s="38" t="str">
        <f ca="1">IF(COUNTIF($W$2:W1110,A125)=1,VLOOKUP(A125,O:P,2), IF(COUNTIF($W$2:W1110,A125)=0,$B$9,""))</f>
        <v/>
      </c>
      <c r="C125" s="2" t="str">
        <f t="shared" ca="1" si="13"/>
        <v/>
      </c>
      <c r="D125" s="41"/>
      <c r="E125" s="38" t="str">
        <f ca="1">IF(COUNTIF($W$2:W1110,A125)=1,VLOOKUP(A125,Q:R,2), IF(COUNTIF($W$2:W1110,A125)=0,$C$9,""))</f>
        <v/>
      </c>
      <c r="F125" s="2" t="str">
        <f t="shared" ca="1" si="14"/>
        <v/>
      </c>
      <c r="G125" s="41" t="str">
        <f t="shared" ca="1" si="15"/>
        <v/>
      </c>
      <c r="H125" s="38" t="str">
        <f ca="1">IF(COUNTIF($W$2:W1110,A125)=1,VLOOKUP(A125,S:T,2), IF(COUNTIF($W$2:W1110,A125)=0,$D$9,""))</f>
        <v/>
      </c>
      <c r="I125" s="39" t="str">
        <f ca="1">IF(COUNTIF($X$2:X1110,INT(A125))=1,VLOOKUP(INT(A125),X:Y,2), IF(ISERROR(H125-2),"",I124*(1-$D$8*(H125-H124)*0.0001)))</f>
        <v/>
      </c>
      <c r="J125" s="39" t="str">
        <f t="shared" ca="1" si="16"/>
        <v/>
      </c>
      <c r="K125" s="41" t="str">
        <f t="shared" ca="1" si="17"/>
        <v/>
      </c>
      <c r="L125" s="41"/>
      <c r="M125" s="42" t="str">
        <f ca="1">IF(ISERROR(B125-2),"",C125+D125-F125-G125-K125+SUM($L$14:L125))</f>
        <v/>
      </c>
      <c r="U125" s="3" t="str">
        <f t="shared" si="9"/>
        <v/>
      </c>
      <c r="V125" s="3" t="str">
        <f t="shared" si="10"/>
        <v/>
      </c>
      <c r="Z125" s="3">
        <v>45953</v>
      </c>
      <c r="AA125" s="4">
        <v>244.25409999999999</v>
      </c>
      <c r="AB125" s="74">
        <v>45953</v>
      </c>
      <c r="AC125" s="4">
        <v>268.49799999999999</v>
      </c>
      <c r="AD125" s="6">
        <f t="shared" si="11"/>
        <v>45953</v>
      </c>
    </row>
    <row r="126" spans="1:30" x14ac:dyDescent="0.25">
      <c r="A126" s="37" t="str">
        <f t="shared" ca="1" si="12"/>
        <v/>
      </c>
      <c r="B126" s="38" t="str">
        <f ca="1">IF(COUNTIF($W$2:W1111,A126)=1,VLOOKUP(A126,O:P,2), IF(COUNTIF($W$2:W1111,A126)=0,$B$9,""))</f>
        <v/>
      </c>
      <c r="C126" s="2" t="str">
        <f t="shared" ca="1" si="13"/>
        <v/>
      </c>
      <c r="D126" s="41"/>
      <c r="E126" s="38" t="str">
        <f ca="1">IF(COUNTIF($W$2:W1111,A126)=1,VLOOKUP(A126,Q:R,2), IF(COUNTIF($W$2:W1111,A126)=0,$C$9,""))</f>
        <v/>
      </c>
      <c r="F126" s="2" t="str">
        <f t="shared" ca="1" si="14"/>
        <v/>
      </c>
      <c r="G126" s="41" t="str">
        <f t="shared" ca="1" si="15"/>
        <v/>
      </c>
      <c r="H126" s="38" t="str">
        <f ca="1">IF(COUNTIF($W$2:W1111,A126)=1,VLOOKUP(A126,S:T,2), IF(COUNTIF($W$2:W1111,A126)=0,$D$9,""))</f>
        <v/>
      </c>
      <c r="I126" s="39" t="str">
        <f ca="1">IF(COUNTIF($X$2:X1111,INT(A126))=1,VLOOKUP(INT(A126),X:Y,2), IF(ISERROR(H126-2),"",I125*(1-$D$8*(H126-H125)*0.0001)))</f>
        <v/>
      </c>
      <c r="J126" s="39" t="str">
        <f t="shared" ca="1" si="16"/>
        <v/>
      </c>
      <c r="K126" s="41" t="str">
        <f t="shared" ca="1" si="17"/>
        <v/>
      </c>
      <c r="L126" s="41"/>
      <c r="M126" s="42" t="str">
        <f ca="1">IF(ISERROR(B126-2),"",C126+D126-F126-G126-K126+SUM($L$14:L126))</f>
        <v/>
      </c>
      <c r="U126" s="3" t="str">
        <f t="shared" si="9"/>
        <v/>
      </c>
      <c r="V126" s="3" t="str">
        <f t="shared" si="10"/>
        <v/>
      </c>
      <c r="Z126" s="3">
        <v>45954</v>
      </c>
      <c r="AA126" s="4">
        <v>244.79400000000001</v>
      </c>
      <c r="AB126" s="74">
        <v>45954</v>
      </c>
      <c r="AC126" s="4">
        <v>265.077</v>
      </c>
      <c r="AD126" s="6">
        <f t="shared" si="11"/>
        <v>45954</v>
      </c>
    </row>
    <row r="127" spans="1:30" x14ac:dyDescent="0.25">
      <c r="A127" s="37" t="str">
        <f t="shared" ca="1" si="12"/>
        <v/>
      </c>
      <c r="B127" s="38" t="str">
        <f ca="1">IF(COUNTIF($W$2:W1112,A127)=1,VLOOKUP(A127,O:P,2), IF(COUNTIF($W$2:W1112,A127)=0,$B$9,""))</f>
        <v/>
      </c>
      <c r="C127" s="2" t="str">
        <f t="shared" ca="1" si="13"/>
        <v/>
      </c>
      <c r="D127" s="41"/>
      <c r="E127" s="38" t="str">
        <f ca="1">IF(COUNTIF($W$2:W1112,A127)=1,VLOOKUP(A127,Q:R,2), IF(COUNTIF($W$2:W1112,A127)=0,$C$9,""))</f>
        <v/>
      </c>
      <c r="F127" s="2" t="str">
        <f t="shared" ca="1" si="14"/>
        <v/>
      </c>
      <c r="G127" s="41" t="str">
        <f t="shared" ca="1" si="15"/>
        <v/>
      </c>
      <c r="H127" s="38" t="str">
        <f ca="1">IF(COUNTIF($W$2:W1112,A127)=1,VLOOKUP(A127,S:T,2), IF(COUNTIF($W$2:W1112,A127)=0,$D$9,""))</f>
        <v/>
      </c>
      <c r="I127" s="39" t="str">
        <f ca="1">IF(COUNTIF($X$2:X1112,INT(A127))=1,VLOOKUP(INT(A127),X:Y,2), IF(ISERROR(H127-2),"",I126*(1-$D$8*(H127-H126)*0.0001)))</f>
        <v/>
      </c>
      <c r="J127" s="39" t="str">
        <f t="shared" ca="1" si="16"/>
        <v/>
      </c>
      <c r="K127" s="41" t="str">
        <f t="shared" ca="1" si="17"/>
        <v/>
      </c>
      <c r="L127" s="41"/>
      <c r="M127" s="42" t="str">
        <f ca="1">IF(ISERROR(B127-2),"",C127+D127-F127-G127-K127+SUM($L$14:L127))</f>
        <v/>
      </c>
      <c r="U127" s="3" t="str">
        <f t="shared" si="9"/>
        <v/>
      </c>
      <c r="V127" s="3" t="str">
        <f t="shared" si="10"/>
        <v/>
      </c>
      <c r="Z127" s="3">
        <v>45957</v>
      </c>
      <c r="AA127" s="4">
        <v>245.7517</v>
      </c>
      <c r="AB127" s="74">
        <v>45957</v>
      </c>
      <c r="AC127" s="4">
        <v>256.41899999999998</v>
      </c>
      <c r="AD127" s="6">
        <f t="shared" si="11"/>
        <v>45957</v>
      </c>
    </row>
    <row r="128" spans="1:30" x14ac:dyDescent="0.25">
      <c r="A128" s="37" t="str">
        <f t="shared" ca="1" si="12"/>
        <v/>
      </c>
      <c r="B128" s="38" t="str">
        <f ca="1">IF(COUNTIF($W$2:W1113,A128)=1,VLOOKUP(A128,O:P,2), IF(COUNTIF($W$2:W1113,A128)=0,$B$9,""))</f>
        <v/>
      </c>
      <c r="C128" s="2" t="str">
        <f t="shared" ca="1" si="13"/>
        <v/>
      </c>
      <c r="D128" s="41"/>
      <c r="E128" s="38" t="str">
        <f ca="1">IF(COUNTIF($W$2:W1113,A128)=1,VLOOKUP(A128,Q:R,2), IF(COUNTIF($W$2:W1113,A128)=0,$C$9,""))</f>
        <v/>
      </c>
      <c r="F128" s="2" t="str">
        <f t="shared" ca="1" si="14"/>
        <v/>
      </c>
      <c r="G128" s="41" t="str">
        <f t="shared" ca="1" si="15"/>
        <v/>
      </c>
      <c r="H128" s="38" t="str">
        <f ca="1">IF(COUNTIF($W$2:W1113,A128)=1,VLOOKUP(A128,S:T,2), IF(COUNTIF($W$2:W1113,A128)=0,$D$9,""))</f>
        <v/>
      </c>
      <c r="I128" s="39" t="str">
        <f ca="1">IF(COUNTIF($X$2:X1113,INT(A128))=1,VLOOKUP(INT(A128),X:Y,2), IF(ISERROR(H128-2),"",I127*(1-$D$8*(H128-H127)*0.0001)))</f>
        <v/>
      </c>
      <c r="J128" s="39" t="str">
        <f t="shared" ca="1" si="16"/>
        <v/>
      </c>
      <c r="K128" s="41" t="str">
        <f t="shared" ca="1" si="17"/>
        <v/>
      </c>
      <c r="L128" s="41"/>
      <c r="M128" s="42" t="str">
        <f ca="1">IF(ISERROR(B128-2),"",C128+D128-F128-G128-K128+SUM($L$14:L128))</f>
        <v/>
      </c>
      <c r="U128" s="3" t="str">
        <f t="shared" si="9"/>
        <v/>
      </c>
      <c r="V128" s="3" t="str">
        <f t="shared" si="10"/>
        <v/>
      </c>
      <c r="Z128" s="3">
        <v>45958</v>
      </c>
      <c r="AA128" s="4">
        <v>245.49199999999999</v>
      </c>
      <c r="AB128" s="74">
        <v>45958</v>
      </c>
      <c r="AC128" s="4">
        <v>258.21699999999998</v>
      </c>
      <c r="AD128" s="6">
        <f t="shared" si="11"/>
        <v>45958</v>
      </c>
    </row>
    <row r="129" spans="1:30" x14ac:dyDescent="0.25">
      <c r="A129" s="37" t="str">
        <f t="shared" ca="1" si="12"/>
        <v/>
      </c>
      <c r="B129" s="38" t="str">
        <f ca="1">IF(COUNTIF($W$2:W1114,A129)=1,VLOOKUP(A129,O:P,2), IF(COUNTIF($W$2:W1114,A129)=0,$B$9,""))</f>
        <v/>
      </c>
      <c r="C129" s="2" t="str">
        <f t="shared" ca="1" si="13"/>
        <v/>
      </c>
      <c r="D129" s="41"/>
      <c r="E129" s="38" t="str">
        <f ca="1">IF(COUNTIF($W$2:W1114,A129)=1,VLOOKUP(A129,Q:R,2), IF(COUNTIF($W$2:W1114,A129)=0,$C$9,""))</f>
        <v/>
      </c>
      <c r="F129" s="2" t="str">
        <f t="shared" ca="1" si="14"/>
        <v/>
      </c>
      <c r="G129" s="41" t="str">
        <f t="shared" ca="1" si="15"/>
        <v/>
      </c>
      <c r="H129" s="38" t="str">
        <f ca="1">IF(COUNTIF($W$2:W1114,A129)=1,VLOOKUP(A129,S:T,2), IF(COUNTIF($W$2:W1114,A129)=0,$D$9,""))</f>
        <v/>
      </c>
      <c r="I129" s="39" t="str">
        <f ca="1">IF(COUNTIF($X$2:X1114,INT(A129))=1,VLOOKUP(INT(A129),X:Y,2), IF(ISERROR(H129-2),"",I128*(1-$D$8*(H129-H128)*0.0001)))</f>
        <v/>
      </c>
      <c r="J129" s="39" t="str">
        <f t="shared" ca="1" si="16"/>
        <v/>
      </c>
      <c r="K129" s="41" t="str">
        <f t="shared" ca="1" si="17"/>
        <v/>
      </c>
      <c r="L129" s="41"/>
      <c r="M129" s="42" t="str">
        <f ca="1">IF(ISERROR(B129-2),"",C129+D129-F129-G129-K129+SUM($L$14:L129))</f>
        <v/>
      </c>
      <c r="U129" s="3" t="str">
        <f t="shared" si="9"/>
        <v/>
      </c>
      <c r="V129" s="3" t="str">
        <f t="shared" si="10"/>
        <v/>
      </c>
      <c r="Z129" s="3">
        <v>45959</v>
      </c>
      <c r="AA129" s="4">
        <v>245.55119999999999</v>
      </c>
      <c r="AB129" s="74">
        <v>45959</v>
      </c>
      <c r="AC129" s="4">
        <v>258.82100000000003</v>
      </c>
      <c r="AD129" s="6">
        <f t="shared" si="11"/>
        <v>45959</v>
      </c>
    </row>
    <row r="130" spans="1:30" x14ac:dyDescent="0.25">
      <c r="A130" s="37" t="str">
        <f t="shared" ca="1" si="12"/>
        <v/>
      </c>
      <c r="B130" s="38" t="str">
        <f ca="1">IF(COUNTIF($W$2:W1115,A130)=1,VLOOKUP(A130,O:P,2), IF(COUNTIF($W$2:W1115,A130)=0,$B$9,""))</f>
        <v/>
      </c>
      <c r="C130" s="2" t="str">
        <f t="shared" ca="1" si="13"/>
        <v/>
      </c>
      <c r="D130" s="41"/>
      <c r="E130" s="38" t="str">
        <f ca="1">IF(COUNTIF($W$2:W1115,A130)=1,VLOOKUP(A130,Q:R,2), IF(COUNTIF($W$2:W1115,A130)=0,$C$9,""))</f>
        <v/>
      </c>
      <c r="F130" s="2" t="str">
        <f t="shared" ca="1" si="14"/>
        <v/>
      </c>
      <c r="G130" s="41" t="str">
        <f t="shared" ca="1" si="15"/>
        <v/>
      </c>
      <c r="H130" s="38" t="str">
        <f ca="1">IF(COUNTIF($W$2:W1115,A130)=1,VLOOKUP(A130,S:T,2), IF(COUNTIF($W$2:W1115,A130)=0,$D$9,""))</f>
        <v/>
      </c>
      <c r="I130" s="39" t="str">
        <f ca="1">IF(COUNTIF($X$2:X1115,INT(A130))=1,VLOOKUP(INT(A130),X:Y,2), IF(ISERROR(H130-2),"",I129*(1-$D$8*(H130-H129)*0.0001)))</f>
        <v/>
      </c>
      <c r="J130" s="39" t="str">
        <f t="shared" ca="1" si="16"/>
        <v/>
      </c>
      <c r="K130" s="41" t="str">
        <f t="shared" ca="1" si="17"/>
        <v/>
      </c>
      <c r="L130" s="41"/>
      <c r="M130" s="42" t="str">
        <f ca="1">IF(ISERROR(B130-2),"",C130+D130-F130-G130-K130+SUM($L$14:L130))</f>
        <v/>
      </c>
      <c r="U130" s="3" t="str">
        <f t="shared" si="9"/>
        <v/>
      </c>
      <c r="V130" s="3" t="str">
        <f t="shared" si="10"/>
        <v/>
      </c>
      <c r="Z130" s="3">
        <v>45960</v>
      </c>
      <c r="AA130" s="4">
        <v>245.16900000000001</v>
      </c>
      <c r="AB130" s="74">
        <v>45960</v>
      </c>
      <c r="AC130" s="4">
        <v>262.49700000000001</v>
      </c>
      <c r="AD130" s="6">
        <f t="shared" si="11"/>
        <v>45960</v>
      </c>
    </row>
    <row r="131" spans="1:30" x14ac:dyDescent="0.25">
      <c r="A131" s="37" t="str">
        <f t="shared" ca="1" si="12"/>
        <v/>
      </c>
      <c r="B131" s="38" t="str">
        <f ca="1">IF(COUNTIF($W$2:W1116,A131)=1,VLOOKUP(A131,O:P,2), IF(COUNTIF($W$2:W1116,A131)=0,$B$9,""))</f>
        <v/>
      </c>
      <c r="C131" s="2" t="str">
        <f t="shared" ca="1" si="13"/>
        <v/>
      </c>
      <c r="D131" s="41"/>
      <c r="E131" s="38" t="str">
        <f ca="1">IF(COUNTIF($W$2:W1116,A131)=1,VLOOKUP(A131,Q:R,2), IF(COUNTIF($W$2:W1116,A131)=0,$C$9,""))</f>
        <v/>
      </c>
      <c r="F131" s="2" t="str">
        <f t="shared" ca="1" si="14"/>
        <v/>
      </c>
      <c r="G131" s="41" t="str">
        <f t="shared" ca="1" si="15"/>
        <v/>
      </c>
      <c r="H131" s="38" t="str">
        <f ca="1">IF(COUNTIF($W$2:W1116,A131)=1,VLOOKUP(A131,S:T,2), IF(COUNTIF($W$2:W1116,A131)=0,$D$9,""))</f>
        <v/>
      </c>
      <c r="I131" s="39" t="str">
        <f ca="1">IF(COUNTIF($X$2:X1116,INT(A131))=1,VLOOKUP(INT(A131),X:Y,2), IF(ISERROR(H131-2),"",I130*(1-$D$8*(H131-H130)*0.0001)))</f>
        <v/>
      </c>
      <c r="J131" s="39" t="str">
        <f t="shared" ca="1" si="16"/>
        <v/>
      </c>
      <c r="K131" s="41" t="str">
        <f t="shared" ca="1" si="17"/>
        <v/>
      </c>
      <c r="L131" s="41"/>
      <c r="M131" s="42" t="str">
        <f ca="1">IF(ISERROR(B131-2),"",C131+D131-F131-G131-K131+SUM($L$14:L131))</f>
        <v/>
      </c>
      <c r="U131" s="3" t="str">
        <f t="shared" si="9"/>
        <v/>
      </c>
      <c r="V131" s="3" t="str">
        <f t="shared" si="10"/>
        <v/>
      </c>
      <c r="Z131" s="3">
        <v>45961</v>
      </c>
      <c r="AA131" s="4">
        <v>244.8545</v>
      </c>
      <c r="AB131" s="74">
        <v>45961</v>
      </c>
      <c r="AC131" s="4">
        <v>265.971</v>
      </c>
      <c r="AD131" s="6">
        <f t="shared" si="11"/>
        <v>45961</v>
      </c>
    </row>
    <row r="132" spans="1:30" x14ac:dyDescent="0.25">
      <c r="A132" s="37" t="str">
        <f t="shared" ca="1" si="12"/>
        <v/>
      </c>
      <c r="B132" s="38" t="str">
        <f ca="1">IF(COUNTIF($W$2:W1117,A132)=1,VLOOKUP(A132,O:P,2), IF(COUNTIF($W$2:W1117,A132)=0,$B$9,""))</f>
        <v/>
      </c>
      <c r="C132" s="2" t="str">
        <f t="shared" ca="1" si="13"/>
        <v/>
      </c>
      <c r="D132" s="41"/>
      <c r="E132" s="38" t="str">
        <f ca="1">IF(COUNTIF($W$2:W1117,A132)=1,VLOOKUP(A132,Q:R,2), IF(COUNTIF($W$2:W1117,A132)=0,$C$9,""))</f>
        <v/>
      </c>
      <c r="F132" s="2" t="str">
        <f t="shared" ca="1" si="14"/>
        <v/>
      </c>
      <c r="G132" s="41" t="str">
        <f t="shared" ca="1" si="15"/>
        <v/>
      </c>
      <c r="H132" s="38" t="str">
        <f ca="1">IF(COUNTIF($W$2:W1117,A132)=1,VLOOKUP(A132,S:T,2), IF(COUNTIF($W$2:W1117,A132)=0,$D$9,""))</f>
        <v/>
      </c>
      <c r="I132" s="39" t="str">
        <f ca="1">IF(COUNTIF($X$2:X1117,INT(A132))=1,VLOOKUP(INT(A132),X:Y,2), IF(ISERROR(H132-2),"",I131*(1-$D$8*(H132-H131)*0.0001)))</f>
        <v/>
      </c>
      <c r="J132" s="39" t="str">
        <f t="shared" ca="1" si="16"/>
        <v/>
      </c>
      <c r="K132" s="41" t="str">
        <f t="shared" ca="1" si="17"/>
        <v/>
      </c>
      <c r="L132" s="41"/>
      <c r="M132" s="42" t="str">
        <f ca="1">IF(ISERROR(B132-2),"",C132+D132-F132-G132-K132+SUM($L$14:L132))</f>
        <v/>
      </c>
      <c r="U132" s="3" t="str">
        <f t="shared" ref="U132:U195" si="18">IF(COUNTIF(Q:Q,O132)*COUNTIF(S:S,O132),O132,"")</f>
        <v/>
      </c>
      <c r="V132" s="3" t="str">
        <f t="shared" ref="V132:V195" si="19">IF(U132&gt;$A$14,U132,"")</f>
        <v/>
      </c>
      <c r="Z132" s="3">
        <v>45964</v>
      </c>
      <c r="AA132" s="4">
        <v>244.89699999999999</v>
      </c>
      <c r="AB132" s="74">
        <v>45964</v>
      </c>
      <c r="AC132" s="4">
        <v>264.774</v>
      </c>
      <c r="AD132" s="6">
        <f t="shared" ref="AD132:AD195" si="20">IF(COUNTIF(AB:AB,Z132),Z132,"")</f>
        <v>45964</v>
      </c>
    </row>
    <row r="133" spans="1:30" x14ac:dyDescent="0.25">
      <c r="A133" s="37" t="str">
        <f t="shared" ca="1" si="12"/>
        <v/>
      </c>
      <c r="B133" s="38" t="str">
        <f ca="1">IF(COUNTIF($W$2:W1118,A133)=1,VLOOKUP(A133,O:P,2), IF(COUNTIF($W$2:W1118,A133)=0,$B$9,""))</f>
        <v/>
      </c>
      <c r="C133" s="2" t="str">
        <f t="shared" ca="1" si="13"/>
        <v/>
      </c>
      <c r="D133" s="41"/>
      <c r="E133" s="38" t="str">
        <f ca="1">IF(COUNTIF($W$2:W1118,A133)=1,VLOOKUP(A133,Q:R,2), IF(COUNTIF($W$2:W1118,A133)=0,$C$9,""))</f>
        <v/>
      </c>
      <c r="F133" s="2" t="str">
        <f t="shared" ca="1" si="14"/>
        <v/>
      </c>
      <c r="G133" s="41" t="str">
        <f t="shared" ca="1" si="15"/>
        <v/>
      </c>
      <c r="H133" s="38" t="str">
        <f ca="1">IF(COUNTIF($W$2:W1118,A133)=1,VLOOKUP(A133,S:T,2), IF(COUNTIF($W$2:W1118,A133)=0,$D$9,""))</f>
        <v/>
      </c>
      <c r="I133" s="39" t="str">
        <f ca="1">IF(COUNTIF($X$2:X1118,INT(A133))=1,VLOOKUP(INT(A133),X:Y,2), IF(ISERROR(H133-2),"",I132*(1-$D$8*(H133-H132)*0.0001)))</f>
        <v/>
      </c>
      <c r="J133" s="39" t="str">
        <f t="shared" ca="1" si="16"/>
        <v/>
      </c>
      <c r="K133" s="41" t="str">
        <f t="shared" ca="1" si="17"/>
        <v/>
      </c>
      <c r="L133" s="41"/>
      <c r="M133" s="42" t="str">
        <f ca="1">IF(ISERROR(B133-2),"",C133+D133-F133-G133-K133+SUM($L$14:L133))</f>
        <v/>
      </c>
      <c r="U133" s="3" t="str">
        <f t="shared" si="18"/>
        <v/>
      </c>
      <c r="V133" s="3" t="str">
        <f t="shared" si="19"/>
        <v/>
      </c>
      <c r="Z133" s="3">
        <v>45965</v>
      </c>
      <c r="AA133" s="4">
        <v>244.79839999999999</v>
      </c>
      <c r="AB133" s="74">
        <v>45965</v>
      </c>
      <c r="AC133" s="4">
        <v>265.75200000000001</v>
      </c>
      <c r="AD133" s="6">
        <f t="shared" si="20"/>
        <v>45965</v>
      </c>
    </row>
    <row r="134" spans="1:30" x14ac:dyDescent="0.25">
      <c r="A134" s="37" t="str">
        <f t="shared" ca="1" si="12"/>
        <v/>
      </c>
      <c r="B134" s="38" t="str">
        <f ca="1">IF(COUNTIF($W$2:W1119,A134)=1,VLOOKUP(A134,O:P,2), IF(COUNTIF($W$2:W1119,A134)=0,$B$9,""))</f>
        <v/>
      </c>
      <c r="C134" s="2" t="str">
        <f t="shared" ca="1" si="13"/>
        <v/>
      </c>
      <c r="D134" s="41"/>
      <c r="E134" s="38" t="str">
        <f ca="1">IF(COUNTIF($W$2:W1119,A134)=1,VLOOKUP(A134,Q:R,2), IF(COUNTIF($W$2:W1119,A134)=0,$C$9,""))</f>
        <v/>
      </c>
      <c r="F134" s="2" t="str">
        <f t="shared" ca="1" si="14"/>
        <v/>
      </c>
      <c r="G134" s="41" t="str">
        <f t="shared" ca="1" si="15"/>
        <v/>
      </c>
      <c r="H134" s="38" t="str">
        <f ca="1">IF(COUNTIF($W$2:W1119,A134)=1,VLOOKUP(A134,S:T,2), IF(COUNTIF($W$2:W1119,A134)=0,$D$9,""))</f>
        <v/>
      </c>
      <c r="I134" s="39" t="str">
        <f ca="1">IF(COUNTIF($X$2:X1119,INT(A134))=1,VLOOKUP(INT(A134),X:Y,2), IF(ISERROR(H134-2),"",I133*(1-$D$8*(H134-H133)*0.0001)))</f>
        <v/>
      </c>
      <c r="J134" s="39" t="str">
        <f t="shared" ca="1" si="16"/>
        <v/>
      </c>
      <c r="K134" s="41" t="str">
        <f t="shared" ca="1" si="17"/>
        <v/>
      </c>
      <c r="L134" s="41"/>
      <c r="M134" s="42" t="str">
        <f ca="1">IF(ISERROR(B134-2),"",C134+D134-F134-G134-K134+SUM($L$14:L134))</f>
        <v/>
      </c>
      <c r="U134" s="3" t="str">
        <f t="shared" si="18"/>
        <v/>
      </c>
      <c r="V134" s="3" t="str">
        <f t="shared" si="19"/>
        <v/>
      </c>
      <c r="Z134" s="3">
        <v>45966</v>
      </c>
      <c r="AA134" s="4">
        <v>245.10939999999999</v>
      </c>
      <c r="AB134" s="74">
        <v>45966</v>
      </c>
      <c r="AC134" s="4">
        <v>262.87900000000002</v>
      </c>
      <c r="AD134" s="6">
        <f t="shared" si="20"/>
        <v>45966</v>
      </c>
    </row>
    <row r="135" spans="1:30" x14ac:dyDescent="0.25">
      <c r="A135" s="37" t="str">
        <f t="shared" ca="1" si="12"/>
        <v/>
      </c>
      <c r="B135" s="38" t="str">
        <f ca="1">IF(COUNTIF($W$2:W1120,A135)=1,VLOOKUP(A135,O:P,2), IF(COUNTIF($W$2:W1120,A135)=0,$B$9,""))</f>
        <v/>
      </c>
      <c r="C135" s="2" t="str">
        <f t="shared" ca="1" si="13"/>
        <v/>
      </c>
      <c r="D135" s="41"/>
      <c r="E135" s="38" t="str">
        <f ca="1">IF(COUNTIF($W$2:W1120,A135)=1,VLOOKUP(A135,Q:R,2), IF(COUNTIF($W$2:W1120,A135)=0,$C$9,""))</f>
        <v/>
      </c>
      <c r="F135" s="2" t="str">
        <f t="shared" ca="1" si="14"/>
        <v/>
      </c>
      <c r="G135" s="41" t="str">
        <f t="shared" ca="1" si="15"/>
        <v/>
      </c>
      <c r="H135" s="38" t="str">
        <f ca="1">IF(COUNTIF($W$2:W1120,A135)=1,VLOOKUP(A135,S:T,2), IF(COUNTIF($W$2:W1120,A135)=0,$D$9,""))</f>
        <v/>
      </c>
      <c r="I135" s="39" t="str">
        <f ca="1">IF(COUNTIF($X$2:X1120,INT(A135))=1,VLOOKUP(INT(A135),X:Y,2), IF(ISERROR(H135-2),"",I134*(1-$D$8*(H135-H134)*0.0001)))</f>
        <v/>
      </c>
      <c r="J135" s="39" t="str">
        <f t="shared" ca="1" si="16"/>
        <v/>
      </c>
      <c r="K135" s="41" t="str">
        <f t="shared" ca="1" si="17"/>
        <v/>
      </c>
      <c r="L135" s="41"/>
      <c r="M135" s="42" t="str">
        <f ca="1">IF(ISERROR(B135-2),"",C135+D135-F135-G135-K135+SUM($L$14:L135))</f>
        <v/>
      </c>
      <c r="U135" s="3" t="str">
        <f t="shared" si="18"/>
        <v/>
      </c>
      <c r="V135" s="3" t="str">
        <f t="shared" si="19"/>
        <v/>
      </c>
      <c r="Z135" s="3">
        <v>45967</v>
      </c>
      <c r="AA135" s="4">
        <v>244.75219999999999</v>
      </c>
      <c r="AB135" s="74">
        <v>45967</v>
      </c>
      <c r="AC135" s="4">
        <v>268.62700000000001</v>
      </c>
      <c r="AD135" s="6">
        <f t="shared" si="20"/>
        <v>45967</v>
      </c>
    </row>
    <row r="136" spans="1:30" x14ac:dyDescent="0.25">
      <c r="A136" s="37" t="str">
        <f t="shared" ca="1" si="12"/>
        <v/>
      </c>
      <c r="B136" s="38" t="str">
        <f ca="1">IF(COUNTIF($W$2:W1121,A136)=1,VLOOKUP(A136,O:P,2), IF(COUNTIF($W$2:W1121,A136)=0,$B$9,""))</f>
        <v/>
      </c>
      <c r="C136" s="2" t="str">
        <f t="shared" ca="1" si="13"/>
        <v/>
      </c>
      <c r="D136" s="41"/>
      <c r="E136" s="38" t="str">
        <f ca="1">IF(COUNTIF($W$2:W1121,A136)=1,VLOOKUP(A136,Q:R,2), IF(COUNTIF($W$2:W1121,A136)=0,$C$9,""))</f>
        <v/>
      </c>
      <c r="F136" s="2" t="str">
        <f t="shared" ca="1" si="14"/>
        <v/>
      </c>
      <c r="G136" s="41" t="str">
        <f t="shared" ca="1" si="15"/>
        <v/>
      </c>
      <c r="H136" s="38" t="str">
        <f ca="1">IF(COUNTIF($W$2:W1121,A136)=1,VLOOKUP(A136,S:T,2), IF(COUNTIF($W$2:W1121,A136)=0,$D$9,""))</f>
        <v/>
      </c>
      <c r="I136" s="39" t="str">
        <f ca="1">IF(COUNTIF($X$2:X1121,INT(A136))=1,VLOOKUP(INT(A136),X:Y,2), IF(ISERROR(H136-2),"",I135*(1-$D$8*(H136-H135)*0.0001)))</f>
        <v/>
      </c>
      <c r="J136" s="39" t="str">
        <f t="shared" ca="1" si="16"/>
        <v/>
      </c>
      <c r="K136" s="41" t="str">
        <f t="shared" ca="1" si="17"/>
        <v/>
      </c>
      <c r="L136" s="41"/>
      <c r="M136" s="42" t="str">
        <f ca="1">IF(ISERROR(B136-2),"",C136+D136-F136-G136-K136+SUM($L$14:L136))</f>
        <v/>
      </c>
      <c r="U136" s="3" t="str">
        <f t="shared" si="18"/>
        <v/>
      </c>
      <c r="V136" s="3" t="str">
        <f t="shared" si="19"/>
        <v/>
      </c>
      <c r="Z136" s="3">
        <v>45968</v>
      </c>
      <c r="AA136" s="4">
        <v>244.27430000000001</v>
      </c>
      <c r="AB136" s="74">
        <v>45968</v>
      </c>
      <c r="AC136" s="4">
        <v>272.18799999999999</v>
      </c>
      <c r="AD136" s="6">
        <f t="shared" si="20"/>
        <v>45968</v>
      </c>
    </row>
    <row r="137" spans="1:30" x14ac:dyDescent="0.25">
      <c r="A137" s="37" t="str">
        <f t="shared" ca="1" si="12"/>
        <v/>
      </c>
      <c r="B137" s="38" t="str">
        <f ca="1">IF(COUNTIF($W$2:W1122,A137)=1,VLOOKUP(A137,O:P,2), IF(COUNTIF($W$2:W1122,A137)=0,$B$9,""))</f>
        <v/>
      </c>
      <c r="C137" s="2" t="str">
        <f t="shared" ca="1" si="13"/>
        <v/>
      </c>
      <c r="D137" s="41"/>
      <c r="E137" s="38" t="str">
        <f ca="1">IF(COUNTIF($W$2:W1122,A137)=1,VLOOKUP(A137,Q:R,2), IF(COUNTIF($W$2:W1122,A137)=0,$C$9,""))</f>
        <v/>
      </c>
      <c r="F137" s="2" t="str">
        <f t="shared" ca="1" si="14"/>
        <v/>
      </c>
      <c r="G137" s="41" t="str">
        <f t="shared" ca="1" si="15"/>
        <v/>
      </c>
      <c r="H137" s="38" t="str">
        <f ca="1">IF(COUNTIF($W$2:W1122,A137)=1,VLOOKUP(A137,S:T,2), IF(COUNTIF($W$2:W1122,A137)=0,$D$9,""))</f>
        <v/>
      </c>
      <c r="I137" s="39" t="str">
        <f ca="1">IF(COUNTIF($X$2:X1122,INT(A137))=1,VLOOKUP(INT(A137),X:Y,2), IF(ISERROR(H137-2),"",I136*(1-$D$8*(H137-H136)*0.0001)))</f>
        <v/>
      </c>
      <c r="J137" s="39" t="str">
        <f t="shared" ca="1" si="16"/>
        <v/>
      </c>
      <c r="K137" s="41" t="str">
        <f t="shared" ca="1" si="17"/>
        <v/>
      </c>
      <c r="L137" s="41"/>
      <c r="M137" s="42" t="str">
        <f ca="1">IF(ISERROR(B137-2),"",C137+D137-F137-G137-K137+SUM($L$14:L137))</f>
        <v/>
      </c>
      <c r="U137" s="3" t="str">
        <f t="shared" si="18"/>
        <v/>
      </c>
      <c r="V137" s="3" t="str">
        <f t="shared" si="19"/>
        <v/>
      </c>
      <c r="Z137" s="3">
        <v>45971</v>
      </c>
      <c r="AA137" s="4">
        <v>245.4716</v>
      </c>
      <c r="AB137" s="74">
        <v>45971</v>
      </c>
      <c r="AC137" s="4">
        <v>261.46800000000002</v>
      </c>
      <c r="AD137" s="6">
        <f t="shared" si="20"/>
        <v>45971</v>
      </c>
    </row>
    <row r="138" spans="1:30" x14ac:dyDescent="0.25">
      <c r="A138" s="37" t="str">
        <f t="shared" ca="1" si="12"/>
        <v/>
      </c>
      <c r="B138" s="38" t="str">
        <f ca="1">IF(COUNTIF($W$2:W1123,A138)=1,VLOOKUP(A138,O:P,2), IF(COUNTIF($W$2:W1123,A138)=0,$B$9,""))</f>
        <v/>
      </c>
      <c r="C138" s="2" t="str">
        <f t="shared" ca="1" si="13"/>
        <v/>
      </c>
      <c r="D138" s="41"/>
      <c r="E138" s="38" t="str">
        <f ca="1">IF(COUNTIF($W$2:W1123,A138)=1,VLOOKUP(A138,Q:R,2), IF(COUNTIF($W$2:W1123,A138)=0,$C$9,""))</f>
        <v/>
      </c>
      <c r="F138" s="2" t="str">
        <f t="shared" ca="1" si="14"/>
        <v/>
      </c>
      <c r="G138" s="41" t="str">
        <f t="shared" ca="1" si="15"/>
        <v/>
      </c>
      <c r="H138" s="38" t="str">
        <f ca="1">IF(COUNTIF($W$2:W1123,A138)=1,VLOOKUP(A138,S:T,2), IF(COUNTIF($W$2:W1123,A138)=0,$D$9,""))</f>
        <v/>
      </c>
      <c r="I138" s="39" t="str">
        <f ca="1">IF(COUNTIF($X$2:X1123,INT(A138))=1,VLOOKUP(INT(A138),X:Y,2), IF(ISERROR(H138-2),"",I137*(1-$D$8*(H138-H137)*0.0001)))</f>
        <v/>
      </c>
      <c r="J138" s="39" t="str">
        <f t="shared" ca="1" si="16"/>
        <v/>
      </c>
      <c r="K138" s="41" t="str">
        <f t="shared" ca="1" si="17"/>
        <v/>
      </c>
      <c r="L138" s="41"/>
      <c r="M138" s="42" t="str">
        <f ca="1">IF(ISERROR(B138-2),"",C138+D138-F138-G138-K138+SUM($L$14:L138))</f>
        <v/>
      </c>
      <c r="U138" s="3" t="str">
        <f t="shared" si="18"/>
        <v/>
      </c>
      <c r="V138" s="3" t="str">
        <f t="shared" si="19"/>
        <v/>
      </c>
      <c r="Z138" s="3">
        <v>45972</v>
      </c>
      <c r="AA138" s="4">
        <v>245.6224</v>
      </c>
      <c r="AB138" s="74">
        <v>45972</v>
      </c>
      <c r="AC138" s="4">
        <v>260.42200000000003</v>
      </c>
      <c r="AD138" s="6">
        <f t="shared" si="20"/>
        <v>45972</v>
      </c>
    </row>
    <row r="139" spans="1:30" x14ac:dyDescent="0.25">
      <c r="A139" s="37" t="str">
        <f t="shared" ca="1" si="12"/>
        <v/>
      </c>
      <c r="B139" s="38" t="str">
        <f ca="1">IF(COUNTIF($W$2:W1124,A139)=1,VLOOKUP(A139,O:P,2), IF(COUNTIF($W$2:W1124,A139)=0,$B$9,""))</f>
        <v/>
      </c>
      <c r="C139" s="2" t="str">
        <f t="shared" ca="1" si="13"/>
        <v/>
      </c>
      <c r="D139" s="41"/>
      <c r="E139" s="38" t="str">
        <f ca="1">IF(COUNTIF($W$2:W1124,A139)=1,VLOOKUP(A139,Q:R,2), IF(COUNTIF($W$2:W1124,A139)=0,$C$9,""))</f>
        <v/>
      </c>
      <c r="F139" s="2" t="str">
        <f t="shared" ca="1" si="14"/>
        <v/>
      </c>
      <c r="G139" s="41" t="str">
        <f t="shared" ca="1" si="15"/>
        <v/>
      </c>
      <c r="H139" s="38" t="str">
        <f ca="1">IF(COUNTIF($W$2:W1124,A139)=1,VLOOKUP(A139,S:T,2), IF(COUNTIF($W$2:W1124,A139)=0,$D$9,""))</f>
        <v/>
      </c>
      <c r="I139" s="39" t="str">
        <f ca="1">IF(COUNTIF($X$2:X1124,INT(A139))=1,VLOOKUP(INT(A139),X:Y,2), IF(ISERROR(H139-2),"",I138*(1-$D$8*(H139-H138)*0.0001)))</f>
        <v/>
      </c>
      <c r="J139" s="39" t="str">
        <f t="shared" ca="1" si="16"/>
        <v/>
      </c>
      <c r="K139" s="41" t="str">
        <f t="shared" ca="1" si="17"/>
        <v/>
      </c>
      <c r="L139" s="41"/>
      <c r="M139" s="42" t="str">
        <f ca="1">IF(ISERROR(B139-2),"",C139+D139-F139-G139-K139+SUM($L$14:L139))</f>
        <v/>
      </c>
      <c r="U139" s="3" t="str">
        <f t="shared" si="18"/>
        <v/>
      </c>
      <c r="V139" s="3" t="str">
        <f t="shared" si="19"/>
        <v/>
      </c>
      <c r="Z139" s="3">
        <v>45973</v>
      </c>
      <c r="AA139" s="4">
        <v>245.78739999999999</v>
      </c>
      <c r="AB139" s="74">
        <v>45973</v>
      </c>
      <c r="AC139" s="4">
        <v>259.49700000000001</v>
      </c>
      <c r="AD139" s="6">
        <f t="shared" si="20"/>
        <v>45973</v>
      </c>
    </row>
    <row r="140" spans="1:30" x14ac:dyDescent="0.25">
      <c r="A140" s="37" t="str">
        <f t="shared" ca="1" si="12"/>
        <v/>
      </c>
      <c r="B140" s="38" t="str">
        <f ca="1">IF(COUNTIF($W$2:W1125,A140)=1,VLOOKUP(A140,O:P,2), IF(COUNTIF($W$2:W1125,A140)=0,$B$9,""))</f>
        <v/>
      </c>
      <c r="C140" s="2" t="str">
        <f t="shared" ca="1" si="13"/>
        <v/>
      </c>
      <c r="D140" s="41"/>
      <c r="E140" s="38" t="str">
        <f ca="1">IF(COUNTIF($W$2:W1125,A140)=1,VLOOKUP(A140,Q:R,2), IF(COUNTIF($W$2:W1125,A140)=0,$C$9,""))</f>
        <v/>
      </c>
      <c r="F140" s="2" t="str">
        <f t="shared" ca="1" si="14"/>
        <v/>
      </c>
      <c r="G140" s="41" t="str">
        <f t="shared" ca="1" si="15"/>
        <v/>
      </c>
      <c r="H140" s="38" t="str">
        <f ca="1">IF(COUNTIF($W$2:W1125,A140)=1,VLOOKUP(A140,S:T,2), IF(COUNTIF($W$2:W1125,A140)=0,$D$9,""))</f>
        <v/>
      </c>
      <c r="I140" s="39" t="str">
        <f ca="1">IF(COUNTIF($X$2:X1125,INT(A140))=1,VLOOKUP(INT(A140),X:Y,2), IF(ISERROR(H140-2),"",I139*(1-$D$8*(H140-H139)*0.0001)))</f>
        <v/>
      </c>
      <c r="J140" s="39" t="str">
        <f t="shared" ca="1" si="16"/>
        <v/>
      </c>
      <c r="K140" s="41" t="str">
        <f t="shared" ca="1" si="17"/>
        <v/>
      </c>
      <c r="L140" s="41"/>
      <c r="M140" s="42" t="str">
        <f ca="1">IF(ISERROR(B140-2),"",C140+D140-F140-G140-K140+SUM($L$14:L140))</f>
        <v/>
      </c>
      <c r="U140" s="3" t="str">
        <f t="shared" si="18"/>
        <v/>
      </c>
      <c r="V140" s="3" t="str">
        <f t="shared" si="19"/>
        <v/>
      </c>
      <c r="Z140" s="3">
        <v>45974</v>
      </c>
      <c r="AA140" s="4">
        <v>245.34219999999999</v>
      </c>
      <c r="AB140" s="74">
        <v>45974</v>
      </c>
      <c r="AC140" s="4">
        <v>263.71800000000002</v>
      </c>
      <c r="AD140" s="6">
        <f t="shared" si="20"/>
        <v>45974</v>
      </c>
    </row>
    <row r="141" spans="1:30" x14ac:dyDescent="0.25">
      <c r="A141" s="37" t="str">
        <f t="shared" ca="1" si="12"/>
        <v/>
      </c>
      <c r="B141" s="38" t="str">
        <f ca="1">IF(COUNTIF($W$2:W1126,A141)=1,VLOOKUP(A141,O:P,2), IF(COUNTIF($W$2:W1126,A141)=0,$B$9,""))</f>
        <v/>
      </c>
      <c r="C141" s="2" t="str">
        <f t="shared" ca="1" si="13"/>
        <v/>
      </c>
      <c r="D141" s="41"/>
      <c r="E141" s="38" t="str">
        <f ca="1">IF(COUNTIF($W$2:W1126,A141)=1,VLOOKUP(A141,Q:R,2), IF(COUNTIF($W$2:W1126,A141)=0,$C$9,""))</f>
        <v/>
      </c>
      <c r="F141" s="2" t="str">
        <f t="shared" ca="1" si="14"/>
        <v/>
      </c>
      <c r="G141" s="41" t="str">
        <f t="shared" ca="1" si="15"/>
        <v/>
      </c>
      <c r="H141" s="38" t="str">
        <f ca="1">IF(COUNTIF($W$2:W1126,A141)=1,VLOOKUP(A141,S:T,2), IF(COUNTIF($W$2:W1126,A141)=0,$D$9,""))</f>
        <v/>
      </c>
      <c r="I141" s="39" t="str">
        <f ca="1">IF(COUNTIF($X$2:X1126,INT(A141))=1,VLOOKUP(INT(A141),X:Y,2), IF(ISERROR(H141-2),"",I140*(1-$D$8*(H141-H140)*0.0001)))</f>
        <v/>
      </c>
      <c r="J141" s="39" t="str">
        <f t="shared" ca="1" si="16"/>
        <v/>
      </c>
      <c r="K141" s="41" t="str">
        <f t="shared" ca="1" si="17"/>
        <v/>
      </c>
      <c r="L141" s="41"/>
      <c r="M141" s="42" t="str">
        <f ca="1">IF(ISERROR(B141-2),"",C141+D141-F141-G141-K141+SUM($L$14:L141))</f>
        <v/>
      </c>
      <c r="U141" s="3" t="str">
        <f t="shared" si="18"/>
        <v/>
      </c>
      <c r="V141" s="3" t="str">
        <f t="shared" si="19"/>
        <v/>
      </c>
      <c r="Z141" s="3">
        <v>45975</v>
      </c>
      <c r="AA141" s="4">
        <v>245.24520000000001</v>
      </c>
      <c r="AB141" s="74">
        <v>45975</v>
      </c>
      <c r="AC141" s="4">
        <v>263.74200000000002</v>
      </c>
      <c r="AD141" s="6">
        <f t="shared" si="20"/>
        <v>45975</v>
      </c>
    </row>
    <row r="142" spans="1:30" x14ac:dyDescent="0.25">
      <c r="A142" s="37" t="str">
        <f t="shared" ca="1" si="12"/>
        <v/>
      </c>
      <c r="B142" s="38" t="str">
        <f ca="1">IF(COUNTIF($W$2:W1127,A142)=1,VLOOKUP(A142,O:P,2), IF(COUNTIF($W$2:W1127,A142)=0,$B$9,""))</f>
        <v/>
      </c>
      <c r="C142" s="2" t="str">
        <f t="shared" ca="1" si="13"/>
        <v/>
      </c>
      <c r="D142" s="41"/>
      <c r="E142" s="38" t="str">
        <f ca="1">IF(COUNTIF($W$2:W1127,A142)=1,VLOOKUP(A142,Q:R,2), IF(COUNTIF($W$2:W1127,A142)=0,$C$9,""))</f>
        <v/>
      </c>
      <c r="F142" s="2" t="str">
        <f t="shared" ca="1" si="14"/>
        <v/>
      </c>
      <c r="G142" s="41" t="str">
        <f t="shared" ca="1" si="15"/>
        <v/>
      </c>
      <c r="H142" s="38" t="str">
        <f ca="1">IF(COUNTIF($W$2:W1127,A142)=1,VLOOKUP(A142,S:T,2), IF(COUNTIF($W$2:W1127,A142)=0,$D$9,""))</f>
        <v/>
      </c>
      <c r="I142" s="39" t="str">
        <f ca="1">IF(COUNTIF($X$2:X1127,INT(A142))=1,VLOOKUP(INT(A142),X:Y,2), IF(ISERROR(H142-2),"",I141*(1-$D$8*(H142-H141)*0.0001)))</f>
        <v/>
      </c>
      <c r="J142" s="39" t="str">
        <f t="shared" ca="1" si="16"/>
        <v/>
      </c>
      <c r="K142" s="41" t="str">
        <f t="shared" ca="1" si="17"/>
        <v/>
      </c>
      <c r="L142" s="41"/>
      <c r="M142" s="42" t="str">
        <f ca="1">IF(ISERROR(B142-2),"",C142+D142-F142-G142-K142+SUM($L$14:L142))</f>
        <v/>
      </c>
      <c r="U142" s="3" t="str">
        <f t="shared" si="18"/>
        <v/>
      </c>
      <c r="V142" s="3" t="str">
        <f t="shared" si="19"/>
        <v/>
      </c>
      <c r="Z142" s="3">
        <v>45978</v>
      </c>
      <c r="AA142" s="4">
        <v>244.98150000000001</v>
      </c>
      <c r="AB142" s="74">
        <v>45978</v>
      </c>
      <c r="AC142" s="4">
        <v>266.43900000000002</v>
      </c>
      <c r="AD142" s="6">
        <f t="shared" si="20"/>
        <v>45978</v>
      </c>
    </row>
    <row r="143" spans="1:30" x14ac:dyDescent="0.25">
      <c r="A143" s="37" t="str">
        <f t="shared" ref="A143:A167" ca="1" si="21">IF(AND(ISBLANK(W132), A142 = $W$1),NOW(),IF(ISBLANK(W132),"",W132))</f>
        <v/>
      </c>
      <c r="B143" s="38" t="str">
        <f ca="1">IF(COUNTIF($W$2:W1128,A143)=1,VLOOKUP(A143,O:P,2), IF(COUNTIF($W$2:W1128,A143)=0,$B$9,""))</f>
        <v/>
      </c>
      <c r="C143" s="2" t="str">
        <f t="shared" ca="1" si="13"/>
        <v/>
      </c>
      <c r="D143" s="41"/>
      <c r="E143" s="38" t="str">
        <f ca="1">IF(COUNTIF($W$2:W1128,A143)=1,VLOOKUP(A143,Q:R,2), IF(COUNTIF($W$2:W1128,A143)=0,$C$9,""))</f>
        <v/>
      </c>
      <c r="F143" s="2" t="str">
        <f t="shared" ca="1" si="14"/>
        <v/>
      </c>
      <c r="G143" s="41" t="str">
        <f t="shared" ca="1" si="15"/>
        <v/>
      </c>
      <c r="H143" s="38" t="str">
        <f ca="1">IF(COUNTIF($W$2:W1128,A143)=1,VLOOKUP(A143,S:T,2), IF(COUNTIF($W$2:W1128,A143)=0,$D$9,""))</f>
        <v/>
      </c>
      <c r="I143" s="39" t="str">
        <f ca="1">IF(COUNTIF($X$2:X1128,INT(A143))=1,VLOOKUP(INT(A143),X:Y,2), IF(ISERROR(H143-2),"",I142*(1-$D$8*(H143-H142)*0.0001)))</f>
        <v/>
      </c>
      <c r="J143" s="39" t="str">
        <f t="shared" ca="1" si="16"/>
        <v/>
      </c>
      <c r="K143" s="41" t="str">
        <f t="shared" ca="1" si="17"/>
        <v/>
      </c>
      <c r="L143" s="41"/>
      <c r="M143" s="42" t="str">
        <f ca="1">IF(ISERROR(B143-2),"",C143+D143-F143-G143-K143+SUM($L$14:L143))</f>
        <v/>
      </c>
      <c r="U143" s="3" t="str">
        <f t="shared" si="18"/>
        <v/>
      </c>
      <c r="V143" s="3" t="str">
        <f t="shared" si="19"/>
        <v/>
      </c>
      <c r="Z143" s="3">
        <v>45979</v>
      </c>
      <c r="AA143" s="4">
        <v>244.39429999999999</v>
      </c>
      <c r="AB143" s="74">
        <v>45979</v>
      </c>
      <c r="AC143" s="4">
        <v>272.28399999999999</v>
      </c>
      <c r="AD143" s="6">
        <f t="shared" si="20"/>
        <v>45979</v>
      </c>
    </row>
    <row r="144" spans="1:30" x14ac:dyDescent="0.25">
      <c r="A144" s="37" t="str">
        <f t="shared" ca="1" si="21"/>
        <v/>
      </c>
      <c r="B144" s="38" t="str">
        <f ca="1">IF(COUNTIF($W$2:W1129,A144)=1,VLOOKUP(A144,O:P,2), IF(COUNTIF($W$2:W1129,A144)=0,$B$9,""))</f>
        <v/>
      </c>
      <c r="C144" s="2" t="str">
        <f t="shared" ref="C144:C167" ca="1" si="22">IF(ISERROR(B144-2),"",(B144-$B$14)*$G$3*$I$3)</f>
        <v/>
      </c>
      <c r="D144" s="41"/>
      <c r="E144" s="38" t="str">
        <f ca="1">IF(COUNTIF($W$2:W1129,A144)=1,VLOOKUP(A144,Q:R,2), IF(COUNTIF($W$2:W1129,A144)=0,$C$9,""))</f>
        <v/>
      </c>
      <c r="F144" s="2" t="str">
        <f t="shared" ref="F144:F167" ca="1" si="23">IF(ISERROR(B144-2),"",(E144-$E$14)/100*$C$5)</f>
        <v/>
      </c>
      <c r="G144" s="41" t="str">
        <f t="shared" ref="G144:G167" ca="1" si="24">IF(ISERROR(B144-2),"",(INT(A144)-INT($A$14))/360*$C$6*$C$5-(INT(A144)-INT($A$14))/360*$C$7*$C$5*$E$14/100)</f>
        <v/>
      </c>
      <c r="H144" s="38" t="str">
        <f ca="1">IF(COUNTIF($W$2:W1129,A144)=1,VLOOKUP(A144,S:T,2), IF(COUNTIF($W$2:W1129,A144)=0,$D$9,""))</f>
        <v/>
      </c>
      <c r="I144" s="39" t="str">
        <f ca="1">IF(COUNTIF($X$2:X1129,INT(A144))=1,VLOOKUP(INT(A144),X:Y,2), IF(ISERROR(H144-2),"",I143*(1-$D$8*(H144-H143)*0.0001)))</f>
        <v/>
      </c>
      <c r="J144" s="39" t="str">
        <f t="shared" ref="J144:J167" ca="1" si="25">IF(ISERROR(H144-2),"",I144)</f>
        <v/>
      </c>
      <c r="K144" s="41" t="str">
        <f t="shared" ref="K144:K167" ca="1" si="26">IF(ISERROR(H144-2),"",(J144/$J$14-1)*$D$5)</f>
        <v/>
      </c>
      <c r="L144" s="41"/>
      <c r="M144" s="42" t="str">
        <f ca="1">IF(ISERROR(B144-2),"",C144+D144-F144-G144-K144+SUM($L$14:L144))</f>
        <v/>
      </c>
      <c r="U144" s="3" t="str">
        <f t="shared" si="18"/>
        <v/>
      </c>
      <c r="V144" s="3" t="str">
        <f t="shared" si="19"/>
        <v/>
      </c>
      <c r="Z144" s="3">
        <v>45980</v>
      </c>
      <c r="AA144" s="4">
        <v>244.95580000000001</v>
      </c>
      <c r="AB144" s="74">
        <v>45980</v>
      </c>
      <c r="AC144" s="4">
        <v>267.14499999999998</v>
      </c>
      <c r="AD144" s="6">
        <f t="shared" si="20"/>
        <v>45980</v>
      </c>
    </row>
    <row r="145" spans="1:30" x14ac:dyDescent="0.25">
      <c r="A145" s="37" t="str">
        <f t="shared" ca="1" si="21"/>
        <v/>
      </c>
      <c r="B145" s="38" t="str">
        <f ca="1">IF(COUNTIF($W$2:W1130,A145)=1,VLOOKUP(A145,O:P,2), IF(COUNTIF($W$2:W1130,A145)=0,$B$9,""))</f>
        <v/>
      </c>
      <c r="C145" s="2" t="str">
        <f t="shared" ca="1" si="22"/>
        <v/>
      </c>
      <c r="D145" s="41"/>
      <c r="E145" s="38" t="str">
        <f ca="1">IF(COUNTIF($W$2:W1130,A145)=1,VLOOKUP(A145,Q:R,2), IF(COUNTIF($W$2:W1130,A145)=0,$C$9,""))</f>
        <v/>
      </c>
      <c r="F145" s="2" t="str">
        <f t="shared" ca="1" si="23"/>
        <v/>
      </c>
      <c r="G145" s="41" t="str">
        <f t="shared" ca="1" si="24"/>
        <v/>
      </c>
      <c r="H145" s="38" t="str">
        <f ca="1">IF(COUNTIF($W$2:W1130,A145)=1,VLOOKUP(A145,S:T,2), IF(COUNTIF($W$2:W1130,A145)=0,$D$9,""))</f>
        <v/>
      </c>
      <c r="I145" s="39" t="str">
        <f ca="1">IF(COUNTIF($X$2:X1130,INT(A145))=1,VLOOKUP(INT(A145),X:Y,2), IF(ISERROR(H145-2),"",I144*(1-$D$8*(H145-H144)*0.0001)))</f>
        <v/>
      </c>
      <c r="J145" s="39" t="str">
        <f t="shared" ca="1" si="25"/>
        <v/>
      </c>
      <c r="K145" s="41" t="str">
        <f t="shared" ca="1" si="26"/>
        <v/>
      </c>
      <c r="L145" s="41"/>
      <c r="M145" s="42" t="str">
        <f ca="1">IF(ISERROR(B145-2),"",C145+D145-F145-G145-K145+SUM($L$14:L145))</f>
        <v/>
      </c>
      <c r="U145" s="3" t="str">
        <f t="shared" si="18"/>
        <v/>
      </c>
      <c r="V145" s="3" t="str">
        <f t="shared" si="19"/>
        <v/>
      </c>
      <c r="Z145" s="3">
        <v>45981</v>
      </c>
      <c r="AA145" s="4">
        <v>245.47790000000001</v>
      </c>
      <c r="AB145" s="74">
        <v>45981</v>
      </c>
      <c r="AC145" s="4">
        <v>265.76900000000001</v>
      </c>
      <c r="AD145" s="6">
        <f t="shared" si="20"/>
        <v>45981</v>
      </c>
    </row>
    <row r="146" spans="1:30" x14ac:dyDescent="0.25">
      <c r="A146" s="37" t="str">
        <f t="shared" ca="1" si="21"/>
        <v/>
      </c>
      <c r="B146" s="38" t="str">
        <f ca="1">IF(COUNTIF($W$2:W1131,A146)=1,VLOOKUP(A146,O:P,2), IF(COUNTIF($W$2:W1131,A146)=0,$B$9,""))</f>
        <v/>
      </c>
      <c r="C146" s="2" t="str">
        <f t="shared" ca="1" si="22"/>
        <v/>
      </c>
      <c r="D146" s="41"/>
      <c r="E146" s="38" t="str">
        <f ca="1">IF(COUNTIF($W$2:W1131,A146)=1,VLOOKUP(A146,Q:R,2), IF(COUNTIF($W$2:W1131,A146)=0,$C$9,""))</f>
        <v/>
      </c>
      <c r="F146" s="2" t="str">
        <f t="shared" ca="1" si="23"/>
        <v/>
      </c>
      <c r="G146" s="41" t="str">
        <f t="shared" ca="1" si="24"/>
        <v/>
      </c>
      <c r="H146" s="38" t="str">
        <f ca="1">IF(COUNTIF($W$2:W1131,A146)=1,VLOOKUP(A146,S:T,2), IF(COUNTIF($W$2:W1131,A146)=0,$D$9,""))</f>
        <v/>
      </c>
      <c r="I146" s="39" t="str">
        <f ca="1">IF(COUNTIF($X$2:X1131,INT(A146))=1,VLOOKUP(INT(A146),X:Y,2), IF(ISERROR(H146-2),"",I145*(1-$D$8*(H146-H145)*0.0001)))</f>
        <v/>
      </c>
      <c r="J146" s="39" t="str">
        <f t="shared" ca="1" si="25"/>
        <v/>
      </c>
      <c r="K146" s="41" t="str">
        <f t="shared" ca="1" si="26"/>
        <v/>
      </c>
      <c r="L146" s="41"/>
      <c r="M146" s="42" t="str">
        <f ca="1">IF(ISERROR(B146-2),"",C146+D146-F146-G146-K146+SUM($L$14:L146))</f>
        <v/>
      </c>
      <c r="U146" s="3" t="str">
        <f t="shared" si="18"/>
        <v/>
      </c>
      <c r="V146" s="3" t="str">
        <f t="shared" si="19"/>
        <v/>
      </c>
      <c r="Z146" s="3">
        <v>45982</v>
      </c>
      <c r="AA146" s="4">
        <v>244.55760000000001</v>
      </c>
      <c r="AB146" s="74">
        <v>45982</v>
      </c>
      <c r="AC146" s="4">
        <v>267.34800000000001</v>
      </c>
      <c r="AD146" s="6">
        <f t="shared" si="20"/>
        <v>45982</v>
      </c>
    </row>
    <row r="147" spans="1:30" x14ac:dyDescent="0.25">
      <c r="A147" s="37" t="str">
        <f t="shared" ca="1" si="21"/>
        <v/>
      </c>
      <c r="B147" s="38" t="str">
        <f ca="1">IF(COUNTIF($W$2:W1132,A147)=1,VLOOKUP(A147,O:P,2), IF(COUNTIF($W$2:W1132,A147)=0,$B$9,""))</f>
        <v/>
      </c>
      <c r="C147" s="2" t="str">
        <f t="shared" ca="1" si="22"/>
        <v/>
      </c>
      <c r="D147" s="41"/>
      <c r="E147" s="38" t="str">
        <f ca="1">IF(COUNTIF($W$2:W1132,A147)=1,VLOOKUP(A147,Q:R,2), IF(COUNTIF($W$2:W1132,A147)=0,$C$9,""))</f>
        <v/>
      </c>
      <c r="F147" s="2" t="str">
        <f t="shared" ca="1" si="23"/>
        <v/>
      </c>
      <c r="G147" s="41" t="str">
        <f t="shared" ca="1" si="24"/>
        <v/>
      </c>
      <c r="H147" s="38" t="str">
        <f ca="1">IF(COUNTIF($W$2:W1132,A147)=1,VLOOKUP(A147,S:T,2), IF(COUNTIF($W$2:W1132,A147)=0,$D$9,""))</f>
        <v/>
      </c>
      <c r="I147" s="39" t="str">
        <f ca="1">IF(COUNTIF($X$2:X1132,INT(A147))=1,VLOOKUP(INT(A147),X:Y,2), IF(ISERROR(H147-2),"",I146*(1-$D$8*(H147-H146)*0.0001)))</f>
        <v/>
      </c>
      <c r="J147" s="39" t="str">
        <f t="shared" ca="1" si="25"/>
        <v/>
      </c>
      <c r="K147" s="41" t="str">
        <f t="shared" ca="1" si="26"/>
        <v/>
      </c>
      <c r="L147" s="41"/>
      <c r="M147" s="42" t="str">
        <f ca="1">IF(ISERROR(B147-2),"",C147+D147-F147-G147-K147+SUM($L$14:L147))</f>
        <v/>
      </c>
      <c r="U147" s="3" t="str">
        <f t="shared" si="18"/>
        <v/>
      </c>
      <c r="V147" s="3" t="str">
        <f t="shared" si="19"/>
        <v/>
      </c>
      <c r="Z147" s="3">
        <v>45985</v>
      </c>
      <c r="AA147" s="4">
        <v>245.57339999999999</v>
      </c>
      <c r="AB147" s="74">
        <v>45985</v>
      </c>
      <c r="AC147" s="4">
        <v>264.28199999999998</v>
      </c>
      <c r="AD147" s="6">
        <f t="shared" si="20"/>
        <v>45985</v>
      </c>
    </row>
    <row r="148" spans="1:30" x14ac:dyDescent="0.25">
      <c r="A148" s="37" t="str">
        <f t="shared" ca="1" si="21"/>
        <v/>
      </c>
      <c r="B148" s="38" t="str">
        <f ca="1">IF(COUNTIF($W$2:W1133,A148)=1,VLOOKUP(A148,O:P,2), IF(COUNTIF($W$2:W1133,A148)=0,$B$9,""))</f>
        <v/>
      </c>
      <c r="C148" s="2" t="str">
        <f t="shared" ca="1" si="22"/>
        <v/>
      </c>
      <c r="D148" s="41"/>
      <c r="E148" s="38" t="str">
        <f ca="1">IF(COUNTIF($W$2:W1133,A148)=1,VLOOKUP(A148,Q:R,2), IF(COUNTIF($W$2:W1133,A148)=0,$C$9,""))</f>
        <v/>
      </c>
      <c r="F148" s="2" t="str">
        <f t="shared" ca="1" si="23"/>
        <v/>
      </c>
      <c r="G148" s="41" t="str">
        <f t="shared" ca="1" si="24"/>
        <v/>
      </c>
      <c r="H148" s="38" t="str">
        <f ca="1">IF(COUNTIF($W$2:W1133,A148)=1,VLOOKUP(A148,S:T,2), IF(COUNTIF($W$2:W1133,A148)=0,$D$9,""))</f>
        <v/>
      </c>
      <c r="I148" s="39" t="str">
        <f ca="1">IF(COUNTIF($X$2:X1133,INT(A148))=1,VLOOKUP(INT(A148),X:Y,2), IF(ISERROR(H148-2),"",I147*(1-$D$8*(H148-H147)*0.0001)))</f>
        <v/>
      </c>
      <c r="J148" s="39" t="str">
        <f t="shared" ca="1" si="25"/>
        <v/>
      </c>
      <c r="K148" s="41" t="str">
        <f t="shared" ca="1" si="26"/>
        <v/>
      </c>
      <c r="L148" s="41"/>
      <c r="M148" s="42" t="str">
        <f ca="1">IF(ISERROR(B148-2),"",C148+D148-F148-G148-K148+SUM($L$14:L148))</f>
        <v/>
      </c>
      <c r="U148" s="3" t="str">
        <f t="shared" si="18"/>
        <v/>
      </c>
      <c r="V148" s="3" t="str">
        <f t="shared" si="19"/>
        <v/>
      </c>
      <c r="Z148" s="3">
        <v>45986</v>
      </c>
      <c r="AA148" s="4">
        <v>245.78149999999999</v>
      </c>
      <c r="AB148" s="74">
        <v>45986</v>
      </c>
      <c r="AC148" s="4">
        <v>260.93599999999998</v>
      </c>
      <c r="AD148" s="6">
        <f t="shared" si="20"/>
        <v>45986</v>
      </c>
    </row>
    <row r="149" spans="1:30" x14ac:dyDescent="0.25">
      <c r="A149" s="37" t="str">
        <f t="shared" ca="1" si="21"/>
        <v/>
      </c>
      <c r="B149" s="38" t="str">
        <f ca="1">IF(COUNTIF($W$2:W1134,A149)=1,VLOOKUP(A149,O:P,2), IF(COUNTIF($W$2:W1134,A149)=0,$B$9,""))</f>
        <v/>
      </c>
      <c r="C149" s="2" t="str">
        <f t="shared" ca="1" si="22"/>
        <v/>
      </c>
      <c r="D149" s="41"/>
      <c r="E149" s="38" t="str">
        <f ca="1">IF(COUNTIF($W$2:W1134,A149)=1,VLOOKUP(A149,Q:R,2), IF(COUNTIF($W$2:W1134,A149)=0,$C$9,""))</f>
        <v/>
      </c>
      <c r="F149" s="2" t="str">
        <f t="shared" ca="1" si="23"/>
        <v/>
      </c>
      <c r="G149" s="41" t="str">
        <f t="shared" ca="1" si="24"/>
        <v/>
      </c>
      <c r="H149" s="38" t="str">
        <f ca="1">IF(COUNTIF($W$2:W1134,A149)=1,VLOOKUP(A149,S:T,2), IF(COUNTIF($W$2:W1134,A149)=0,$D$9,""))</f>
        <v/>
      </c>
      <c r="I149" s="39" t="str">
        <f ca="1">IF(COUNTIF($X$2:X1134,INT(A149))=1,VLOOKUP(INT(A149),X:Y,2), IF(ISERROR(H149-2),"",I148*(1-$D$8*(H149-H148)*0.0001)))</f>
        <v/>
      </c>
      <c r="J149" s="39" t="str">
        <f t="shared" ca="1" si="25"/>
        <v/>
      </c>
      <c r="K149" s="41" t="str">
        <f t="shared" ca="1" si="26"/>
        <v/>
      </c>
      <c r="L149" s="41"/>
      <c r="M149" s="42" t="str">
        <f ca="1">IF(ISERROR(B149-2),"",C149+D149-F149-G149-K149+SUM($L$14:L149))</f>
        <v/>
      </c>
      <c r="U149" s="3" t="str">
        <f t="shared" si="18"/>
        <v/>
      </c>
      <c r="V149" s="3" t="str">
        <f t="shared" si="19"/>
        <v/>
      </c>
      <c r="Z149" s="3">
        <v>45987</v>
      </c>
      <c r="AA149" s="4">
        <v>246.1097</v>
      </c>
      <c r="AB149" s="74">
        <v>45987</v>
      </c>
      <c r="AC149" s="4">
        <v>258.24200000000002</v>
      </c>
      <c r="AD149" s="6">
        <f t="shared" si="20"/>
        <v>45987</v>
      </c>
    </row>
    <row r="150" spans="1:30" x14ac:dyDescent="0.25">
      <c r="A150" s="37" t="str">
        <f t="shared" ca="1" si="21"/>
        <v/>
      </c>
      <c r="B150" s="38" t="str">
        <f ca="1">IF(COUNTIF($W$2:W1135,A150)=1,VLOOKUP(A150,O:P,2), IF(COUNTIF($W$2:W1135,A150)=0,$B$9,""))</f>
        <v/>
      </c>
      <c r="C150" s="2" t="str">
        <f t="shared" ca="1" si="22"/>
        <v/>
      </c>
      <c r="D150" s="41"/>
      <c r="E150" s="38" t="str">
        <f ca="1">IF(COUNTIF($W$2:W1135,A150)=1,VLOOKUP(A150,Q:R,2), IF(COUNTIF($W$2:W1135,A150)=0,$C$9,""))</f>
        <v/>
      </c>
      <c r="F150" s="2" t="str">
        <f t="shared" ca="1" si="23"/>
        <v/>
      </c>
      <c r="G150" s="41" t="str">
        <f t="shared" ca="1" si="24"/>
        <v/>
      </c>
      <c r="H150" s="38" t="str">
        <f ca="1">IF(COUNTIF($W$2:W1135,A150)=1,VLOOKUP(A150,S:T,2), IF(COUNTIF($W$2:W1135,A150)=0,$D$9,""))</f>
        <v/>
      </c>
      <c r="I150" s="39" t="str">
        <f ca="1">IF(COUNTIF($X$2:X1135,INT(A150))=1,VLOOKUP(INT(A150),X:Y,2), IF(ISERROR(H150-2),"",I149*(1-$D$8*(H150-H149)*0.0001)))</f>
        <v/>
      </c>
      <c r="J150" s="39" t="str">
        <f t="shared" ca="1" si="25"/>
        <v/>
      </c>
      <c r="K150" s="41" t="str">
        <f t="shared" ca="1" si="26"/>
        <v/>
      </c>
      <c r="L150" s="41"/>
      <c r="M150" s="42" t="str">
        <f ca="1">IF(ISERROR(B150-2),"",C150+D150-F150-G150-K150+SUM($L$14:L150))</f>
        <v/>
      </c>
      <c r="U150" s="3" t="str">
        <f t="shared" si="18"/>
        <v/>
      </c>
      <c r="V150" s="3" t="str">
        <f t="shared" si="19"/>
        <v/>
      </c>
      <c r="Z150" s="3">
        <v>45988</v>
      </c>
      <c r="AA150" s="4">
        <v>246.30340000000001</v>
      </c>
      <c r="AB150" s="74">
        <v>45988</v>
      </c>
      <c r="AC150" s="4">
        <v>257.72500000000002</v>
      </c>
      <c r="AD150" s="6">
        <f t="shared" si="20"/>
        <v>45988</v>
      </c>
    </row>
    <row r="151" spans="1:30" x14ac:dyDescent="0.25">
      <c r="A151" s="37" t="str">
        <f t="shared" ca="1" si="21"/>
        <v/>
      </c>
      <c r="B151" s="38" t="str">
        <f ca="1">IF(COUNTIF($W$2:W1136,A151)=1,VLOOKUP(A151,O:P,2), IF(COUNTIF($W$2:W1136,A151)=0,$B$9,""))</f>
        <v/>
      </c>
      <c r="C151" s="2" t="str">
        <f t="shared" ca="1" si="22"/>
        <v/>
      </c>
      <c r="D151" s="41"/>
      <c r="E151" s="38" t="str">
        <f ca="1">IF(COUNTIF($W$2:W1136,A151)=1,VLOOKUP(A151,Q:R,2), IF(COUNTIF($W$2:W1136,A151)=0,$C$9,""))</f>
        <v/>
      </c>
      <c r="F151" s="2" t="str">
        <f t="shared" ca="1" si="23"/>
        <v/>
      </c>
      <c r="G151" s="41" t="str">
        <f t="shared" ca="1" si="24"/>
        <v/>
      </c>
      <c r="H151" s="38" t="str">
        <f ca="1">IF(COUNTIF($W$2:W1136,A151)=1,VLOOKUP(A151,S:T,2), IF(COUNTIF($W$2:W1136,A151)=0,$D$9,""))</f>
        <v/>
      </c>
      <c r="I151" s="39" t="str">
        <f ca="1">IF(COUNTIF($X$2:X1136,INT(A151))=1,VLOOKUP(INT(A151),X:Y,2), IF(ISERROR(H151-2),"",I150*(1-$D$8*(H151-H150)*0.0001)))</f>
        <v/>
      </c>
      <c r="J151" s="39" t="str">
        <f t="shared" ca="1" si="25"/>
        <v/>
      </c>
      <c r="K151" s="41" t="str">
        <f t="shared" ca="1" si="26"/>
        <v/>
      </c>
      <c r="L151" s="41"/>
      <c r="M151" s="42" t="str">
        <f ca="1">IF(ISERROR(B151-2),"",C151+D151-F151-G151-K151+SUM($L$14:L151))</f>
        <v/>
      </c>
      <c r="U151" s="3" t="str">
        <f t="shared" si="18"/>
        <v/>
      </c>
      <c r="V151" s="3" t="str">
        <f t="shared" si="19"/>
        <v/>
      </c>
      <c r="Z151" s="3">
        <v>45989</v>
      </c>
      <c r="AA151" s="4">
        <v>246.51609999999999</v>
      </c>
      <c r="AB151" s="74">
        <v>45989</v>
      </c>
      <c r="AC151" s="4">
        <v>255.52199999999999</v>
      </c>
      <c r="AD151" s="6">
        <f t="shared" si="20"/>
        <v>45989</v>
      </c>
    </row>
    <row r="152" spans="1:30" x14ac:dyDescent="0.25">
      <c r="A152" s="37" t="str">
        <f t="shared" ca="1" si="21"/>
        <v/>
      </c>
      <c r="B152" s="38" t="str">
        <f ca="1">IF(COUNTIF($W$2:W1137,A152)=1,VLOOKUP(A152,O:P,2), IF(COUNTIF($W$2:W1137,A152)=0,$B$9,""))</f>
        <v/>
      </c>
      <c r="C152" s="2" t="str">
        <f t="shared" ca="1" si="22"/>
        <v/>
      </c>
      <c r="D152" s="41"/>
      <c r="E152" s="38" t="str">
        <f ca="1">IF(COUNTIF($W$2:W1137,A152)=1,VLOOKUP(A152,Q:R,2), IF(COUNTIF($W$2:W1137,A152)=0,$C$9,""))</f>
        <v/>
      </c>
      <c r="F152" s="2" t="str">
        <f t="shared" ca="1" si="23"/>
        <v/>
      </c>
      <c r="G152" s="41" t="str">
        <f t="shared" ca="1" si="24"/>
        <v/>
      </c>
      <c r="H152" s="38" t="str">
        <f ca="1">IF(COUNTIF($W$2:W1137,A152)=1,VLOOKUP(A152,S:T,2), IF(COUNTIF($W$2:W1137,A152)=0,$D$9,""))</f>
        <v/>
      </c>
      <c r="I152" s="39" t="str">
        <f ca="1">IF(COUNTIF($X$2:X1137,INT(A152))=1,VLOOKUP(INT(A152),X:Y,2), IF(ISERROR(H152-2),"",I151*(1-$D$8*(H152-H151)*0.0001)))</f>
        <v/>
      </c>
      <c r="J152" s="39" t="str">
        <f t="shared" ca="1" si="25"/>
        <v/>
      </c>
      <c r="K152" s="41" t="str">
        <f t="shared" ca="1" si="26"/>
        <v/>
      </c>
      <c r="L152" s="41"/>
      <c r="M152" s="42" t="str">
        <f ca="1">IF(ISERROR(B152-2),"",C152+D152-F152-G152-K152+SUM($L$14:L152))</f>
        <v/>
      </c>
      <c r="U152" s="3" t="str">
        <f t="shared" si="18"/>
        <v/>
      </c>
      <c r="V152" s="3" t="str">
        <f t="shared" si="19"/>
        <v/>
      </c>
      <c r="Z152" s="3">
        <v>45992</v>
      </c>
      <c r="AA152" s="4">
        <v>246.52199999999999</v>
      </c>
      <c r="AB152" s="74">
        <v>45992</v>
      </c>
      <c r="AC152" s="4">
        <v>256.12799999999999</v>
      </c>
      <c r="AD152" s="6">
        <f t="shared" si="20"/>
        <v>45992</v>
      </c>
    </row>
    <row r="153" spans="1:30" x14ac:dyDescent="0.25">
      <c r="A153" s="37" t="str">
        <f t="shared" ca="1" si="21"/>
        <v/>
      </c>
      <c r="B153" s="38" t="str">
        <f ca="1">IF(COUNTIF($W$2:W1138,A153)=1,VLOOKUP(A153,O:P,2), IF(COUNTIF($W$2:W1138,A153)=0,$B$9,""))</f>
        <v/>
      </c>
      <c r="C153" s="2" t="str">
        <f t="shared" ca="1" si="22"/>
        <v/>
      </c>
      <c r="D153" s="41"/>
      <c r="E153" s="38" t="str">
        <f ca="1">IF(COUNTIF($W$2:W1138,A153)=1,VLOOKUP(A153,Q:R,2), IF(COUNTIF($W$2:W1138,A153)=0,$C$9,""))</f>
        <v/>
      </c>
      <c r="F153" s="2" t="str">
        <f t="shared" ca="1" si="23"/>
        <v/>
      </c>
      <c r="G153" s="41" t="str">
        <f t="shared" ca="1" si="24"/>
        <v/>
      </c>
      <c r="H153" s="38" t="str">
        <f ca="1">IF(COUNTIF($W$2:W1138,A153)=1,VLOOKUP(A153,S:T,2), IF(COUNTIF($W$2:W1138,A153)=0,$D$9,""))</f>
        <v/>
      </c>
      <c r="I153" s="39" t="str">
        <f ca="1">IF(COUNTIF($X$2:X1138,INT(A153))=1,VLOOKUP(INT(A153),X:Y,2), IF(ISERROR(H153-2),"",I152*(1-$D$8*(H153-H152)*0.0001)))</f>
        <v/>
      </c>
      <c r="J153" s="39" t="str">
        <f t="shared" ca="1" si="25"/>
        <v/>
      </c>
      <c r="K153" s="41" t="str">
        <f t="shared" ca="1" si="26"/>
        <v/>
      </c>
      <c r="L153" s="41"/>
      <c r="M153" s="42" t="str">
        <f ca="1">IF(ISERROR(B153-2),"",C153+D153-F153-G153-K153+SUM($L$14:L153))</f>
        <v/>
      </c>
      <c r="U153" s="3" t="str">
        <f t="shared" si="18"/>
        <v/>
      </c>
      <c r="V153" s="3" t="str">
        <f t="shared" si="19"/>
        <v/>
      </c>
      <c r="Z153" s="3">
        <v>45993</v>
      </c>
      <c r="AA153" s="4">
        <v>246.64009999999999</v>
      </c>
      <c r="AB153" s="74">
        <v>45993</v>
      </c>
      <c r="AC153" s="4">
        <v>255.16499999999999</v>
      </c>
      <c r="AD153" s="6">
        <f t="shared" si="20"/>
        <v>45993</v>
      </c>
    </row>
    <row r="154" spans="1:30" x14ac:dyDescent="0.25">
      <c r="A154" s="37" t="str">
        <f t="shared" ca="1" si="21"/>
        <v/>
      </c>
      <c r="B154" s="38" t="str">
        <f ca="1">IF(COUNTIF($W$2:W1139,A154)=1,VLOOKUP(A154,O:P,2), IF(COUNTIF($W$2:W1139,A154)=0,$B$9,""))</f>
        <v/>
      </c>
      <c r="C154" s="2" t="str">
        <f t="shared" ca="1" si="22"/>
        <v/>
      </c>
      <c r="D154" s="41"/>
      <c r="E154" s="38" t="str">
        <f ca="1">IF(COUNTIF($W$2:W1139,A154)=1,VLOOKUP(A154,Q:R,2), IF(COUNTIF($W$2:W1139,A154)=0,$C$9,""))</f>
        <v/>
      </c>
      <c r="F154" s="2" t="str">
        <f t="shared" ca="1" si="23"/>
        <v/>
      </c>
      <c r="G154" s="41" t="str">
        <f t="shared" ca="1" si="24"/>
        <v/>
      </c>
      <c r="H154" s="38" t="str">
        <f ca="1">IF(COUNTIF($W$2:W1139,A154)=1,VLOOKUP(A154,S:T,2), IF(COUNTIF($W$2:W1139,A154)=0,$D$9,""))</f>
        <v/>
      </c>
      <c r="I154" s="39" t="str">
        <f ca="1">IF(COUNTIF($X$2:X1139,INT(A154))=1,VLOOKUP(INT(A154),X:Y,2), IF(ISERROR(H154-2),"",I153*(1-$D$8*(H154-H153)*0.0001)))</f>
        <v/>
      </c>
      <c r="J154" s="39" t="str">
        <f t="shared" ca="1" si="25"/>
        <v/>
      </c>
      <c r="K154" s="41" t="str">
        <f t="shared" ca="1" si="26"/>
        <v/>
      </c>
      <c r="L154" s="41"/>
      <c r="M154" s="42" t="str">
        <f ca="1">IF(ISERROR(B154-2),"",C154+D154-F154-G154-K154+SUM($L$14:L154))</f>
        <v/>
      </c>
      <c r="U154" s="3" t="str">
        <f t="shared" si="18"/>
        <v/>
      </c>
      <c r="V154" s="3" t="str">
        <f t="shared" si="19"/>
        <v/>
      </c>
      <c r="Z154" s="3">
        <v>45994</v>
      </c>
      <c r="AA154" s="4">
        <v>246.69659999999999</v>
      </c>
      <c r="AB154" s="74">
        <v>45994</v>
      </c>
      <c r="AC154" s="4">
        <v>254.90700000000001</v>
      </c>
      <c r="AD154" s="6">
        <f t="shared" si="20"/>
        <v>45994</v>
      </c>
    </row>
    <row r="155" spans="1:30" x14ac:dyDescent="0.25">
      <c r="A155" s="37" t="str">
        <f t="shared" ca="1" si="21"/>
        <v/>
      </c>
      <c r="B155" s="38" t="str">
        <f ca="1">IF(COUNTIF($W$2:W1140,A155)=1,VLOOKUP(A155,O:P,2), IF(COUNTIF($W$2:W1140,A155)=0,$B$9,""))</f>
        <v/>
      </c>
      <c r="C155" s="2" t="str">
        <f t="shared" ca="1" si="22"/>
        <v/>
      </c>
      <c r="D155" s="41"/>
      <c r="E155" s="38" t="str">
        <f ca="1">IF(COUNTIF($W$2:W1140,A155)=1,VLOOKUP(A155,Q:R,2), IF(COUNTIF($W$2:W1140,A155)=0,$C$9,""))</f>
        <v/>
      </c>
      <c r="F155" s="2" t="str">
        <f t="shared" ca="1" si="23"/>
        <v/>
      </c>
      <c r="G155" s="41" t="str">
        <f t="shared" ca="1" si="24"/>
        <v/>
      </c>
      <c r="H155" s="38" t="str">
        <f ca="1">IF(COUNTIF($W$2:W1140,A155)=1,VLOOKUP(A155,S:T,2), IF(COUNTIF($W$2:W1140,A155)=0,$D$9,""))</f>
        <v/>
      </c>
      <c r="I155" s="39" t="str">
        <f ca="1">IF(COUNTIF($X$2:X1140,INT(A155))=1,VLOOKUP(INT(A155),X:Y,2), IF(ISERROR(H155-2),"",I154*(1-$D$8*(H155-H154)*0.0001)))</f>
        <v/>
      </c>
      <c r="J155" s="39" t="str">
        <f t="shared" ca="1" si="25"/>
        <v/>
      </c>
      <c r="K155" s="41" t="str">
        <f t="shared" ca="1" si="26"/>
        <v/>
      </c>
      <c r="L155" s="41"/>
      <c r="M155" s="42" t="str">
        <f ca="1">IF(ISERROR(B155-2),"",C155+D155-F155-G155-K155+SUM($L$14:L155))</f>
        <v/>
      </c>
      <c r="U155" s="3" t="str">
        <f t="shared" si="18"/>
        <v/>
      </c>
      <c r="V155" s="3" t="str">
        <f t="shared" si="19"/>
        <v/>
      </c>
      <c r="Z155" s="3">
        <v>45995</v>
      </c>
      <c r="AA155" s="4">
        <v>246.7276</v>
      </c>
      <c r="AB155" s="74">
        <v>45995</v>
      </c>
      <c r="AC155" s="4">
        <v>254.619</v>
      </c>
      <c r="AD155" s="6">
        <f t="shared" si="20"/>
        <v>45995</v>
      </c>
    </row>
    <row r="156" spans="1:30" x14ac:dyDescent="0.25">
      <c r="A156" s="37" t="str">
        <f t="shared" ca="1" si="21"/>
        <v/>
      </c>
      <c r="B156" s="38" t="str">
        <f ca="1">IF(COUNTIF($W$2:W1141,A156)=1,VLOOKUP(A156,O:P,2), IF(COUNTIF($W$2:W1141,A156)=0,$B$9,""))</f>
        <v/>
      </c>
      <c r="C156" s="2" t="str">
        <f t="shared" ca="1" si="22"/>
        <v/>
      </c>
      <c r="D156" s="41"/>
      <c r="E156" s="38" t="str">
        <f ca="1">IF(COUNTIF($W$2:W1141,A156)=1,VLOOKUP(A156,Q:R,2), IF(COUNTIF($W$2:W1141,A156)=0,$C$9,""))</f>
        <v/>
      </c>
      <c r="F156" s="2" t="str">
        <f t="shared" ca="1" si="23"/>
        <v/>
      </c>
      <c r="G156" s="41" t="str">
        <f t="shared" ca="1" si="24"/>
        <v/>
      </c>
      <c r="H156" s="38" t="str">
        <f ca="1">IF(COUNTIF($W$2:W1141,A156)=1,VLOOKUP(A156,S:T,2), IF(COUNTIF($W$2:W1141,A156)=0,$D$9,""))</f>
        <v/>
      </c>
      <c r="I156" s="39" t="str">
        <f ca="1">IF(COUNTIF($X$2:X1141,INT(A156))=1,VLOOKUP(INT(A156),X:Y,2), IF(ISERROR(H156-2),"",I155*(1-$D$8*(H156-H155)*0.0001)))</f>
        <v/>
      </c>
      <c r="J156" s="39" t="str">
        <f t="shared" ca="1" si="25"/>
        <v/>
      </c>
      <c r="K156" s="41" t="str">
        <f t="shared" ca="1" si="26"/>
        <v/>
      </c>
      <c r="L156" s="41"/>
      <c r="M156" s="42" t="str">
        <f ca="1">IF(ISERROR(B156-2),"",C156+D156-F156-G156-K156+SUM($L$14:L156))</f>
        <v/>
      </c>
      <c r="U156" s="3" t="str">
        <f t="shared" si="18"/>
        <v/>
      </c>
      <c r="V156" s="3" t="str">
        <f t="shared" si="19"/>
        <v/>
      </c>
      <c r="Z156" s="3">
        <v>45996</v>
      </c>
      <c r="AA156" s="4">
        <v>246.92910000000001</v>
      </c>
      <c r="AB156" s="74">
        <v>45996</v>
      </c>
      <c r="AC156" s="4">
        <v>252.95500000000001</v>
      </c>
      <c r="AD156" s="6">
        <f t="shared" si="20"/>
        <v>45996</v>
      </c>
    </row>
    <row r="157" spans="1:30" x14ac:dyDescent="0.25">
      <c r="A157" s="37" t="str">
        <f t="shared" ca="1" si="21"/>
        <v/>
      </c>
      <c r="B157" s="38" t="str">
        <f ca="1">IF(COUNTIF($W$2:W1142,A157)=1,VLOOKUP(A157,O:P,2), IF(COUNTIF($W$2:W1142,A157)=0,$B$9,""))</f>
        <v/>
      </c>
      <c r="C157" s="2" t="str">
        <f t="shared" ca="1" si="22"/>
        <v/>
      </c>
      <c r="D157" s="41"/>
      <c r="E157" s="38" t="str">
        <f ca="1">IF(COUNTIF($W$2:W1142,A157)=1,VLOOKUP(A157,Q:R,2), IF(COUNTIF($W$2:W1142,A157)=0,$C$9,""))</f>
        <v/>
      </c>
      <c r="F157" s="2" t="str">
        <f t="shared" ca="1" si="23"/>
        <v/>
      </c>
      <c r="G157" s="41" t="str">
        <f t="shared" ca="1" si="24"/>
        <v/>
      </c>
      <c r="H157" s="38" t="str">
        <f ca="1">IF(COUNTIF($W$2:W1142,A157)=1,VLOOKUP(A157,S:T,2), IF(COUNTIF($W$2:W1142,A157)=0,$D$9,""))</f>
        <v/>
      </c>
      <c r="I157" s="39" t="str">
        <f ca="1">IF(COUNTIF($X$2:X1142,INT(A157))=1,VLOOKUP(INT(A157),X:Y,2), IF(ISERROR(H157-2),"",I156*(1-$D$8*(H157-H156)*0.0001)))</f>
        <v/>
      </c>
      <c r="J157" s="39" t="str">
        <f t="shared" ca="1" si="25"/>
        <v/>
      </c>
      <c r="K157" s="41" t="str">
        <f t="shared" ca="1" si="26"/>
        <v/>
      </c>
      <c r="L157" s="41"/>
      <c r="M157" s="42" t="str">
        <f ca="1">IF(ISERROR(B157-2),"",C157+D157-F157-G157-K157+SUM($L$14:L157))</f>
        <v/>
      </c>
      <c r="U157" s="3" t="str">
        <f t="shared" si="18"/>
        <v/>
      </c>
      <c r="V157" s="3" t="str">
        <f t="shared" si="19"/>
        <v/>
      </c>
      <c r="Z157" s="3">
        <v>45999</v>
      </c>
      <c r="AA157" s="4">
        <v>246.71809999999999</v>
      </c>
      <c r="AB157" s="74">
        <v>45999</v>
      </c>
      <c r="AC157" s="4">
        <v>256.38</v>
      </c>
      <c r="AD157" s="6">
        <f t="shared" si="20"/>
        <v>45999</v>
      </c>
    </row>
    <row r="158" spans="1:30" x14ac:dyDescent="0.25">
      <c r="A158" s="37" t="str">
        <f t="shared" ca="1" si="21"/>
        <v/>
      </c>
      <c r="B158" s="38" t="str">
        <f ca="1">IF(COUNTIF($W$2:W1143,A158)=1,VLOOKUP(A158,O:P,2), IF(COUNTIF($W$2:W1143,A158)=0,$B$9,""))</f>
        <v/>
      </c>
      <c r="C158" s="2" t="str">
        <f t="shared" ca="1" si="22"/>
        <v/>
      </c>
      <c r="D158" s="41"/>
      <c r="E158" s="38" t="str">
        <f ca="1">IF(COUNTIF($W$2:W1143,A158)=1,VLOOKUP(A158,Q:R,2), IF(COUNTIF($W$2:W1143,A158)=0,$C$9,""))</f>
        <v/>
      </c>
      <c r="F158" s="2" t="str">
        <f t="shared" ca="1" si="23"/>
        <v/>
      </c>
      <c r="G158" s="41" t="str">
        <f t="shared" ca="1" si="24"/>
        <v/>
      </c>
      <c r="H158" s="38" t="str">
        <f ca="1">IF(COUNTIF($W$2:W1143,A158)=1,VLOOKUP(A158,S:T,2), IF(COUNTIF($W$2:W1143,A158)=0,$D$9,""))</f>
        <v/>
      </c>
      <c r="I158" s="39" t="str">
        <f ca="1">IF(COUNTIF($X$2:X1143,INT(A158))=1,VLOOKUP(INT(A158),X:Y,2), IF(ISERROR(H158-2),"",I157*(1-$D$8*(H158-H157)*0.0001)))</f>
        <v/>
      </c>
      <c r="J158" s="39" t="str">
        <f t="shared" ca="1" si="25"/>
        <v/>
      </c>
      <c r="K158" s="41" t="str">
        <f t="shared" ca="1" si="26"/>
        <v/>
      </c>
      <c r="L158" s="41"/>
      <c r="M158" s="42" t="str">
        <f ca="1">IF(ISERROR(B158-2),"",C158+D158-F158-G158-K158+SUM($L$14:L158))</f>
        <v/>
      </c>
      <c r="U158" s="3" t="str">
        <f t="shared" si="18"/>
        <v/>
      </c>
      <c r="V158" s="3" t="str">
        <f t="shared" si="19"/>
        <v/>
      </c>
      <c r="Z158" s="3">
        <v>46000</v>
      </c>
      <c r="AA158" s="4">
        <v>246.76429999999999</v>
      </c>
      <c r="AB158" s="74">
        <v>46000</v>
      </c>
      <c r="AC158" s="4">
        <v>254.755</v>
      </c>
      <c r="AD158" s="6">
        <f t="shared" si="20"/>
        <v>46000</v>
      </c>
    </row>
    <row r="159" spans="1:30" x14ac:dyDescent="0.25">
      <c r="A159" s="37" t="str">
        <f t="shared" ca="1" si="21"/>
        <v/>
      </c>
      <c r="B159" s="38" t="str">
        <f ca="1">IF(COUNTIF($W$2:W1144,A159)=1,VLOOKUP(A159,O:P,2), IF(COUNTIF($W$2:W1144,A159)=0,$B$9,""))</f>
        <v/>
      </c>
      <c r="C159" s="2" t="str">
        <f t="shared" ca="1" si="22"/>
        <v/>
      </c>
      <c r="D159" s="41"/>
      <c r="E159" s="38" t="str">
        <f ca="1">IF(COUNTIF($W$2:W1144,A159)=1,VLOOKUP(A159,Q:R,2), IF(COUNTIF($W$2:W1144,A159)=0,$C$9,""))</f>
        <v/>
      </c>
      <c r="F159" s="2" t="str">
        <f t="shared" ca="1" si="23"/>
        <v/>
      </c>
      <c r="G159" s="41" t="str">
        <f t="shared" ca="1" si="24"/>
        <v/>
      </c>
      <c r="H159" s="38" t="str">
        <f ca="1">IF(COUNTIF($W$2:W1144,A159)=1,VLOOKUP(A159,S:T,2), IF(COUNTIF($W$2:W1144,A159)=0,$D$9,""))</f>
        <v/>
      </c>
      <c r="I159" s="39" t="str">
        <f ca="1">IF(COUNTIF($X$2:X1144,INT(A159))=1,VLOOKUP(INT(A159),X:Y,2), IF(ISERROR(H159-2),"",I158*(1-$D$8*(H159-H158)*0.0001)))</f>
        <v/>
      </c>
      <c r="J159" s="39" t="str">
        <f t="shared" ca="1" si="25"/>
        <v/>
      </c>
      <c r="K159" s="41" t="str">
        <f t="shared" ca="1" si="26"/>
        <v/>
      </c>
      <c r="L159" s="41"/>
      <c r="M159" s="42" t="str">
        <f ca="1">IF(ISERROR(B159-2),"",C159+D159-F159-G159-K159+SUM($L$14:L159))</f>
        <v/>
      </c>
      <c r="U159" s="3" t="str">
        <f t="shared" si="18"/>
        <v/>
      </c>
      <c r="V159" s="3" t="str">
        <f t="shared" si="19"/>
        <v/>
      </c>
      <c r="Z159" s="3">
        <v>46001</v>
      </c>
      <c r="AA159" s="4">
        <v>246.89660000000001</v>
      </c>
      <c r="AB159" s="74">
        <v>46001</v>
      </c>
      <c r="AC159" s="4">
        <v>253.602</v>
      </c>
      <c r="AD159" s="6">
        <f t="shared" si="20"/>
        <v>46001</v>
      </c>
    </row>
    <row r="160" spans="1:30" x14ac:dyDescent="0.25">
      <c r="A160" s="37" t="str">
        <f t="shared" ca="1" si="21"/>
        <v/>
      </c>
      <c r="B160" s="38" t="str">
        <f ca="1">IF(COUNTIF($W$2:W1145,A160)=1,VLOOKUP(A160,O:P,2), IF(COUNTIF($W$2:W1145,A160)=0,$B$9,""))</f>
        <v/>
      </c>
      <c r="C160" s="2" t="str">
        <f t="shared" ca="1" si="22"/>
        <v/>
      </c>
      <c r="D160" s="41"/>
      <c r="E160" s="38" t="str">
        <f ca="1">IF(COUNTIF($W$2:W1145,A160)=1,VLOOKUP(A160,Q:R,2), IF(COUNTIF($W$2:W1145,A160)=0,$C$9,""))</f>
        <v/>
      </c>
      <c r="F160" s="2" t="str">
        <f t="shared" ca="1" si="23"/>
        <v/>
      </c>
      <c r="G160" s="41" t="str">
        <f t="shared" ca="1" si="24"/>
        <v/>
      </c>
      <c r="H160" s="38" t="str">
        <f ca="1">IF(COUNTIF($W$2:W1145,A160)=1,VLOOKUP(A160,S:T,2), IF(COUNTIF($W$2:W1145,A160)=0,$D$9,""))</f>
        <v/>
      </c>
      <c r="I160" s="39" t="str">
        <f ca="1">IF(COUNTIF($X$2:X1145,INT(A160))=1,VLOOKUP(INT(A160),X:Y,2), IF(ISERROR(H160-2),"",I159*(1-$D$8*(H160-H159)*0.0001)))</f>
        <v/>
      </c>
      <c r="J160" s="39" t="str">
        <f t="shared" ca="1" si="25"/>
        <v/>
      </c>
      <c r="K160" s="41" t="str">
        <f t="shared" ca="1" si="26"/>
        <v/>
      </c>
      <c r="L160" s="41"/>
      <c r="M160" s="42" t="str">
        <f ca="1">IF(ISERROR(B160-2),"",C160+D160-F160-G160-K160+SUM($L$14:L160))</f>
        <v/>
      </c>
      <c r="U160" s="3" t="str">
        <f t="shared" si="18"/>
        <v/>
      </c>
      <c r="V160" s="3" t="str">
        <f t="shared" si="19"/>
        <v/>
      </c>
      <c r="Z160" s="3">
        <v>46002</v>
      </c>
      <c r="AA160" s="4">
        <v>247.6378</v>
      </c>
      <c r="AB160" s="74">
        <v>46002</v>
      </c>
      <c r="AC160" s="4">
        <v>247.48400000000001</v>
      </c>
      <c r="AD160" s="6">
        <f t="shared" si="20"/>
        <v>46002</v>
      </c>
    </row>
    <row r="161" spans="1:30" x14ac:dyDescent="0.25">
      <c r="A161" s="37" t="str">
        <f t="shared" ca="1" si="21"/>
        <v/>
      </c>
      <c r="B161" s="38" t="str">
        <f ca="1">IF(COUNTIF($W$2:W1146,A161)=1,VLOOKUP(A161,O:P,2), IF(COUNTIF($W$2:W1146,A161)=0,$B$9,""))</f>
        <v/>
      </c>
      <c r="C161" s="2" t="str">
        <f t="shared" ca="1" si="22"/>
        <v/>
      </c>
      <c r="D161" s="41"/>
      <c r="E161" s="38" t="str">
        <f ca="1">IF(COUNTIF($W$2:W1146,A161)=1,VLOOKUP(A161,Q:R,2), IF(COUNTIF($W$2:W1146,A161)=0,$C$9,""))</f>
        <v/>
      </c>
      <c r="F161" s="2" t="str">
        <f t="shared" ca="1" si="23"/>
        <v/>
      </c>
      <c r="G161" s="41" t="str">
        <f t="shared" ca="1" si="24"/>
        <v/>
      </c>
      <c r="H161" s="38" t="str">
        <f ca="1">IF(COUNTIF($W$2:W1146,A161)=1,VLOOKUP(A161,S:T,2), IF(COUNTIF($W$2:W1146,A161)=0,$D$9,""))</f>
        <v/>
      </c>
      <c r="I161" s="39" t="str">
        <f ca="1">IF(COUNTIF($X$2:X1146,INT(A161))=1,VLOOKUP(INT(A161),X:Y,2), IF(ISERROR(H161-2),"",I160*(1-$D$8*(H161-H160)*0.0001)))</f>
        <v/>
      </c>
      <c r="J161" s="39" t="str">
        <f t="shared" ca="1" si="25"/>
        <v/>
      </c>
      <c r="K161" s="41" t="str">
        <f t="shared" ca="1" si="26"/>
        <v/>
      </c>
      <c r="L161" s="41"/>
      <c r="M161" s="42" t="str">
        <f ca="1">IF(ISERROR(B161-2),"",C161+D161-F161-G161-K161+SUM($L$14:L161))</f>
        <v/>
      </c>
      <c r="U161" s="3" t="str">
        <f t="shared" si="18"/>
        <v/>
      </c>
      <c r="V161" s="3" t="str">
        <f t="shared" si="19"/>
        <v/>
      </c>
      <c r="Z161" s="3">
        <v>46003</v>
      </c>
      <c r="AA161" s="4">
        <v>247.29140000000001</v>
      </c>
      <c r="AB161" s="74">
        <v>46003</v>
      </c>
      <c r="AC161" s="4">
        <v>251.251</v>
      </c>
      <c r="AD161" s="6">
        <f t="shared" si="20"/>
        <v>46003</v>
      </c>
    </row>
    <row r="162" spans="1:30" x14ac:dyDescent="0.25">
      <c r="A162" s="37" t="str">
        <f t="shared" ca="1" si="21"/>
        <v/>
      </c>
      <c r="B162" s="38" t="str">
        <f ca="1">IF(COUNTIF($W$2:W1147,A162)=1,VLOOKUP(A162,O:P,2), IF(COUNTIF($W$2:W1147,A162)=0,$B$9,""))</f>
        <v/>
      </c>
      <c r="C162" s="2" t="str">
        <f t="shared" ca="1" si="22"/>
        <v/>
      </c>
      <c r="D162" s="41"/>
      <c r="E162" s="38" t="str">
        <f ca="1">IF(COUNTIF($W$2:W1147,A162)=1,VLOOKUP(A162,Q:R,2), IF(COUNTIF($W$2:W1147,A162)=0,$C$9,""))</f>
        <v/>
      </c>
      <c r="F162" s="2" t="str">
        <f t="shared" ca="1" si="23"/>
        <v/>
      </c>
      <c r="G162" s="41" t="str">
        <f t="shared" ca="1" si="24"/>
        <v/>
      </c>
      <c r="H162" s="38" t="str">
        <f ca="1">IF(COUNTIF($W$2:W1147,A162)=1,VLOOKUP(A162,S:T,2), IF(COUNTIF($W$2:W1147,A162)=0,$D$9,""))</f>
        <v/>
      </c>
      <c r="I162" s="39" t="str">
        <f ca="1">IF(COUNTIF($X$2:X1147,INT(A162))=1,VLOOKUP(INT(A162),X:Y,2), IF(ISERROR(H162-2),"",I161*(1-$D$8*(H162-H161)*0.0001)))</f>
        <v/>
      </c>
      <c r="J162" s="39" t="str">
        <f t="shared" ca="1" si="25"/>
        <v/>
      </c>
      <c r="K162" s="41" t="str">
        <f t="shared" ca="1" si="26"/>
        <v/>
      </c>
      <c r="L162" s="41"/>
      <c r="M162" s="42" t="str">
        <f ca="1">IF(ISERROR(B162-2),"",C162+D162-F162-G162-K162+SUM($L$14:L162))</f>
        <v/>
      </c>
      <c r="U162" s="3" t="str">
        <f t="shared" si="18"/>
        <v/>
      </c>
      <c r="V162" s="3" t="str">
        <f t="shared" si="19"/>
        <v/>
      </c>
      <c r="Z162" s="3">
        <v>46006</v>
      </c>
      <c r="AA162" s="4">
        <v>247.6292</v>
      </c>
      <c r="AB162" s="74">
        <v>46006</v>
      </c>
      <c r="AC162" s="4">
        <v>248.71100000000001</v>
      </c>
      <c r="AD162" s="6">
        <f t="shared" si="20"/>
        <v>46006</v>
      </c>
    </row>
    <row r="163" spans="1:30" x14ac:dyDescent="0.25">
      <c r="A163" s="37" t="str">
        <f t="shared" ca="1" si="21"/>
        <v/>
      </c>
      <c r="B163" s="38" t="str">
        <f ca="1">IF(COUNTIF($W$2:W1148,A163)=1,VLOOKUP(A163,O:P,2), IF(COUNTIF($W$2:W1148,A163)=0,$B$9,""))</f>
        <v/>
      </c>
      <c r="C163" s="2" t="str">
        <f t="shared" ca="1" si="22"/>
        <v/>
      </c>
      <c r="D163" s="41"/>
      <c r="E163" s="38" t="str">
        <f ca="1">IF(COUNTIF($W$2:W1148,A163)=1,VLOOKUP(A163,Q:R,2), IF(COUNTIF($W$2:W1148,A163)=0,$C$9,""))</f>
        <v/>
      </c>
      <c r="F163" s="2" t="str">
        <f t="shared" ca="1" si="23"/>
        <v/>
      </c>
      <c r="G163" s="41" t="str">
        <f t="shared" ca="1" si="24"/>
        <v/>
      </c>
      <c r="H163" s="38" t="str">
        <f ca="1">IF(COUNTIF($W$2:W1148,A163)=1,VLOOKUP(A163,S:T,2), IF(COUNTIF($W$2:W1148,A163)=0,$D$9,""))</f>
        <v/>
      </c>
      <c r="I163" s="39" t="str">
        <f ca="1">IF(COUNTIF($X$2:X1148,INT(A163))=1,VLOOKUP(INT(A163),X:Y,2), IF(ISERROR(H163-2),"",I162*(1-$D$8*(H163-H162)*0.0001)))</f>
        <v/>
      </c>
      <c r="J163" s="39" t="str">
        <f t="shared" ca="1" si="25"/>
        <v/>
      </c>
      <c r="K163" s="41" t="str">
        <f t="shared" ca="1" si="26"/>
        <v/>
      </c>
      <c r="L163" s="41"/>
      <c r="M163" s="42" t="str">
        <f ca="1">IF(ISERROR(B163-2),"",C163+D163-F163-G163-K163+SUM($L$14:L163))</f>
        <v/>
      </c>
      <c r="U163" s="3" t="str">
        <f t="shared" si="18"/>
        <v/>
      </c>
      <c r="V163" s="3" t="str">
        <f t="shared" si="19"/>
        <v/>
      </c>
      <c r="Z163" s="3">
        <v>46007</v>
      </c>
      <c r="AA163" s="4">
        <v>247.4761</v>
      </c>
      <c r="AB163" s="74">
        <v>46007</v>
      </c>
      <c r="AC163" s="4">
        <v>250.40600000000001</v>
      </c>
      <c r="AD163" s="6">
        <f t="shared" si="20"/>
        <v>46007</v>
      </c>
    </row>
    <row r="164" spans="1:30" x14ac:dyDescent="0.25">
      <c r="A164" s="37" t="str">
        <f t="shared" ca="1" si="21"/>
        <v/>
      </c>
      <c r="B164" s="38" t="str">
        <f ca="1">IF(COUNTIF($W$2:W1149,A164)=1,VLOOKUP(A164,O:P,2), IF(COUNTIF($W$2:W1149,A164)=0,$B$9,""))</f>
        <v/>
      </c>
      <c r="C164" s="2" t="str">
        <f t="shared" ca="1" si="22"/>
        <v/>
      </c>
      <c r="D164" s="41"/>
      <c r="E164" s="38" t="str">
        <f ca="1">IF(COUNTIF($W$2:W1149,A164)=1,VLOOKUP(A164,Q:R,2), IF(COUNTIF($W$2:W1149,A164)=0,$C$9,""))</f>
        <v/>
      </c>
      <c r="F164" s="2" t="str">
        <f t="shared" ca="1" si="23"/>
        <v/>
      </c>
      <c r="G164" s="41" t="str">
        <f t="shared" ca="1" si="24"/>
        <v/>
      </c>
      <c r="H164" s="38" t="str">
        <f ca="1">IF(COUNTIF($W$2:W1149,A164)=1,VLOOKUP(A164,S:T,2), IF(COUNTIF($W$2:W1149,A164)=0,$D$9,""))</f>
        <v/>
      </c>
      <c r="I164" s="39" t="str">
        <f ca="1">IF(COUNTIF($X$2:X1149,INT(A164))=1,VLOOKUP(INT(A164),X:Y,2), IF(ISERROR(H164-2),"",I163*(1-$D$8*(H164-H163)*0.0001)))</f>
        <v/>
      </c>
      <c r="J164" s="39" t="str">
        <f t="shared" ca="1" si="25"/>
        <v/>
      </c>
      <c r="K164" s="41" t="str">
        <f t="shared" ca="1" si="26"/>
        <v/>
      </c>
      <c r="L164" s="41"/>
      <c r="M164" s="42" t="str">
        <f ca="1">IF(ISERROR(B164-2),"",C164+D164-F164-G164-K164+SUM($L$14:L164))</f>
        <v/>
      </c>
      <c r="U164" s="3" t="str">
        <f t="shared" si="18"/>
        <v/>
      </c>
      <c r="V164" s="3" t="str">
        <f t="shared" si="19"/>
        <v/>
      </c>
      <c r="Z164" s="3">
        <v>46008</v>
      </c>
      <c r="AA164" s="4">
        <v>247.34719999999999</v>
      </c>
      <c r="AB164" s="74">
        <v>46008</v>
      </c>
      <c r="AC164" s="4">
        <v>251.99100000000001</v>
      </c>
      <c r="AD164" s="6">
        <f t="shared" si="20"/>
        <v>46008</v>
      </c>
    </row>
    <row r="165" spans="1:30" x14ac:dyDescent="0.25">
      <c r="A165" s="37" t="str">
        <f t="shared" ca="1" si="21"/>
        <v/>
      </c>
      <c r="B165" s="38" t="str">
        <f ca="1">IF(COUNTIF($W$2:W1150,A165)=1,VLOOKUP(A165,O:P,2), IF(COUNTIF($W$2:W1150,A165)=0,$B$9,""))</f>
        <v/>
      </c>
      <c r="C165" s="2" t="str">
        <f t="shared" ca="1" si="22"/>
        <v/>
      </c>
      <c r="D165" s="41"/>
      <c r="E165" s="38" t="str">
        <f ca="1">IF(COUNTIF($W$2:W1150,A165)=1,VLOOKUP(A165,Q:R,2), IF(COUNTIF($W$2:W1150,A165)=0,$C$9,""))</f>
        <v/>
      </c>
      <c r="F165" s="2" t="str">
        <f t="shared" ca="1" si="23"/>
        <v/>
      </c>
      <c r="G165" s="41" t="str">
        <f t="shared" ca="1" si="24"/>
        <v/>
      </c>
      <c r="H165" s="38" t="str">
        <f ca="1">IF(COUNTIF($W$2:W1150,A165)=1,VLOOKUP(A165,S:T,2), IF(COUNTIF($W$2:W1150,A165)=0,$D$9,""))</f>
        <v/>
      </c>
      <c r="I165" s="39" t="str">
        <f ca="1">IF(COUNTIF($X$2:X1150,INT(A165))=1,VLOOKUP(INT(A165),X:Y,2), IF(ISERROR(H165-2),"",I164*(1-$D$8*(H165-H164)*0.0001)))</f>
        <v/>
      </c>
      <c r="J165" s="39" t="str">
        <f t="shared" ca="1" si="25"/>
        <v/>
      </c>
      <c r="K165" s="41" t="str">
        <f t="shared" ca="1" si="26"/>
        <v/>
      </c>
      <c r="L165" s="41"/>
      <c r="M165" s="42" t="str">
        <f ca="1">IF(ISERROR(B165-2),"",C165+D165-F165-G165-K165+SUM($L$14:L165))</f>
        <v/>
      </c>
      <c r="U165" s="3" t="str">
        <f t="shared" si="18"/>
        <v/>
      </c>
      <c r="V165" s="3" t="str">
        <f t="shared" si="19"/>
        <v/>
      </c>
      <c r="Z165" s="3">
        <v>46009</v>
      </c>
      <c r="AA165" s="4">
        <v>248.1044</v>
      </c>
      <c r="AB165" s="74">
        <v>46009</v>
      </c>
      <c r="AC165" s="4">
        <v>245.59399999999999</v>
      </c>
      <c r="AD165" s="6">
        <f t="shared" si="20"/>
        <v>46009</v>
      </c>
    </row>
    <row r="166" spans="1:30" x14ac:dyDescent="0.25">
      <c r="A166" s="37" t="str">
        <f t="shared" ca="1" si="21"/>
        <v/>
      </c>
      <c r="B166" s="38" t="str">
        <f ca="1">IF(COUNTIF($W$2:W1151,A166)=1,VLOOKUP(A166,O:P,2), IF(COUNTIF($W$2:W1151,A166)=0,$B$9,""))</f>
        <v/>
      </c>
      <c r="C166" s="2" t="str">
        <f t="shared" ca="1" si="22"/>
        <v/>
      </c>
      <c r="D166" s="41"/>
      <c r="E166" s="38" t="str">
        <f ca="1">IF(COUNTIF($W$2:W1151,A166)=1,VLOOKUP(A166,Q:R,2), IF(COUNTIF($W$2:W1151,A166)=0,$C$9,""))</f>
        <v/>
      </c>
      <c r="F166" s="2" t="str">
        <f t="shared" ca="1" si="23"/>
        <v/>
      </c>
      <c r="G166" s="41" t="str">
        <f t="shared" ca="1" si="24"/>
        <v/>
      </c>
      <c r="H166" s="38" t="str">
        <f ca="1">IF(COUNTIF($W$2:W1151,A166)=1,VLOOKUP(A166,S:T,2), IF(COUNTIF($W$2:W1151,A166)=0,$D$9,""))</f>
        <v/>
      </c>
      <c r="I166" s="39" t="str">
        <f ca="1">IF(COUNTIF($X$2:X1151,INT(A166))=1,VLOOKUP(INT(A166),X:Y,2), IF(ISERROR(H166-2),"",I165*(1-$D$8*(H166-H165)*0.0001)))</f>
        <v/>
      </c>
      <c r="J166" s="39" t="str">
        <f t="shared" ca="1" si="25"/>
        <v/>
      </c>
      <c r="K166" s="41" t="str">
        <f t="shared" ca="1" si="26"/>
        <v/>
      </c>
      <c r="L166" s="41"/>
      <c r="M166" s="42" t="str">
        <f ca="1">IF(ISERROR(B166-2),"",C166+D166-F166-G166-K166+SUM($L$14:L166))</f>
        <v/>
      </c>
      <c r="U166" s="3" t="str">
        <f t="shared" si="18"/>
        <v/>
      </c>
      <c r="V166" s="3" t="str">
        <f t="shared" si="19"/>
        <v/>
      </c>
      <c r="Z166" s="3">
        <v>46010</v>
      </c>
      <c r="AA166" s="4">
        <v>248.1113</v>
      </c>
      <c r="AB166" s="74">
        <v>46010</v>
      </c>
      <c r="AC166" s="4">
        <v>245.69</v>
      </c>
      <c r="AD166" s="6">
        <f t="shared" si="20"/>
        <v>46010</v>
      </c>
    </row>
    <row r="167" spans="1:30" x14ac:dyDescent="0.25">
      <c r="A167" s="37" t="str">
        <f t="shared" ca="1" si="21"/>
        <v/>
      </c>
      <c r="B167" s="38" t="str">
        <f ca="1">IF(COUNTIF($W$2:W1152,A167)=1,VLOOKUP(A167,O:P,2), IF(COUNTIF($W$2:W1152,A167)=0,$B$9,""))</f>
        <v/>
      </c>
      <c r="C167" s="2" t="str">
        <f t="shared" ca="1" si="22"/>
        <v/>
      </c>
      <c r="D167" s="41"/>
      <c r="E167" s="38" t="str">
        <f ca="1">IF(COUNTIF($W$2:W1152,A167)=1,VLOOKUP(A167,Q:R,2), IF(COUNTIF($W$2:W1152,A167)=0,$C$9,""))</f>
        <v/>
      </c>
      <c r="F167" s="2" t="str">
        <f t="shared" ca="1" si="23"/>
        <v/>
      </c>
      <c r="G167" s="41" t="str">
        <f t="shared" ca="1" si="24"/>
        <v/>
      </c>
      <c r="H167" s="38" t="str">
        <f ca="1">IF(COUNTIF($W$2:W1152,A167)=1,VLOOKUP(A167,S:T,2), IF(COUNTIF($W$2:W1152,A167)=0,$D$9,""))</f>
        <v/>
      </c>
      <c r="I167" s="39" t="str">
        <f ca="1">IF(COUNTIF($X$2:X1152,INT(A167))=1,VLOOKUP(INT(A167),X:Y,2), IF(ISERROR(H167-2),"",I166*(1-$D$8*(H167-H166)*0.0001)))</f>
        <v/>
      </c>
      <c r="J167" s="39" t="str">
        <f t="shared" ca="1" si="25"/>
        <v/>
      </c>
      <c r="K167" s="41" t="str">
        <f t="shared" ca="1" si="26"/>
        <v/>
      </c>
      <c r="L167" s="41"/>
      <c r="M167" s="42" t="str">
        <f ca="1">IF(ISERROR(B167-2),"",C167+D167-F167-G167-K167+SUM($L$14:L167))</f>
        <v/>
      </c>
      <c r="U167" s="3" t="str">
        <f t="shared" si="18"/>
        <v/>
      </c>
      <c r="V167" s="3" t="str">
        <f t="shared" si="19"/>
        <v/>
      </c>
      <c r="Z167" s="3">
        <v>46013</v>
      </c>
      <c r="AA167" s="4">
        <v>248.3845</v>
      </c>
      <c r="AB167" s="74">
        <v>46013</v>
      </c>
      <c r="AC167" s="4">
        <v>244.00800000000001</v>
      </c>
      <c r="AD167" s="6">
        <f t="shared" si="20"/>
        <v>46013</v>
      </c>
    </row>
    <row r="168" spans="1:30" x14ac:dyDescent="0.25">
      <c r="A168" s="37"/>
      <c r="B168" s="38"/>
      <c r="C168" s="2"/>
      <c r="D168" s="41"/>
      <c r="E168" s="38"/>
      <c r="F168" s="2"/>
      <c r="G168" s="41"/>
      <c r="H168" s="38"/>
      <c r="I168" s="39"/>
      <c r="J168" s="39"/>
      <c r="K168" s="41"/>
      <c r="L168" s="41"/>
      <c r="M168" s="42"/>
      <c r="U168" s="3" t="str">
        <f t="shared" si="18"/>
        <v/>
      </c>
      <c r="V168" s="3" t="str">
        <f t="shared" si="19"/>
        <v/>
      </c>
      <c r="Z168" s="3">
        <v>46014</v>
      </c>
      <c r="AA168" s="4">
        <v>248.27979999999999</v>
      </c>
      <c r="AB168" s="74">
        <v>46014</v>
      </c>
      <c r="AC168" s="4">
        <v>244.649</v>
      </c>
      <c r="AD168" s="6">
        <f t="shared" si="20"/>
        <v>46014</v>
      </c>
    </row>
    <row r="169" spans="1:30" x14ac:dyDescent="0.25">
      <c r="A169" s="37"/>
      <c r="B169" s="38"/>
      <c r="C169" s="2"/>
      <c r="D169" s="41"/>
      <c r="E169" s="38"/>
      <c r="F169" s="2"/>
      <c r="G169" s="41"/>
      <c r="H169" s="38"/>
      <c r="I169" s="39"/>
      <c r="J169" s="39"/>
      <c r="K169" s="41"/>
      <c r="L169" s="41"/>
      <c r="M169" s="42"/>
      <c r="U169" s="3" t="str">
        <f t="shared" si="18"/>
        <v/>
      </c>
      <c r="V169" s="3" t="str">
        <f t="shared" si="19"/>
        <v/>
      </c>
      <c r="Z169" s="3">
        <v>46015</v>
      </c>
      <c r="AA169" s="4">
        <v>248.3295</v>
      </c>
      <c r="AB169" s="74">
        <v>46015</v>
      </c>
      <c r="AC169" s="4">
        <v>244.44200000000001</v>
      </c>
      <c r="AD169" s="6">
        <f t="shared" si="20"/>
        <v>46015</v>
      </c>
    </row>
    <row r="170" spans="1:30" x14ac:dyDescent="0.25">
      <c r="A170" s="37"/>
      <c r="B170" s="38"/>
      <c r="C170" s="2"/>
      <c r="D170" s="41"/>
      <c r="E170" s="38"/>
      <c r="F170" s="2"/>
      <c r="G170" s="41"/>
      <c r="H170" s="38"/>
      <c r="I170" s="39"/>
      <c r="J170" s="39"/>
      <c r="K170" s="41"/>
      <c r="L170" s="41"/>
      <c r="M170" s="42"/>
      <c r="U170" s="3" t="str">
        <f t="shared" si="18"/>
        <v/>
      </c>
      <c r="V170" s="3" t="str">
        <f t="shared" si="19"/>
        <v/>
      </c>
      <c r="Z170" s="3">
        <v>46020</v>
      </c>
      <c r="AA170" s="4">
        <v>248.321</v>
      </c>
      <c r="AB170" s="74">
        <v>46020</v>
      </c>
      <c r="AC170" s="4">
        <v>245.09</v>
      </c>
      <c r="AD170" s="6">
        <f t="shared" si="20"/>
        <v>46020</v>
      </c>
    </row>
    <row r="171" spans="1:30" x14ac:dyDescent="0.25">
      <c r="A171" s="37"/>
      <c r="B171" s="38"/>
      <c r="C171" s="2"/>
      <c r="D171" s="41"/>
      <c r="E171" s="38"/>
      <c r="F171" s="2"/>
      <c r="G171" s="41"/>
      <c r="H171" s="38"/>
      <c r="I171" s="39"/>
      <c r="J171" s="39"/>
      <c r="K171" s="41"/>
      <c r="L171" s="41"/>
      <c r="M171" s="42"/>
      <c r="U171" s="3" t="str">
        <f t="shared" si="18"/>
        <v/>
      </c>
      <c r="V171" s="3" t="str">
        <f t="shared" si="19"/>
        <v/>
      </c>
      <c r="Z171" s="3">
        <v>46021</v>
      </c>
      <c r="AA171" s="4">
        <v>248.6404</v>
      </c>
      <c r="AB171" s="74">
        <v>46021</v>
      </c>
      <c r="AC171" s="4">
        <v>244.19900000000001</v>
      </c>
      <c r="AD171" s="6">
        <f t="shared" si="20"/>
        <v>46021</v>
      </c>
    </row>
    <row r="172" spans="1:30" x14ac:dyDescent="0.25">
      <c r="A172" s="37"/>
      <c r="B172" s="38"/>
      <c r="C172" s="2"/>
      <c r="D172" s="41"/>
      <c r="E172" s="38"/>
      <c r="F172" s="2"/>
      <c r="G172" s="41"/>
      <c r="H172" s="38"/>
      <c r="I172" s="39"/>
      <c r="J172" s="39"/>
      <c r="K172" s="41"/>
      <c r="L172" s="41"/>
      <c r="M172" s="42"/>
      <c r="U172" s="3" t="str">
        <f t="shared" si="18"/>
        <v/>
      </c>
      <c r="V172" s="3" t="str">
        <f t="shared" si="19"/>
        <v/>
      </c>
      <c r="Z172" s="3">
        <v>46022</v>
      </c>
      <c r="AA172" s="4">
        <v>248.5951</v>
      </c>
      <c r="AB172" s="74">
        <v>46022</v>
      </c>
      <c r="AC172" s="4">
        <v>244.239</v>
      </c>
      <c r="AD172" s="6">
        <f t="shared" si="20"/>
        <v>46022</v>
      </c>
    </row>
    <row r="173" spans="1:30" x14ac:dyDescent="0.25">
      <c r="A173" s="37"/>
      <c r="B173" s="38"/>
      <c r="C173" s="2"/>
      <c r="D173" s="41"/>
      <c r="E173" s="38"/>
      <c r="F173" s="2"/>
      <c r="G173" s="41"/>
      <c r="H173" s="38"/>
      <c r="I173" s="39"/>
      <c r="J173" s="39"/>
      <c r="K173" s="41"/>
      <c r="L173" s="41"/>
      <c r="M173" s="42"/>
      <c r="U173" s="3" t="str">
        <f t="shared" si="18"/>
        <v/>
      </c>
      <c r="V173" s="3" t="str">
        <f t="shared" si="19"/>
        <v/>
      </c>
      <c r="Z173" s="3">
        <v>46024</v>
      </c>
      <c r="AA173" s="4">
        <v>248.6541</v>
      </c>
      <c r="AB173" s="74">
        <v>46024</v>
      </c>
      <c r="AC173" s="4">
        <v>243.732</v>
      </c>
      <c r="AD173" s="6">
        <f t="shared" si="20"/>
        <v>46024</v>
      </c>
    </row>
    <row r="174" spans="1:30" x14ac:dyDescent="0.25">
      <c r="A174" s="37"/>
      <c r="B174" s="38"/>
      <c r="C174" s="2"/>
      <c r="D174" s="41"/>
      <c r="E174" s="38"/>
      <c r="F174" s="2"/>
      <c r="G174" s="41"/>
      <c r="H174" s="38"/>
      <c r="I174" s="39"/>
      <c r="J174" s="39"/>
      <c r="K174" s="41"/>
      <c r="L174" s="41"/>
      <c r="M174" s="42"/>
      <c r="U174" s="3" t="str">
        <f t="shared" si="18"/>
        <v/>
      </c>
      <c r="V174" s="3" t="str">
        <f t="shared" si="19"/>
        <v/>
      </c>
      <c r="Z174" s="3">
        <v>46027</v>
      </c>
      <c r="AA174" s="4">
        <v>248.83519999999999</v>
      </c>
      <c r="AB174" s="74">
        <v>46027</v>
      </c>
      <c r="AC174" s="4">
        <v>242.14599999999999</v>
      </c>
      <c r="AD174" s="6">
        <f t="shared" si="20"/>
        <v>46027</v>
      </c>
    </row>
    <row r="175" spans="1:30" x14ac:dyDescent="0.25">
      <c r="A175" s="37"/>
      <c r="B175" s="38"/>
      <c r="C175" s="2"/>
      <c r="D175" s="41"/>
      <c r="E175" s="38"/>
      <c r="F175" s="2"/>
      <c r="G175" s="41"/>
      <c r="H175" s="38"/>
      <c r="I175" s="39"/>
      <c r="J175" s="39"/>
      <c r="K175" s="41"/>
      <c r="L175" s="41"/>
      <c r="M175" s="42"/>
      <c r="U175" s="3" t="str">
        <f t="shared" si="18"/>
        <v/>
      </c>
      <c r="V175" s="3" t="str">
        <f t="shared" si="19"/>
        <v/>
      </c>
      <c r="Z175" s="3">
        <v>46028</v>
      </c>
      <c r="AA175" s="4">
        <v>248.91249999999999</v>
      </c>
      <c r="AB175" s="74">
        <v>46028</v>
      </c>
      <c r="AC175" s="4">
        <v>242.20400000000001</v>
      </c>
      <c r="AD175" s="6">
        <f t="shared" si="20"/>
        <v>46028</v>
      </c>
    </row>
    <row r="176" spans="1:30" x14ac:dyDescent="0.25">
      <c r="A176" s="37"/>
      <c r="B176" s="38"/>
      <c r="C176" s="2"/>
      <c r="D176" s="41"/>
      <c r="E176" s="38"/>
      <c r="F176" s="2"/>
      <c r="G176" s="41"/>
      <c r="H176" s="38"/>
      <c r="I176" s="39"/>
      <c r="J176" s="39"/>
      <c r="K176" s="41"/>
      <c r="L176" s="41"/>
      <c r="M176" s="42"/>
      <c r="U176" s="3" t="str">
        <f t="shared" si="18"/>
        <v/>
      </c>
      <c r="V176" s="3" t="str">
        <f t="shared" si="19"/>
        <v/>
      </c>
      <c r="Z176" s="3">
        <v>46029</v>
      </c>
      <c r="AA176" s="4">
        <v>248.8612</v>
      </c>
      <c r="AB176" s="74">
        <v>46029</v>
      </c>
      <c r="AC176" s="4">
        <v>242.517</v>
      </c>
      <c r="AD176" s="6">
        <f t="shared" si="20"/>
        <v>46029</v>
      </c>
    </row>
    <row r="177" spans="1:30" x14ac:dyDescent="0.25">
      <c r="A177" s="37"/>
      <c r="B177" s="38"/>
      <c r="C177" s="2"/>
      <c r="D177" s="41"/>
      <c r="E177" s="38"/>
      <c r="F177" s="2"/>
      <c r="G177" s="41"/>
      <c r="H177" s="38"/>
      <c r="I177" s="39"/>
      <c r="J177" s="39"/>
      <c r="K177" s="41"/>
      <c r="L177" s="41"/>
      <c r="M177" s="42"/>
      <c r="U177" s="3" t="str">
        <f t="shared" si="18"/>
        <v/>
      </c>
      <c r="V177" s="3" t="str">
        <f t="shared" si="19"/>
        <v/>
      </c>
      <c r="Z177" s="3">
        <v>46030</v>
      </c>
      <c r="AA177" s="4">
        <v>248.84979999999999</v>
      </c>
      <c r="AB177" s="74">
        <v>46030</v>
      </c>
      <c r="AC177" s="4">
        <v>242.678</v>
      </c>
      <c r="AD177" s="6">
        <f t="shared" si="20"/>
        <v>46030</v>
      </c>
    </row>
    <row r="178" spans="1:30" x14ac:dyDescent="0.25">
      <c r="A178" s="37"/>
      <c r="B178" s="38"/>
      <c r="C178" s="2"/>
      <c r="D178" s="41"/>
      <c r="E178" s="38"/>
      <c r="F178" s="2"/>
      <c r="G178" s="41"/>
      <c r="H178" s="38"/>
      <c r="I178" s="39"/>
      <c r="J178" s="39"/>
      <c r="K178" s="41"/>
      <c r="L178" s="41"/>
      <c r="M178" s="42"/>
      <c r="U178" s="3" t="str">
        <f t="shared" si="18"/>
        <v/>
      </c>
      <c r="V178" s="3" t="str">
        <f t="shared" si="19"/>
        <v/>
      </c>
      <c r="Z178" s="3">
        <v>46031</v>
      </c>
      <c r="AA178" s="4">
        <v>249.13050000000001</v>
      </c>
      <c r="AB178" s="74">
        <v>46031</v>
      </c>
      <c r="AC178" s="4">
        <v>240.93600000000001</v>
      </c>
      <c r="AD178" s="6">
        <f t="shared" si="20"/>
        <v>46031</v>
      </c>
    </row>
    <row r="179" spans="1:30" x14ac:dyDescent="0.25">
      <c r="A179" s="37"/>
      <c r="B179" s="38"/>
      <c r="C179" s="2"/>
      <c r="D179" s="41"/>
      <c r="E179" s="38"/>
      <c r="F179" s="2"/>
      <c r="G179" s="41"/>
      <c r="H179" s="38"/>
      <c r="I179" s="39"/>
      <c r="J179" s="39"/>
      <c r="K179" s="41"/>
      <c r="L179" s="41"/>
      <c r="M179" s="42"/>
      <c r="U179" s="3" t="str">
        <f t="shared" si="18"/>
        <v/>
      </c>
      <c r="V179" s="3" t="str">
        <f t="shared" si="19"/>
        <v/>
      </c>
      <c r="Z179" s="3">
        <v>46034</v>
      </c>
      <c r="AA179" s="4">
        <v>249.25470000000001</v>
      </c>
      <c r="AB179" s="74">
        <v>46034</v>
      </c>
      <c r="AC179" s="4">
        <v>240.25800000000001</v>
      </c>
      <c r="AD179" s="6">
        <f t="shared" si="20"/>
        <v>46034</v>
      </c>
    </row>
    <row r="180" spans="1:30" x14ac:dyDescent="0.25">
      <c r="A180" s="37"/>
      <c r="B180" s="38"/>
      <c r="C180" s="2"/>
      <c r="D180" s="41"/>
      <c r="E180" s="38"/>
      <c r="F180" s="2"/>
      <c r="G180" s="41"/>
      <c r="H180" s="38"/>
      <c r="I180" s="39"/>
      <c r="J180" s="39"/>
      <c r="K180" s="41"/>
      <c r="L180" s="41"/>
      <c r="M180" s="42"/>
      <c r="U180" s="3" t="str">
        <f t="shared" si="18"/>
        <v/>
      </c>
      <c r="V180" s="3" t="str">
        <f t="shared" si="19"/>
        <v/>
      </c>
      <c r="Z180" s="3">
        <v>46035</v>
      </c>
      <c r="AA180" s="4">
        <v>249.17660000000001</v>
      </c>
      <c r="AB180" s="74">
        <v>46035</v>
      </c>
      <c r="AC180" s="4">
        <v>240.88900000000001</v>
      </c>
      <c r="AD180" s="6">
        <f t="shared" si="20"/>
        <v>46035</v>
      </c>
    </row>
    <row r="181" spans="1:30" x14ac:dyDescent="0.25">
      <c r="A181" s="37"/>
      <c r="B181" s="38"/>
      <c r="C181" s="2"/>
      <c r="D181" s="41"/>
      <c r="E181" s="38"/>
      <c r="F181" s="2"/>
      <c r="G181" s="41"/>
      <c r="H181" s="38"/>
      <c r="I181" s="39"/>
      <c r="J181" s="39"/>
      <c r="K181" s="41"/>
      <c r="L181" s="41"/>
      <c r="M181" s="42"/>
      <c r="U181" s="3" t="str">
        <f t="shared" si="18"/>
        <v/>
      </c>
      <c r="V181" s="3" t="str">
        <f t="shared" si="19"/>
        <v/>
      </c>
      <c r="Z181" s="3">
        <v>46036</v>
      </c>
      <c r="AA181" s="4">
        <v>248.81209999999999</v>
      </c>
      <c r="AB181" s="74">
        <v>46036</v>
      </c>
      <c r="AC181" s="4">
        <v>244.88200000000001</v>
      </c>
      <c r="AD181" s="6">
        <f t="shared" si="20"/>
        <v>46036</v>
      </c>
    </row>
    <row r="182" spans="1:30" x14ac:dyDescent="0.25">
      <c r="A182" s="37"/>
      <c r="B182" s="38"/>
      <c r="C182" s="2"/>
      <c r="D182" s="41"/>
      <c r="E182" s="38"/>
      <c r="F182" s="2"/>
      <c r="G182" s="41"/>
      <c r="H182" s="38"/>
      <c r="I182" s="39"/>
      <c r="J182" s="39"/>
      <c r="K182" s="41"/>
      <c r="L182" s="41"/>
      <c r="M182" s="42"/>
      <c r="U182" s="3" t="str">
        <f t="shared" si="18"/>
        <v/>
      </c>
      <c r="V182" s="3" t="str">
        <f t="shared" si="19"/>
        <v/>
      </c>
      <c r="Z182" s="3">
        <v>46037</v>
      </c>
      <c r="AA182" s="4">
        <v>249.15880000000001</v>
      </c>
      <c r="AB182" s="74">
        <v>46037</v>
      </c>
      <c r="AC182" s="4">
        <v>241.666</v>
      </c>
      <c r="AD182" s="6">
        <f t="shared" si="20"/>
        <v>46037</v>
      </c>
    </row>
    <row r="183" spans="1:30" x14ac:dyDescent="0.25">
      <c r="A183" s="37"/>
      <c r="B183" s="38"/>
      <c r="C183" s="2"/>
      <c r="D183" s="41"/>
      <c r="E183" s="38"/>
      <c r="F183" s="2"/>
      <c r="G183" s="41"/>
      <c r="H183" s="38"/>
      <c r="I183" s="39"/>
      <c r="J183" s="39"/>
      <c r="K183" s="41"/>
      <c r="L183" s="41"/>
      <c r="M183" s="42"/>
      <c r="U183" s="3" t="str">
        <f t="shared" si="18"/>
        <v/>
      </c>
      <c r="V183" s="3" t="str">
        <f t="shared" si="19"/>
        <v/>
      </c>
      <c r="Z183" s="3">
        <v>46038</v>
      </c>
      <c r="AA183" s="4">
        <v>249.01169999999999</v>
      </c>
      <c r="AB183" s="74">
        <v>46038</v>
      </c>
      <c r="AC183" s="4">
        <v>243.13399999999999</v>
      </c>
      <c r="AD183" s="6">
        <f t="shared" si="20"/>
        <v>46038</v>
      </c>
    </row>
    <row r="184" spans="1:30" x14ac:dyDescent="0.25">
      <c r="A184" s="37"/>
      <c r="B184" s="38"/>
      <c r="C184" s="2"/>
      <c r="D184" s="41"/>
      <c r="E184" s="38"/>
      <c r="F184" s="2"/>
      <c r="G184" s="41"/>
      <c r="H184" s="38"/>
      <c r="I184" s="39"/>
      <c r="J184" s="39"/>
      <c r="K184" s="41"/>
      <c r="L184" s="41"/>
      <c r="M184" s="42"/>
      <c r="U184" s="3" t="str">
        <f t="shared" si="18"/>
        <v/>
      </c>
      <c r="V184" s="3" t="str">
        <f t="shared" si="19"/>
        <v/>
      </c>
      <c r="Z184" s="3">
        <v>46041</v>
      </c>
      <c r="AA184" s="4">
        <v>248.35810000000001</v>
      </c>
      <c r="AB184" s="74">
        <v>46041</v>
      </c>
      <c r="AC184" s="4">
        <v>250.24199999999999</v>
      </c>
      <c r="AD184" s="6">
        <f t="shared" si="20"/>
        <v>46041</v>
      </c>
    </row>
    <row r="185" spans="1:30" x14ac:dyDescent="0.25">
      <c r="A185" s="37"/>
      <c r="B185" s="38"/>
      <c r="C185" s="2"/>
      <c r="D185" s="41"/>
      <c r="E185" s="38"/>
      <c r="F185" s="2"/>
      <c r="G185" s="41"/>
      <c r="H185" s="38"/>
      <c r="I185" s="39"/>
      <c r="J185" s="39"/>
      <c r="K185" s="41"/>
      <c r="L185" s="41"/>
      <c r="M185" s="42"/>
      <c r="U185" s="3" t="str">
        <f t="shared" si="18"/>
        <v/>
      </c>
      <c r="V185" s="3" t="str">
        <f t="shared" si="19"/>
        <v/>
      </c>
      <c r="Z185" s="3">
        <v>46042</v>
      </c>
      <c r="AA185" s="4">
        <v>248.08500000000001</v>
      </c>
      <c r="AB185" s="74">
        <v>46042</v>
      </c>
      <c r="AC185" s="4">
        <v>252.017</v>
      </c>
      <c r="AD185" s="6">
        <f t="shared" si="20"/>
        <v>46042</v>
      </c>
    </row>
    <row r="186" spans="1:30" x14ac:dyDescent="0.25">
      <c r="A186" s="37"/>
      <c r="B186" s="38"/>
      <c r="C186" s="2"/>
      <c r="D186" s="41"/>
      <c r="E186" s="38"/>
      <c r="F186" s="2"/>
      <c r="G186" s="41"/>
      <c r="H186" s="38"/>
      <c r="I186" s="39"/>
      <c r="J186" s="39"/>
      <c r="K186" s="41"/>
      <c r="L186" s="41"/>
      <c r="M186" s="42"/>
      <c r="U186" s="3" t="str">
        <f t="shared" si="18"/>
        <v/>
      </c>
      <c r="V186" s="3" t="str">
        <f t="shared" si="19"/>
        <v/>
      </c>
      <c r="Z186" s="3">
        <v>46043</v>
      </c>
      <c r="AA186" s="4">
        <v>248.64510000000001</v>
      </c>
      <c r="AB186" s="74">
        <v>46043</v>
      </c>
      <c r="AC186" s="4">
        <v>248.50399999999999</v>
      </c>
      <c r="AD186" s="6">
        <f t="shared" si="20"/>
        <v>46043</v>
      </c>
    </row>
    <row r="187" spans="1:30" x14ac:dyDescent="0.25">
      <c r="A187" s="37"/>
      <c r="B187" s="38"/>
      <c r="C187" s="2"/>
      <c r="D187" s="41"/>
      <c r="E187" s="38"/>
      <c r="F187" s="2"/>
      <c r="G187" s="41"/>
      <c r="H187" s="38"/>
      <c r="I187" s="39"/>
      <c r="J187" s="39"/>
      <c r="K187" s="41"/>
      <c r="L187" s="41"/>
      <c r="M187" s="42"/>
      <c r="U187" s="3" t="str">
        <f t="shared" si="18"/>
        <v/>
      </c>
      <c r="V187" s="3" t="str">
        <f t="shared" si="19"/>
        <v/>
      </c>
      <c r="Z187" s="3">
        <v>46044</v>
      </c>
      <c r="AA187" s="4">
        <v>249.4425</v>
      </c>
      <c r="AB187" s="74">
        <v>46044</v>
      </c>
      <c r="AC187" s="4">
        <v>240.483</v>
      </c>
      <c r="AD187" s="6">
        <f t="shared" si="20"/>
        <v>46044</v>
      </c>
    </row>
    <row r="188" spans="1:30" x14ac:dyDescent="0.25">
      <c r="A188" s="37"/>
      <c r="B188" s="38"/>
      <c r="C188" s="2"/>
      <c r="D188" s="41"/>
      <c r="E188" s="38"/>
      <c r="F188" s="2"/>
      <c r="G188" s="41"/>
      <c r="H188" s="38"/>
      <c r="I188" s="39"/>
      <c r="J188" s="39"/>
      <c r="K188" s="41"/>
      <c r="L188" s="41"/>
      <c r="M188" s="42"/>
      <c r="U188" s="3" t="str">
        <f t="shared" si="18"/>
        <v/>
      </c>
      <c r="V188" s="3" t="str">
        <f t="shared" si="19"/>
        <v/>
      </c>
      <c r="Z188" s="3">
        <v>46045</v>
      </c>
      <c r="AA188" s="4">
        <v>249.2397</v>
      </c>
      <c r="AB188" s="74">
        <v>46045</v>
      </c>
      <c r="AC188" s="4">
        <v>242.67099999999999</v>
      </c>
      <c r="AD188" s="6">
        <f t="shared" si="20"/>
        <v>46045</v>
      </c>
    </row>
    <row r="189" spans="1:30" x14ac:dyDescent="0.25">
      <c r="A189" s="37"/>
      <c r="B189" s="38"/>
      <c r="C189" s="2"/>
      <c r="D189" s="41"/>
      <c r="E189" s="38"/>
      <c r="F189" s="2"/>
      <c r="G189" s="41"/>
      <c r="H189" s="38"/>
      <c r="I189" s="39"/>
      <c r="J189" s="39"/>
      <c r="K189" s="41"/>
      <c r="L189" s="41"/>
      <c r="M189" s="42"/>
      <c r="U189" s="3" t="str">
        <f t="shared" si="18"/>
        <v/>
      </c>
      <c r="V189" s="3" t="str">
        <f t="shared" si="19"/>
        <v/>
      </c>
      <c r="Z189" s="3">
        <v>46048</v>
      </c>
      <c r="AA189" s="4">
        <v>249.3184</v>
      </c>
      <c r="AB189" s="74">
        <v>46048</v>
      </c>
      <c r="AC189" s="4">
        <v>242.38300000000001</v>
      </c>
      <c r="AD189" s="6">
        <f t="shared" si="20"/>
        <v>46048</v>
      </c>
    </row>
    <row r="190" spans="1:30" x14ac:dyDescent="0.25">
      <c r="A190" s="37"/>
      <c r="B190" s="38"/>
      <c r="C190" s="2"/>
      <c r="D190" s="41"/>
      <c r="E190" s="38"/>
      <c r="F190" s="2"/>
      <c r="G190" s="41"/>
      <c r="H190" s="38"/>
      <c r="I190" s="39"/>
      <c r="J190" s="39"/>
      <c r="K190" s="41"/>
      <c r="L190" s="41"/>
      <c r="M190" s="42"/>
      <c r="U190" s="3" t="str">
        <f t="shared" si="18"/>
        <v/>
      </c>
      <c r="V190" s="3" t="str">
        <f t="shared" si="19"/>
        <v/>
      </c>
      <c r="Z190" s="3">
        <v>46049</v>
      </c>
      <c r="AA190" s="4">
        <v>249.45769999999999</v>
      </c>
      <c r="AB190" s="74">
        <v>46049</v>
      </c>
      <c r="AC190" s="4">
        <v>241.536</v>
      </c>
      <c r="AD190" s="6">
        <f t="shared" si="20"/>
        <v>46049</v>
      </c>
    </row>
    <row r="191" spans="1:30" x14ac:dyDescent="0.25">
      <c r="A191" s="37"/>
      <c r="B191" s="38"/>
      <c r="C191" s="2"/>
      <c r="D191" s="41"/>
      <c r="E191" s="38"/>
      <c r="F191" s="2"/>
      <c r="G191" s="41"/>
      <c r="H191" s="38"/>
      <c r="I191" s="39"/>
      <c r="J191" s="39"/>
      <c r="K191" s="41"/>
      <c r="L191" s="41"/>
      <c r="M191" s="42"/>
      <c r="U191" s="3" t="str">
        <f t="shared" si="18"/>
        <v/>
      </c>
      <c r="V191" s="3" t="str">
        <f t="shared" si="19"/>
        <v/>
      </c>
      <c r="Z191" s="3">
        <v>46050</v>
      </c>
      <c r="AA191" s="4">
        <v>249.07820000000001</v>
      </c>
      <c r="AB191" s="74">
        <v>46050</v>
      </c>
      <c r="AC191" s="4">
        <v>245.107</v>
      </c>
      <c r="AD191" s="6">
        <f t="shared" si="20"/>
        <v>46050</v>
      </c>
    </row>
    <row r="192" spans="1:30" x14ac:dyDescent="0.25">
      <c r="A192" s="37"/>
      <c r="B192" s="38"/>
      <c r="C192" s="2"/>
      <c r="D192" s="41"/>
      <c r="E192" s="38"/>
      <c r="F192" s="2"/>
      <c r="G192" s="41"/>
      <c r="H192" s="38"/>
      <c r="I192" s="39"/>
      <c r="J192" s="39"/>
      <c r="K192" s="41"/>
      <c r="L192" s="41"/>
      <c r="M192" s="42"/>
      <c r="U192" s="3" t="str">
        <f t="shared" si="18"/>
        <v/>
      </c>
      <c r="V192" s="3" t="str">
        <f t="shared" si="19"/>
        <v/>
      </c>
      <c r="Z192" s="3">
        <v>46051</v>
      </c>
      <c r="AA192" s="4">
        <v>248.7859</v>
      </c>
      <c r="AB192" s="74">
        <v>46051</v>
      </c>
      <c r="AC192" s="4">
        <v>247.57400000000001</v>
      </c>
      <c r="AD192" s="6">
        <f t="shared" si="20"/>
        <v>46051</v>
      </c>
    </row>
    <row r="193" spans="1:30" x14ac:dyDescent="0.25">
      <c r="A193" s="37"/>
      <c r="B193" s="38"/>
      <c r="C193" s="2"/>
      <c r="D193" s="41"/>
      <c r="E193" s="38"/>
      <c r="F193" s="2"/>
      <c r="G193" s="41"/>
      <c r="H193" s="38"/>
      <c r="I193" s="39"/>
      <c r="J193" s="39"/>
      <c r="K193" s="41"/>
      <c r="L193" s="41"/>
      <c r="M193" s="42"/>
      <c r="U193" s="3" t="str">
        <f t="shared" si="18"/>
        <v/>
      </c>
      <c r="V193" s="3" t="str">
        <f t="shared" si="19"/>
        <v/>
      </c>
      <c r="Z193" s="3">
        <v>46052</v>
      </c>
      <c r="AA193" s="4">
        <v>248.92789999999999</v>
      </c>
      <c r="AB193" s="74">
        <v>46052</v>
      </c>
      <c r="AC193" s="4">
        <v>247.31899999999999</v>
      </c>
      <c r="AD193" s="6">
        <f t="shared" si="20"/>
        <v>46052</v>
      </c>
    </row>
    <row r="194" spans="1:30" x14ac:dyDescent="0.25">
      <c r="A194" s="37"/>
      <c r="B194" s="38"/>
      <c r="C194" s="2"/>
      <c r="D194" s="41"/>
      <c r="E194" s="38"/>
      <c r="F194" s="2"/>
      <c r="G194" s="41"/>
      <c r="H194" s="38"/>
      <c r="I194" s="39"/>
      <c r="J194" s="39"/>
      <c r="K194" s="41"/>
      <c r="L194" s="41"/>
      <c r="M194" s="42"/>
      <c r="U194" s="3" t="str">
        <f t="shared" si="18"/>
        <v/>
      </c>
      <c r="V194" s="3" t="str">
        <f t="shared" si="19"/>
        <v/>
      </c>
      <c r="Z194" s="3">
        <v>46055</v>
      </c>
      <c r="AA194" s="4">
        <v>249.41380000000001</v>
      </c>
      <c r="AB194" s="74">
        <v>46055</v>
      </c>
      <c r="AC194" s="4">
        <v>242.94800000000001</v>
      </c>
      <c r="AD194" s="6">
        <f t="shared" si="20"/>
        <v>46055</v>
      </c>
    </row>
    <row r="195" spans="1:30" x14ac:dyDescent="0.25">
      <c r="A195" s="37"/>
      <c r="B195" s="38"/>
      <c r="C195" s="2"/>
      <c r="D195" s="41"/>
      <c r="E195" s="38"/>
      <c r="F195" s="2"/>
      <c r="G195" s="41"/>
      <c r="H195" s="38"/>
      <c r="I195" s="39"/>
      <c r="J195" s="39"/>
      <c r="K195" s="41"/>
      <c r="L195" s="41"/>
      <c r="M195" s="42"/>
      <c r="U195" s="3" t="str">
        <f t="shared" si="18"/>
        <v/>
      </c>
      <c r="V195" s="3" t="str">
        <f t="shared" si="19"/>
        <v/>
      </c>
      <c r="Z195" s="3">
        <v>46056</v>
      </c>
      <c r="AA195" s="4">
        <v>249.29150000000001</v>
      </c>
      <c r="AB195" s="74">
        <v>46056</v>
      </c>
      <c r="AC195" s="4">
        <v>244.75399999999999</v>
      </c>
      <c r="AD195" s="6">
        <f t="shared" si="20"/>
        <v>46056</v>
      </c>
    </row>
    <row r="196" spans="1:30" x14ac:dyDescent="0.25">
      <c r="A196" s="37"/>
      <c r="B196" s="38"/>
      <c r="C196" s="2"/>
      <c r="D196" s="41"/>
      <c r="E196" s="38"/>
      <c r="F196" s="2"/>
      <c r="G196" s="41"/>
      <c r="H196" s="38"/>
      <c r="I196" s="39"/>
      <c r="J196" s="39"/>
      <c r="K196" s="41"/>
      <c r="L196" s="41"/>
      <c r="M196" s="42"/>
      <c r="U196" s="3" t="str">
        <f t="shared" ref="U196:U259" si="27">IF(COUNTIF(Q:Q,O196)*COUNTIF(S:S,O196),O196,"")</f>
        <v/>
      </c>
      <c r="V196" s="3" t="str">
        <f t="shared" ref="V196:V259" si="28">IF(U196&gt;$A$14,U196,"")</f>
        <v/>
      </c>
      <c r="Z196" s="3">
        <v>46057</v>
      </c>
      <c r="AA196" s="4">
        <v>249.12110000000001</v>
      </c>
      <c r="AB196" s="74">
        <v>46057</v>
      </c>
      <c r="AC196" s="4">
        <v>246.44200000000001</v>
      </c>
      <c r="AD196" s="6">
        <f t="shared" ref="AD196:AD259" si="29">IF(COUNTIF(AB:AB,Z196),Z196,"")</f>
        <v>46057</v>
      </c>
    </row>
    <row r="197" spans="1:30" x14ac:dyDescent="0.25">
      <c r="A197" s="37"/>
      <c r="B197" s="38"/>
      <c r="C197" s="2"/>
      <c r="D197" s="41"/>
      <c r="E197" s="38"/>
      <c r="F197" s="2"/>
      <c r="G197" s="41"/>
      <c r="H197" s="38"/>
      <c r="I197" s="39"/>
      <c r="J197" s="39"/>
      <c r="K197" s="41"/>
      <c r="L197" s="41"/>
      <c r="M197" s="42"/>
      <c r="U197" s="3" t="str">
        <f t="shared" si="27"/>
        <v/>
      </c>
      <c r="V197" s="3" t="str">
        <f t="shared" si="28"/>
        <v/>
      </c>
      <c r="Z197" s="3">
        <v>46058</v>
      </c>
      <c r="AA197" s="4">
        <v>248.86420000000001</v>
      </c>
      <c r="AB197" s="74">
        <v>46058</v>
      </c>
      <c r="AC197" s="4">
        <v>247.72399999999999</v>
      </c>
      <c r="AD197" s="6">
        <f t="shared" si="29"/>
        <v>46058</v>
      </c>
    </row>
    <row r="198" spans="1:30" x14ac:dyDescent="0.25">
      <c r="A198" s="37"/>
      <c r="B198" s="38"/>
      <c r="C198" s="2"/>
      <c r="D198" s="41"/>
      <c r="E198" s="38"/>
      <c r="F198" s="2"/>
      <c r="G198" s="41"/>
      <c r="H198" s="38"/>
      <c r="I198" s="39"/>
      <c r="J198" s="39"/>
      <c r="K198" s="41"/>
      <c r="L198" s="41"/>
      <c r="M198" s="42"/>
      <c r="U198" s="3" t="str">
        <f t="shared" si="27"/>
        <v/>
      </c>
      <c r="V198" s="3" t="str">
        <f t="shared" si="28"/>
        <v/>
      </c>
      <c r="Z198" s="3">
        <v>46059</v>
      </c>
      <c r="AA198" s="4">
        <v>249.4572</v>
      </c>
      <c r="AB198" s="74">
        <v>46059</v>
      </c>
      <c r="AC198" s="4">
        <v>243.90799999999999</v>
      </c>
      <c r="AD198" s="6">
        <f t="shared" si="29"/>
        <v>46059</v>
      </c>
    </row>
    <row r="199" spans="1:30" x14ac:dyDescent="0.25">
      <c r="A199" s="37"/>
      <c r="B199" s="38"/>
      <c r="C199" s="2"/>
      <c r="D199" s="41"/>
      <c r="E199" s="38"/>
      <c r="F199" s="2"/>
      <c r="G199" s="41"/>
      <c r="H199" s="38"/>
      <c r="I199" s="39"/>
      <c r="J199" s="39"/>
      <c r="K199" s="41"/>
      <c r="L199" s="41"/>
      <c r="M199" s="42"/>
      <c r="U199" s="3" t="str">
        <f t="shared" si="27"/>
        <v/>
      </c>
      <c r="V199" s="3" t="str">
        <f t="shared" si="28"/>
        <v/>
      </c>
      <c r="Z199" s="3">
        <v>46062</v>
      </c>
      <c r="AA199" s="4">
        <v>249.82130000000001</v>
      </c>
      <c r="AB199" s="74">
        <v>46062</v>
      </c>
      <c r="AC199" s="4">
        <v>240.52</v>
      </c>
      <c r="AD199" s="6">
        <f t="shared" si="29"/>
        <v>46062</v>
      </c>
    </row>
    <row r="200" spans="1:30" x14ac:dyDescent="0.25">
      <c r="A200" s="37"/>
      <c r="B200" s="38"/>
      <c r="C200" s="2"/>
      <c r="D200" s="41"/>
      <c r="E200" s="38"/>
      <c r="F200" s="2"/>
      <c r="G200" s="41"/>
      <c r="H200" s="38"/>
      <c r="I200" s="39"/>
      <c r="J200" s="39"/>
      <c r="K200" s="41"/>
      <c r="L200" s="41"/>
      <c r="M200" s="42"/>
      <c r="U200" s="3" t="str">
        <f t="shared" si="27"/>
        <v/>
      </c>
      <c r="V200" s="3" t="str">
        <f t="shared" si="28"/>
        <v/>
      </c>
      <c r="Z200" s="3">
        <v>46063</v>
      </c>
      <c r="AA200" s="4">
        <v>249.73419999999999</v>
      </c>
      <c r="AB200" s="74">
        <v>46063</v>
      </c>
      <c r="AC200" s="4">
        <v>241.834</v>
      </c>
      <c r="AD200" s="6">
        <f t="shared" si="29"/>
        <v>46063</v>
      </c>
    </row>
    <row r="201" spans="1:30" x14ac:dyDescent="0.25">
      <c r="A201" s="37"/>
      <c r="B201" s="38"/>
      <c r="C201" s="2"/>
      <c r="D201" s="41"/>
      <c r="E201" s="38"/>
      <c r="F201" s="2"/>
      <c r="G201" s="41"/>
      <c r="H201" s="38"/>
      <c r="I201" s="39"/>
      <c r="J201" s="39"/>
      <c r="K201" s="41"/>
      <c r="L201" s="41"/>
      <c r="M201" s="42"/>
      <c r="U201" s="3" t="str">
        <f t="shared" si="27"/>
        <v/>
      </c>
      <c r="V201" s="3" t="str">
        <f t="shared" si="28"/>
        <v/>
      </c>
      <c r="Z201" s="3">
        <v>46064</v>
      </c>
      <c r="AA201" s="4">
        <v>249.6275</v>
      </c>
      <c r="AB201" s="74">
        <v>46064</v>
      </c>
      <c r="AC201" s="4">
        <v>243.429</v>
      </c>
      <c r="AD201" s="6">
        <f t="shared" si="29"/>
        <v>46064</v>
      </c>
    </row>
    <row r="202" spans="1:30" x14ac:dyDescent="0.25">
      <c r="A202" s="37"/>
      <c r="B202" s="38"/>
      <c r="C202" s="2"/>
      <c r="D202" s="41"/>
      <c r="E202" s="38"/>
      <c r="F202" s="2"/>
      <c r="G202" s="41"/>
      <c r="H202" s="38"/>
      <c r="I202" s="39"/>
      <c r="J202" s="39"/>
      <c r="K202" s="41"/>
      <c r="L202" s="41"/>
      <c r="M202" s="42"/>
      <c r="U202" s="3" t="str">
        <f t="shared" si="27"/>
        <v/>
      </c>
      <c r="V202" s="3" t="str">
        <f t="shared" si="28"/>
        <v/>
      </c>
      <c r="Z202" s="3">
        <v>46065</v>
      </c>
      <c r="AA202" s="4">
        <v>249.3349</v>
      </c>
      <c r="AB202" s="74">
        <v>46065</v>
      </c>
      <c r="AC202" s="4">
        <v>246.203</v>
      </c>
      <c r="AD202" s="6">
        <f t="shared" si="29"/>
        <v>46065</v>
      </c>
    </row>
    <row r="203" spans="1:30" x14ac:dyDescent="0.25">
      <c r="A203" s="37"/>
      <c r="B203" s="38"/>
      <c r="C203" s="2"/>
      <c r="D203" s="41"/>
      <c r="E203" s="38"/>
      <c r="F203" s="2"/>
      <c r="G203" s="41"/>
      <c r="H203" s="38"/>
      <c r="I203" s="39"/>
      <c r="J203" s="39"/>
      <c r="K203" s="41"/>
      <c r="L203" s="41"/>
      <c r="M203" s="42"/>
      <c r="U203" s="3" t="str">
        <f t="shared" si="27"/>
        <v/>
      </c>
      <c r="V203" s="3" t="str">
        <f t="shared" si="28"/>
        <v/>
      </c>
      <c r="Z203" s="3">
        <v>46066</v>
      </c>
      <c r="AA203" s="4">
        <v>249.1874</v>
      </c>
      <c r="AB203" s="74">
        <v>46066</v>
      </c>
      <c r="AC203" s="4">
        <v>247.685</v>
      </c>
      <c r="AD203" s="6">
        <f t="shared" si="29"/>
        <v>46066</v>
      </c>
    </row>
    <row r="204" spans="1:30" x14ac:dyDescent="0.25">
      <c r="A204" s="37"/>
      <c r="B204" s="38"/>
      <c r="C204" s="2"/>
      <c r="D204" s="41"/>
      <c r="E204" s="38"/>
      <c r="F204" s="2"/>
      <c r="G204" s="41"/>
      <c r="H204" s="38"/>
      <c r="I204" s="39"/>
      <c r="J204" s="39"/>
      <c r="K204" s="41"/>
      <c r="L204" s="41"/>
      <c r="M204" s="42"/>
      <c r="U204" s="3" t="str">
        <f t="shared" si="27"/>
        <v/>
      </c>
      <c r="V204" s="3" t="str">
        <f t="shared" si="28"/>
        <v/>
      </c>
      <c r="Z204" s="3">
        <v>46069</v>
      </c>
      <c r="AA204" s="4">
        <v>249.0668</v>
      </c>
      <c r="AB204" s="74">
        <v>46069</v>
      </c>
      <c r="AC204" s="4">
        <v>249.32300000000001</v>
      </c>
      <c r="AD204" s="6">
        <f t="shared" si="29"/>
        <v>46069</v>
      </c>
    </row>
    <row r="205" spans="1:30" x14ac:dyDescent="0.25">
      <c r="A205" s="37"/>
      <c r="B205" s="38"/>
      <c r="C205" s="2"/>
      <c r="D205" s="41"/>
      <c r="E205" s="38"/>
      <c r="F205" s="2"/>
      <c r="G205" s="41"/>
      <c r="H205" s="38"/>
      <c r="I205" s="39"/>
      <c r="J205" s="39"/>
      <c r="K205" s="41"/>
      <c r="L205" s="41"/>
      <c r="M205" s="42"/>
      <c r="U205" s="3" t="str">
        <f t="shared" si="27"/>
        <v/>
      </c>
      <c r="V205" s="3" t="str">
        <f t="shared" si="28"/>
        <v/>
      </c>
      <c r="Z205" s="3">
        <v>46070</v>
      </c>
      <c r="AA205" s="4">
        <v>248.9178</v>
      </c>
      <c r="AB205" s="74">
        <v>46070</v>
      </c>
      <c r="AC205" s="4">
        <v>250.65299999999999</v>
      </c>
      <c r="AD205" s="6">
        <f t="shared" si="29"/>
        <v>46070</v>
      </c>
    </row>
    <row r="206" spans="1:30" x14ac:dyDescent="0.25">
      <c r="A206" s="37"/>
      <c r="B206" s="38"/>
      <c r="C206" s="2"/>
      <c r="D206" s="41"/>
      <c r="E206" s="38"/>
      <c r="F206" s="2"/>
      <c r="G206" s="41"/>
      <c r="H206" s="38"/>
      <c r="I206" s="39"/>
      <c r="J206" s="39"/>
      <c r="K206" s="41"/>
      <c r="L206" s="41"/>
      <c r="M206" s="42"/>
      <c r="U206" s="3" t="str">
        <f t="shared" si="27"/>
        <v/>
      </c>
      <c r="V206" s="3" t="str">
        <f t="shared" si="28"/>
        <v/>
      </c>
      <c r="Z206" s="3">
        <v>46071</v>
      </c>
      <c r="AA206" s="4">
        <v>249.54349999999999</v>
      </c>
      <c r="AB206" s="74">
        <v>46071</v>
      </c>
      <c r="AC206" s="4">
        <v>245.28100000000001</v>
      </c>
      <c r="AD206" s="6">
        <f t="shared" si="29"/>
        <v>46071</v>
      </c>
    </row>
    <row r="207" spans="1:30" x14ac:dyDescent="0.25">
      <c r="A207" s="37"/>
      <c r="B207" s="38"/>
      <c r="C207" s="2"/>
      <c r="D207" s="41"/>
      <c r="E207" s="38"/>
      <c r="F207" s="2"/>
      <c r="G207" s="41"/>
      <c r="H207" s="38"/>
      <c r="I207" s="39"/>
      <c r="J207" s="39"/>
      <c r="K207" s="41"/>
      <c r="L207" s="41"/>
      <c r="M207" s="42"/>
      <c r="U207" s="3" t="str">
        <f t="shared" si="27"/>
        <v/>
      </c>
      <c r="V207" s="3" t="str">
        <f t="shared" si="28"/>
        <v/>
      </c>
      <c r="Z207" s="3">
        <v>46072</v>
      </c>
      <c r="AA207" s="4">
        <v>249.05619999999999</v>
      </c>
      <c r="AB207" s="74">
        <v>46072</v>
      </c>
      <c r="AC207" s="4">
        <v>249.80099999999999</v>
      </c>
      <c r="AD207" s="6">
        <f t="shared" si="29"/>
        <v>46072</v>
      </c>
    </row>
    <row r="208" spans="1:30" x14ac:dyDescent="0.25">
      <c r="A208" s="37"/>
      <c r="B208" s="38"/>
      <c r="C208" s="2"/>
      <c r="D208" s="41"/>
      <c r="E208" s="38"/>
      <c r="F208" s="2"/>
      <c r="G208" s="41"/>
      <c r="H208" s="38"/>
      <c r="I208" s="39"/>
      <c r="J208" s="39"/>
      <c r="K208" s="41"/>
      <c r="L208" s="41"/>
      <c r="M208" s="42"/>
      <c r="U208" s="3" t="str">
        <f t="shared" si="27"/>
        <v/>
      </c>
      <c r="V208" s="3" t="str">
        <f t="shared" si="28"/>
        <v/>
      </c>
      <c r="Z208" s="3">
        <v>46073</v>
      </c>
      <c r="AA208" s="4">
        <v>249.35589999999999</v>
      </c>
      <c r="AB208" s="74">
        <v>46073</v>
      </c>
      <c r="AC208" s="4">
        <v>247.39400000000001</v>
      </c>
      <c r="AD208" s="6">
        <f t="shared" si="29"/>
        <v>46073</v>
      </c>
    </row>
    <row r="209" spans="1:30" x14ac:dyDescent="0.25">
      <c r="A209" s="37"/>
      <c r="B209" s="38"/>
      <c r="C209" s="2"/>
      <c r="D209" s="41"/>
      <c r="E209" s="38"/>
      <c r="F209" s="2"/>
      <c r="G209" s="41"/>
      <c r="H209" s="38"/>
      <c r="I209" s="39"/>
      <c r="J209" s="39"/>
      <c r="K209" s="41"/>
      <c r="L209" s="41"/>
      <c r="M209" s="42"/>
      <c r="U209" s="3" t="str">
        <f t="shared" si="27"/>
        <v/>
      </c>
      <c r="V209" s="3" t="str">
        <f t="shared" si="28"/>
        <v/>
      </c>
      <c r="Z209" s="3">
        <v>46076</v>
      </c>
      <c r="AA209" s="4">
        <v>249.17140000000001</v>
      </c>
      <c r="AB209" s="74">
        <v>46076</v>
      </c>
      <c r="AC209" s="4">
        <v>249.6</v>
      </c>
      <c r="AD209" s="6">
        <f t="shared" si="29"/>
        <v>46076</v>
      </c>
    </row>
    <row r="210" spans="1:30" x14ac:dyDescent="0.25">
      <c r="A210" s="37"/>
      <c r="B210" s="38"/>
      <c r="C210" s="2"/>
      <c r="D210" s="41"/>
      <c r="E210" s="38"/>
      <c r="F210" s="2"/>
      <c r="G210" s="41"/>
      <c r="H210" s="38"/>
      <c r="I210" s="39"/>
      <c r="J210" s="39"/>
      <c r="K210" s="41"/>
      <c r="L210" s="41"/>
      <c r="M210" s="42"/>
      <c r="U210" s="3" t="str">
        <f t="shared" si="27"/>
        <v/>
      </c>
      <c r="V210" s="3" t="str">
        <f t="shared" si="28"/>
        <v/>
      </c>
      <c r="Z210" s="3">
        <v>46077</v>
      </c>
      <c r="AA210" s="4">
        <v>248.90289999999999</v>
      </c>
      <c r="AB210" s="74">
        <v>46077</v>
      </c>
      <c r="AC210" s="4">
        <v>251.95099999999999</v>
      </c>
      <c r="AD210" s="6">
        <f t="shared" si="29"/>
        <v>46077</v>
      </c>
    </row>
    <row r="211" spans="1:30" x14ac:dyDescent="0.25">
      <c r="A211" s="37"/>
      <c r="B211" s="38"/>
      <c r="C211" s="2"/>
      <c r="D211" s="41"/>
      <c r="E211" s="38"/>
      <c r="F211" s="2"/>
      <c r="G211" s="41"/>
      <c r="H211" s="38"/>
      <c r="I211" s="39"/>
      <c r="J211" s="39"/>
      <c r="K211" s="41"/>
      <c r="L211" s="41"/>
      <c r="M211" s="42"/>
      <c r="U211" s="3" t="str">
        <f t="shared" si="27"/>
        <v/>
      </c>
      <c r="V211" s="3" t="str">
        <f t="shared" si="28"/>
        <v/>
      </c>
      <c r="Z211" s="3">
        <v>46078</v>
      </c>
      <c r="AA211" s="4">
        <v>249.0966</v>
      </c>
      <c r="AB211" s="74">
        <v>46078</v>
      </c>
      <c r="AC211" s="4">
        <v>250.364</v>
      </c>
      <c r="AD211" s="6">
        <f t="shared" si="29"/>
        <v>46078</v>
      </c>
    </row>
    <row r="212" spans="1:30" x14ac:dyDescent="0.25">
      <c r="A212" s="37"/>
      <c r="B212" s="38"/>
      <c r="C212" s="2"/>
      <c r="D212" s="41"/>
      <c r="E212" s="38"/>
      <c r="F212" s="2"/>
      <c r="G212" s="41"/>
      <c r="H212" s="38"/>
      <c r="I212" s="39"/>
      <c r="J212" s="39"/>
      <c r="K212" s="41"/>
      <c r="L212" s="41"/>
      <c r="M212" s="42"/>
      <c r="U212" s="3" t="str">
        <f t="shared" si="27"/>
        <v/>
      </c>
      <c r="V212" s="3" t="str">
        <f t="shared" si="28"/>
        <v/>
      </c>
      <c r="Z212" s="3">
        <v>46079</v>
      </c>
      <c r="AA212" s="4">
        <v>248.75470000000001</v>
      </c>
      <c r="AB212" s="74">
        <v>46079</v>
      </c>
      <c r="AC212" s="4">
        <v>255.23400000000001</v>
      </c>
      <c r="AD212" s="6">
        <f t="shared" si="29"/>
        <v>46079</v>
      </c>
    </row>
    <row r="213" spans="1:30" x14ac:dyDescent="0.25">
      <c r="A213" s="37"/>
      <c r="B213" s="38"/>
      <c r="C213" s="2"/>
      <c r="D213" s="41"/>
      <c r="E213" s="38"/>
      <c r="F213" s="2"/>
      <c r="G213" s="41"/>
      <c r="H213" s="38"/>
      <c r="I213" s="39"/>
      <c r="J213" s="39"/>
      <c r="K213" s="41"/>
      <c r="L213" s="41"/>
      <c r="M213" s="42"/>
      <c r="U213" s="3" t="str">
        <f t="shared" si="27"/>
        <v/>
      </c>
      <c r="V213" s="3" t="str">
        <f t="shared" si="28"/>
        <v/>
      </c>
      <c r="Z213" s="3">
        <v>46080</v>
      </c>
      <c r="AA213" s="4">
        <v>248.09289999999999</v>
      </c>
      <c r="AB213" s="74">
        <v>46080</v>
      </c>
      <c r="AC213" s="4">
        <v>260.47699999999998</v>
      </c>
      <c r="AD213" s="6">
        <f t="shared" si="29"/>
        <v>46080</v>
      </c>
    </row>
    <row r="214" spans="1:30" x14ac:dyDescent="0.25">
      <c r="A214" s="37"/>
      <c r="B214" s="38"/>
      <c r="C214" s="2"/>
      <c r="D214" s="41"/>
      <c r="E214" s="38"/>
      <c r="F214" s="2"/>
      <c r="G214" s="41"/>
      <c r="H214" s="38"/>
      <c r="I214" s="39"/>
      <c r="J214" s="39"/>
      <c r="K214" s="41"/>
      <c r="L214" s="41"/>
      <c r="M214" s="42"/>
      <c r="U214" s="3" t="str">
        <f t="shared" si="27"/>
        <v/>
      </c>
      <c r="V214" s="3" t="str">
        <f t="shared" si="28"/>
        <v/>
      </c>
      <c r="Z214" s="3">
        <v>46083</v>
      </c>
      <c r="AA214" s="4">
        <v>247.5763</v>
      </c>
      <c r="AB214" s="74">
        <v>46083</v>
      </c>
      <c r="AC214" s="4">
        <v>263.697</v>
      </c>
      <c r="AD214" s="6">
        <f t="shared" si="29"/>
        <v>46083</v>
      </c>
    </row>
    <row r="215" spans="1:30" x14ac:dyDescent="0.25">
      <c r="A215" s="37"/>
      <c r="B215" s="38"/>
      <c r="C215" s="2"/>
      <c r="D215" s="41"/>
      <c r="E215" s="38"/>
      <c r="F215" s="2"/>
      <c r="G215" s="41"/>
      <c r="H215" s="38"/>
      <c r="I215" s="39"/>
      <c r="J215" s="39"/>
      <c r="K215" s="41"/>
      <c r="L215" s="41"/>
      <c r="M215" s="42"/>
      <c r="U215" s="3" t="str">
        <f t="shared" si="27"/>
        <v/>
      </c>
      <c r="V215" s="3" t="str">
        <f t="shared" si="28"/>
        <v/>
      </c>
      <c r="Z215" s="3">
        <v>46084</v>
      </c>
      <c r="AA215" s="4">
        <v>246.2878</v>
      </c>
      <c r="AB215" s="74">
        <v>46084</v>
      </c>
      <c r="AC215" s="4">
        <v>274.05799999999999</v>
      </c>
      <c r="AD215" s="6">
        <f t="shared" si="29"/>
        <v>46084</v>
      </c>
    </row>
    <row r="216" spans="1:30" x14ac:dyDescent="0.25">
      <c r="A216" s="37"/>
      <c r="B216" s="38"/>
      <c r="C216" s="2"/>
      <c r="D216" s="41"/>
      <c r="E216" s="38"/>
      <c r="F216" s="2"/>
      <c r="G216" s="41"/>
      <c r="H216" s="38"/>
      <c r="I216" s="39"/>
      <c r="J216" s="39"/>
      <c r="K216" s="41"/>
      <c r="L216" s="41"/>
      <c r="M216" s="42"/>
      <c r="U216" s="3" t="str">
        <f t="shared" si="27"/>
        <v/>
      </c>
      <c r="V216" s="3" t="str">
        <f t="shared" si="28"/>
        <v/>
      </c>
      <c r="Z216" s="3">
        <v>46085</v>
      </c>
      <c r="AA216" s="4">
        <v>247.53190000000001</v>
      </c>
      <c r="AB216" s="74">
        <v>46085</v>
      </c>
      <c r="AC216" s="4">
        <v>264.47800000000001</v>
      </c>
      <c r="AD216" s="6">
        <f t="shared" si="29"/>
        <v>46085</v>
      </c>
    </row>
    <row r="217" spans="1:30" x14ac:dyDescent="0.25">
      <c r="A217" s="37"/>
      <c r="B217" s="38"/>
      <c r="C217" s="2"/>
      <c r="D217" s="41"/>
      <c r="E217" s="38"/>
      <c r="F217" s="2"/>
      <c r="G217" s="41"/>
      <c r="H217" s="38"/>
      <c r="I217" s="39"/>
      <c r="J217" s="39"/>
      <c r="K217" s="41"/>
      <c r="L217" s="41"/>
      <c r="M217" s="42"/>
      <c r="U217" s="3" t="str">
        <f t="shared" si="27"/>
        <v/>
      </c>
      <c r="V217" s="3" t="str">
        <f t="shared" si="28"/>
        <v/>
      </c>
      <c r="Z217" s="3">
        <v>46086</v>
      </c>
      <c r="AA217" s="4">
        <v>246.4889</v>
      </c>
      <c r="AB217" s="74">
        <v>46086</v>
      </c>
      <c r="AC217" s="4">
        <v>273.99700000000001</v>
      </c>
      <c r="AD217" s="6">
        <f t="shared" si="29"/>
        <v>46086</v>
      </c>
    </row>
    <row r="218" spans="1:30" x14ac:dyDescent="0.25">
      <c r="A218" s="37"/>
      <c r="B218" s="38"/>
      <c r="C218" s="2"/>
      <c r="D218" s="41"/>
      <c r="E218" s="38"/>
      <c r="F218" s="2"/>
      <c r="G218" s="41"/>
      <c r="H218" s="38"/>
      <c r="I218" s="39"/>
      <c r="J218" s="39"/>
      <c r="K218" s="41"/>
      <c r="L218" s="41"/>
      <c r="M218" s="42"/>
      <c r="U218" s="3" t="str">
        <f t="shared" si="27"/>
        <v/>
      </c>
      <c r="V218" s="3" t="str">
        <f t="shared" si="28"/>
        <v/>
      </c>
      <c r="Z218" s="3">
        <v>46087</v>
      </c>
      <c r="AA218" s="4">
        <v>244.8614</v>
      </c>
      <c r="AB218" s="74">
        <v>46087</v>
      </c>
      <c r="AC218" s="4">
        <v>288.99400000000003</v>
      </c>
      <c r="AD218" s="6">
        <f t="shared" si="29"/>
        <v>46087</v>
      </c>
    </row>
    <row r="219" spans="1:30" x14ac:dyDescent="0.25">
      <c r="A219" s="37"/>
      <c r="B219" s="38"/>
      <c r="C219" s="2"/>
      <c r="D219" s="41"/>
      <c r="E219" s="38"/>
      <c r="F219" s="2"/>
      <c r="G219" s="41"/>
      <c r="H219" s="38"/>
      <c r="I219" s="39"/>
      <c r="J219" s="39"/>
      <c r="K219" s="41"/>
      <c r="L219" s="41"/>
      <c r="M219" s="42"/>
      <c r="U219" s="3" t="str">
        <f t="shared" si="27"/>
        <v/>
      </c>
      <c r="V219" s="3" t="str">
        <f t="shared" si="28"/>
        <v/>
      </c>
      <c r="Z219" s="3">
        <v>46090</v>
      </c>
      <c r="AA219" s="4">
        <v>244.64580000000001</v>
      </c>
      <c r="AB219" s="74">
        <v>46090</v>
      </c>
      <c r="AC219" s="4">
        <v>291.28300000000002</v>
      </c>
      <c r="AD219" s="6">
        <f t="shared" si="29"/>
        <v>46090</v>
      </c>
    </row>
    <row r="220" spans="1:30" x14ac:dyDescent="0.25">
      <c r="A220" s="37"/>
      <c r="B220" s="38"/>
      <c r="C220" s="2"/>
      <c r="D220" s="41"/>
      <c r="E220" s="38"/>
      <c r="F220" s="2"/>
      <c r="G220" s="41"/>
      <c r="H220" s="38"/>
      <c r="I220" s="39"/>
      <c r="J220" s="39"/>
      <c r="K220" s="41"/>
      <c r="L220" s="41"/>
      <c r="M220" s="42"/>
      <c r="U220" s="3" t="str">
        <f t="shared" si="27"/>
        <v/>
      </c>
      <c r="V220" s="3" t="str">
        <f t="shared" si="28"/>
        <v/>
      </c>
      <c r="Z220" s="3">
        <v>46091</v>
      </c>
      <c r="AA220" s="4">
        <v>246.5496</v>
      </c>
      <c r="AB220" s="74">
        <v>46091</v>
      </c>
      <c r="AC220" s="4">
        <v>273.73200000000003</v>
      </c>
      <c r="AD220" s="6">
        <f t="shared" si="29"/>
        <v>46091</v>
      </c>
    </row>
    <row r="221" spans="1:30" x14ac:dyDescent="0.25">
      <c r="A221" s="37"/>
      <c r="B221" s="38"/>
      <c r="C221" s="2"/>
      <c r="D221" s="41"/>
      <c r="E221" s="38"/>
      <c r="F221" s="2"/>
      <c r="G221" s="41"/>
      <c r="H221" s="38"/>
      <c r="I221" s="39"/>
      <c r="J221" s="39"/>
      <c r="K221" s="41"/>
      <c r="L221" s="41"/>
      <c r="M221" s="42"/>
      <c r="U221" s="3" t="str">
        <f t="shared" si="27"/>
        <v/>
      </c>
      <c r="V221" s="3" t="str">
        <f t="shared" si="28"/>
        <v/>
      </c>
      <c r="Z221" s="3">
        <v>46092</v>
      </c>
      <c r="AA221" s="4">
        <v>245.137</v>
      </c>
      <c r="AB221" s="74">
        <v>46092</v>
      </c>
      <c r="AC221" s="4">
        <v>286.94400000000002</v>
      </c>
      <c r="AD221" s="6">
        <f t="shared" si="29"/>
        <v>46092</v>
      </c>
    </row>
    <row r="222" spans="1:30" x14ac:dyDescent="0.25">
      <c r="A222" s="37"/>
      <c r="B222" s="38"/>
      <c r="C222" s="2"/>
      <c r="D222" s="41"/>
      <c r="E222" s="38"/>
      <c r="F222" s="2"/>
      <c r="G222" s="41"/>
      <c r="H222" s="38"/>
      <c r="I222" s="39"/>
      <c r="J222" s="39"/>
      <c r="K222" s="41"/>
      <c r="L222" s="41"/>
      <c r="M222" s="42"/>
      <c r="U222" s="3" t="str">
        <f t="shared" si="27"/>
        <v/>
      </c>
      <c r="V222" s="3" t="str">
        <f t="shared" si="28"/>
        <v/>
      </c>
      <c r="Z222" s="3">
        <v>46093</v>
      </c>
      <c r="AA222" s="4">
        <v>244.11789999999999</v>
      </c>
      <c r="AB222" s="74">
        <v>46093</v>
      </c>
      <c r="AC222" s="4">
        <v>296.94900000000001</v>
      </c>
      <c r="AD222" s="6">
        <f t="shared" si="29"/>
        <v>46093</v>
      </c>
    </row>
    <row r="223" spans="1:30" x14ac:dyDescent="0.25">
      <c r="A223" s="37"/>
      <c r="B223" s="38"/>
      <c r="C223" s="2"/>
      <c r="D223" s="41"/>
      <c r="E223" s="38"/>
      <c r="F223" s="2"/>
      <c r="G223" s="41"/>
      <c r="H223" s="38"/>
      <c r="I223" s="39"/>
      <c r="J223" s="39"/>
      <c r="K223" s="41"/>
      <c r="L223" s="41"/>
      <c r="M223" s="42"/>
      <c r="U223" s="3" t="str">
        <f t="shared" si="27"/>
        <v/>
      </c>
      <c r="V223" s="3" t="str">
        <f t="shared" si="28"/>
        <v/>
      </c>
      <c r="Z223" s="3">
        <v>46094</v>
      </c>
      <c r="AA223" s="4">
        <v>243.1234</v>
      </c>
      <c r="AB223" s="74">
        <v>46094</v>
      </c>
      <c r="AC223" s="4">
        <v>306.91699999999997</v>
      </c>
      <c r="AD223" s="6">
        <f t="shared" si="29"/>
        <v>46094</v>
      </c>
    </row>
    <row r="224" spans="1:30" x14ac:dyDescent="0.25">
      <c r="A224" s="37"/>
      <c r="B224" s="38"/>
      <c r="C224" s="2"/>
      <c r="D224" s="41"/>
      <c r="E224" s="38"/>
      <c r="F224" s="2"/>
      <c r="G224" s="41"/>
      <c r="H224" s="38"/>
      <c r="I224" s="39"/>
      <c r="J224" s="39"/>
      <c r="K224" s="41"/>
      <c r="L224" s="41"/>
      <c r="M224" s="42"/>
      <c r="U224" s="3" t="str">
        <f t="shared" si="27"/>
        <v/>
      </c>
      <c r="V224" s="3" t="str">
        <f t="shared" si="28"/>
        <v/>
      </c>
      <c r="Z224" s="3">
        <v>46097</v>
      </c>
      <c r="AA224" s="4">
        <v>243.46899999999999</v>
      </c>
      <c r="AB224" s="74">
        <v>46097</v>
      </c>
      <c r="AC224" s="4">
        <v>303.91500000000002</v>
      </c>
      <c r="AD224" s="6">
        <f t="shared" si="29"/>
        <v>46097</v>
      </c>
    </row>
    <row r="225" spans="1:30" x14ac:dyDescent="0.25">
      <c r="A225" s="37"/>
      <c r="B225" s="38"/>
      <c r="C225" s="2"/>
      <c r="D225" s="41"/>
      <c r="E225" s="38"/>
      <c r="F225" s="2"/>
      <c r="G225" s="41"/>
      <c r="H225" s="38"/>
      <c r="I225" s="39"/>
      <c r="J225" s="39"/>
      <c r="K225" s="41"/>
      <c r="L225" s="41"/>
      <c r="M225" s="42"/>
      <c r="U225" s="3" t="str">
        <f t="shared" si="27"/>
        <v/>
      </c>
      <c r="V225" s="3" t="str">
        <f t="shared" si="28"/>
        <v/>
      </c>
      <c r="Z225" s="3">
        <v>46098</v>
      </c>
      <c r="AA225" s="4">
        <v>244.42140000000001</v>
      </c>
      <c r="AB225" s="74">
        <v>46098</v>
      </c>
      <c r="AC225" s="4">
        <v>294.67</v>
      </c>
      <c r="AD225" s="6">
        <f t="shared" si="29"/>
        <v>46098</v>
      </c>
    </row>
    <row r="226" spans="1:30" x14ac:dyDescent="0.25">
      <c r="A226" s="37"/>
      <c r="B226" s="38"/>
      <c r="C226" s="2"/>
      <c r="D226" s="41"/>
      <c r="E226" s="38"/>
      <c r="F226" s="2"/>
      <c r="G226" s="41"/>
      <c r="H226" s="38"/>
      <c r="I226" s="39"/>
      <c r="J226" s="39"/>
      <c r="K226" s="41"/>
      <c r="L226" s="41"/>
      <c r="M226" s="42"/>
      <c r="U226" s="3" t="str">
        <f t="shared" si="27"/>
        <v/>
      </c>
      <c r="V226" s="3" t="str">
        <f t="shared" si="28"/>
        <v/>
      </c>
      <c r="Z226" s="3">
        <v>46099</v>
      </c>
      <c r="AA226" s="4">
        <v>244.00810000000001</v>
      </c>
      <c r="AB226" s="74">
        <v>46099</v>
      </c>
      <c r="AC226" s="4">
        <v>298.87400000000002</v>
      </c>
      <c r="AD226" s="6">
        <f t="shared" si="29"/>
        <v>46099</v>
      </c>
    </row>
    <row r="227" spans="1:30" x14ac:dyDescent="0.25">
      <c r="A227" s="37"/>
      <c r="B227" s="38"/>
      <c r="C227" s="2"/>
      <c r="D227" s="41"/>
      <c r="E227" s="38"/>
      <c r="F227" s="2"/>
      <c r="G227" s="41"/>
      <c r="H227" s="38"/>
      <c r="I227" s="39"/>
      <c r="J227" s="39"/>
      <c r="K227" s="41"/>
      <c r="L227" s="41"/>
      <c r="M227" s="42"/>
      <c r="U227" s="3" t="str">
        <f t="shared" si="27"/>
        <v/>
      </c>
      <c r="V227" s="3" t="str">
        <f t="shared" si="28"/>
        <v/>
      </c>
      <c r="Z227" s="3">
        <v>46100</v>
      </c>
      <c r="AA227" s="4">
        <v>242.7533</v>
      </c>
      <c r="AB227" s="74">
        <v>46100</v>
      </c>
      <c r="AC227" s="4">
        <v>310.92399999999998</v>
      </c>
      <c r="AD227" s="6">
        <f t="shared" si="29"/>
        <v>46100</v>
      </c>
    </row>
    <row r="228" spans="1:30" x14ac:dyDescent="0.25">
      <c r="A228" s="37"/>
      <c r="B228" s="38"/>
      <c r="C228" s="2"/>
      <c r="D228" s="41"/>
      <c r="E228" s="38"/>
      <c r="F228" s="2"/>
      <c r="G228" s="41"/>
      <c r="H228" s="38"/>
      <c r="I228" s="39"/>
      <c r="J228" s="39"/>
      <c r="K228" s="41"/>
      <c r="L228" s="41"/>
      <c r="M228" s="42"/>
      <c r="U228" s="3" t="str">
        <f t="shared" si="27"/>
        <v/>
      </c>
      <c r="V228" s="3" t="str">
        <f t="shared" si="28"/>
        <v/>
      </c>
      <c r="Z228" s="3">
        <v>46101</v>
      </c>
      <c r="AA228" s="4">
        <v>241.26779999999999</v>
      </c>
      <c r="AB228" s="74">
        <v>46101</v>
      </c>
      <c r="AC228" s="4">
        <v>349.96800000000002</v>
      </c>
      <c r="AD228" s="6">
        <f t="shared" si="29"/>
        <v>46101</v>
      </c>
    </row>
    <row r="229" spans="1:30" x14ac:dyDescent="0.25">
      <c r="A229" s="37"/>
      <c r="B229" s="38"/>
      <c r="C229" s="2"/>
      <c r="D229" s="41"/>
      <c r="E229" s="38"/>
      <c r="F229" s="2"/>
      <c r="G229" s="41"/>
      <c r="H229" s="38"/>
      <c r="I229" s="39"/>
      <c r="J229" s="39"/>
      <c r="K229" s="41"/>
      <c r="L229" s="41"/>
      <c r="M229" s="42"/>
      <c r="U229" s="3" t="str">
        <f t="shared" si="27"/>
        <v/>
      </c>
      <c r="V229" s="3" t="str">
        <f t="shared" si="28"/>
        <v/>
      </c>
      <c r="Z229" s="3">
        <v>46104</v>
      </c>
      <c r="AA229" s="4">
        <v>242.08969999999999</v>
      </c>
      <c r="AB229" s="74">
        <v>46104</v>
      </c>
      <c r="AC229" s="4">
        <v>341.77300000000002</v>
      </c>
      <c r="AD229" s="6">
        <f t="shared" si="29"/>
        <v>46104</v>
      </c>
    </row>
    <row r="230" spans="1:30" x14ac:dyDescent="0.25">
      <c r="A230" s="37"/>
      <c r="B230" s="38"/>
      <c r="C230" s="2"/>
      <c r="D230" s="41"/>
      <c r="E230" s="38"/>
      <c r="F230" s="2"/>
      <c r="G230" s="41"/>
      <c r="H230" s="38"/>
      <c r="I230" s="39"/>
      <c r="J230" s="39"/>
      <c r="K230" s="41"/>
      <c r="L230" s="41"/>
      <c r="M230" s="42"/>
      <c r="U230" s="3" t="str">
        <f t="shared" si="27"/>
        <v/>
      </c>
      <c r="V230" s="3" t="str">
        <f t="shared" si="28"/>
        <v/>
      </c>
      <c r="Z230" s="3">
        <v>46105</v>
      </c>
      <c r="AA230" s="4">
        <v>242.32900000000001</v>
      </c>
      <c r="AB230" s="74">
        <v>46105</v>
      </c>
      <c r="AC230" s="4">
        <v>342.03300000000002</v>
      </c>
      <c r="AD230" s="6">
        <f t="shared" si="29"/>
        <v>46105</v>
      </c>
    </row>
    <row r="231" spans="1:30" x14ac:dyDescent="0.25">
      <c r="A231" s="37"/>
      <c r="B231" s="38"/>
      <c r="C231" s="2"/>
      <c r="D231" s="41"/>
      <c r="E231" s="38"/>
      <c r="F231" s="2"/>
      <c r="G231" s="41"/>
      <c r="H231" s="38"/>
      <c r="I231" s="39"/>
      <c r="J231" s="39"/>
      <c r="K231" s="41"/>
      <c r="L231" s="41"/>
      <c r="M231" s="42"/>
      <c r="U231" s="3" t="str">
        <f t="shared" si="27"/>
        <v/>
      </c>
      <c r="V231" s="3" t="str">
        <f t="shared" si="28"/>
        <v/>
      </c>
      <c r="Z231" s="3">
        <v>46106</v>
      </c>
      <c r="AA231" s="4">
        <v>243.4736</v>
      </c>
      <c r="AB231" s="74">
        <v>46106</v>
      </c>
      <c r="AC231" s="4">
        <v>330.851</v>
      </c>
      <c r="AD231" s="6">
        <f t="shared" si="29"/>
        <v>46106</v>
      </c>
    </row>
    <row r="232" spans="1:30" x14ac:dyDescent="0.25">
      <c r="A232" s="37"/>
      <c r="B232" s="38"/>
      <c r="C232" s="2"/>
      <c r="D232" s="41"/>
      <c r="E232" s="38"/>
      <c r="F232" s="2"/>
      <c r="G232" s="41"/>
      <c r="H232" s="38"/>
      <c r="I232" s="39"/>
      <c r="J232" s="39"/>
      <c r="K232" s="41"/>
      <c r="L232" s="41"/>
      <c r="M232" s="42"/>
      <c r="U232" s="3" t="str">
        <f t="shared" si="27"/>
        <v/>
      </c>
      <c r="V232" s="3" t="str">
        <f t="shared" si="28"/>
        <v/>
      </c>
      <c r="Z232" s="3">
        <v>46107</v>
      </c>
      <c r="AA232" s="4">
        <v>241.38650000000001</v>
      </c>
      <c r="AB232" s="74">
        <v>46107</v>
      </c>
      <c r="AC232" s="4">
        <v>351.12799999999999</v>
      </c>
      <c r="AD232" s="6">
        <f t="shared" si="29"/>
        <v>46107</v>
      </c>
    </row>
    <row r="233" spans="1:30" x14ac:dyDescent="0.25">
      <c r="A233" s="37"/>
      <c r="B233" s="38"/>
      <c r="C233" s="2"/>
      <c r="D233" s="41"/>
      <c r="E233" s="38"/>
      <c r="F233" s="2"/>
      <c r="G233" s="41"/>
      <c r="H233" s="38"/>
      <c r="I233" s="39"/>
      <c r="J233" s="39"/>
      <c r="K233" s="41"/>
      <c r="L233" s="41"/>
      <c r="M233" s="42"/>
      <c r="U233" s="3" t="str">
        <f t="shared" si="27"/>
        <v/>
      </c>
      <c r="V233" s="3" t="str">
        <f t="shared" si="28"/>
        <v/>
      </c>
      <c r="Z233" s="3">
        <v>46108</v>
      </c>
      <c r="AA233" s="4">
        <v>240.04679999999999</v>
      </c>
      <c r="AB233" s="74">
        <v>46108</v>
      </c>
      <c r="AC233" s="4">
        <v>361.84800000000001</v>
      </c>
      <c r="AD233" s="6">
        <f t="shared" si="29"/>
        <v>46108</v>
      </c>
    </row>
    <row r="234" spans="1:30" x14ac:dyDescent="0.25">
      <c r="A234" s="37"/>
      <c r="B234" s="38"/>
      <c r="C234" s="2"/>
      <c r="D234" s="41"/>
      <c r="E234" s="38"/>
      <c r="F234" s="2"/>
      <c r="G234" s="41"/>
      <c r="H234" s="38"/>
      <c r="I234" s="39"/>
      <c r="J234" s="39"/>
      <c r="K234" s="41"/>
      <c r="L234" s="41"/>
      <c r="M234" s="42"/>
      <c r="U234" s="3" t="str">
        <f t="shared" si="27"/>
        <v/>
      </c>
      <c r="V234" s="3" t="str">
        <f t="shared" si="28"/>
        <v/>
      </c>
      <c r="Z234" s="3">
        <v>46111</v>
      </c>
      <c r="AA234" s="4">
        <v>240.15790000000001</v>
      </c>
      <c r="AB234" s="74">
        <v>46111</v>
      </c>
      <c r="AC234" s="4">
        <v>361.5</v>
      </c>
      <c r="AD234" s="6">
        <f t="shared" si="29"/>
        <v>46111</v>
      </c>
    </row>
    <row r="235" spans="1:30" x14ac:dyDescent="0.25">
      <c r="A235" s="37"/>
      <c r="B235" s="38"/>
      <c r="C235" s="2"/>
      <c r="D235" s="41"/>
      <c r="E235" s="38"/>
      <c r="F235" s="2"/>
      <c r="G235" s="41"/>
      <c r="H235" s="38"/>
      <c r="I235" s="39"/>
      <c r="J235" s="39"/>
      <c r="K235" s="41"/>
      <c r="L235" s="41"/>
      <c r="M235" s="42"/>
      <c r="U235" s="3" t="str">
        <f t="shared" si="27"/>
        <v/>
      </c>
      <c r="V235" s="3" t="str">
        <f t="shared" si="28"/>
        <v/>
      </c>
      <c r="Z235" s="3">
        <v>46112</v>
      </c>
      <c r="AA235" s="4">
        <v>241.21780000000001</v>
      </c>
      <c r="AB235" s="74">
        <v>46112</v>
      </c>
      <c r="AC235" s="4">
        <v>353.01900000000001</v>
      </c>
      <c r="AD235" s="6">
        <f t="shared" si="29"/>
        <v>46112</v>
      </c>
    </row>
    <row r="236" spans="1:30" x14ac:dyDescent="0.25">
      <c r="A236" s="37"/>
      <c r="B236" s="38"/>
      <c r="C236" s="2"/>
      <c r="D236" s="41"/>
      <c r="E236" s="38"/>
      <c r="F236" s="2"/>
      <c r="G236" s="41"/>
      <c r="H236" s="38"/>
      <c r="I236" s="39"/>
      <c r="J236" s="39"/>
      <c r="K236" s="41"/>
      <c r="L236" s="41"/>
      <c r="M236" s="42"/>
      <c r="U236" s="3" t="str">
        <f t="shared" si="27"/>
        <v/>
      </c>
      <c r="V236" s="3" t="str">
        <f t="shared" si="28"/>
        <v/>
      </c>
      <c r="Z236" s="3">
        <v>46113</v>
      </c>
      <c r="AA236" s="4">
        <v>244.02869999999999</v>
      </c>
      <c r="AB236" s="74">
        <v>46113</v>
      </c>
      <c r="AC236" s="4">
        <v>327.18900000000002</v>
      </c>
      <c r="AD236" s="6">
        <f t="shared" si="29"/>
        <v>46113</v>
      </c>
    </row>
    <row r="237" spans="1:30" x14ac:dyDescent="0.25">
      <c r="A237" s="37"/>
      <c r="B237" s="38"/>
      <c r="C237" s="2"/>
      <c r="D237" s="41"/>
      <c r="E237" s="38"/>
      <c r="F237" s="2"/>
      <c r="G237" s="41"/>
      <c r="H237" s="38"/>
      <c r="I237" s="39"/>
      <c r="J237" s="39"/>
      <c r="K237" s="41"/>
      <c r="L237" s="41"/>
      <c r="M237" s="42"/>
      <c r="U237" s="3" t="str">
        <f t="shared" si="27"/>
        <v/>
      </c>
      <c r="V237" s="3" t="str">
        <f t="shared" si="28"/>
        <v/>
      </c>
      <c r="Z237" s="3">
        <v>46114</v>
      </c>
      <c r="AA237" s="4">
        <v>244.23920000000001</v>
      </c>
      <c r="AB237" s="74">
        <v>46114</v>
      </c>
      <c r="AC237" s="4">
        <v>325.447</v>
      </c>
      <c r="AD237" s="6">
        <f t="shared" si="29"/>
        <v>46114</v>
      </c>
    </row>
    <row r="238" spans="1:30" x14ac:dyDescent="0.25">
      <c r="A238" s="37"/>
      <c r="B238" s="38"/>
      <c r="C238" s="2"/>
      <c r="D238" s="41"/>
      <c r="E238" s="38"/>
      <c r="F238" s="2"/>
      <c r="G238" s="41"/>
      <c r="H238" s="38"/>
      <c r="I238" s="39"/>
      <c r="J238" s="39"/>
      <c r="K238" s="41"/>
      <c r="L238" s="41"/>
      <c r="M238" s="42"/>
      <c r="U238" s="3" t="str">
        <f t="shared" si="27"/>
        <v/>
      </c>
      <c r="V238" s="3" t="str">
        <f t="shared" si="28"/>
        <v/>
      </c>
      <c r="Z238" s="3">
        <v>46119</v>
      </c>
      <c r="AA238" s="4">
        <v>243.34200000000001</v>
      </c>
      <c r="AB238" s="74">
        <v>46119</v>
      </c>
      <c r="AC238" s="4">
        <v>335.255</v>
      </c>
      <c r="AD238" s="6">
        <f t="shared" si="29"/>
        <v>46119</v>
      </c>
    </row>
    <row r="239" spans="1:30" x14ac:dyDescent="0.25">
      <c r="A239" s="37"/>
      <c r="B239" s="38"/>
      <c r="C239" s="2"/>
      <c r="D239" s="41"/>
      <c r="E239" s="38"/>
      <c r="F239" s="2"/>
      <c r="G239" s="41"/>
      <c r="H239" s="38"/>
      <c r="I239" s="39"/>
      <c r="J239" s="39"/>
      <c r="K239" s="41"/>
      <c r="L239" s="41"/>
      <c r="M239" s="42"/>
      <c r="U239" s="3" t="str">
        <f t="shared" si="27"/>
        <v/>
      </c>
      <c r="V239" s="3" t="str">
        <f t="shared" si="28"/>
        <v/>
      </c>
      <c r="Z239" s="3">
        <v>46120</v>
      </c>
      <c r="AA239" s="4">
        <v>247.41990000000001</v>
      </c>
      <c r="AB239" s="74">
        <v>46120</v>
      </c>
      <c r="AC239" s="4">
        <v>297.39699999999999</v>
      </c>
      <c r="AD239" s="6">
        <f t="shared" si="29"/>
        <v>46120</v>
      </c>
    </row>
    <row r="240" spans="1:30" x14ac:dyDescent="0.25">
      <c r="A240" s="37"/>
      <c r="B240" s="38"/>
      <c r="C240" s="2"/>
      <c r="D240" s="41"/>
      <c r="E240" s="38"/>
      <c r="F240" s="2"/>
      <c r="G240" s="41"/>
      <c r="H240" s="38"/>
      <c r="I240" s="39"/>
      <c r="J240" s="39"/>
      <c r="K240" s="41"/>
      <c r="L240" s="41"/>
      <c r="M240" s="42"/>
      <c r="U240" s="3" t="str">
        <f t="shared" si="27"/>
        <v/>
      </c>
      <c r="V240" s="3" t="str">
        <f t="shared" si="28"/>
        <v/>
      </c>
      <c r="Z240" s="3">
        <v>46121</v>
      </c>
      <c r="AA240" s="4">
        <v>248.24930000000001</v>
      </c>
      <c r="AB240" s="74">
        <v>46121</v>
      </c>
      <c r="AC240" s="4">
        <v>290.79300000000001</v>
      </c>
      <c r="AD240" s="6">
        <f t="shared" si="29"/>
        <v>46121</v>
      </c>
    </row>
    <row r="241" spans="1:30" x14ac:dyDescent="0.25">
      <c r="A241" s="37"/>
      <c r="B241" s="38"/>
      <c r="C241" s="2"/>
      <c r="D241" s="41"/>
      <c r="E241" s="38"/>
      <c r="F241" s="2"/>
      <c r="G241" s="41"/>
      <c r="H241" s="38"/>
      <c r="I241" s="39"/>
      <c r="J241" s="39"/>
      <c r="K241" s="41"/>
      <c r="L241" s="41"/>
      <c r="M241" s="42"/>
      <c r="U241" s="3" t="str">
        <f t="shared" si="27"/>
        <v/>
      </c>
      <c r="V241" s="3" t="str">
        <f t="shared" si="28"/>
        <v/>
      </c>
      <c r="Z241" s="3">
        <v>46122</v>
      </c>
      <c r="AA241" s="4">
        <v>248.2782</v>
      </c>
      <c r="AB241" s="74">
        <v>46122</v>
      </c>
      <c r="AC241" s="4">
        <v>294.03300000000002</v>
      </c>
      <c r="AD241" s="6">
        <f t="shared" si="29"/>
        <v>46122</v>
      </c>
    </row>
    <row r="242" spans="1:30" x14ac:dyDescent="0.25">
      <c r="A242" s="37"/>
      <c r="B242" s="38"/>
      <c r="C242" s="2"/>
      <c r="D242" s="41"/>
      <c r="E242" s="38"/>
      <c r="F242" s="2"/>
      <c r="G242" s="41"/>
      <c r="H242" s="38"/>
      <c r="I242" s="39"/>
      <c r="J242" s="39"/>
      <c r="K242" s="41"/>
      <c r="L242" s="41"/>
      <c r="M242" s="42"/>
      <c r="U242" s="3" t="str">
        <f t="shared" si="27"/>
        <v/>
      </c>
      <c r="V242" s="3" t="str">
        <f t="shared" si="28"/>
        <v/>
      </c>
      <c r="Z242" s="3">
        <v>46125</v>
      </c>
      <c r="AA242" s="4">
        <v>248.03890000000001</v>
      </c>
      <c r="AB242" s="74">
        <v>46125</v>
      </c>
      <c r="AC242" s="4">
        <v>295.34500000000003</v>
      </c>
      <c r="AD242" s="6">
        <f t="shared" si="29"/>
        <v>46125</v>
      </c>
    </row>
    <row r="243" spans="1:30" x14ac:dyDescent="0.25">
      <c r="A243" s="37"/>
      <c r="B243" s="38"/>
      <c r="C243" s="2"/>
      <c r="D243" s="41"/>
      <c r="E243" s="38"/>
      <c r="F243" s="2"/>
      <c r="G243" s="41"/>
      <c r="H243" s="38"/>
      <c r="I243" s="39"/>
      <c r="J243" s="39"/>
      <c r="K243" s="41"/>
      <c r="L243" s="41"/>
      <c r="M243" s="42"/>
      <c r="U243" s="3" t="str">
        <f t="shared" si="27"/>
        <v/>
      </c>
      <c r="V243" s="3" t="str">
        <f t="shared" si="28"/>
        <v/>
      </c>
      <c r="Z243" s="3">
        <v>46126</v>
      </c>
      <c r="AA243" s="4">
        <v>249.5992</v>
      </c>
      <c r="AB243" s="74">
        <v>46126</v>
      </c>
      <c r="AC243" s="4">
        <v>281.303</v>
      </c>
      <c r="AD243" s="6">
        <f t="shared" si="29"/>
        <v>46126</v>
      </c>
    </row>
    <row r="244" spans="1:30" x14ac:dyDescent="0.25">
      <c r="A244" s="37"/>
      <c r="B244" s="38"/>
      <c r="C244" s="2"/>
      <c r="D244" s="41"/>
      <c r="E244" s="38"/>
      <c r="F244" s="2"/>
      <c r="G244" s="41"/>
      <c r="H244" s="38"/>
      <c r="I244" s="39"/>
      <c r="J244" s="39"/>
      <c r="K244" s="41"/>
      <c r="L244" s="41"/>
      <c r="M244" s="42"/>
      <c r="U244" s="3" t="str">
        <f t="shared" si="27"/>
        <v/>
      </c>
      <c r="V244" s="3" t="str">
        <f t="shared" si="28"/>
        <v/>
      </c>
      <c r="Z244" s="3">
        <v>46127</v>
      </c>
      <c r="AA244" s="4">
        <v>249.53909999999999</v>
      </c>
      <c r="AB244" s="74">
        <v>46127</v>
      </c>
      <c r="AC244" s="4">
        <v>283.45699999999999</v>
      </c>
      <c r="AD244" s="6">
        <f t="shared" si="29"/>
        <v>46127</v>
      </c>
    </row>
    <row r="245" spans="1:30" x14ac:dyDescent="0.25">
      <c r="A245" s="37"/>
      <c r="B245" s="38"/>
      <c r="C245" s="2"/>
      <c r="D245" s="41"/>
      <c r="E245" s="38"/>
      <c r="F245" s="2"/>
      <c r="G245" s="41"/>
      <c r="H245" s="38"/>
      <c r="I245" s="39"/>
      <c r="J245" s="39"/>
      <c r="K245" s="41"/>
      <c r="L245" s="41"/>
      <c r="M245" s="42"/>
      <c r="U245" s="3" t="str">
        <f t="shared" si="27"/>
        <v/>
      </c>
      <c r="V245" s="3" t="str">
        <f t="shared" si="28"/>
        <v/>
      </c>
      <c r="Z245" s="3">
        <v>46128</v>
      </c>
      <c r="AA245" s="4">
        <v>249.1765</v>
      </c>
      <c r="AB245" s="74">
        <v>46128</v>
      </c>
      <c r="AC245" s="4">
        <v>287.08800000000002</v>
      </c>
      <c r="AD245" s="6">
        <f t="shared" si="29"/>
        <v>46128</v>
      </c>
    </row>
    <row r="246" spans="1:30" x14ac:dyDescent="0.25">
      <c r="A246" s="37"/>
      <c r="B246" s="38"/>
      <c r="C246" s="2"/>
      <c r="D246" s="41"/>
      <c r="E246" s="38"/>
      <c r="F246" s="2"/>
      <c r="G246" s="41"/>
      <c r="H246" s="38"/>
      <c r="I246" s="39"/>
      <c r="J246" s="39"/>
      <c r="K246" s="41"/>
      <c r="L246" s="41"/>
      <c r="M246" s="42"/>
      <c r="U246" s="3" t="str">
        <f t="shared" si="27"/>
        <v/>
      </c>
      <c r="V246" s="3" t="str">
        <f t="shared" si="28"/>
        <v/>
      </c>
      <c r="Z246" s="3">
        <v>46129</v>
      </c>
      <c r="AA246" s="4">
        <v>250.45760000000001</v>
      </c>
      <c r="AB246" s="74">
        <v>46129</v>
      </c>
      <c r="AC246" s="4">
        <v>275.86700000000002</v>
      </c>
      <c r="AD246" s="6">
        <f t="shared" si="29"/>
        <v>46129</v>
      </c>
    </row>
    <row r="247" spans="1:30" x14ac:dyDescent="0.25">
      <c r="A247" s="37"/>
      <c r="B247" s="38"/>
      <c r="C247" s="2"/>
      <c r="D247" s="41"/>
      <c r="E247" s="38"/>
      <c r="F247" s="2"/>
      <c r="G247" s="41"/>
      <c r="H247" s="38"/>
      <c r="I247" s="39"/>
      <c r="J247" s="39"/>
      <c r="K247" s="41"/>
      <c r="L247" s="41"/>
      <c r="M247" s="42"/>
      <c r="U247" s="3" t="str">
        <f t="shared" si="27"/>
        <v/>
      </c>
      <c r="V247" s="3" t="str">
        <f t="shared" si="28"/>
        <v/>
      </c>
      <c r="Z247" s="3">
        <v>46132</v>
      </c>
      <c r="AA247" s="4">
        <v>250.11789999999999</v>
      </c>
      <c r="AB247" s="74">
        <v>46132</v>
      </c>
      <c r="AC247" s="4">
        <v>279.73</v>
      </c>
      <c r="AD247" s="6">
        <f t="shared" si="29"/>
        <v>46132</v>
      </c>
    </row>
    <row r="248" spans="1:30" x14ac:dyDescent="0.25">
      <c r="A248" s="37"/>
      <c r="B248" s="38"/>
      <c r="C248" s="2"/>
      <c r="D248" s="41"/>
      <c r="E248" s="38"/>
      <c r="F248" s="2"/>
      <c r="G248" s="41"/>
      <c r="H248" s="38"/>
      <c r="I248" s="39"/>
      <c r="J248" s="39"/>
      <c r="K248" s="41"/>
      <c r="L248" s="41"/>
      <c r="M248" s="42"/>
      <c r="U248" s="3" t="str">
        <f t="shared" si="27"/>
        <v/>
      </c>
      <c r="V248" s="3" t="str">
        <f t="shared" si="28"/>
        <v/>
      </c>
      <c r="Z248" s="3">
        <v>46133</v>
      </c>
      <c r="AA248" s="4">
        <v>249.51689999999999</v>
      </c>
      <c r="AB248" s="74">
        <v>46133</v>
      </c>
      <c r="AC248" s="4">
        <v>285.02300000000002</v>
      </c>
      <c r="AD248" s="6">
        <f t="shared" si="29"/>
        <v>46133</v>
      </c>
    </row>
    <row r="249" spans="1:30" x14ac:dyDescent="0.25">
      <c r="A249" s="37"/>
      <c r="B249" s="38"/>
      <c r="C249" s="2"/>
      <c r="D249" s="41"/>
      <c r="E249" s="38"/>
      <c r="F249" s="2"/>
      <c r="G249" s="41"/>
      <c r="H249" s="38"/>
      <c r="I249" s="39"/>
      <c r="J249" s="39"/>
      <c r="K249" s="41"/>
      <c r="L249" s="41"/>
      <c r="M249" s="42"/>
      <c r="U249" s="3" t="str">
        <f t="shared" si="27"/>
        <v/>
      </c>
      <c r="V249" s="3" t="str">
        <f t="shared" si="28"/>
        <v/>
      </c>
      <c r="Z249" s="3">
        <v>46134</v>
      </c>
      <c r="AA249" s="4">
        <v>249.46960000000001</v>
      </c>
      <c r="AB249" s="74">
        <v>46134</v>
      </c>
      <c r="AC249" s="4">
        <v>285.94499999999999</v>
      </c>
      <c r="AD249" s="6">
        <f t="shared" si="29"/>
        <v>46134</v>
      </c>
    </row>
    <row r="250" spans="1:30" x14ac:dyDescent="0.25">
      <c r="A250" s="37"/>
      <c r="B250" s="38"/>
      <c r="C250" s="2"/>
      <c r="D250" s="41"/>
      <c r="E250" s="38"/>
      <c r="F250" s="2"/>
      <c r="G250" s="41"/>
      <c r="H250" s="38"/>
      <c r="I250" s="39"/>
      <c r="J250" s="39"/>
      <c r="K250" s="41"/>
      <c r="L250" s="41"/>
      <c r="M250" s="42"/>
      <c r="U250" s="3" t="str">
        <f t="shared" si="27"/>
        <v/>
      </c>
      <c r="V250" s="3" t="str">
        <f t="shared" si="28"/>
        <v/>
      </c>
      <c r="Z250" s="3">
        <v>46135</v>
      </c>
      <c r="AA250" s="4">
        <v>249.30770000000001</v>
      </c>
      <c r="AB250" s="74">
        <v>46135</v>
      </c>
      <c r="AC250" s="4">
        <v>288.49599999999998</v>
      </c>
      <c r="AD250" s="6">
        <f t="shared" si="29"/>
        <v>46135</v>
      </c>
    </row>
    <row r="251" spans="1:30" x14ac:dyDescent="0.25">
      <c r="A251" s="37"/>
      <c r="B251" s="38"/>
      <c r="C251" s="2"/>
      <c r="D251" s="41"/>
      <c r="E251" s="38"/>
      <c r="F251" s="2"/>
      <c r="G251" s="41"/>
      <c r="H251" s="38"/>
      <c r="I251" s="39"/>
      <c r="J251" s="39"/>
      <c r="K251" s="41"/>
      <c r="L251" s="41"/>
      <c r="M251" s="42"/>
      <c r="U251" s="3" t="str">
        <f t="shared" si="27"/>
        <v/>
      </c>
      <c r="V251" s="3" t="str">
        <f t="shared" si="28"/>
        <v/>
      </c>
      <c r="Z251" s="3">
        <v>46136</v>
      </c>
      <c r="AA251" s="4">
        <v>249.20050000000001</v>
      </c>
      <c r="AB251" s="74">
        <v>46136</v>
      </c>
      <c r="AC251" s="4">
        <v>287.25799999999998</v>
      </c>
      <c r="AD251" s="6">
        <f t="shared" si="29"/>
        <v>46136</v>
      </c>
    </row>
    <row r="252" spans="1:30" x14ac:dyDescent="0.25">
      <c r="A252" s="37"/>
      <c r="B252" s="38"/>
      <c r="C252" s="2"/>
      <c r="D252" s="41"/>
      <c r="E252" s="38"/>
      <c r="F252" s="2"/>
      <c r="G252" s="41"/>
      <c r="H252" s="38"/>
      <c r="I252" s="39"/>
      <c r="J252" s="39"/>
      <c r="K252" s="41"/>
      <c r="L252" s="41"/>
      <c r="M252" s="42"/>
      <c r="U252" s="3" t="str">
        <f t="shared" si="27"/>
        <v/>
      </c>
      <c r="V252" s="3" t="str">
        <f t="shared" si="28"/>
        <v/>
      </c>
      <c r="Z252" s="3">
        <v>46139</v>
      </c>
      <c r="AA252" s="4">
        <v>249.10599999999999</v>
      </c>
      <c r="AB252" s="74">
        <v>46139</v>
      </c>
      <c r="AC252" s="4">
        <v>288.53300000000002</v>
      </c>
      <c r="AD252" s="6">
        <f t="shared" si="29"/>
        <v>46139</v>
      </c>
    </row>
    <row r="253" spans="1:30" x14ac:dyDescent="0.25">
      <c r="A253" s="37"/>
      <c r="B253" s="38"/>
      <c r="C253" s="2"/>
      <c r="D253" s="41"/>
      <c r="E253" s="38"/>
      <c r="F253" s="2"/>
      <c r="G253" s="41"/>
      <c r="H253" s="38"/>
      <c r="I253" s="39"/>
      <c r="J253" s="39"/>
      <c r="K253" s="41"/>
      <c r="L253" s="41"/>
      <c r="M253" s="42"/>
      <c r="U253" s="3" t="str">
        <f t="shared" si="27"/>
        <v/>
      </c>
      <c r="V253" s="3" t="str">
        <f t="shared" si="28"/>
        <v/>
      </c>
      <c r="Z253" s="3">
        <v>46140</v>
      </c>
      <c r="AA253" s="4">
        <v>248.827</v>
      </c>
      <c r="AB253" s="74">
        <v>46140</v>
      </c>
      <c r="AC253" s="4">
        <v>292.154</v>
      </c>
      <c r="AD253" s="6">
        <f t="shared" si="29"/>
        <v>46140</v>
      </c>
    </row>
    <row r="254" spans="1:30" x14ac:dyDescent="0.25">
      <c r="A254" s="37"/>
      <c r="B254" s="38"/>
      <c r="C254" s="2"/>
      <c r="D254" s="41"/>
      <c r="E254" s="38"/>
      <c r="F254" s="2"/>
      <c r="G254" s="41"/>
      <c r="H254" s="38"/>
      <c r="I254" s="39"/>
      <c r="J254" s="39"/>
      <c r="K254" s="41"/>
      <c r="L254" s="41"/>
      <c r="M254" s="42"/>
      <c r="U254" s="3" t="str">
        <f t="shared" si="27"/>
        <v/>
      </c>
      <c r="V254" s="3" t="str">
        <f t="shared" si="28"/>
        <v/>
      </c>
      <c r="Z254" s="3">
        <v>46141</v>
      </c>
      <c r="AA254" s="4">
        <v>248.28469999999999</v>
      </c>
      <c r="AB254" s="74">
        <v>46141</v>
      </c>
      <c r="AC254" s="4">
        <v>297.69</v>
      </c>
      <c r="AD254" s="6">
        <f t="shared" si="29"/>
        <v>46141</v>
      </c>
    </row>
    <row r="255" spans="1:30" x14ac:dyDescent="0.25">
      <c r="A255" s="37"/>
      <c r="B255" s="38"/>
      <c r="C255" s="2"/>
      <c r="D255" s="41"/>
      <c r="E255" s="38"/>
      <c r="F255" s="2"/>
      <c r="G255" s="41"/>
      <c r="H255" s="38"/>
      <c r="I255" s="39"/>
      <c r="J255" s="39"/>
      <c r="K255" s="41"/>
      <c r="L255" s="41"/>
      <c r="M255" s="42"/>
      <c r="U255" s="3" t="str">
        <f t="shared" si="27"/>
        <v/>
      </c>
      <c r="V255" s="3" t="str">
        <f t="shared" si="28"/>
        <v/>
      </c>
      <c r="Z255" s="3">
        <v>46142</v>
      </c>
      <c r="AA255" s="4">
        <v>248.685</v>
      </c>
      <c r="AB255" s="74">
        <v>46142</v>
      </c>
      <c r="AC255" s="4">
        <v>292.53100000000001</v>
      </c>
      <c r="AD255" s="6">
        <f t="shared" si="29"/>
        <v>46142</v>
      </c>
    </row>
    <row r="256" spans="1:30" x14ac:dyDescent="0.25">
      <c r="A256" s="37"/>
      <c r="B256" s="38"/>
      <c r="C256" s="2"/>
      <c r="D256" s="41"/>
      <c r="E256" s="38"/>
      <c r="F256" s="2"/>
      <c r="G256" s="41"/>
      <c r="H256" s="38"/>
      <c r="I256" s="39"/>
      <c r="J256" s="39"/>
      <c r="K256" s="41"/>
      <c r="L256" s="41"/>
      <c r="M256" s="42"/>
      <c r="U256" s="3" t="str">
        <f t="shared" si="27"/>
        <v/>
      </c>
      <c r="V256" s="3" t="str">
        <f t="shared" si="28"/>
        <v/>
      </c>
      <c r="Z256" s="3">
        <v>46143</v>
      </c>
      <c r="AA256" s="4">
        <v>249.75620000000001</v>
      </c>
      <c r="AB256" s="74">
        <v>46143</v>
      </c>
      <c r="AC256" s="4">
        <v>284.60300000000001</v>
      </c>
      <c r="AD256" s="6">
        <f t="shared" si="29"/>
        <v>46143</v>
      </c>
    </row>
    <row r="257" spans="1:30" x14ac:dyDescent="0.25">
      <c r="A257" s="37"/>
      <c r="B257" s="38"/>
      <c r="C257" s="2"/>
      <c r="D257" s="41"/>
      <c r="E257" s="38"/>
      <c r="F257" s="2"/>
      <c r="G257" s="41"/>
      <c r="H257" s="38"/>
      <c r="I257" s="39"/>
      <c r="J257" s="39"/>
      <c r="K257" s="41"/>
      <c r="L257" s="41"/>
      <c r="M257" s="42"/>
      <c r="U257" s="3" t="str">
        <f t="shared" si="27"/>
        <v/>
      </c>
      <c r="V257" s="3" t="str">
        <f t="shared" si="28"/>
        <v/>
      </c>
      <c r="Z257" s="3">
        <v>46147</v>
      </c>
      <c r="AA257" s="4">
        <v>249.4753</v>
      </c>
      <c r="AB257" s="74">
        <v>46147</v>
      </c>
      <c r="AC257" s="4">
        <v>287.411</v>
      </c>
      <c r="AD257" s="6">
        <f t="shared" si="29"/>
        <v>46147</v>
      </c>
    </row>
    <row r="258" spans="1:30" x14ac:dyDescent="0.25">
      <c r="A258" s="37"/>
      <c r="B258" s="38"/>
      <c r="C258" s="2"/>
      <c r="D258" s="41"/>
      <c r="E258" s="38"/>
      <c r="F258" s="2"/>
      <c r="G258" s="41"/>
      <c r="H258" s="38"/>
      <c r="I258" s="39"/>
      <c r="J258" s="39"/>
      <c r="K258" s="41"/>
      <c r="L258" s="41"/>
      <c r="M258" s="42"/>
      <c r="U258" s="3" t="str">
        <f t="shared" si="27"/>
        <v/>
      </c>
      <c r="V258" s="3" t="str">
        <f t="shared" si="28"/>
        <v/>
      </c>
      <c r="Z258" s="3">
        <v>46148</v>
      </c>
      <c r="AA258" s="4">
        <v>250.94749999999999</v>
      </c>
      <c r="AB258" s="74">
        <v>46148</v>
      </c>
      <c r="AC258" s="4">
        <v>275.23200000000003</v>
      </c>
      <c r="AD258" s="6">
        <f t="shared" si="29"/>
        <v>46148</v>
      </c>
    </row>
    <row r="259" spans="1:30" x14ac:dyDescent="0.25">
      <c r="A259" s="37"/>
      <c r="B259" s="38"/>
      <c r="C259" s="2"/>
      <c r="D259" s="41"/>
      <c r="E259" s="38"/>
      <c r="F259" s="2"/>
      <c r="G259" s="41"/>
      <c r="H259" s="38"/>
      <c r="I259" s="39"/>
      <c r="J259" s="39"/>
      <c r="K259" s="41"/>
      <c r="L259" s="41"/>
      <c r="M259" s="42"/>
      <c r="U259" s="3" t="str">
        <f t="shared" si="27"/>
        <v/>
      </c>
      <c r="V259" s="3" t="str">
        <f t="shared" si="28"/>
        <v/>
      </c>
      <c r="Z259" s="3">
        <v>46149</v>
      </c>
      <c r="AA259" s="4">
        <v>250.63929999999999</v>
      </c>
      <c r="AB259" s="74">
        <v>46149</v>
      </c>
      <c r="AC259" s="4">
        <v>278.976</v>
      </c>
      <c r="AD259" s="6">
        <f t="shared" si="29"/>
        <v>46149</v>
      </c>
    </row>
    <row r="260" spans="1:30" x14ac:dyDescent="0.25">
      <c r="A260" s="37"/>
      <c r="B260" s="38"/>
      <c r="C260" s="2"/>
      <c r="D260" s="41"/>
      <c r="E260" s="38"/>
      <c r="F260" s="2"/>
      <c r="G260" s="41"/>
      <c r="H260" s="38"/>
      <c r="I260" s="39"/>
      <c r="J260" s="39"/>
      <c r="K260" s="41"/>
      <c r="L260" s="41"/>
      <c r="M260" s="42"/>
      <c r="U260" s="3" t="str">
        <f t="shared" ref="U260:U323" si="30">IF(COUNTIF(Q:Q,O260)*COUNTIF(S:S,O260),O260,"")</f>
        <v/>
      </c>
      <c r="V260" s="3" t="str">
        <f t="shared" ref="V260:V323" si="31">IF(U260&gt;$A$14,U260,"")</f>
        <v/>
      </c>
      <c r="Z260" s="3">
        <v>46150</v>
      </c>
      <c r="AA260" s="4">
        <v>250.6848</v>
      </c>
      <c r="AB260" s="74">
        <v>46150</v>
      </c>
      <c r="AC260" s="4">
        <v>277.91800000000001</v>
      </c>
      <c r="AD260" s="6">
        <f t="shared" ref="AD260:AD323" si="32">IF(COUNTIF(AB:AB,Z260),Z260,"")</f>
        <v>46150</v>
      </c>
    </row>
    <row r="261" spans="1:30" x14ac:dyDescent="0.25">
      <c r="A261" s="37"/>
      <c r="B261" s="38"/>
      <c r="C261" s="2"/>
      <c r="D261" s="41"/>
      <c r="E261" s="38"/>
      <c r="F261" s="2"/>
      <c r="G261" s="41"/>
      <c r="H261" s="38"/>
      <c r="I261" s="39"/>
      <c r="J261" s="39"/>
      <c r="K261" s="41"/>
      <c r="L261" s="41"/>
      <c r="M261" s="42"/>
      <c r="U261" s="3" t="str">
        <f t="shared" si="30"/>
        <v/>
      </c>
      <c r="V261" s="3" t="str">
        <f t="shared" si="31"/>
        <v/>
      </c>
      <c r="Z261" s="3">
        <v>46153</v>
      </c>
      <c r="AA261" s="4">
        <v>250.97389999999999</v>
      </c>
      <c r="AB261" s="74">
        <v>46153</v>
      </c>
      <c r="AC261" s="4">
        <v>276.47399999999999</v>
      </c>
      <c r="AD261" s="6">
        <f t="shared" si="32"/>
        <v>46153</v>
      </c>
    </row>
    <row r="262" spans="1:30" x14ac:dyDescent="0.25">
      <c r="A262" s="37"/>
      <c r="B262" s="38"/>
      <c r="C262" s="2"/>
      <c r="D262" s="41"/>
      <c r="E262" s="38"/>
      <c r="F262" s="2"/>
      <c r="G262" s="41"/>
      <c r="H262" s="38"/>
      <c r="I262" s="39"/>
      <c r="J262" s="39"/>
      <c r="K262" s="41"/>
      <c r="L262" s="41"/>
      <c r="M262" s="42"/>
      <c r="U262" s="3" t="str">
        <f t="shared" si="30"/>
        <v/>
      </c>
      <c r="V262" s="3" t="str">
        <f t="shared" si="31"/>
        <v/>
      </c>
      <c r="Z262" s="3">
        <v>46154</v>
      </c>
      <c r="AA262" s="4">
        <v>250.0761</v>
      </c>
      <c r="AB262" s="74">
        <v>46154</v>
      </c>
      <c r="AC262" s="4">
        <v>284.12599999999998</v>
      </c>
      <c r="AD262" s="6">
        <f t="shared" si="32"/>
        <v>46154</v>
      </c>
    </row>
    <row r="263" spans="1:30" x14ac:dyDescent="0.25">
      <c r="A263" s="37"/>
      <c r="B263" s="38"/>
      <c r="C263" s="2"/>
      <c r="D263" s="41"/>
      <c r="E263" s="38"/>
      <c r="F263" s="2"/>
      <c r="G263" s="41"/>
      <c r="H263" s="38"/>
      <c r="I263" s="39"/>
      <c r="J263" s="39"/>
      <c r="K263" s="41"/>
      <c r="L263" s="41"/>
      <c r="M263" s="42"/>
      <c r="U263" s="3" t="str">
        <f t="shared" si="30"/>
        <v/>
      </c>
      <c r="V263" s="3" t="str">
        <f t="shared" si="31"/>
        <v/>
      </c>
      <c r="Z263" s="3">
        <v>46155</v>
      </c>
      <c r="AA263" s="4">
        <v>250.61799999999999</v>
      </c>
      <c r="AB263" s="74">
        <v>46155</v>
      </c>
      <c r="AC263" s="4">
        <v>278.68400000000003</v>
      </c>
      <c r="AD263" s="6">
        <f t="shared" si="32"/>
        <v>46155</v>
      </c>
    </row>
    <row r="264" spans="1:30" x14ac:dyDescent="0.25">
      <c r="A264" s="37"/>
      <c r="B264" s="38"/>
      <c r="C264" s="2"/>
      <c r="D264" s="41"/>
      <c r="E264" s="38"/>
      <c r="F264" s="2"/>
      <c r="G264" s="41"/>
      <c r="H264" s="38"/>
      <c r="I264" s="39"/>
      <c r="J264" s="39"/>
      <c r="K264" s="41"/>
      <c r="L264" s="41"/>
      <c r="M264" s="42"/>
      <c r="U264" s="3" t="str">
        <f t="shared" si="30"/>
        <v/>
      </c>
      <c r="V264" s="3" t="str">
        <f t="shared" si="31"/>
        <v/>
      </c>
      <c r="Z264" s="3">
        <v>46156</v>
      </c>
      <c r="AA264" s="4">
        <v>251.22890000000001</v>
      </c>
      <c r="AB264" s="74">
        <v>46156</v>
      </c>
      <c r="AC264" s="4">
        <v>273.61</v>
      </c>
      <c r="AD264" s="6">
        <f t="shared" si="32"/>
        <v>46156</v>
      </c>
    </row>
    <row r="265" spans="1:30" x14ac:dyDescent="0.25">
      <c r="A265" s="37"/>
      <c r="B265" s="38"/>
      <c r="C265" s="2"/>
      <c r="D265" s="41"/>
      <c r="E265" s="38"/>
      <c r="F265" s="2"/>
      <c r="G265" s="41"/>
      <c r="H265" s="38"/>
      <c r="I265" s="39"/>
      <c r="J265" s="39"/>
      <c r="K265" s="41"/>
      <c r="L265" s="41"/>
      <c r="M265" s="42"/>
      <c r="U265" s="3" t="str">
        <f t="shared" si="30"/>
        <v/>
      </c>
      <c r="V265" s="3" t="str">
        <f t="shared" si="31"/>
        <v/>
      </c>
      <c r="Z265" s="3">
        <v>46157</v>
      </c>
      <c r="AA265" s="4">
        <v>250.38300000000001</v>
      </c>
      <c r="AB265" s="74">
        <v>46157</v>
      </c>
      <c r="AC265" s="4">
        <v>282.07</v>
      </c>
      <c r="AD265" s="6">
        <f t="shared" si="32"/>
        <v>46157</v>
      </c>
    </row>
    <row r="266" spans="1:30" x14ac:dyDescent="0.25">
      <c r="A266" s="37"/>
      <c r="B266" s="38"/>
      <c r="C266" s="2"/>
      <c r="D266" s="41"/>
      <c r="E266" s="38"/>
      <c r="F266" s="2"/>
      <c r="G266" s="41"/>
      <c r="H266" s="38"/>
      <c r="I266" s="39"/>
      <c r="J266" s="39"/>
      <c r="K266" s="41"/>
      <c r="L266" s="41"/>
      <c r="M266" s="42"/>
      <c r="U266" s="3" t="str">
        <f t="shared" si="30"/>
        <v/>
      </c>
      <c r="V266" s="3" t="str">
        <f t="shared" si="31"/>
        <v/>
      </c>
      <c r="Z266" s="3">
        <v>46160</v>
      </c>
      <c r="AA266" s="4">
        <v>250.5284</v>
      </c>
      <c r="AB266" s="74">
        <v>46160</v>
      </c>
      <c r="AC266" s="4">
        <v>280.35000000000002</v>
      </c>
      <c r="AD266" s="6">
        <f t="shared" si="32"/>
        <v>46160</v>
      </c>
    </row>
    <row r="267" spans="1:30" x14ac:dyDescent="0.25">
      <c r="A267" s="37"/>
      <c r="B267" s="38"/>
      <c r="C267" s="2"/>
      <c r="D267" s="41"/>
      <c r="E267" s="38"/>
      <c r="F267" s="2"/>
      <c r="G267" s="41"/>
      <c r="H267" s="38"/>
      <c r="I267" s="39"/>
      <c r="J267" s="39"/>
      <c r="K267" s="41"/>
      <c r="L267" s="41"/>
      <c r="M267" s="42"/>
      <c r="U267" s="3" t="str">
        <f t="shared" si="30"/>
        <v/>
      </c>
      <c r="V267" s="3" t="str">
        <f t="shared" si="31"/>
        <v/>
      </c>
      <c r="Z267" s="3">
        <v>46161</v>
      </c>
      <c r="AA267" s="4">
        <v>249.98050000000001</v>
      </c>
      <c r="AB267" s="74">
        <v>46161</v>
      </c>
      <c r="AC267" s="4">
        <v>285.892</v>
      </c>
      <c r="AD267" s="6">
        <f t="shared" si="32"/>
        <v>46161</v>
      </c>
    </row>
    <row r="268" spans="1:30" x14ac:dyDescent="0.25">
      <c r="A268" s="37"/>
      <c r="B268" s="38"/>
      <c r="C268" s="2"/>
      <c r="D268" s="41"/>
      <c r="E268" s="38"/>
      <c r="F268" s="2"/>
      <c r="G268" s="41"/>
      <c r="H268" s="38"/>
      <c r="I268" s="39"/>
      <c r="J268" s="39"/>
      <c r="K268" s="41"/>
      <c r="L268" s="41"/>
      <c r="M268" s="42"/>
      <c r="U268" s="3" t="str">
        <f t="shared" si="30"/>
        <v/>
      </c>
      <c r="V268" s="3" t="str">
        <f t="shared" si="31"/>
        <v/>
      </c>
      <c r="Z268" s="3">
        <v>46162</v>
      </c>
      <c r="AA268" s="4">
        <v>251.0129</v>
      </c>
      <c r="AB268" s="74">
        <v>46162</v>
      </c>
      <c r="AC268" s="4">
        <v>276.52</v>
      </c>
      <c r="AD268" s="6">
        <f t="shared" si="32"/>
        <v>46162</v>
      </c>
    </row>
    <row r="269" spans="1:30" x14ac:dyDescent="0.25">
      <c r="A269" s="37"/>
      <c r="B269" s="38"/>
      <c r="C269" s="2"/>
      <c r="D269" s="41"/>
      <c r="E269" s="38"/>
      <c r="F269" s="2"/>
      <c r="G269" s="41"/>
      <c r="H269" s="38"/>
      <c r="I269" s="39"/>
      <c r="J269" s="39"/>
      <c r="K269" s="41"/>
      <c r="L269" s="41"/>
      <c r="M269" s="42"/>
      <c r="U269" s="3" t="str">
        <f t="shared" si="30"/>
        <v/>
      </c>
      <c r="V269" s="3" t="str">
        <f t="shared" si="31"/>
        <v/>
      </c>
      <c r="Z269" s="3">
        <v>46163</v>
      </c>
      <c r="AA269" s="4">
        <v>250.6669</v>
      </c>
      <c r="AB269" s="74">
        <v>46163</v>
      </c>
      <c r="AC269" s="4">
        <v>279.66300000000001</v>
      </c>
      <c r="AD269" s="6">
        <f t="shared" si="32"/>
        <v>46163</v>
      </c>
    </row>
    <row r="270" spans="1:30" x14ac:dyDescent="0.25">
      <c r="A270" s="37"/>
      <c r="B270" s="38"/>
      <c r="C270" s="2"/>
      <c r="D270" s="41"/>
      <c r="E270" s="38"/>
      <c r="F270" s="2"/>
      <c r="G270" s="41"/>
      <c r="H270" s="38"/>
      <c r="I270" s="39"/>
      <c r="J270" s="39"/>
      <c r="K270" s="41"/>
      <c r="L270" s="41"/>
      <c r="M270" s="42"/>
      <c r="U270" s="3" t="str">
        <f t="shared" si="30"/>
        <v/>
      </c>
      <c r="V270" s="3" t="str">
        <f t="shared" si="31"/>
        <v/>
      </c>
      <c r="Z270" s="3">
        <v>46164</v>
      </c>
      <c r="AA270" s="4">
        <v>251.4649</v>
      </c>
      <c r="AB270" s="74">
        <v>46164</v>
      </c>
      <c r="AC270" s="4">
        <v>273.38799999999998</v>
      </c>
      <c r="AD270" s="6">
        <f t="shared" si="32"/>
        <v>46164</v>
      </c>
    </row>
    <row r="271" spans="1:30" x14ac:dyDescent="0.25">
      <c r="A271" s="37"/>
      <c r="B271" s="38"/>
      <c r="C271" s="2"/>
      <c r="D271" s="41"/>
      <c r="E271" s="38"/>
      <c r="F271" s="2"/>
      <c r="G271" s="41"/>
      <c r="H271" s="38"/>
      <c r="I271" s="39"/>
      <c r="J271" s="39"/>
      <c r="K271" s="41"/>
      <c r="L271" s="41"/>
      <c r="M271" s="42"/>
      <c r="U271" s="3" t="str">
        <f t="shared" si="30"/>
        <v/>
      </c>
      <c r="V271" s="3" t="str">
        <f t="shared" si="31"/>
        <v/>
      </c>
      <c r="Z271" s="3">
        <v>46168</v>
      </c>
      <c r="AA271" s="4">
        <v>252.1686</v>
      </c>
      <c r="AB271" s="74">
        <v>46168</v>
      </c>
      <c r="AC271" s="4">
        <v>269.02600000000001</v>
      </c>
      <c r="AD271" s="6">
        <f t="shared" si="32"/>
        <v>46168</v>
      </c>
    </row>
    <row r="272" spans="1:30" x14ac:dyDescent="0.25">
      <c r="A272" s="37"/>
      <c r="B272" s="38"/>
      <c r="C272" s="2"/>
      <c r="D272" s="41"/>
      <c r="E272" s="38"/>
      <c r="F272" s="2"/>
      <c r="G272" s="41"/>
      <c r="H272" s="38"/>
      <c r="I272" s="39"/>
      <c r="J272" s="39"/>
      <c r="K272" s="41"/>
      <c r="L272" s="41"/>
      <c r="M272" s="42"/>
      <c r="U272" s="3" t="str">
        <f t="shared" si="30"/>
        <v/>
      </c>
      <c r="V272" s="3" t="str">
        <f t="shared" si="31"/>
        <v/>
      </c>
      <c r="Z272" s="3">
        <v>46169</v>
      </c>
      <c r="AA272" s="4">
        <v>252.41059999999999</v>
      </c>
      <c r="AB272" s="74">
        <v>46169</v>
      </c>
      <c r="AC272" s="4">
        <v>267.50200000000001</v>
      </c>
      <c r="AD272" s="6">
        <f t="shared" si="32"/>
        <v>46169</v>
      </c>
    </row>
    <row r="273" spans="1:30" x14ac:dyDescent="0.25">
      <c r="A273" s="37"/>
      <c r="B273" s="38"/>
      <c r="C273" s="2"/>
      <c r="D273" s="41"/>
      <c r="E273" s="38"/>
      <c r="F273" s="2"/>
      <c r="G273" s="41"/>
      <c r="H273" s="38"/>
      <c r="I273" s="39"/>
      <c r="J273" s="39"/>
      <c r="K273" s="41"/>
      <c r="L273" s="41"/>
      <c r="M273" s="42"/>
      <c r="U273" s="3" t="str">
        <f t="shared" si="30"/>
        <v/>
      </c>
      <c r="V273" s="3" t="str">
        <f t="shared" si="31"/>
        <v/>
      </c>
      <c r="Z273" s="3">
        <v>46170</v>
      </c>
      <c r="AA273" s="4">
        <v>252.9316</v>
      </c>
      <c r="AB273" s="74">
        <v>46170</v>
      </c>
      <c r="AC273" s="4">
        <v>263.03699999999998</v>
      </c>
      <c r="AD273" s="6">
        <f t="shared" si="32"/>
        <v>46170</v>
      </c>
    </row>
    <row r="274" spans="1:30" x14ac:dyDescent="0.25">
      <c r="A274" s="37"/>
      <c r="B274" s="38"/>
      <c r="C274" s="2"/>
      <c r="D274" s="41"/>
      <c r="E274" s="38"/>
      <c r="F274" s="2"/>
      <c r="G274" s="41"/>
      <c r="H274" s="38"/>
      <c r="I274" s="39"/>
      <c r="J274" s="39"/>
      <c r="K274" s="41"/>
      <c r="L274" s="41"/>
      <c r="M274" s="42"/>
      <c r="U274" s="3" t="str">
        <f t="shared" si="30"/>
        <v/>
      </c>
      <c r="V274" s="3" t="str">
        <f t="shared" si="31"/>
        <v/>
      </c>
      <c r="Z274" s="3">
        <v>46171</v>
      </c>
      <c r="AA274" s="4">
        <v>253.4469</v>
      </c>
      <c r="AB274" s="74">
        <v>46171</v>
      </c>
      <c r="AC274" s="4">
        <v>258.964</v>
      </c>
      <c r="AD274" s="6">
        <f t="shared" si="32"/>
        <v>46171</v>
      </c>
    </row>
    <row r="275" spans="1:30" x14ac:dyDescent="0.25">
      <c r="A275" s="37"/>
      <c r="B275" s="38"/>
      <c r="C275" s="2"/>
      <c r="D275" s="41"/>
      <c r="E275" s="38"/>
      <c r="F275" s="2"/>
      <c r="G275" s="41"/>
      <c r="H275" s="38"/>
      <c r="I275" s="39"/>
      <c r="J275" s="39"/>
      <c r="K275" s="41"/>
      <c r="L275" s="41"/>
      <c r="M275" s="42"/>
      <c r="U275" s="3" t="str">
        <f t="shared" si="30"/>
        <v/>
      </c>
      <c r="V275" s="3" t="str">
        <f t="shared" si="31"/>
        <v/>
      </c>
      <c r="Z275" s="3">
        <v>46174</v>
      </c>
      <c r="AA275" s="4">
        <v>253.10400000000001</v>
      </c>
      <c r="AB275" s="74">
        <v>46174</v>
      </c>
      <c r="AC275" s="4">
        <v>262.60300000000001</v>
      </c>
      <c r="AD275" s="6">
        <f t="shared" si="32"/>
        <v>46174</v>
      </c>
    </row>
    <row r="276" spans="1:30" x14ac:dyDescent="0.25">
      <c r="A276" s="37"/>
      <c r="B276" s="38"/>
      <c r="C276" s="2"/>
      <c r="D276" s="41"/>
      <c r="E276" s="38"/>
      <c r="F276" s="2"/>
      <c r="G276" s="41"/>
      <c r="H276" s="38"/>
      <c r="I276" s="39"/>
      <c r="J276" s="39"/>
      <c r="K276" s="41"/>
      <c r="L276" s="41"/>
      <c r="M276" s="42"/>
      <c r="U276" s="3" t="str">
        <f t="shared" si="30"/>
        <v/>
      </c>
      <c r="V276" s="3" t="str">
        <f t="shared" si="31"/>
        <v/>
      </c>
      <c r="Z276" s="3">
        <v>46175</v>
      </c>
      <c r="AA276" s="4">
        <v>253.5762</v>
      </c>
      <c r="AB276" s="74">
        <v>46175</v>
      </c>
      <c r="AC276" s="4">
        <v>258.23399999999998</v>
      </c>
      <c r="AD276" s="6">
        <f t="shared" si="32"/>
        <v>46175</v>
      </c>
    </row>
    <row r="277" spans="1:30" x14ac:dyDescent="0.25">
      <c r="A277" s="37"/>
      <c r="B277" s="38"/>
      <c r="C277" s="2"/>
      <c r="D277" s="41"/>
      <c r="E277" s="38"/>
      <c r="F277" s="2"/>
      <c r="G277" s="41"/>
      <c r="H277" s="38"/>
      <c r="I277" s="39"/>
      <c r="J277" s="39"/>
      <c r="K277" s="41"/>
      <c r="L277" s="41"/>
      <c r="M277" s="42"/>
      <c r="U277" s="3" t="str">
        <f t="shared" si="30"/>
        <v/>
      </c>
      <c r="V277" s="3" t="str">
        <f t="shared" si="31"/>
        <v/>
      </c>
      <c r="Z277" s="3">
        <v>46176</v>
      </c>
      <c r="AA277" s="4">
        <v>253.11359999999999</v>
      </c>
      <c r="AB277" s="74">
        <v>46176</v>
      </c>
      <c r="AC277" s="4">
        <v>263.00799999999998</v>
      </c>
      <c r="AD277" s="6">
        <f t="shared" si="32"/>
        <v>46176</v>
      </c>
    </row>
    <row r="278" spans="1:30" x14ac:dyDescent="0.25">
      <c r="A278" s="37"/>
      <c r="B278" s="38"/>
      <c r="C278" s="2"/>
      <c r="D278" s="41"/>
      <c r="E278" s="38"/>
      <c r="F278" s="2"/>
      <c r="G278" s="41"/>
      <c r="H278" s="38"/>
      <c r="I278" s="39"/>
      <c r="J278" s="39"/>
      <c r="K278" s="41"/>
      <c r="L278" s="41"/>
      <c r="M278" s="42"/>
      <c r="U278" s="3" t="str">
        <f t="shared" si="30"/>
        <v/>
      </c>
      <c r="V278" s="3" t="str">
        <f t="shared" si="31"/>
        <v/>
      </c>
      <c r="Z278" s="3">
        <v>46177</v>
      </c>
      <c r="AA278" s="4">
        <v>253.3374</v>
      </c>
      <c r="AB278" s="74">
        <v>46177</v>
      </c>
      <c r="AC278" s="4">
        <v>260.78100000000001</v>
      </c>
      <c r="AD278" s="6">
        <f t="shared" si="32"/>
        <v>46177</v>
      </c>
    </row>
    <row r="279" spans="1:30" x14ac:dyDescent="0.25">
      <c r="A279" s="37"/>
      <c r="B279" s="38"/>
      <c r="C279" s="2"/>
      <c r="D279" s="41"/>
      <c r="E279" s="38"/>
      <c r="F279" s="2"/>
      <c r="G279" s="41"/>
      <c r="H279" s="38"/>
      <c r="I279" s="39"/>
      <c r="J279" s="39"/>
      <c r="K279" s="41"/>
      <c r="L279" s="41"/>
      <c r="M279" s="42"/>
      <c r="U279" s="3" t="str">
        <f t="shared" si="30"/>
        <v/>
      </c>
      <c r="V279" s="3" t="str">
        <f t="shared" si="31"/>
        <v/>
      </c>
      <c r="Z279" s="3">
        <v>46178</v>
      </c>
      <c r="AA279" s="4">
        <v>253.05930000000001</v>
      </c>
      <c r="AB279" s="74">
        <v>46178</v>
      </c>
      <c r="AC279" s="4">
        <v>263.12099999999998</v>
      </c>
      <c r="AD279" s="6">
        <f t="shared" si="32"/>
        <v>46178</v>
      </c>
    </row>
    <row r="280" spans="1:30" x14ac:dyDescent="0.25">
      <c r="A280" s="37"/>
      <c r="B280" s="38"/>
      <c r="C280" s="2"/>
      <c r="D280" s="41"/>
      <c r="E280" s="38"/>
      <c r="F280" s="2"/>
      <c r="G280" s="41"/>
      <c r="H280" s="38"/>
      <c r="I280" s="39"/>
      <c r="J280" s="39"/>
      <c r="K280" s="41"/>
      <c r="L280" s="41"/>
      <c r="M280" s="42"/>
      <c r="U280" s="3" t="str">
        <f t="shared" si="30"/>
        <v/>
      </c>
      <c r="V280" s="3" t="str">
        <f t="shared" si="31"/>
        <v/>
      </c>
      <c r="Z280" s="3">
        <v>46181</v>
      </c>
      <c r="AA280" s="4">
        <v>253.00890000000001</v>
      </c>
      <c r="AB280" s="74">
        <v>46181</v>
      </c>
      <c r="AC280" s="4">
        <v>264.17899999999997</v>
      </c>
      <c r="AD280" s="6">
        <f t="shared" si="32"/>
        <v>46181</v>
      </c>
    </row>
    <row r="281" spans="1:30" x14ac:dyDescent="0.25">
      <c r="A281" s="37"/>
      <c r="B281" s="38"/>
      <c r="C281" s="2"/>
      <c r="D281" s="41"/>
      <c r="E281" s="38"/>
      <c r="F281" s="2"/>
      <c r="G281" s="41"/>
      <c r="H281" s="38"/>
      <c r="I281" s="39"/>
      <c r="J281" s="39"/>
      <c r="K281" s="41"/>
      <c r="L281" s="41"/>
      <c r="M281" s="42"/>
      <c r="U281" s="3" t="str">
        <f t="shared" si="30"/>
        <v/>
      </c>
      <c r="V281" s="3" t="str">
        <f t="shared" si="31"/>
        <v/>
      </c>
      <c r="Z281" s="3">
        <v>46182</v>
      </c>
      <c r="AA281" s="4">
        <v>253.04320000000001</v>
      </c>
      <c r="AB281" s="74">
        <v>46182</v>
      </c>
      <c r="AC281" s="4">
        <v>264.78399999999999</v>
      </c>
      <c r="AD281" s="6">
        <f t="shared" si="32"/>
        <v>46182</v>
      </c>
    </row>
    <row r="282" spans="1:30" x14ac:dyDescent="0.25">
      <c r="A282" s="37"/>
      <c r="B282" s="38"/>
      <c r="C282" s="2"/>
      <c r="D282" s="41"/>
      <c r="E282" s="38"/>
      <c r="F282" s="2"/>
      <c r="G282" s="41"/>
      <c r="H282" s="38"/>
      <c r="I282" s="39"/>
      <c r="J282" s="39"/>
      <c r="K282" s="41"/>
      <c r="L282" s="41"/>
      <c r="M282" s="42"/>
      <c r="U282" s="3" t="str">
        <f t="shared" si="30"/>
        <v/>
      </c>
      <c r="V282" s="3" t="str">
        <f t="shared" si="31"/>
        <v/>
      </c>
      <c r="Z282" s="3">
        <v>46183</v>
      </c>
      <c r="AA282" s="4">
        <v>252.767</v>
      </c>
      <c r="AB282" s="74">
        <v>46183</v>
      </c>
      <c r="AC282" s="4">
        <v>266.137</v>
      </c>
      <c r="AD282" s="6">
        <f t="shared" si="32"/>
        <v>46183</v>
      </c>
    </row>
    <row r="283" spans="1:30" x14ac:dyDescent="0.25">
      <c r="A283" s="37"/>
      <c r="B283" s="38"/>
      <c r="C283" s="2"/>
      <c r="D283" s="41"/>
      <c r="E283" s="38"/>
      <c r="F283" s="2"/>
      <c r="G283" s="41"/>
      <c r="H283" s="38"/>
      <c r="I283" s="39"/>
      <c r="J283" s="39"/>
      <c r="K283" s="41"/>
      <c r="L283" s="41"/>
      <c r="M283" s="42"/>
      <c r="U283" s="3" t="str">
        <f t="shared" si="30"/>
        <v/>
      </c>
      <c r="V283" s="3" t="str">
        <f t="shared" si="31"/>
        <v/>
      </c>
      <c r="Z283" s="3">
        <v>46184</v>
      </c>
      <c r="AA283" s="4">
        <v>253.1474</v>
      </c>
      <c r="AB283" s="74">
        <v>46184</v>
      </c>
      <c r="AC283" s="4">
        <v>263.45299999999997</v>
      </c>
      <c r="AD283" s="6">
        <f t="shared" si="32"/>
        <v>46184</v>
      </c>
    </row>
    <row r="284" spans="1:30" x14ac:dyDescent="0.25">
      <c r="A284" s="37"/>
      <c r="B284" s="38"/>
      <c r="C284" s="2"/>
      <c r="D284" s="41"/>
      <c r="E284" s="38"/>
      <c r="F284" s="2"/>
      <c r="G284" s="41"/>
      <c r="H284" s="38"/>
      <c r="I284" s="39"/>
      <c r="J284" s="39"/>
      <c r="K284" s="41"/>
      <c r="L284" s="41"/>
      <c r="M284" s="42"/>
      <c r="U284" s="3" t="str">
        <f t="shared" si="30"/>
        <v/>
      </c>
      <c r="V284" s="3" t="str">
        <f t="shared" si="31"/>
        <v/>
      </c>
      <c r="Z284" s="3">
        <v>46185</v>
      </c>
      <c r="AA284" s="4">
        <v>254.38560000000001</v>
      </c>
      <c r="AB284" s="74">
        <v>46185</v>
      </c>
      <c r="AC284" s="4">
        <v>253.41399999999999</v>
      </c>
      <c r="AD284" s="6">
        <f t="shared" si="32"/>
        <v>46185</v>
      </c>
    </row>
    <row r="285" spans="1:30" x14ac:dyDescent="0.25">
      <c r="A285" s="37"/>
      <c r="B285" s="38"/>
      <c r="C285" s="2"/>
      <c r="D285" s="41"/>
      <c r="E285" s="38"/>
      <c r="F285" s="2"/>
      <c r="G285" s="41"/>
      <c r="H285" s="38"/>
      <c r="I285" s="39"/>
      <c r="J285" s="39"/>
      <c r="K285" s="41"/>
      <c r="L285" s="41"/>
      <c r="M285" s="42"/>
      <c r="U285" s="3" t="str">
        <f t="shared" si="30"/>
        <v/>
      </c>
      <c r="V285" s="3" t="str">
        <f t="shared" si="31"/>
        <v/>
      </c>
      <c r="Z285" s="3">
        <v>46188</v>
      </c>
      <c r="AA285" s="4">
        <v>255.0607</v>
      </c>
      <c r="AB285" s="74">
        <v>46188</v>
      </c>
      <c r="AC285" s="4">
        <v>247.93899999999999</v>
      </c>
      <c r="AD285" s="6">
        <f t="shared" si="32"/>
        <v>46188</v>
      </c>
    </row>
    <row r="286" spans="1:30" x14ac:dyDescent="0.25">
      <c r="A286" s="37"/>
      <c r="B286" s="38"/>
      <c r="C286" s="2"/>
      <c r="D286" s="41"/>
      <c r="E286" s="38"/>
      <c r="F286" s="2"/>
      <c r="G286" s="41"/>
      <c r="H286" s="38"/>
      <c r="I286" s="39"/>
      <c r="J286" s="39"/>
      <c r="K286" s="41"/>
      <c r="L286" s="41"/>
      <c r="M286" s="42"/>
      <c r="U286" s="3" t="str">
        <f t="shared" si="30"/>
        <v/>
      </c>
      <c r="V286" s="3" t="str">
        <f t="shared" si="31"/>
        <v/>
      </c>
      <c r="Z286" s="3">
        <v>46189</v>
      </c>
      <c r="AA286" s="4">
        <v>254.93340000000001</v>
      </c>
      <c r="AB286" s="74">
        <v>46189</v>
      </c>
      <c r="AC286" s="4">
        <v>249.708</v>
      </c>
      <c r="AD286" s="6">
        <f t="shared" si="32"/>
        <v>46189</v>
      </c>
    </row>
    <row r="287" spans="1:30" x14ac:dyDescent="0.25">
      <c r="A287" s="37"/>
      <c r="B287" s="38"/>
      <c r="C287" s="2"/>
      <c r="D287" s="41"/>
      <c r="E287" s="38"/>
      <c r="F287" s="2"/>
      <c r="G287" s="41"/>
      <c r="H287" s="38"/>
      <c r="I287" s="39"/>
      <c r="J287" s="39"/>
      <c r="K287" s="41"/>
      <c r="L287" s="41"/>
      <c r="M287" s="42"/>
      <c r="U287" s="3" t="str">
        <f t="shared" si="30"/>
        <v/>
      </c>
      <c r="V287" s="3" t="str">
        <f t="shared" si="31"/>
        <v/>
      </c>
      <c r="Z287" s="3">
        <v>46190</v>
      </c>
      <c r="AA287" s="4">
        <v>254.77209999999999</v>
      </c>
      <c r="AB287" s="74">
        <v>46190</v>
      </c>
      <c r="AC287" s="4">
        <v>251.36</v>
      </c>
      <c r="AD287" s="6">
        <f t="shared" si="32"/>
        <v>46190</v>
      </c>
    </row>
    <row r="288" spans="1:30" x14ac:dyDescent="0.25">
      <c r="A288" s="37"/>
      <c r="B288" s="38"/>
      <c r="C288" s="2"/>
      <c r="D288" s="41"/>
      <c r="E288" s="38"/>
      <c r="F288" s="2"/>
      <c r="G288" s="41"/>
      <c r="H288" s="38"/>
      <c r="I288" s="39"/>
      <c r="J288" s="39"/>
      <c r="K288" s="41"/>
      <c r="L288" s="41"/>
      <c r="M288" s="42"/>
      <c r="U288" s="3" t="str">
        <f t="shared" si="30"/>
        <v/>
      </c>
      <c r="V288" s="3" t="str">
        <f t="shared" si="31"/>
        <v/>
      </c>
      <c r="Z288" s="3">
        <v>46191</v>
      </c>
      <c r="AA288" s="4">
        <v>255.09270000000001</v>
      </c>
      <c r="AB288" s="74">
        <v>46191</v>
      </c>
      <c r="AC288" s="4">
        <v>248.715</v>
      </c>
      <c r="AD288" s="6">
        <f t="shared" si="32"/>
        <v>46191</v>
      </c>
    </row>
    <row r="289" spans="1:30" x14ac:dyDescent="0.25">
      <c r="A289" s="37"/>
      <c r="B289" s="38"/>
      <c r="C289" s="2"/>
      <c r="D289" s="41"/>
      <c r="E289" s="38"/>
      <c r="F289" s="2"/>
      <c r="G289" s="41"/>
      <c r="H289" s="38"/>
      <c r="I289" s="39"/>
      <c r="J289" s="39"/>
      <c r="K289" s="41"/>
      <c r="L289" s="41"/>
      <c r="M289" s="42"/>
      <c r="U289" s="3" t="str">
        <f t="shared" si="30"/>
        <v/>
      </c>
      <c r="V289" s="3" t="str">
        <f t="shared" si="31"/>
        <v/>
      </c>
      <c r="Z289" s="3">
        <v>46192</v>
      </c>
      <c r="AA289" s="4">
        <v>255.0326</v>
      </c>
      <c r="AB289" s="74">
        <v>46192</v>
      </c>
      <c r="AC289" s="4">
        <v>249.94499999999999</v>
      </c>
      <c r="AD289" s="6">
        <f t="shared" si="32"/>
        <v>46192</v>
      </c>
    </row>
    <row r="290" spans="1:30" x14ac:dyDescent="0.25">
      <c r="A290" s="37"/>
      <c r="B290" s="38"/>
      <c r="C290" s="2"/>
      <c r="D290" s="41"/>
      <c r="E290" s="38"/>
      <c r="F290" s="2"/>
      <c r="G290" s="41"/>
      <c r="H290" s="38"/>
      <c r="I290" s="39"/>
      <c r="J290" s="39"/>
      <c r="K290" s="41"/>
      <c r="L290" s="41"/>
      <c r="M290" s="42"/>
      <c r="U290" s="3" t="str">
        <f t="shared" si="30"/>
        <v/>
      </c>
      <c r="V290" s="3" t="str">
        <f t="shared" si="31"/>
        <v/>
      </c>
      <c r="Z290" s="3">
        <v>46195</v>
      </c>
      <c r="AA290" s="4">
        <v>255.42699999999999</v>
      </c>
      <c r="AB290" s="74">
        <v>46195</v>
      </c>
      <c r="AC290" s="4">
        <v>246.82499999999999</v>
      </c>
      <c r="AD290" s="6">
        <f t="shared" si="32"/>
        <v>46195</v>
      </c>
    </row>
    <row r="291" spans="1:30" x14ac:dyDescent="0.25">
      <c r="A291" s="37"/>
      <c r="B291" s="38"/>
      <c r="C291" s="2"/>
      <c r="D291" s="41"/>
      <c r="E291" s="38"/>
      <c r="F291" s="2"/>
      <c r="G291" s="41"/>
      <c r="H291" s="38"/>
      <c r="I291" s="39"/>
      <c r="J291" s="39"/>
      <c r="K291" s="41"/>
      <c r="L291" s="41"/>
      <c r="M291" s="42"/>
      <c r="U291" s="3" t="str">
        <f t="shared" si="30"/>
        <v/>
      </c>
      <c r="V291" s="3" t="str">
        <f t="shared" si="31"/>
        <v/>
      </c>
      <c r="Z291" s="3">
        <v>46196</v>
      </c>
      <c r="AA291" s="4">
        <v>255.2808</v>
      </c>
      <c r="AB291" s="74">
        <v>46196</v>
      </c>
      <c r="AC291" s="4">
        <v>248.11</v>
      </c>
      <c r="AD291" s="6">
        <f t="shared" si="32"/>
        <v>46196</v>
      </c>
    </row>
    <row r="292" spans="1:30" x14ac:dyDescent="0.25">
      <c r="A292" s="37"/>
      <c r="B292" s="38"/>
      <c r="C292" s="2"/>
      <c r="D292" s="41"/>
      <c r="E292" s="38"/>
      <c r="F292" s="2"/>
      <c r="G292" s="41"/>
      <c r="H292" s="38"/>
      <c r="I292" s="39"/>
      <c r="J292" s="39"/>
      <c r="K292" s="41"/>
      <c r="L292" s="41"/>
      <c r="M292" s="42"/>
      <c r="U292" s="3" t="str">
        <f t="shared" si="30"/>
        <v/>
      </c>
      <c r="V292" s="3" t="str">
        <f t="shared" si="31"/>
        <v/>
      </c>
      <c r="Z292" s="3">
        <v>46197</v>
      </c>
      <c r="AA292" s="4">
        <v>255.37479999999999</v>
      </c>
      <c r="AB292" s="74">
        <v>46197</v>
      </c>
      <c r="AC292" s="4">
        <v>247.75700000000001</v>
      </c>
      <c r="AD292" s="6">
        <f t="shared" si="32"/>
        <v>46197</v>
      </c>
    </row>
    <row r="293" spans="1:30" x14ac:dyDescent="0.25">
      <c r="A293" s="37"/>
      <c r="B293" s="38"/>
      <c r="C293" s="2"/>
      <c r="D293" s="41"/>
      <c r="E293" s="38"/>
      <c r="F293" s="2"/>
      <c r="G293" s="41"/>
      <c r="H293" s="38"/>
      <c r="I293" s="39"/>
      <c r="J293" s="39"/>
      <c r="K293" s="41"/>
      <c r="L293" s="41"/>
      <c r="M293" s="42"/>
      <c r="U293" s="3" t="str">
        <f t="shared" si="30"/>
        <v/>
      </c>
      <c r="V293" s="3" t="str">
        <f t="shared" si="31"/>
        <v/>
      </c>
      <c r="Z293" s="3">
        <v>46198</v>
      </c>
      <c r="AA293" s="4">
        <v>255.54130000000001</v>
      </c>
      <c r="AB293" s="74">
        <v>46198</v>
      </c>
      <c r="AC293" s="4">
        <v>247.30699999999999</v>
      </c>
      <c r="AD293" s="6">
        <f t="shared" si="32"/>
        <v>46198</v>
      </c>
    </row>
    <row r="294" spans="1:30" x14ac:dyDescent="0.25">
      <c r="A294" s="37"/>
      <c r="B294" s="38"/>
      <c r="C294" s="2"/>
      <c r="D294" s="41"/>
      <c r="E294" s="38"/>
      <c r="F294" s="2"/>
      <c r="G294" s="41"/>
      <c r="H294" s="38"/>
      <c r="I294" s="39"/>
      <c r="J294" s="39"/>
      <c r="K294" s="41"/>
      <c r="L294" s="41"/>
      <c r="M294" s="42"/>
      <c r="U294" s="3" t="str">
        <f t="shared" si="30"/>
        <v/>
      </c>
      <c r="V294" s="3" t="str">
        <f t="shared" si="31"/>
        <v/>
      </c>
      <c r="AB294" s="74">
        <v>46199</v>
      </c>
      <c r="AC294" s="4">
        <v>249.30799999999999</v>
      </c>
      <c r="AD294" s="6" t="str">
        <f t="shared" si="32"/>
        <v/>
      </c>
    </row>
    <row r="295" spans="1:30" x14ac:dyDescent="0.25">
      <c r="A295" s="37"/>
      <c r="B295" s="38"/>
      <c r="C295" s="2"/>
      <c r="D295" s="41"/>
      <c r="E295" s="38"/>
      <c r="F295" s="2"/>
      <c r="G295" s="41"/>
      <c r="H295" s="38"/>
      <c r="I295" s="39"/>
      <c r="J295" s="39"/>
      <c r="K295" s="41"/>
      <c r="L295" s="41"/>
      <c r="M295" s="42"/>
      <c r="U295" s="3" t="str">
        <f t="shared" si="30"/>
        <v/>
      </c>
      <c r="V295" s="3" t="str">
        <f t="shared" si="31"/>
        <v/>
      </c>
      <c r="AD295" s="6" t="str">
        <f t="shared" si="32"/>
        <v/>
      </c>
    </row>
    <row r="296" spans="1:30" x14ac:dyDescent="0.25">
      <c r="A296" s="37"/>
      <c r="B296" s="38"/>
      <c r="C296" s="2"/>
      <c r="D296" s="41"/>
      <c r="E296" s="38"/>
      <c r="F296" s="2"/>
      <c r="G296" s="41"/>
      <c r="H296" s="38"/>
      <c r="I296" s="39"/>
      <c r="J296" s="39"/>
      <c r="K296" s="41"/>
      <c r="L296" s="41"/>
      <c r="M296" s="42"/>
      <c r="U296" s="3" t="str">
        <f t="shared" si="30"/>
        <v/>
      </c>
      <c r="V296" s="3" t="str">
        <f t="shared" si="31"/>
        <v/>
      </c>
      <c r="AD296" s="6" t="str">
        <f t="shared" si="32"/>
        <v/>
      </c>
    </row>
    <row r="297" spans="1:30" x14ac:dyDescent="0.25">
      <c r="A297" s="37"/>
      <c r="B297" s="38"/>
      <c r="C297" s="2"/>
      <c r="D297" s="41"/>
      <c r="E297" s="38"/>
      <c r="F297" s="2"/>
      <c r="G297" s="41"/>
      <c r="H297" s="38"/>
      <c r="I297" s="39"/>
      <c r="J297" s="39"/>
      <c r="K297" s="41"/>
      <c r="L297" s="41"/>
      <c r="M297" s="42"/>
      <c r="U297" s="3" t="str">
        <f t="shared" si="30"/>
        <v/>
      </c>
      <c r="V297" s="3" t="str">
        <f t="shared" si="31"/>
        <v/>
      </c>
      <c r="AD297" s="6" t="str">
        <f t="shared" si="32"/>
        <v/>
      </c>
    </row>
    <row r="298" spans="1:30" x14ac:dyDescent="0.25">
      <c r="A298" s="37"/>
      <c r="B298" s="38"/>
      <c r="C298" s="2"/>
      <c r="D298" s="41"/>
      <c r="E298" s="38"/>
      <c r="F298" s="2"/>
      <c r="G298" s="41"/>
      <c r="H298" s="38"/>
      <c r="I298" s="39"/>
      <c r="J298" s="39"/>
      <c r="K298" s="41"/>
      <c r="L298" s="41"/>
      <c r="M298" s="42"/>
      <c r="U298" s="3" t="str">
        <f t="shared" si="30"/>
        <v/>
      </c>
      <c r="V298" s="3" t="str">
        <f t="shared" si="31"/>
        <v/>
      </c>
      <c r="AD298" s="6" t="str">
        <f t="shared" si="32"/>
        <v/>
      </c>
    </row>
    <row r="299" spans="1:30" x14ac:dyDescent="0.25">
      <c r="A299" s="37"/>
      <c r="B299" s="38"/>
      <c r="C299" s="2"/>
      <c r="D299" s="41"/>
      <c r="E299" s="38"/>
      <c r="F299" s="2"/>
      <c r="G299" s="41"/>
      <c r="H299" s="38"/>
      <c r="I299" s="39"/>
      <c r="J299" s="39"/>
      <c r="K299" s="41"/>
      <c r="L299" s="41"/>
      <c r="M299" s="42"/>
      <c r="U299" s="3" t="str">
        <f t="shared" si="30"/>
        <v/>
      </c>
      <c r="V299" s="3" t="str">
        <f t="shared" si="31"/>
        <v/>
      </c>
      <c r="AD299" s="6" t="str">
        <f t="shared" si="32"/>
        <v/>
      </c>
    </row>
    <row r="300" spans="1:30" x14ac:dyDescent="0.25">
      <c r="A300" s="37"/>
      <c r="B300" s="38"/>
      <c r="C300" s="2"/>
      <c r="D300" s="41"/>
      <c r="E300" s="38"/>
      <c r="F300" s="2"/>
      <c r="G300" s="41"/>
      <c r="H300" s="38"/>
      <c r="I300" s="39"/>
      <c r="J300" s="39"/>
      <c r="K300" s="41"/>
      <c r="L300" s="41"/>
      <c r="M300" s="42"/>
      <c r="U300" s="3" t="str">
        <f t="shared" si="30"/>
        <v/>
      </c>
      <c r="V300" s="3" t="str">
        <f t="shared" si="31"/>
        <v/>
      </c>
      <c r="AD300" s="6" t="str">
        <f t="shared" si="32"/>
        <v/>
      </c>
    </row>
    <row r="301" spans="1:30" x14ac:dyDescent="0.25">
      <c r="A301" s="37"/>
      <c r="B301" s="38"/>
      <c r="C301" s="2"/>
      <c r="D301" s="41"/>
      <c r="E301" s="38"/>
      <c r="F301" s="2"/>
      <c r="G301" s="41"/>
      <c r="H301" s="38"/>
      <c r="I301" s="39"/>
      <c r="J301" s="39"/>
      <c r="K301" s="41"/>
      <c r="L301" s="41"/>
      <c r="M301" s="42"/>
      <c r="U301" s="3" t="str">
        <f t="shared" si="30"/>
        <v/>
      </c>
      <c r="V301" s="3" t="str">
        <f t="shared" si="31"/>
        <v/>
      </c>
      <c r="AD301" s="6" t="str">
        <f t="shared" si="32"/>
        <v/>
      </c>
    </row>
    <row r="302" spans="1:30" x14ac:dyDescent="0.25">
      <c r="A302" s="37"/>
      <c r="B302" s="38"/>
      <c r="C302" s="2"/>
      <c r="D302" s="41"/>
      <c r="E302" s="38"/>
      <c r="F302" s="2"/>
      <c r="G302" s="41"/>
      <c r="H302" s="38"/>
      <c r="I302" s="39"/>
      <c r="J302" s="39"/>
      <c r="K302" s="41"/>
      <c r="L302" s="41"/>
      <c r="M302" s="42"/>
      <c r="U302" s="3" t="str">
        <f t="shared" si="30"/>
        <v/>
      </c>
      <c r="V302" s="3" t="str">
        <f t="shared" si="31"/>
        <v/>
      </c>
      <c r="AD302" s="6" t="str">
        <f t="shared" si="32"/>
        <v/>
      </c>
    </row>
    <row r="303" spans="1:30" x14ac:dyDescent="0.25">
      <c r="A303" s="37"/>
      <c r="B303" s="38"/>
      <c r="C303" s="2"/>
      <c r="D303" s="41"/>
      <c r="E303" s="38"/>
      <c r="F303" s="2"/>
      <c r="G303" s="41"/>
      <c r="H303" s="38"/>
      <c r="I303" s="39"/>
      <c r="J303" s="39"/>
      <c r="K303" s="41"/>
      <c r="L303" s="41"/>
      <c r="M303" s="42"/>
      <c r="U303" s="3" t="str">
        <f t="shared" si="30"/>
        <v/>
      </c>
      <c r="V303" s="3" t="str">
        <f t="shared" si="31"/>
        <v/>
      </c>
      <c r="AD303" s="6" t="str">
        <f t="shared" si="32"/>
        <v/>
      </c>
    </row>
    <row r="304" spans="1:30" x14ac:dyDescent="0.25">
      <c r="A304" s="37"/>
      <c r="B304" s="38"/>
      <c r="C304" s="2"/>
      <c r="D304" s="41"/>
      <c r="E304" s="38"/>
      <c r="F304" s="2"/>
      <c r="G304" s="41"/>
      <c r="H304" s="38"/>
      <c r="I304" s="39"/>
      <c r="J304" s="39"/>
      <c r="K304" s="41"/>
      <c r="L304" s="41"/>
      <c r="M304" s="42"/>
      <c r="U304" s="3" t="str">
        <f t="shared" si="30"/>
        <v/>
      </c>
      <c r="V304" s="3" t="str">
        <f t="shared" si="31"/>
        <v/>
      </c>
      <c r="AD304" s="6" t="str">
        <f t="shared" si="32"/>
        <v/>
      </c>
    </row>
    <row r="305" spans="1:30" x14ac:dyDescent="0.25">
      <c r="A305" s="37"/>
      <c r="B305" s="38"/>
      <c r="C305" s="2"/>
      <c r="D305" s="41"/>
      <c r="E305" s="38"/>
      <c r="F305" s="2"/>
      <c r="G305" s="41"/>
      <c r="H305" s="38"/>
      <c r="I305" s="39"/>
      <c r="J305" s="39"/>
      <c r="K305" s="41"/>
      <c r="L305" s="41"/>
      <c r="M305" s="42"/>
      <c r="U305" s="3" t="str">
        <f t="shared" si="30"/>
        <v/>
      </c>
      <c r="V305" s="3" t="str">
        <f t="shared" si="31"/>
        <v/>
      </c>
      <c r="AD305" s="6" t="str">
        <f t="shared" si="32"/>
        <v/>
      </c>
    </row>
    <row r="306" spans="1:30" x14ac:dyDescent="0.25">
      <c r="A306" s="37"/>
      <c r="B306" s="38"/>
      <c r="C306" s="2"/>
      <c r="D306" s="41"/>
      <c r="E306" s="38"/>
      <c r="F306" s="2"/>
      <c r="G306" s="41"/>
      <c r="H306" s="38"/>
      <c r="I306" s="39"/>
      <c r="J306" s="39"/>
      <c r="K306" s="41"/>
      <c r="L306" s="41"/>
      <c r="M306" s="42"/>
      <c r="U306" s="3" t="str">
        <f t="shared" si="30"/>
        <v/>
      </c>
      <c r="V306" s="3" t="str">
        <f t="shared" si="31"/>
        <v/>
      </c>
      <c r="AD306" s="6" t="str">
        <f t="shared" si="32"/>
        <v/>
      </c>
    </row>
    <row r="307" spans="1:30" x14ac:dyDescent="0.25">
      <c r="A307" s="37"/>
      <c r="B307" s="38"/>
      <c r="C307" s="2"/>
      <c r="D307" s="41"/>
      <c r="E307" s="38"/>
      <c r="F307" s="2"/>
      <c r="G307" s="41"/>
      <c r="H307" s="38"/>
      <c r="I307" s="39"/>
      <c r="J307" s="39"/>
      <c r="K307" s="41"/>
      <c r="L307" s="41"/>
      <c r="M307" s="42"/>
      <c r="U307" s="3" t="str">
        <f t="shared" si="30"/>
        <v/>
      </c>
      <c r="V307" s="3" t="str">
        <f t="shared" si="31"/>
        <v/>
      </c>
      <c r="AD307" s="6" t="str">
        <f t="shared" si="32"/>
        <v/>
      </c>
    </row>
    <row r="308" spans="1:30" x14ac:dyDescent="0.25">
      <c r="A308" s="37"/>
      <c r="B308" s="38"/>
      <c r="C308" s="2"/>
      <c r="D308" s="41"/>
      <c r="E308" s="38"/>
      <c r="F308" s="2"/>
      <c r="G308" s="41"/>
      <c r="H308" s="38"/>
      <c r="I308" s="39"/>
      <c r="J308" s="39"/>
      <c r="K308" s="41"/>
      <c r="L308" s="41"/>
      <c r="M308" s="42"/>
      <c r="U308" s="3" t="str">
        <f t="shared" si="30"/>
        <v/>
      </c>
      <c r="V308" s="3" t="str">
        <f t="shared" si="31"/>
        <v/>
      </c>
      <c r="AD308" s="6" t="str">
        <f t="shared" si="32"/>
        <v/>
      </c>
    </row>
    <row r="309" spans="1:30" x14ac:dyDescent="0.25">
      <c r="A309" s="37"/>
      <c r="B309" s="38"/>
      <c r="C309" s="2"/>
      <c r="D309" s="41"/>
      <c r="E309" s="38"/>
      <c r="F309" s="2"/>
      <c r="G309" s="41"/>
      <c r="H309" s="38"/>
      <c r="I309" s="39"/>
      <c r="J309" s="39"/>
      <c r="K309" s="41"/>
      <c r="L309" s="41"/>
      <c r="M309" s="42"/>
      <c r="U309" s="3" t="str">
        <f t="shared" si="30"/>
        <v/>
      </c>
      <c r="V309" s="3" t="str">
        <f t="shared" si="31"/>
        <v/>
      </c>
      <c r="AD309" s="6" t="str">
        <f t="shared" si="32"/>
        <v/>
      </c>
    </row>
    <row r="310" spans="1:30" x14ac:dyDescent="0.25">
      <c r="A310" s="37"/>
      <c r="B310" s="38"/>
      <c r="C310" s="2"/>
      <c r="D310" s="41"/>
      <c r="E310" s="38"/>
      <c r="F310" s="2"/>
      <c r="G310" s="41"/>
      <c r="H310" s="38"/>
      <c r="I310" s="39"/>
      <c r="J310" s="39"/>
      <c r="K310" s="41"/>
      <c r="L310" s="41"/>
      <c r="M310" s="42"/>
      <c r="U310" s="3" t="str">
        <f t="shared" si="30"/>
        <v/>
      </c>
      <c r="V310" s="3" t="str">
        <f t="shared" si="31"/>
        <v/>
      </c>
      <c r="AD310" s="6" t="str">
        <f t="shared" si="32"/>
        <v/>
      </c>
    </row>
    <row r="311" spans="1:30" x14ac:dyDescent="0.25">
      <c r="A311" s="37"/>
      <c r="B311" s="38"/>
      <c r="C311" s="2"/>
      <c r="D311" s="41"/>
      <c r="E311" s="38"/>
      <c r="F311" s="2"/>
      <c r="G311" s="41"/>
      <c r="H311" s="38"/>
      <c r="I311" s="39"/>
      <c r="J311" s="39"/>
      <c r="K311" s="41"/>
      <c r="L311" s="41"/>
      <c r="M311" s="42"/>
      <c r="U311" s="3" t="str">
        <f t="shared" si="30"/>
        <v/>
      </c>
      <c r="V311" s="3" t="str">
        <f t="shared" si="31"/>
        <v/>
      </c>
      <c r="AD311" s="6" t="str">
        <f t="shared" si="32"/>
        <v/>
      </c>
    </row>
    <row r="312" spans="1:30" x14ac:dyDescent="0.25">
      <c r="A312" s="37"/>
      <c r="B312" s="38"/>
      <c r="C312" s="2"/>
      <c r="D312" s="41"/>
      <c r="E312" s="38"/>
      <c r="F312" s="2"/>
      <c r="G312" s="41"/>
      <c r="H312" s="38"/>
      <c r="I312" s="39"/>
      <c r="J312" s="39"/>
      <c r="K312" s="41"/>
      <c r="L312" s="41"/>
      <c r="M312" s="42"/>
      <c r="U312" s="3" t="str">
        <f t="shared" si="30"/>
        <v/>
      </c>
      <c r="V312" s="3" t="str">
        <f t="shared" si="31"/>
        <v/>
      </c>
      <c r="AD312" s="6" t="str">
        <f t="shared" si="32"/>
        <v/>
      </c>
    </row>
    <row r="313" spans="1:30" x14ac:dyDescent="0.25">
      <c r="A313" s="37"/>
      <c r="B313" s="38"/>
      <c r="C313" s="2"/>
      <c r="D313" s="41"/>
      <c r="E313" s="38"/>
      <c r="F313" s="2"/>
      <c r="G313" s="41"/>
      <c r="H313" s="38"/>
      <c r="I313" s="39"/>
      <c r="J313" s="39"/>
      <c r="K313" s="41"/>
      <c r="L313" s="41"/>
      <c r="M313" s="42"/>
      <c r="U313" s="3" t="str">
        <f t="shared" si="30"/>
        <v/>
      </c>
      <c r="V313" s="3" t="str">
        <f t="shared" si="31"/>
        <v/>
      </c>
      <c r="AD313" s="6" t="str">
        <f t="shared" si="32"/>
        <v/>
      </c>
    </row>
    <row r="314" spans="1:30" x14ac:dyDescent="0.25">
      <c r="A314" s="37"/>
      <c r="B314" s="38"/>
      <c r="C314" s="2"/>
      <c r="D314" s="41"/>
      <c r="E314" s="38"/>
      <c r="F314" s="2"/>
      <c r="G314" s="41"/>
      <c r="H314" s="38"/>
      <c r="I314" s="39"/>
      <c r="J314" s="39"/>
      <c r="K314" s="41"/>
      <c r="L314" s="41"/>
      <c r="M314" s="42"/>
      <c r="U314" s="3" t="str">
        <f t="shared" si="30"/>
        <v/>
      </c>
      <c r="V314" s="3" t="str">
        <f t="shared" si="31"/>
        <v/>
      </c>
      <c r="AD314" s="6" t="str">
        <f t="shared" si="32"/>
        <v/>
      </c>
    </row>
    <row r="315" spans="1:30" x14ac:dyDescent="0.25">
      <c r="A315" s="37"/>
      <c r="B315" s="38"/>
      <c r="C315" s="2"/>
      <c r="D315" s="41"/>
      <c r="E315" s="38"/>
      <c r="F315" s="2"/>
      <c r="G315" s="41"/>
      <c r="H315" s="38"/>
      <c r="I315" s="39"/>
      <c r="J315" s="39"/>
      <c r="K315" s="41"/>
      <c r="L315" s="41"/>
      <c r="M315" s="42"/>
      <c r="U315" s="3" t="str">
        <f t="shared" si="30"/>
        <v/>
      </c>
      <c r="V315" s="3" t="str">
        <f t="shared" si="31"/>
        <v/>
      </c>
      <c r="AD315" s="6" t="str">
        <f t="shared" si="32"/>
        <v/>
      </c>
    </row>
    <row r="316" spans="1:30" x14ac:dyDescent="0.25">
      <c r="A316" s="37"/>
      <c r="B316" s="38"/>
      <c r="C316" s="2"/>
      <c r="D316" s="41"/>
      <c r="E316" s="38"/>
      <c r="F316" s="2"/>
      <c r="G316" s="41"/>
      <c r="H316" s="38"/>
      <c r="I316" s="39"/>
      <c r="J316" s="39"/>
      <c r="K316" s="41"/>
      <c r="L316" s="41"/>
      <c r="M316" s="42"/>
      <c r="U316" s="3" t="str">
        <f t="shared" si="30"/>
        <v/>
      </c>
      <c r="V316" s="3" t="str">
        <f t="shared" si="31"/>
        <v/>
      </c>
      <c r="AD316" s="6" t="str">
        <f t="shared" si="32"/>
        <v/>
      </c>
    </row>
    <row r="317" spans="1:30" x14ac:dyDescent="0.25">
      <c r="A317" s="37"/>
      <c r="B317" s="38"/>
      <c r="C317" s="2"/>
      <c r="D317" s="41"/>
      <c r="E317" s="38"/>
      <c r="F317" s="2"/>
      <c r="G317" s="41"/>
      <c r="H317" s="38"/>
      <c r="I317" s="39"/>
      <c r="J317" s="39"/>
      <c r="K317" s="41"/>
      <c r="L317" s="41"/>
      <c r="M317" s="42"/>
      <c r="U317" s="3" t="str">
        <f t="shared" si="30"/>
        <v/>
      </c>
      <c r="V317" s="3" t="str">
        <f t="shared" si="31"/>
        <v/>
      </c>
      <c r="AD317" s="6" t="str">
        <f t="shared" si="32"/>
        <v/>
      </c>
    </row>
    <row r="318" spans="1:30" x14ac:dyDescent="0.25">
      <c r="A318" s="37"/>
      <c r="B318" s="38"/>
      <c r="C318" s="2"/>
      <c r="D318" s="41"/>
      <c r="E318" s="38"/>
      <c r="F318" s="2"/>
      <c r="G318" s="41"/>
      <c r="H318" s="38"/>
      <c r="I318" s="39"/>
      <c r="J318" s="39"/>
      <c r="K318" s="41"/>
      <c r="L318" s="41"/>
      <c r="M318" s="42"/>
      <c r="U318" s="3" t="str">
        <f t="shared" si="30"/>
        <v/>
      </c>
      <c r="V318" s="3" t="str">
        <f t="shared" si="31"/>
        <v/>
      </c>
      <c r="AD318" s="6" t="str">
        <f t="shared" si="32"/>
        <v/>
      </c>
    </row>
    <row r="319" spans="1:30" x14ac:dyDescent="0.25">
      <c r="A319" s="37"/>
      <c r="B319" s="38"/>
      <c r="C319" s="2"/>
      <c r="D319" s="41"/>
      <c r="E319" s="38"/>
      <c r="F319" s="2"/>
      <c r="G319" s="41"/>
      <c r="H319" s="38"/>
      <c r="I319" s="39"/>
      <c r="J319" s="39"/>
      <c r="K319" s="41"/>
      <c r="L319" s="41"/>
      <c r="M319" s="42"/>
      <c r="U319" s="3" t="str">
        <f t="shared" si="30"/>
        <v/>
      </c>
      <c r="V319" s="3" t="str">
        <f t="shared" si="31"/>
        <v/>
      </c>
      <c r="AD319" s="6" t="str">
        <f t="shared" si="32"/>
        <v/>
      </c>
    </row>
    <row r="320" spans="1:30" x14ac:dyDescent="0.25">
      <c r="A320" s="37"/>
      <c r="B320" s="38"/>
      <c r="C320" s="2"/>
      <c r="D320" s="41"/>
      <c r="E320" s="38"/>
      <c r="F320" s="2"/>
      <c r="G320" s="41"/>
      <c r="H320" s="38"/>
      <c r="I320" s="39"/>
      <c r="J320" s="39"/>
      <c r="K320" s="41"/>
      <c r="L320" s="41"/>
      <c r="M320" s="42"/>
      <c r="U320" s="3" t="str">
        <f t="shared" si="30"/>
        <v/>
      </c>
      <c r="V320" s="3" t="str">
        <f t="shared" si="31"/>
        <v/>
      </c>
      <c r="AD320" s="6" t="str">
        <f t="shared" si="32"/>
        <v/>
      </c>
    </row>
    <row r="321" spans="1:30" x14ac:dyDescent="0.25">
      <c r="A321" s="37"/>
      <c r="B321" s="38"/>
      <c r="C321" s="2"/>
      <c r="D321" s="41"/>
      <c r="E321" s="38"/>
      <c r="F321" s="2"/>
      <c r="G321" s="41"/>
      <c r="H321" s="38"/>
      <c r="I321" s="39"/>
      <c r="J321" s="39"/>
      <c r="K321" s="41"/>
      <c r="L321" s="41"/>
      <c r="M321" s="42"/>
      <c r="U321" s="3" t="str">
        <f t="shared" si="30"/>
        <v/>
      </c>
      <c r="V321" s="3" t="str">
        <f t="shared" si="31"/>
        <v/>
      </c>
      <c r="AD321" s="6" t="str">
        <f t="shared" si="32"/>
        <v/>
      </c>
    </row>
    <row r="322" spans="1:30" x14ac:dyDescent="0.25">
      <c r="A322" s="37"/>
      <c r="B322" s="38"/>
      <c r="C322" s="2"/>
      <c r="D322" s="41"/>
      <c r="E322" s="38"/>
      <c r="F322" s="2"/>
      <c r="G322" s="41"/>
      <c r="H322" s="38"/>
      <c r="I322" s="39"/>
      <c r="J322" s="39"/>
      <c r="K322" s="41"/>
      <c r="L322" s="41"/>
      <c r="M322" s="42"/>
      <c r="U322" s="3" t="str">
        <f t="shared" si="30"/>
        <v/>
      </c>
      <c r="V322" s="3" t="str">
        <f t="shared" si="31"/>
        <v/>
      </c>
      <c r="AD322" s="6" t="str">
        <f t="shared" si="32"/>
        <v/>
      </c>
    </row>
    <row r="323" spans="1:30" x14ac:dyDescent="0.25">
      <c r="A323" s="37"/>
      <c r="B323" s="38"/>
      <c r="C323" s="2"/>
      <c r="D323" s="41"/>
      <c r="E323" s="38"/>
      <c r="F323" s="2"/>
      <c r="G323" s="41"/>
      <c r="H323" s="38"/>
      <c r="I323" s="39"/>
      <c r="J323" s="39"/>
      <c r="K323" s="41"/>
      <c r="L323" s="41"/>
      <c r="M323" s="42"/>
      <c r="U323" s="3" t="str">
        <f t="shared" si="30"/>
        <v/>
      </c>
      <c r="V323" s="3" t="str">
        <f t="shared" si="31"/>
        <v/>
      </c>
      <c r="AD323" s="6" t="str">
        <f t="shared" si="32"/>
        <v/>
      </c>
    </row>
    <row r="324" spans="1:30" x14ac:dyDescent="0.25">
      <c r="A324" s="37"/>
      <c r="B324" s="38"/>
      <c r="C324" s="2"/>
      <c r="D324" s="41"/>
      <c r="E324" s="38"/>
      <c r="F324" s="2"/>
      <c r="G324" s="41"/>
      <c r="H324" s="38"/>
      <c r="I324" s="39"/>
      <c r="J324" s="39"/>
      <c r="K324" s="41"/>
      <c r="L324" s="41"/>
      <c r="M324" s="42"/>
      <c r="U324" s="3" t="str">
        <f t="shared" ref="U324:U387" si="33">IF(COUNTIF(Q:Q,O324)*COUNTIF(S:S,O324),O324,"")</f>
        <v/>
      </c>
      <c r="V324" s="3" t="str">
        <f t="shared" ref="V324:V387" si="34">IF(U324&gt;$A$14,U324,"")</f>
        <v/>
      </c>
      <c r="AD324" s="6" t="str">
        <f t="shared" ref="AD324:AD387" si="35">IF(COUNTIF(AB:AB,Z324),Z324,"")</f>
        <v/>
      </c>
    </row>
    <row r="325" spans="1:30" x14ac:dyDescent="0.25">
      <c r="A325" s="37"/>
      <c r="B325" s="38"/>
      <c r="C325" s="2"/>
      <c r="D325" s="41"/>
      <c r="E325" s="38"/>
      <c r="F325" s="2"/>
      <c r="G325" s="41"/>
      <c r="H325" s="38"/>
      <c r="I325" s="39"/>
      <c r="J325" s="39"/>
      <c r="K325" s="41"/>
      <c r="L325" s="41"/>
      <c r="M325" s="42"/>
      <c r="U325" s="3" t="str">
        <f t="shared" si="33"/>
        <v/>
      </c>
      <c r="V325" s="3" t="str">
        <f t="shared" si="34"/>
        <v/>
      </c>
      <c r="AD325" s="6" t="str">
        <f t="shared" si="35"/>
        <v/>
      </c>
    </row>
    <row r="326" spans="1:30" x14ac:dyDescent="0.25">
      <c r="A326" s="37"/>
      <c r="B326" s="38"/>
      <c r="C326" s="2"/>
      <c r="D326" s="41"/>
      <c r="E326" s="38"/>
      <c r="F326" s="2"/>
      <c r="G326" s="41"/>
      <c r="H326" s="38"/>
      <c r="I326" s="39"/>
      <c r="J326" s="39"/>
      <c r="K326" s="41"/>
      <c r="L326" s="41"/>
      <c r="M326" s="42"/>
      <c r="U326" s="3" t="str">
        <f t="shared" si="33"/>
        <v/>
      </c>
      <c r="V326" s="3" t="str">
        <f t="shared" si="34"/>
        <v/>
      </c>
      <c r="AD326" s="6" t="str">
        <f t="shared" si="35"/>
        <v/>
      </c>
    </row>
    <row r="327" spans="1:30" x14ac:dyDescent="0.25">
      <c r="A327" s="37"/>
      <c r="B327" s="38"/>
      <c r="C327" s="2"/>
      <c r="D327" s="41"/>
      <c r="E327" s="38"/>
      <c r="F327" s="2"/>
      <c r="G327" s="41"/>
      <c r="H327" s="38"/>
      <c r="I327" s="39"/>
      <c r="J327" s="39"/>
      <c r="K327" s="41"/>
      <c r="L327" s="41"/>
      <c r="M327" s="42"/>
      <c r="U327" s="3" t="str">
        <f t="shared" si="33"/>
        <v/>
      </c>
      <c r="V327" s="3" t="str">
        <f t="shared" si="34"/>
        <v/>
      </c>
      <c r="AD327" s="6" t="str">
        <f t="shared" si="35"/>
        <v/>
      </c>
    </row>
    <row r="328" spans="1:30" x14ac:dyDescent="0.25">
      <c r="A328" s="37"/>
      <c r="B328" s="38"/>
      <c r="C328" s="2"/>
      <c r="D328" s="41"/>
      <c r="E328" s="38"/>
      <c r="F328" s="2"/>
      <c r="G328" s="41"/>
      <c r="H328" s="38"/>
      <c r="I328" s="39"/>
      <c r="J328" s="39"/>
      <c r="K328" s="41"/>
      <c r="L328" s="41"/>
      <c r="M328" s="42"/>
      <c r="U328" s="3" t="str">
        <f t="shared" si="33"/>
        <v/>
      </c>
      <c r="V328" s="3" t="str">
        <f t="shared" si="34"/>
        <v/>
      </c>
      <c r="AD328" s="6" t="str">
        <f t="shared" si="35"/>
        <v/>
      </c>
    </row>
    <row r="329" spans="1:30" x14ac:dyDescent="0.25">
      <c r="A329" s="37"/>
      <c r="B329" s="38"/>
      <c r="C329" s="2"/>
      <c r="D329" s="41"/>
      <c r="E329" s="38"/>
      <c r="F329" s="2"/>
      <c r="G329" s="41"/>
      <c r="H329" s="38"/>
      <c r="I329" s="39"/>
      <c r="J329" s="39"/>
      <c r="K329" s="41"/>
      <c r="L329" s="41"/>
      <c r="M329" s="42"/>
      <c r="U329" s="3" t="str">
        <f t="shared" si="33"/>
        <v/>
      </c>
      <c r="V329" s="3" t="str">
        <f t="shared" si="34"/>
        <v/>
      </c>
      <c r="AD329" s="6" t="str">
        <f t="shared" si="35"/>
        <v/>
      </c>
    </row>
    <row r="330" spans="1:30" x14ac:dyDescent="0.25">
      <c r="A330" s="37"/>
      <c r="B330" s="38"/>
      <c r="C330" s="2"/>
      <c r="D330" s="41"/>
      <c r="E330" s="38"/>
      <c r="F330" s="2"/>
      <c r="G330" s="41"/>
      <c r="H330" s="38"/>
      <c r="I330" s="39"/>
      <c r="J330" s="39"/>
      <c r="K330" s="41"/>
      <c r="L330" s="41"/>
      <c r="M330" s="42"/>
      <c r="U330" s="3" t="str">
        <f t="shared" si="33"/>
        <v/>
      </c>
      <c r="V330" s="3" t="str">
        <f t="shared" si="34"/>
        <v/>
      </c>
      <c r="AD330" s="6" t="str">
        <f t="shared" si="35"/>
        <v/>
      </c>
    </row>
    <row r="331" spans="1:30" x14ac:dyDescent="0.25">
      <c r="A331" s="37"/>
      <c r="B331" s="38"/>
      <c r="C331" s="2"/>
      <c r="D331" s="41"/>
      <c r="E331" s="38"/>
      <c r="F331" s="2"/>
      <c r="G331" s="41"/>
      <c r="H331" s="38"/>
      <c r="I331" s="39"/>
      <c r="J331" s="39"/>
      <c r="K331" s="41"/>
      <c r="L331" s="41"/>
      <c r="M331" s="42"/>
      <c r="U331" s="3" t="str">
        <f t="shared" si="33"/>
        <v/>
      </c>
      <c r="V331" s="3" t="str">
        <f t="shared" si="34"/>
        <v/>
      </c>
      <c r="AD331" s="6" t="str">
        <f t="shared" si="35"/>
        <v/>
      </c>
    </row>
    <row r="332" spans="1:30" x14ac:dyDescent="0.25">
      <c r="A332" s="37"/>
      <c r="B332" s="38"/>
      <c r="C332" s="2"/>
      <c r="D332" s="41"/>
      <c r="E332" s="38"/>
      <c r="F332" s="2"/>
      <c r="G332" s="41"/>
      <c r="H332" s="38"/>
      <c r="I332" s="39"/>
      <c r="J332" s="39"/>
      <c r="K332" s="41"/>
      <c r="L332" s="41"/>
      <c r="M332" s="42"/>
      <c r="U332" s="3" t="str">
        <f t="shared" si="33"/>
        <v/>
      </c>
      <c r="V332" s="3" t="str">
        <f t="shared" si="34"/>
        <v/>
      </c>
      <c r="AD332" s="6" t="str">
        <f t="shared" si="35"/>
        <v/>
      </c>
    </row>
    <row r="333" spans="1:30" x14ac:dyDescent="0.25">
      <c r="A333" s="37"/>
      <c r="B333" s="38"/>
      <c r="C333" s="2"/>
      <c r="D333" s="41"/>
      <c r="E333" s="38"/>
      <c r="F333" s="2"/>
      <c r="G333" s="41"/>
      <c r="H333" s="38"/>
      <c r="I333" s="39"/>
      <c r="J333" s="39"/>
      <c r="K333" s="41"/>
      <c r="L333" s="41"/>
      <c r="M333" s="42"/>
      <c r="U333" s="3" t="str">
        <f t="shared" si="33"/>
        <v/>
      </c>
      <c r="V333" s="3" t="str">
        <f t="shared" si="34"/>
        <v/>
      </c>
      <c r="AD333" s="6" t="str">
        <f t="shared" si="35"/>
        <v/>
      </c>
    </row>
    <row r="334" spans="1:30" x14ac:dyDescent="0.25">
      <c r="A334" s="37"/>
      <c r="B334" s="38"/>
      <c r="C334" s="2"/>
      <c r="D334" s="41"/>
      <c r="E334" s="38"/>
      <c r="F334" s="2"/>
      <c r="G334" s="41"/>
      <c r="H334" s="38"/>
      <c r="I334" s="39"/>
      <c r="J334" s="39"/>
      <c r="K334" s="41"/>
      <c r="L334" s="41"/>
      <c r="M334" s="42"/>
      <c r="U334" s="3" t="str">
        <f t="shared" si="33"/>
        <v/>
      </c>
      <c r="V334" s="3" t="str">
        <f t="shared" si="34"/>
        <v/>
      </c>
      <c r="AD334" s="6" t="str">
        <f t="shared" si="35"/>
        <v/>
      </c>
    </row>
    <row r="335" spans="1:30" x14ac:dyDescent="0.25">
      <c r="A335" s="37"/>
      <c r="B335" s="38"/>
      <c r="C335" s="2"/>
      <c r="D335" s="41"/>
      <c r="E335" s="38"/>
      <c r="F335" s="2"/>
      <c r="G335" s="41"/>
      <c r="H335" s="38"/>
      <c r="I335" s="39"/>
      <c r="J335" s="39"/>
      <c r="K335" s="41"/>
      <c r="L335" s="41"/>
      <c r="M335" s="42"/>
      <c r="U335" s="3" t="str">
        <f t="shared" si="33"/>
        <v/>
      </c>
      <c r="V335" s="3" t="str">
        <f t="shared" si="34"/>
        <v/>
      </c>
      <c r="AD335" s="6" t="str">
        <f t="shared" si="35"/>
        <v/>
      </c>
    </row>
    <row r="336" spans="1:30" x14ac:dyDescent="0.25">
      <c r="A336" s="37"/>
      <c r="B336" s="38"/>
      <c r="C336" s="2"/>
      <c r="D336" s="41"/>
      <c r="E336" s="38"/>
      <c r="F336" s="2"/>
      <c r="G336" s="41"/>
      <c r="H336" s="38"/>
      <c r="I336" s="39"/>
      <c r="J336" s="39"/>
      <c r="K336" s="41"/>
      <c r="L336" s="41"/>
      <c r="M336" s="42"/>
      <c r="U336" s="3" t="str">
        <f t="shared" si="33"/>
        <v/>
      </c>
      <c r="V336" s="3" t="str">
        <f t="shared" si="34"/>
        <v/>
      </c>
      <c r="AD336" s="6" t="str">
        <f t="shared" si="35"/>
        <v/>
      </c>
    </row>
    <row r="337" spans="1:30" x14ac:dyDescent="0.25">
      <c r="A337" s="37"/>
      <c r="B337" s="38"/>
      <c r="C337" s="2"/>
      <c r="D337" s="41"/>
      <c r="E337" s="38"/>
      <c r="F337" s="2"/>
      <c r="G337" s="41"/>
      <c r="H337" s="38"/>
      <c r="I337" s="39"/>
      <c r="J337" s="39"/>
      <c r="K337" s="41"/>
      <c r="L337" s="41"/>
      <c r="M337" s="42"/>
      <c r="U337" s="3" t="str">
        <f t="shared" si="33"/>
        <v/>
      </c>
      <c r="V337" s="3" t="str">
        <f t="shared" si="34"/>
        <v/>
      </c>
      <c r="AD337" s="6" t="str">
        <f t="shared" si="35"/>
        <v/>
      </c>
    </row>
    <row r="338" spans="1:30" x14ac:dyDescent="0.25">
      <c r="A338" s="37"/>
      <c r="B338" s="38"/>
      <c r="C338" s="2"/>
      <c r="D338" s="41"/>
      <c r="E338" s="38"/>
      <c r="F338" s="2"/>
      <c r="G338" s="41"/>
      <c r="H338" s="38"/>
      <c r="I338" s="39"/>
      <c r="J338" s="39"/>
      <c r="K338" s="41"/>
      <c r="L338" s="41"/>
      <c r="M338" s="42"/>
      <c r="U338" s="3" t="str">
        <f t="shared" si="33"/>
        <v/>
      </c>
      <c r="V338" s="3" t="str">
        <f t="shared" si="34"/>
        <v/>
      </c>
      <c r="AD338" s="6" t="str">
        <f t="shared" si="35"/>
        <v/>
      </c>
    </row>
    <row r="339" spans="1:30" x14ac:dyDescent="0.25">
      <c r="A339" s="37"/>
      <c r="B339" s="38"/>
      <c r="C339" s="2"/>
      <c r="D339" s="41"/>
      <c r="E339" s="38"/>
      <c r="F339" s="2"/>
      <c r="G339" s="41"/>
      <c r="H339" s="38"/>
      <c r="I339" s="39"/>
      <c r="J339" s="39"/>
      <c r="K339" s="41"/>
      <c r="L339" s="41"/>
      <c r="M339" s="42"/>
      <c r="U339" s="3" t="str">
        <f t="shared" si="33"/>
        <v/>
      </c>
      <c r="V339" s="3" t="str">
        <f t="shared" si="34"/>
        <v/>
      </c>
      <c r="AD339" s="6" t="str">
        <f t="shared" si="35"/>
        <v/>
      </c>
    </row>
    <row r="340" spans="1:30" x14ac:dyDescent="0.25">
      <c r="A340" s="37"/>
      <c r="B340" s="38"/>
      <c r="C340" s="2"/>
      <c r="D340" s="41"/>
      <c r="E340" s="38"/>
      <c r="F340" s="2"/>
      <c r="G340" s="41"/>
      <c r="H340" s="38"/>
      <c r="I340" s="39"/>
      <c r="J340" s="39"/>
      <c r="K340" s="41"/>
      <c r="L340" s="41"/>
      <c r="M340" s="42"/>
      <c r="U340" s="3" t="str">
        <f t="shared" si="33"/>
        <v/>
      </c>
      <c r="V340" s="3" t="str">
        <f t="shared" si="34"/>
        <v/>
      </c>
      <c r="AD340" s="6" t="str">
        <f t="shared" si="35"/>
        <v/>
      </c>
    </row>
    <row r="341" spans="1:30" x14ac:dyDescent="0.25">
      <c r="A341" s="37"/>
      <c r="B341" s="38"/>
      <c r="C341" s="2"/>
      <c r="D341" s="41"/>
      <c r="E341" s="38"/>
      <c r="F341" s="2"/>
      <c r="G341" s="41"/>
      <c r="H341" s="38"/>
      <c r="I341" s="39"/>
      <c r="J341" s="39"/>
      <c r="K341" s="41"/>
      <c r="L341" s="41"/>
      <c r="M341" s="42"/>
      <c r="U341" s="3" t="str">
        <f t="shared" si="33"/>
        <v/>
      </c>
      <c r="V341" s="3" t="str">
        <f t="shared" si="34"/>
        <v/>
      </c>
      <c r="AD341" s="6" t="str">
        <f t="shared" si="35"/>
        <v/>
      </c>
    </row>
    <row r="342" spans="1:30" x14ac:dyDescent="0.25">
      <c r="A342" s="37"/>
      <c r="B342" s="38"/>
      <c r="C342" s="2"/>
      <c r="D342" s="41"/>
      <c r="E342" s="38"/>
      <c r="F342" s="2"/>
      <c r="G342" s="41"/>
      <c r="H342" s="38"/>
      <c r="I342" s="39"/>
      <c r="J342" s="39"/>
      <c r="K342" s="41"/>
      <c r="L342" s="41"/>
      <c r="M342" s="42"/>
      <c r="U342" s="3" t="str">
        <f t="shared" si="33"/>
        <v/>
      </c>
      <c r="V342" s="3" t="str">
        <f t="shared" si="34"/>
        <v/>
      </c>
      <c r="AD342" s="6" t="str">
        <f t="shared" si="35"/>
        <v/>
      </c>
    </row>
    <row r="343" spans="1:30" x14ac:dyDescent="0.25">
      <c r="A343" s="37"/>
      <c r="B343" s="38"/>
      <c r="C343" s="2"/>
      <c r="D343" s="41"/>
      <c r="E343" s="38"/>
      <c r="F343" s="2"/>
      <c r="G343" s="41"/>
      <c r="H343" s="38"/>
      <c r="I343" s="39"/>
      <c r="J343" s="39"/>
      <c r="K343" s="41"/>
      <c r="L343" s="41"/>
      <c r="M343" s="42"/>
      <c r="U343" s="3" t="str">
        <f t="shared" si="33"/>
        <v/>
      </c>
      <c r="V343" s="3" t="str">
        <f t="shared" si="34"/>
        <v/>
      </c>
      <c r="AD343" s="6" t="str">
        <f t="shared" si="35"/>
        <v/>
      </c>
    </row>
    <row r="344" spans="1:30" x14ac:dyDescent="0.25">
      <c r="A344" s="37"/>
      <c r="B344" s="38"/>
      <c r="C344" s="2"/>
      <c r="D344" s="41"/>
      <c r="E344" s="38"/>
      <c r="F344" s="2"/>
      <c r="G344" s="41"/>
      <c r="H344" s="38"/>
      <c r="I344" s="39"/>
      <c r="J344" s="39"/>
      <c r="K344" s="41"/>
      <c r="L344" s="41"/>
      <c r="M344" s="42"/>
      <c r="U344" s="3" t="str">
        <f t="shared" si="33"/>
        <v/>
      </c>
      <c r="V344" s="3" t="str">
        <f t="shared" si="34"/>
        <v/>
      </c>
      <c r="AD344" s="6" t="str">
        <f t="shared" si="35"/>
        <v/>
      </c>
    </row>
    <row r="345" spans="1:30" x14ac:dyDescent="0.25">
      <c r="A345" s="37"/>
      <c r="B345" s="38"/>
      <c r="C345" s="2"/>
      <c r="D345" s="41"/>
      <c r="E345" s="38"/>
      <c r="F345" s="2"/>
      <c r="G345" s="41"/>
      <c r="H345" s="38"/>
      <c r="I345" s="39"/>
      <c r="J345" s="39"/>
      <c r="K345" s="41"/>
      <c r="L345" s="41"/>
      <c r="M345" s="42"/>
      <c r="U345" s="3" t="str">
        <f t="shared" si="33"/>
        <v/>
      </c>
      <c r="V345" s="3" t="str">
        <f t="shared" si="34"/>
        <v/>
      </c>
      <c r="AD345" s="6" t="str">
        <f t="shared" si="35"/>
        <v/>
      </c>
    </row>
    <row r="346" spans="1:30" x14ac:dyDescent="0.25">
      <c r="A346" s="37"/>
      <c r="B346" s="38"/>
      <c r="C346" s="2"/>
      <c r="D346" s="41"/>
      <c r="E346" s="38"/>
      <c r="F346" s="2"/>
      <c r="G346" s="41"/>
      <c r="H346" s="38"/>
      <c r="I346" s="39"/>
      <c r="J346" s="39"/>
      <c r="K346" s="41"/>
      <c r="L346" s="41"/>
      <c r="M346" s="42"/>
      <c r="U346" s="3" t="str">
        <f t="shared" si="33"/>
        <v/>
      </c>
      <c r="V346" s="3" t="str">
        <f t="shared" si="34"/>
        <v/>
      </c>
      <c r="AD346" s="6" t="str">
        <f t="shared" si="35"/>
        <v/>
      </c>
    </row>
    <row r="347" spans="1:30" x14ac:dyDescent="0.25">
      <c r="A347" s="37"/>
      <c r="B347" s="38"/>
      <c r="C347" s="2"/>
      <c r="D347" s="41"/>
      <c r="E347" s="38"/>
      <c r="F347" s="2"/>
      <c r="G347" s="41"/>
      <c r="H347" s="38"/>
      <c r="I347" s="39"/>
      <c r="J347" s="39"/>
      <c r="K347" s="41"/>
      <c r="L347" s="41"/>
      <c r="M347" s="42"/>
      <c r="U347" s="3" t="str">
        <f t="shared" si="33"/>
        <v/>
      </c>
      <c r="V347" s="3" t="str">
        <f t="shared" si="34"/>
        <v/>
      </c>
      <c r="AD347" s="6" t="str">
        <f t="shared" si="35"/>
        <v/>
      </c>
    </row>
    <row r="348" spans="1:30" x14ac:dyDescent="0.25">
      <c r="A348" s="37"/>
      <c r="B348" s="38"/>
      <c r="C348" s="2"/>
      <c r="D348" s="41"/>
      <c r="E348" s="38"/>
      <c r="F348" s="2"/>
      <c r="G348" s="41"/>
      <c r="H348" s="38"/>
      <c r="I348" s="39"/>
      <c r="J348" s="39"/>
      <c r="K348" s="41"/>
      <c r="L348" s="41"/>
      <c r="M348" s="42"/>
      <c r="U348" s="3" t="str">
        <f t="shared" si="33"/>
        <v/>
      </c>
      <c r="V348" s="3" t="str">
        <f t="shared" si="34"/>
        <v/>
      </c>
      <c r="AD348" s="6" t="str">
        <f t="shared" si="35"/>
        <v/>
      </c>
    </row>
    <row r="349" spans="1:30" x14ac:dyDescent="0.25">
      <c r="A349" s="37"/>
      <c r="B349" s="38"/>
      <c r="C349" s="2"/>
      <c r="D349" s="41"/>
      <c r="E349" s="38"/>
      <c r="F349" s="2"/>
      <c r="G349" s="41"/>
      <c r="H349" s="38"/>
      <c r="I349" s="39"/>
      <c r="J349" s="39"/>
      <c r="K349" s="41"/>
      <c r="L349" s="41"/>
      <c r="M349" s="42"/>
      <c r="U349" s="3" t="str">
        <f t="shared" si="33"/>
        <v/>
      </c>
      <c r="V349" s="3" t="str">
        <f t="shared" si="34"/>
        <v/>
      </c>
      <c r="AD349" s="6" t="str">
        <f t="shared" si="35"/>
        <v/>
      </c>
    </row>
    <row r="350" spans="1:30" x14ac:dyDescent="0.25">
      <c r="A350" s="37"/>
      <c r="B350" s="38"/>
      <c r="C350" s="2"/>
      <c r="D350" s="41"/>
      <c r="E350" s="38"/>
      <c r="F350" s="2"/>
      <c r="G350" s="41"/>
      <c r="H350" s="38"/>
      <c r="I350" s="39"/>
      <c r="J350" s="39"/>
      <c r="K350" s="41"/>
      <c r="L350" s="41"/>
      <c r="M350" s="42"/>
      <c r="U350" s="3" t="str">
        <f t="shared" si="33"/>
        <v/>
      </c>
      <c r="V350" s="3" t="str">
        <f t="shared" si="34"/>
        <v/>
      </c>
      <c r="AD350" s="6" t="str">
        <f t="shared" si="35"/>
        <v/>
      </c>
    </row>
    <row r="351" spans="1:30" x14ac:dyDescent="0.25">
      <c r="A351" s="37"/>
      <c r="B351" s="38"/>
      <c r="C351" s="2"/>
      <c r="D351" s="41"/>
      <c r="E351" s="38"/>
      <c r="F351" s="2"/>
      <c r="G351" s="41"/>
      <c r="H351" s="38"/>
      <c r="I351" s="39"/>
      <c r="J351" s="39"/>
      <c r="K351" s="41"/>
      <c r="L351" s="41"/>
      <c r="M351" s="42"/>
      <c r="U351" s="3" t="str">
        <f t="shared" si="33"/>
        <v/>
      </c>
      <c r="V351" s="3" t="str">
        <f t="shared" si="34"/>
        <v/>
      </c>
      <c r="AD351" s="6" t="str">
        <f t="shared" si="35"/>
        <v/>
      </c>
    </row>
    <row r="352" spans="1:30" x14ac:dyDescent="0.25">
      <c r="A352" s="37"/>
      <c r="B352" s="38"/>
      <c r="C352" s="2"/>
      <c r="D352" s="41"/>
      <c r="E352" s="38"/>
      <c r="F352" s="2"/>
      <c r="G352" s="41"/>
      <c r="H352" s="38"/>
      <c r="I352" s="39"/>
      <c r="J352" s="39"/>
      <c r="K352" s="41"/>
      <c r="L352" s="41"/>
      <c r="M352" s="42"/>
      <c r="U352" s="3" t="str">
        <f t="shared" si="33"/>
        <v/>
      </c>
      <c r="V352" s="3" t="str">
        <f t="shared" si="34"/>
        <v/>
      </c>
      <c r="AD352" s="6" t="str">
        <f t="shared" si="35"/>
        <v/>
      </c>
    </row>
    <row r="353" spans="1:30" x14ac:dyDescent="0.25">
      <c r="A353" s="37"/>
      <c r="B353" s="38"/>
      <c r="C353" s="2"/>
      <c r="D353" s="41"/>
      <c r="E353" s="38"/>
      <c r="F353" s="2"/>
      <c r="G353" s="41"/>
      <c r="H353" s="38"/>
      <c r="I353" s="39"/>
      <c r="J353" s="39"/>
      <c r="K353" s="41"/>
      <c r="L353" s="41"/>
      <c r="M353" s="42"/>
      <c r="U353" s="3" t="str">
        <f t="shared" si="33"/>
        <v/>
      </c>
      <c r="V353" s="3" t="str">
        <f t="shared" si="34"/>
        <v/>
      </c>
      <c r="AD353" s="6" t="str">
        <f t="shared" si="35"/>
        <v/>
      </c>
    </row>
    <row r="354" spans="1:30" x14ac:dyDescent="0.25">
      <c r="A354" s="37"/>
      <c r="B354" s="38"/>
      <c r="C354" s="2"/>
      <c r="D354" s="41"/>
      <c r="E354" s="38"/>
      <c r="F354" s="2"/>
      <c r="G354" s="41"/>
      <c r="H354" s="38"/>
      <c r="I354" s="39"/>
      <c r="J354" s="39"/>
      <c r="K354" s="41"/>
      <c r="L354" s="41"/>
      <c r="M354" s="42"/>
      <c r="U354" s="3" t="str">
        <f t="shared" si="33"/>
        <v/>
      </c>
      <c r="V354" s="3" t="str">
        <f t="shared" si="34"/>
        <v/>
      </c>
      <c r="AD354" s="6" t="str">
        <f t="shared" si="35"/>
        <v/>
      </c>
    </row>
    <row r="355" spans="1:30" x14ac:dyDescent="0.25">
      <c r="A355" s="37"/>
      <c r="B355" s="38"/>
      <c r="C355" s="2"/>
      <c r="D355" s="41"/>
      <c r="E355" s="38"/>
      <c r="F355" s="2"/>
      <c r="G355" s="41"/>
      <c r="H355" s="38"/>
      <c r="I355" s="39"/>
      <c r="J355" s="39"/>
      <c r="K355" s="41"/>
      <c r="L355" s="41"/>
      <c r="M355" s="42"/>
      <c r="U355" s="3" t="str">
        <f t="shared" si="33"/>
        <v/>
      </c>
      <c r="V355" s="3" t="str">
        <f t="shared" si="34"/>
        <v/>
      </c>
      <c r="AD355" s="6" t="str">
        <f t="shared" si="35"/>
        <v/>
      </c>
    </row>
    <row r="356" spans="1:30" x14ac:dyDescent="0.25">
      <c r="A356" s="37"/>
      <c r="B356" s="38"/>
      <c r="C356" s="2"/>
      <c r="D356" s="41"/>
      <c r="E356" s="38"/>
      <c r="F356" s="2"/>
      <c r="G356" s="41"/>
      <c r="H356" s="38"/>
      <c r="I356" s="39"/>
      <c r="J356" s="39"/>
      <c r="K356" s="41"/>
      <c r="L356" s="41"/>
      <c r="M356" s="42"/>
      <c r="U356" s="3" t="str">
        <f t="shared" si="33"/>
        <v/>
      </c>
      <c r="V356" s="3" t="str">
        <f t="shared" si="34"/>
        <v/>
      </c>
      <c r="AD356" s="6" t="str">
        <f t="shared" si="35"/>
        <v/>
      </c>
    </row>
    <row r="357" spans="1:30" x14ac:dyDescent="0.25">
      <c r="A357" s="37"/>
      <c r="B357" s="38"/>
      <c r="C357" s="2"/>
      <c r="D357" s="41"/>
      <c r="E357" s="38"/>
      <c r="F357" s="2"/>
      <c r="G357" s="41"/>
      <c r="H357" s="38"/>
      <c r="I357" s="39"/>
      <c r="J357" s="39"/>
      <c r="K357" s="41"/>
      <c r="L357" s="41"/>
      <c r="M357" s="42"/>
      <c r="U357" s="3" t="str">
        <f t="shared" si="33"/>
        <v/>
      </c>
      <c r="V357" s="3" t="str">
        <f t="shared" si="34"/>
        <v/>
      </c>
      <c r="AD357" s="6" t="str">
        <f t="shared" si="35"/>
        <v/>
      </c>
    </row>
    <row r="358" spans="1:30" x14ac:dyDescent="0.25">
      <c r="A358" s="37"/>
      <c r="B358" s="38"/>
      <c r="C358" s="2"/>
      <c r="D358" s="41"/>
      <c r="E358" s="38"/>
      <c r="F358" s="2"/>
      <c r="G358" s="41"/>
      <c r="H358" s="38"/>
      <c r="I358" s="39"/>
      <c r="J358" s="39"/>
      <c r="K358" s="41"/>
      <c r="L358" s="41"/>
      <c r="M358" s="42"/>
      <c r="U358" s="3" t="str">
        <f t="shared" si="33"/>
        <v/>
      </c>
      <c r="V358" s="3" t="str">
        <f t="shared" si="34"/>
        <v/>
      </c>
      <c r="AD358" s="6" t="str">
        <f t="shared" si="35"/>
        <v/>
      </c>
    </row>
    <row r="359" spans="1:30" x14ac:dyDescent="0.25">
      <c r="A359" s="37"/>
      <c r="B359" s="38"/>
      <c r="C359" s="2"/>
      <c r="D359" s="41"/>
      <c r="E359" s="38"/>
      <c r="F359" s="2"/>
      <c r="G359" s="41"/>
      <c r="H359" s="38"/>
      <c r="I359" s="39"/>
      <c r="J359" s="39"/>
      <c r="K359" s="41"/>
      <c r="L359" s="41"/>
      <c r="M359" s="42"/>
      <c r="U359" s="3" t="str">
        <f t="shared" si="33"/>
        <v/>
      </c>
      <c r="V359" s="3" t="str">
        <f t="shared" si="34"/>
        <v/>
      </c>
      <c r="AD359" s="6" t="str">
        <f t="shared" si="35"/>
        <v/>
      </c>
    </row>
    <row r="360" spans="1:30" x14ac:dyDescent="0.25">
      <c r="A360" s="37"/>
      <c r="B360" s="38"/>
      <c r="C360" s="2"/>
      <c r="D360" s="41"/>
      <c r="E360" s="38"/>
      <c r="F360" s="2"/>
      <c r="G360" s="41"/>
      <c r="H360" s="38"/>
      <c r="I360" s="39"/>
      <c r="J360" s="39"/>
      <c r="K360" s="41"/>
      <c r="L360" s="41"/>
      <c r="M360" s="42"/>
      <c r="U360" s="3" t="str">
        <f t="shared" si="33"/>
        <v/>
      </c>
      <c r="V360" s="3" t="str">
        <f t="shared" si="34"/>
        <v/>
      </c>
      <c r="AD360" s="6" t="str">
        <f t="shared" si="35"/>
        <v/>
      </c>
    </row>
    <row r="361" spans="1:30" x14ac:dyDescent="0.25">
      <c r="A361" s="37"/>
      <c r="B361" s="38"/>
      <c r="C361" s="2"/>
      <c r="D361" s="41"/>
      <c r="E361" s="38"/>
      <c r="F361" s="2"/>
      <c r="G361" s="41"/>
      <c r="H361" s="38"/>
      <c r="I361" s="39"/>
      <c r="J361" s="39"/>
      <c r="K361" s="41"/>
      <c r="L361" s="41"/>
      <c r="M361" s="42"/>
      <c r="U361" s="3" t="str">
        <f t="shared" si="33"/>
        <v/>
      </c>
      <c r="V361" s="3" t="str">
        <f t="shared" si="34"/>
        <v/>
      </c>
      <c r="AD361" s="6" t="str">
        <f t="shared" si="35"/>
        <v/>
      </c>
    </row>
    <row r="362" spans="1:30" x14ac:dyDescent="0.25">
      <c r="A362" s="37"/>
      <c r="B362" s="38"/>
      <c r="C362" s="2"/>
      <c r="D362" s="41"/>
      <c r="E362" s="38"/>
      <c r="F362" s="2"/>
      <c r="G362" s="41"/>
      <c r="H362" s="38"/>
      <c r="I362" s="39"/>
      <c r="J362" s="39"/>
      <c r="K362" s="41"/>
      <c r="L362" s="41"/>
      <c r="M362" s="42"/>
      <c r="U362" s="3" t="str">
        <f t="shared" si="33"/>
        <v/>
      </c>
      <c r="V362" s="3" t="str">
        <f t="shared" si="34"/>
        <v/>
      </c>
      <c r="AD362" s="6" t="str">
        <f t="shared" si="35"/>
        <v/>
      </c>
    </row>
    <row r="363" spans="1:30" x14ac:dyDescent="0.25">
      <c r="A363" s="37"/>
      <c r="B363" s="38"/>
      <c r="C363" s="2"/>
      <c r="D363" s="41"/>
      <c r="E363" s="38"/>
      <c r="F363" s="2"/>
      <c r="G363" s="41"/>
      <c r="H363" s="38"/>
      <c r="I363" s="39"/>
      <c r="J363" s="39"/>
      <c r="K363" s="41"/>
      <c r="L363" s="41"/>
      <c r="M363" s="42"/>
      <c r="U363" s="3" t="str">
        <f t="shared" si="33"/>
        <v/>
      </c>
      <c r="V363" s="3" t="str">
        <f t="shared" si="34"/>
        <v/>
      </c>
      <c r="AD363" s="6" t="str">
        <f t="shared" si="35"/>
        <v/>
      </c>
    </row>
    <row r="364" spans="1:30" x14ac:dyDescent="0.25">
      <c r="A364" s="37"/>
      <c r="B364" s="38"/>
      <c r="C364" s="2"/>
      <c r="D364" s="41"/>
      <c r="E364" s="38"/>
      <c r="F364" s="2"/>
      <c r="G364" s="41"/>
      <c r="H364" s="38"/>
      <c r="I364" s="39"/>
      <c r="J364" s="39"/>
      <c r="K364" s="41"/>
      <c r="L364" s="41"/>
      <c r="M364" s="42"/>
      <c r="U364" s="3" t="str">
        <f t="shared" si="33"/>
        <v/>
      </c>
      <c r="V364" s="3" t="str">
        <f t="shared" si="34"/>
        <v/>
      </c>
      <c r="AD364" s="6" t="str">
        <f t="shared" si="35"/>
        <v/>
      </c>
    </row>
    <row r="365" spans="1:30" x14ac:dyDescent="0.25">
      <c r="A365" s="37"/>
      <c r="B365" s="38"/>
      <c r="C365" s="2"/>
      <c r="D365" s="41"/>
      <c r="E365" s="38"/>
      <c r="F365" s="2"/>
      <c r="G365" s="41"/>
      <c r="H365" s="38"/>
      <c r="I365" s="39"/>
      <c r="J365" s="39"/>
      <c r="K365" s="41"/>
      <c r="L365" s="41"/>
      <c r="M365" s="42"/>
      <c r="U365" s="3" t="str">
        <f t="shared" si="33"/>
        <v/>
      </c>
      <c r="V365" s="3" t="str">
        <f t="shared" si="34"/>
        <v/>
      </c>
      <c r="AD365" s="6" t="str">
        <f t="shared" si="35"/>
        <v/>
      </c>
    </row>
    <row r="366" spans="1:30" x14ac:dyDescent="0.25">
      <c r="A366" s="37"/>
      <c r="B366" s="38"/>
      <c r="C366" s="2"/>
      <c r="D366" s="41"/>
      <c r="E366" s="38"/>
      <c r="F366" s="2"/>
      <c r="G366" s="41"/>
      <c r="H366" s="38"/>
      <c r="I366" s="39"/>
      <c r="J366" s="39"/>
      <c r="K366" s="41"/>
      <c r="L366" s="41"/>
      <c r="M366" s="42"/>
      <c r="U366" s="3" t="str">
        <f t="shared" si="33"/>
        <v/>
      </c>
      <c r="V366" s="3" t="str">
        <f t="shared" si="34"/>
        <v/>
      </c>
      <c r="AD366" s="6" t="str">
        <f t="shared" si="35"/>
        <v/>
      </c>
    </row>
    <row r="367" spans="1:30" x14ac:dyDescent="0.25">
      <c r="A367" s="37"/>
      <c r="B367" s="38"/>
      <c r="C367" s="2"/>
      <c r="D367" s="41"/>
      <c r="E367" s="38"/>
      <c r="F367" s="2"/>
      <c r="G367" s="41"/>
      <c r="H367" s="38"/>
      <c r="I367" s="39"/>
      <c r="J367" s="39"/>
      <c r="K367" s="41"/>
      <c r="L367" s="41"/>
      <c r="M367" s="42"/>
      <c r="U367" s="3" t="str">
        <f t="shared" si="33"/>
        <v/>
      </c>
      <c r="V367" s="3" t="str">
        <f t="shared" si="34"/>
        <v/>
      </c>
      <c r="AD367" s="6" t="str">
        <f t="shared" si="35"/>
        <v/>
      </c>
    </row>
    <row r="368" spans="1:30" x14ac:dyDescent="0.25">
      <c r="A368" s="37"/>
      <c r="B368" s="38"/>
      <c r="C368" s="2"/>
      <c r="D368" s="41"/>
      <c r="E368" s="38"/>
      <c r="F368" s="2"/>
      <c r="G368" s="41"/>
      <c r="H368" s="38"/>
      <c r="I368" s="39"/>
      <c r="J368" s="39"/>
      <c r="K368" s="41"/>
      <c r="L368" s="41"/>
      <c r="M368" s="42"/>
      <c r="U368" s="3" t="str">
        <f t="shared" si="33"/>
        <v/>
      </c>
      <c r="V368" s="3" t="str">
        <f t="shared" si="34"/>
        <v/>
      </c>
      <c r="AD368" s="6" t="str">
        <f t="shared" si="35"/>
        <v/>
      </c>
    </row>
    <row r="369" spans="1:30" x14ac:dyDescent="0.25">
      <c r="A369" s="37"/>
      <c r="B369" s="38"/>
      <c r="C369" s="2"/>
      <c r="D369" s="41"/>
      <c r="E369" s="38"/>
      <c r="F369" s="2"/>
      <c r="G369" s="41"/>
      <c r="H369" s="38"/>
      <c r="I369" s="39"/>
      <c r="J369" s="39"/>
      <c r="K369" s="41"/>
      <c r="L369" s="41"/>
      <c r="M369" s="42"/>
      <c r="U369" s="3" t="str">
        <f t="shared" si="33"/>
        <v/>
      </c>
      <c r="V369" s="3" t="str">
        <f t="shared" si="34"/>
        <v/>
      </c>
      <c r="AD369" s="6" t="str">
        <f t="shared" si="35"/>
        <v/>
      </c>
    </row>
    <row r="370" spans="1:30" x14ac:dyDescent="0.25">
      <c r="A370" s="37"/>
      <c r="B370" s="38"/>
      <c r="C370" s="2"/>
      <c r="D370" s="41"/>
      <c r="E370" s="38"/>
      <c r="F370" s="2"/>
      <c r="G370" s="41"/>
      <c r="H370" s="38"/>
      <c r="I370" s="39"/>
      <c r="J370" s="39"/>
      <c r="K370" s="41"/>
      <c r="L370" s="41"/>
      <c r="M370" s="42"/>
      <c r="U370" s="3" t="str">
        <f t="shared" si="33"/>
        <v/>
      </c>
      <c r="V370" s="3" t="str">
        <f t="shared" si="34"/>
        <v/>
      </c>
      <c r="AD370" s="6" t="str">
        <f t="shared" si="35"/>
        <v/>
      </c>
    </row>
    <row r="371" spans="1:30" x14ac:dyDescent="0.25">
      <c r="A371" s="37"/>
      <c r="B371" s="38"/>
      <c r="C371" s="2"/>
      <c r="D371" s="41"/>
      <c r="E371" s="38"/>
      <c r="F371" s="2"/>
      <c r="G371" s="41"/>
      <c r="H371" s="38"/>
      <c r="I371" s="39"/>
      <c r="J371" s="39"/>
      <c r="K371" s="41"/>
      <c r="L371" s="41"/>
      <c r="M371" s="42"/>
      <c r="U371" s="3" t="str">
        <f t="shared" si="33"/>
        <v/>
      </c>
      <c r="V371" s="3" t="str">
        <f t="shared" si="34"/>
        <v/>
      </c>
      <c r="AD371" s="6" t="str">
        <f t="shared" si="35"/>
        <v/>
      </c>
    </row>
    <row r="372" spans="1:30" x14ac:dyDescent="0.25">
      <c r="A372" s="37"/>
      <c r="B372" s="38"/>
      <c r="C372" s="2"/>
      <c r="D372" s="41"/>
      <c r="E372" s="38"/>
      <c r="F372" s="2"/>
      <c r="G372" s="41"/>
      <c r="H372" s="38"/>
      <c r="I372" s="39"/>
      <c r="J372" s="39"/>
      <c r="K372" s="41"/>
      <c r="L372" s="41"/>
      <c r="M372" s="42"/>
      <c r="U372" s="3" t="str">
        <f t="shared" si="33"/>
        <v/>
      </c>
      <c r="V372" s="3" t="str">
        <f t="shared" si="34"/>
        <v/>
      </c>
      <c r="AD372" s="6" t="str">
        <f t="shared" si="35"/>
        <v/>
      </c>
    </row>
    <row r="373" spans="1:30" x14ac:dyDescent="0.25">
      <c r="A373" s="37"/>
      <c r="B373" s="38"/>
      <c r="C373" s="2"/>
      <c r="D373" s="41"/>
      <c r="E373" s="38"/>
      <c r="F373" s="2"/>
      <c r="G373" s="41"/>
      <c r="H373" s="38"/>
      <c r="I373" s="39"/>
      <c r="J373" s="39"/>
      <c r="K373" s="41"/>
      <c r="L373" s="41"/>
      <c r="M373" s="42"/>
      <c r="U373" s="3" t="str">
        <f t="shared" si="33"/>
        <v/>
      </c>
      <c r="V373" s="3" t="str">
        <f t="shared" si="34"/>
        <v/>
      </c>
      <c r="AD373" s="6" t="str">
        <f t="shared" si="35"/>
        <v/>
      </c>
    </row>
    <row r="374" spans="1:30" x14ac:dyDescent="0.25">
      <c r="A374" s="37"/>
      <c r="B374" s="38"/>
      <c r="C374" s="2"/>
      <c r="D374" s="41"/>
      <c r="E374" s="38"/>
      <c r="F374" s="2"/>
      <c r="G374" s="41"/>
      <c r="H374" s="38"/>
      <c r="I374" s="39"/>
      <c r="J374" s="39"/>
      <c r="K374" s="41"/>
      <c r="L374" s="41"/>
      <c r="M374" s="42"/>
      <c r="U374" s="3" t="str">
        <f t="shared" si="33"/>
        <v/>
      </c>
      <c r="V374" s="3" t="str">
        <f t="shared" si="34"/>
        <v/>
      </c>
      <c r="AD374" s="6" t="str">
        <f t="shared" si="35"/>
        <v/>
      </c>
    </row>
    <row r="375" spans="1:30" x14ac:dyDescent="0.25">
      <c r="A375" s="37"/>
      <c r="B375" s="38"/>
      <c r="C375" s="2"/>
      <c r="D375" s="41"/>
      <c r="E375" s="38"/>
      <c r="F375" s="2"/>
      <c r="G375" s="41"/>
      <c r="H375" s="38"/>
      <c r="I375" s="39"/>
      <c r="J375" s="39"/>
      <c r="K375" s="41"/>
      <c r="L375" s="41"/>
      <c r="M375" s="42"/>
      <c r="U375" s="3" t="str">
        <f t="shared" si="33"/>
        <v/>
      </c>
      <c r="V375" s="3" t="str">
        <f t="shared" si="34"/>
        <v/>
      </c>
      <c r="AD375" s="6" t="str">
        <f t="shared" si="35"/>
        <v/>
      </c>
    </row>
    <row r="376" spans="1:30" x14ac:dyDescent="0.25">
      <c r="A376" s="37"/>
      <c r="B376" s="38"/>
      <c r="C376" s="2"/>
      <c r="D376" s="41"/>
      <c r="E376" s="38"/>
      <c r="F376" s="2"/>
      <c r="G376" s="41"/>
      <c r="H376" s="38"/>
      <c r="I376" s="39"/>
      <c r="J376" s="39"/>
      <c r="K376" s="41"/>
      <c r="L376" s="41"/>
      <c r="M376" s="42"/>
      <c r="U376" s="3" t="str">
        <f t="shared" si="33"/>
        <v/>
      </c>
      <c r="V376" s="3" t="str">
        <f t="shared" si="34"/>
        <v/>
      </c>
      <c r="AD376" s="6" t="str">
        <f t="shared" si="35"/>
        <v/>
      </c>
    </row>
    <row r="377" spans="1:30" x14ac:dyDescent="0.25">
      <c r="A377" s="37"/>
      <c r="B377" s="38"/>
      <c r="C377" s="2"/>
      <c r="D377" s="41"/>
      <c r="E377" s="38"/>
      <c r="F377" s="2"/>
      <c r="G377" s="41"/>
      <c r="H377" s="38"/>
      <c r="I377" s="39"/>
      <c r="J377" s="39"/>
      <c r="K377" s="41"/>
      <c r="L377" s="41"/>
      <c r="M377" s="42"/>
      <c r="U377" s="3" t="str">
        <f t="shared" si="33"/>
        <v/>
      </c>
      <c r="V377" s="3" t="str">
        <f t="shared" si="34"/>
        <v/>
      </c>
      <c r="AD377" s="6" t="str">
        <f t="shared" si="35"/>
        <v/>
      </c>
    </row>
    <row r="378" spans="1:30" x14ac:dyDescent="0.25">
      <c r="A378" s="37"/>
      <c r="B378" s="38"/>
      <c r="C378" s="2"/>
      <c r="D378" s="41"/>
      <c r="E378" s="38"/>
      <c r="F378" s="2"/>
      <c r="G378" s="41"/>
      <c r="H378" s="38"/>
      <c r="I378" s="39"/>
      <c r="J378" s="39"/>
      <c r="K378" s="41"/>
      <c r="L378" s="41"/>
      <c r="M378" s="42"/>
      <c r="U378" s="3" t="str">
        <f t="shared" si="33"/>
        <v/>
      </c>
      <c r="V378" s="3" t="str">
        <f t="shared" si="34"/>
        <v/>
      </c>
      <c r="AD378" s="6" t="str">
        <f t="shared" si="35"/>
        <v/>
      </c>
    </row>
    <row r="379" spans="1:30" x14ac:dyDescent="0.25">
      <c r="A379" s="37"/>
      <c r="B379" s="38"/>
      <c r="C379" s="2"/>
      <c r="D379" s="41"/>
      <c r="E379" s="38"/>
      <c r="F379" s="2"/>
      <c r="G379" s="41"/>
      <c r="H379" s="38"/>
      <c r="I379" s="39"/>
      <c r="J379" s="39"/>
      <c r="K379" s="41"/>
      <c r="L379" s="41"/>
      <c r="M379" s="42"/>
      <c r="U379" s="3" t="str">
        <f t="shared" si="33"/>
        <v/>
      </c>
      <c r="V379" s="3" t="str">
        <f t="shared" si="34"/>
        <v/>
      </c>
      <c r="AD379" s="6" t="str">
        <f t="shared" si="35"/>
        <v/>
      </c>
    </row>
    <row r="380" spans="1:30" x14ac:dyDescent="0.25">
      <c r="A380" s="37"/>
      <c r="B380" s="38"/>
      <c r="C380" s="2"/>
      <c r="D380" s="41"/>
      <c r="E380" s="38"/>
      <c r="F380" s="2"/>
      <c r="G380" s="41"/>
      <c r="H380" s="38"/>
      <c r="I380" s="39"/>
      <c r="J380" s="39"/>
      <c r="K380" s="41"/>
      <c r="L380" s="41"/>
      <c r="M380" s="42"/>
      <c r="U380" s="3" t="str">
        <f t="shared" si="33"/>
        <v/>
      </c>
      <c r="V380" s="3" t="str">
        <f t="shared" si="34"/>
        <v/>
      </c>
      <c r="AD380" s="6" t="str">
        <f t="shared" si="35"/>
        <v/>
      </c>
    </row>
    <row r="381" spans="1:30" x14ac:dyDescent="0.25">
      <c r="A381" s="37"/>
      <c r="B381" s="38"/>
      <c r="C381" s="2"/>
      <c r="D381" s="41"/>
      <c r="E381" s="38"/>
      <c r="F381" s="2"/>
      <c r="G381" s="41"/>
      <c r="H381" s="38"/>
      <c r="I381" s="39"/>
      <c r="J381" s="39"/>
      <c r="K381" s="41"/>
      <c r="L381" s="41"/>
      <c r="M381" s="42"/>
      <c r="U381" s="3" t="str">
        <f t="shared" si="33"/>
        <v/>
      </c>
      <c r="V381" s="3" t="str">
        <f t="shared" si="34"/>
        <v/>
      </c>
      <c r="AD381" s="6" t="str">
        <f t="shared" si="35"/>
        <v/>
      </c>
    </row>
    <row r="382" spans="1:30" x14ac:dyDescent="0.25">
      <c r="A382" s="37"/>
      <c r="B382" s="38"/>
      <c r="C382" s="2"/>
      <c r="D382" s="41"/>
      <c r="E382" s="38"/>
      <c r="F382" s="2"/>
      <c r="G382" s="41"/>
      <c r="H382" s="38"/>
      <c r="I382" s="39"/>
      <c r="J382" s="39"/>
      <c r="K382" s="41"/>
      <c r="L382" s="41"/>
      <c r="M382" s="42"/>
      <c r="U382" s="3" t="str">
        <f t="shared" si="33"/>
        <v/>
      </c>
      <c r="V382" s="3" t="str">
        <f t="shared" si="34"/>
        <v/>
      </c>
      <c r="AD382" s="6" t="str">
        <f t="shared" si="35"/>
        <v/>
      </c>
    </row>
    <row r="383" spans="1:30" x14ac:dyDescent="0.25">
      <c r="A383" s="37"/>
      <c r="B383" s="38"/>
      <c r="C383" s="2"/>
      <c r="D383" s="41"/>
      <c r="E383" s="38"/>
      <c r="F383" s="2"/>
      <c r="G383" s="41"/>
      <c r="H383" s="38"/>
      <c r="I383" s="39"/>
      <c r="J383" s="39"/>
      <c r="K383" s="41"/>
      <c r="L383" s="41"/>
      <c r="M383" s="42"/>
      <c r="U383" s="3" t="str">
        <f t="shared" si="33"/>
        <v/>
      </c>
      <c r="V383" s="3" t="str">
        <f t="shared" si="34"/>
        <v/>
      </c>
      <c r="AD383" s="6" t="str">
        <f t="shared" si="35"/>
        <v/>
      </c>
    </row>
    <row r="384" spans="1:30" x14ac:dyDescent="0.25">
      <c r="A384" s="37"/>
      <c r="B384" s="38"/>
      <c r="C384" s="2"/>
      <c r="D384" s="41"/>
      <c r="E384" s="38"/>
      <c r="F384" s="2"/>
      <c r="G384" s="41"/>
      <c r="H384" s="38"/>
      <c r="I384" s="39"/>
      <c r="J384" s="39"/>
      <c r="K384" s="41"/>
      <c r="L384" s="41"/>
      <c r="M384" s="42"/>
      <c r="U384" s="3" t="str">
        <f t="shared" si="33"/>
        <v/>
      </c>
      <c r="V384" s="3" t="str">
        <f t="shared" si="34"/>
        <v/>
      </c>
      <c r="AD384" s="6" t="str">
        <f t="shared" si="35"/>
        <v/>
      </c>
    </row>
    <row r="385" spans="1:30" x14ac:dyDescent="0.25">
      <c r="A385" s="37"/>
      <c r="B385" s="38"/>
      <c r="C385" s="2"/>
      <c r="D385" s="41"/>
      <c r="E385" s="38"/>
      <c r="F385" s="2"/>
      <c r="G385" s="41"/>
      <c r="H385" s="38"/>
      <c r="I385" s="39"/>
      <c r="J385" s="39"/>
      <c r="K385" s="41"/>
      <c r="L385" s="41"/>
      <c r="M385" s="42"/>
      <c r="U385" s="3" t="str">
        <f t="shared" si="33"/>
        <v/>
      </c>
      <c r="V385" s="3" t="str">
        <f t="shared" si="34"/>
        <v/>
      </c>
      <c r="AD385" s="6" t="str">
        <f t="shared" si="35"/>
        <v/>
      </c>
    </row>
    <row r="386" spans="1:30" x14ac:dyDescent="0.25">
      <c r="A386" s="37"/>
      <c r="B386" s="38"/>
      <c r="C386" s="2"/>
      <c r="D386" s="41"/>
      <c r="E386" s="38"/>
      <c r="F386" s="2"/>
      <c r="G386" s="41"/>
      <c r="H386" s="38"/>
      <c r="I386" s="39"/>
      <c r="J386" s="39"/>
      <c r="K386" s="41"/>
      <c r="L386" s="41"/>
      <c r="M386" s="42"/>
      <c r="U386" s="3" t="str">
        <f t="shared" si="33"/>
        <v/>
      </c>
      <c r="V386" s="3" t="str">
        <f t="shared" si="34"/>
        <v/>
      </c>
      <c r="AD386" s="6" t="str">
        <f t="shared" si="35"/>
        <v/>
      </c>
    </row>
    <row r="387" spans="1:30" x14ac:dyDescent="0.25">
      <c r="A387" s="37"/>
      <c r="B387" s="38"/>
      <c r="C387" s="2"/>
      <c r="D387" s="41"/>
      <c r="E387" s="38"/>
      <c r="F387" s="2"/>
      <c r="G387" s="41"/>
      <c r="H387" s="38"/>
      <c r="I387" s="39"/>
      <c r="J387" s="39"/>
      <c r="K387" s="41"/>
      <c r="L387" s="41"/>
      <c r="M387" s="42"/>
      <c r="U387" s="3" t="str">
        <f t="shared" si="33"/>
        <v/>
      </c>
      <c r="V387" s="3" t="str">
        <f t="shared" si="34"/>
        <v/>
      </c>
      <c r="AD387" s="6" t="str">
        <f t="shared" si="35"/>
        <v/>
      </c>
    </row>
    <row r="388" spans="1:30" x14ac:dyDescent="0.25">
      <c r="A388" s="37"/>
      <c r="B388" s="38"/>
      <c r="C388" s="2"/>
      <c r="D388" s="41"/>
      <c r="E388" s="38"/>
      <c r="F388" s="2"/>
      <c r="G388" s="41"/>
      <c r="H388" s="38"/>
      <c r="I388" s="39"/>
      <c r="J388" s="39"/>
      <c r="K388" s="41"/>
      <c r="L388" s="41"/>
      <c r="M388" s="42"/>
      <c r="U388" s="3" t="str">
        <f t="shared" ref="U388:U451" si="36">IF(COUNTIF(Q:Q,O388)*COUNTIF(S:S,O388),O388,"")</f>
        <v/>
      </c>
      <c r="V388" s="3" t="str">
        <f t="shared" ref="V388:V451" si="37">IF(U388&gt;$A$14,U388,"")</f>
        <v/>
      </c>
      <c r="AD388" s="6" t="str">
        <f t="shared" ref="AD388:AD421" si="38">IF(COUNTIF(AB:AB,Z388),Z388,"")</f>
        <v/>
      </c>
    </row>
    <row r="389" spans="1:30" x14ac:dyDescent="0.25">
      <c r="A389" s="37"/>
      <c r="B389" s="38"/>
      <c r="C389" s="2"/>
      <c r="D389" s="41"/>
      <c r="E389" s="38"/>
      <c r="F389" s="2"/>
      <c r="G389" s="41"/>
      <c r="H389" s="38"/>
      <c r="I389" s="39"/>
      <c r="J389" s="39"/>
      <c r="K389" s="41"/>
      <c r="L389" s="41"/>
      <c r="M389" s="42"/>
      <c r="U389" s="3" t="str">
        <f t="shared" si="36"/>
        <v/>
      </c>
      <c r="V389" s="3" t="str">
        <f t="shared" si="37"/>
        <v/>
      </c>
      <c r="AD389" s="6" t="str">
        <f t="shared" si="38"/>
        <v/>
      </c>
    </row>
    <row r="390" spans="1:30" x14ac:dyDescent="0.25">
      <c r="A390" s="37"/>
      <c r="B390" s="38"/>
      <c r="C390" s="2"/>
      <c r="D390" s="41"/>
      <c r="E390" s="38"/>
      <c r="F390" s="2"/>
      <c r="G390" s="41"/>
      <c r="H390" s="38"/>
      <c r="I390" s="39"/>
      <c r="J390" s="39"/>
      <c r="K390" s="41"/>
      <c r="L390" s="41"/>
      <c r="M390" s="42"/>
      <c r="U390" s="3" t="str">
        <f t="shared" si="36"/>
        <v/>
      </c>
      <c r="V390" s="3" t="str">
        <f t="shared" si="37"/>
        <v/>
      </c>
      <c r="AD390" s="6" t="str">
        <f t="shared" si="38"/>
        <v/>
      </c>
    </row>
    <row r="391" spans="1:30" x14ac:dyDescent="0.25">
      <c r="A391" s="37"/>
      <c r="B391" s="38"/>
      <c r="C391" s="2"/>
      <c r="D391" s="41"/>
      <c r="E391" s="38"/>
      <c r="F391" s="2"/>
      <c r="G391" s="41"/>
      <c r="H391" s="38"/>
      <c r="I391" s="39"/>
      <c r="J391" s="39"/>
      <c r="K391" s="41"/>
      <c r="L391" s="41"/>
      <c r="M391" s="42"/>
      <c r="U391" s="3" t="str">
        <f t="shared" si="36"/>
        <v/>
      </c>
      <c r="V391" s="3" t="str">
        <f t="shared" si="37"/>
        <v/>
      </c>
      <c r="AD391" s="6" t="str">
        <f t="shared" si="38"/>
        <v/>
      </c>
    </row>
    <row r="392" spans="1:30" x14ac:dyDescent="0.25">
      <c r="A392" s="37"/>
      <c r="B392" s="38"/>
      <c r="C392" s="2"/>
      <c r="D392" s="41"/>
      <c r="E392" s="38"/>
      <c r="F392" s="2"/>
      <c r="G392" s="41"/>
      <c r="H392" s="38"/>
      <c r="I392" s="39"/>
      <c r="J392" s="39"/>
      <c r="K392" s="41"/>
      <c r="L392" s="41"/>
      <c r="M392" s="42"/>
      <c r="U392" s="3" t="str">
        <f t="shared" si="36"/>
        <v/>
      </c>
      <c r="V392" s="3" t="str">
        <f t="shared" si="37"/>
        <v/>
      </c>
      <c r="AD392" s="6" t="str">
        <f t="shared" si="38"/>
        <v/>
      </c>
    </row>
    <row r="393" spans="1:30" x14ac:dyDescent="0.25">
      <c r="A393" s="37"/>
      <c r="B393" s="38"/>
      <c r="C393" s="2"/>
      <c r="D393" s="41"/>
      <c r="E393" s="38"/>
      <c r="F393" s="2"/>
      <c r="G393" s="41"/>
      <c r="H393" s="38"/>
      <c r="I393" s="39"/>
      <c r="J393" s="39"/>
      <c r="K393" s="41"/>
      <c r="L393" s="41"/>
      <c r="M393" s="42"/>
      <c r="U393" s="3" t="str">
        <f t="shared" si="36"/>
        <v/>
      </c>
      <c r="V393" s="3" t="str">
        <f t="shared" si="37"/>
        <v/>
      </c>
      <c r="AD393" s="6" t="str">
        <f t="shared" si="38"/>
        <v/>
      </c>
    </row>
    <row r="394" spans="1:30" x14ac:dyDescent="0.25">
      <c r="A394" s="37"/>
      <c r="B394" s="38"/>
      <c r="C394" s="2"/>
      <c r="D394" s="41"/>
      <c r="E394" s="38"/>
      <c r="F394" s="2"/>
      <c r="G394" s="41"/>
      <c r="H394" s="38"/>
      <c r="I394" s="39"/>
      <c r="J394" s="39"/>
      <c r="K394" s="41"/>
      <c r="L394" s="41"/>
      <c r="M394" s="42"/>
      <c r="U394" s="3" t="str">
        <f t="shared" si="36"/>
        <v/>
      </c>
      <c r="V394" s="3" t="str">
        <f t="shared" si="37"/>
        <v/>
      </c>
      <c r="AD394" s="6" t="str">
        <f t="shared" si="38"/>
        <v/>
      </c>
    </row>
    <row r="395" spans="1:30" x14ac:dyDescent="0.25">
      <c r="A395" s="37"/>
      <c r="B395" s="38"/>
      <c r="C395" s="2"/>
      <c r="D395" s="41"/>
      <c r="E395" s="38"/>
      <c r="F395" s="2"/>
      <c r="G395" s="41"/>
      <c r="H395" s="38"/>
      <c r="I395" s="39"/>
      <c r="J395" s="39"/>
      <c r="K395" s="41"/>
      <c r="L395" s="41"/>
      <c r="M395" s="42"/>
      <c r="U395" s="3" t="str">
        <f t="shared" si="36"/>
        <v/>
      </c>
      <c r="V395" s="3" t="str">
        <f t="shared" si="37"/>
        <v/>
      </c>
      <c r="AD395" s="6" t="str">
        <f t="shared" si="38"/>
        <v/>
      </c>
    </row>
    <row r="396" spans="1:30" x14ac:dyDescent="0.25">
      <c r="A396" s="37"/>
      <c r="B396" s="38"/>
      <c r="C396" s="2"/>
      <c r="D396" s="41"/>
      <c r="E396" s="38"/>
      <c r="F396" s="2"/>
      <c r="G396" s="41"/>
      <c r="H396" s="38"/>
      <c r="I396" s="39"/>
      <c r="J396" s="39"/>
      <c r="K396" s="41"/>
      <c r="L396" s="41"/>
      <c r="M396" s="42"/>
      <c r="U396" s="3" t="str">
        <f t="shared" si="36"/>
        <v/>
      </c>
      <c r="V396" s="3" t="str">
        <f t="shared" si="37"/>
        <v/>
      </c>
      <c r="AD396" s="6" t="str">
        <f t="shared" si="38"/>
        <v/>
      </c>
    </row>
    <row r="397" spans="1:30" x14ac:dyDescent="0.25">
      <c r="A397" s="37"/>
      <c r="B397" s="38"/>
      <c r="C397" s="2"/>
      <c r="D397" s="41"/>
      <c r="E397" s="38"/>
      <c r="F397" s="2"/>
      <c r="G397" s="41"/>
      <c r="H397" s="38"/>
      <c r="I397" s="39"/>
      <c r="J397" s="39"/>
      <c r="K397" s="41"/>
      <c r="L397" s="41"/>
      <c r="M397" s="42"/>
      <c r="U397" s="3" t="str">
        <f t="shared" si="36"/>
        <v/>
      </c>
      <c r="V397" s="3" t="str">
        <f t="shared" si="37"/>
        <v/>
      </c>
      <c r="AD397" s="6" t="str">
        <f t="shared" si="38"/>
        <v/>
      </c>
    </row>
    <row r="398" spans="1:30" x14ac:dyDescent="0.25">
      <c r="A398" s="37"/>
      <c r="B398" s="38"/>
      <c r="C398" s="2"/>
      <c r="D398" s="41"/>
      <c r="E398" s="38"/>
      <c r="F398" s="2"/>
      <c r="G398" s="41"/>
      <c r="H398" s="38"/>
      <c r="I398" s="39"/>
      <c r="J398" s="39"/>
      <c r="K398" s="41"/>
      <c r="L398" s="41"/>
      <c r="M398" s="42"/>
      <c r="U398" s="3" t="str">
        <f t="shared" si="36"/>
        <v/>
      </c>
      <c r="V398" s="3" t="str">
        <f t="shared" si="37"/>
        <v/>
      </c>
      <c r="AD398" s="6" t="str">
        <f t="shared" si="38"/>
        <v/>
      </c>
    </row>
    <row r="399" spans="1:30" x14ac:dyDescent="0.25">
      <c r="A399" s="37"/>
      <c r="B399" s="38"/>
      <c r="C399" s="2"/>
      <c r="D399" s="41"/>
      <c r="E399" s="38"/>
      <c r="F399" s="2"/>
      <c r="G399" s="41"/>
      <c r="H399" s="38"/>
      <c r="I399" s="39"/>
      <c r="J399" s="39"/>
      <c r="K399" s="41"/>
      <c r="L399" s="41"/>
      <c r="M399" s="42"/>
      <c r="U399" s="3" t="str">
        <f t="shared" si="36"/>
        <v/>
      </c>
      <c r="V399" s="3" t="str">
        <f t="shared" si="37"/>
        <v/>
      </c>
      <c r="AD399" s="6" t="str">
        <f t="shared" si="38"/>
        <v/>
      </c>
    </row>
    <row r="400" spans="1:30" x14ac:dyDescent="0.25">
      <c r="A400" s="37"/>
      <c r="B400" s="38"/>
      <c r="C400" s="2"/>
      <c r="D400" s="41"/>
      <c r="E400" s="38"/>
      <c r="F400" s="2"/>
      <c r="G400" s="41"/>
      <c r="H400" s="38"/>
      <c r="I400" s="39"/>
      <c r="J400" s="39"/>
      <c r="K400" s="41"/>
      <c r="L400" s="41"/>
      <c r="M400" s="42"/>
      <c r="U400" s="3" t="str">
        <f t="shared" si="36"/>
        <v/>
      </c>
      <c r="V400" s="3" t="str">
        <f t="shared" si="37"/>
        <v/>
      </c>
      <c r="AD400" s="6" t="str">
        <f t="shared" si="38"/>
        <v/>
      </c>
    </row>
    <row r="401" spans="1:30" x14ac:dyDescent="0.25">
      <c r="A401" s="37"/>
      <c r="B401" s="38"/>
      <c r="C401" s="2"/>
      <c r="D401" s="41"/>
      <c r="E401" s="38"/>
      <c r="F401" s="2"/>
      <c r="G401" s="41"/>
      <c r="H401" s="38"/>
      <c r="I401" s="39"/>
      <c r="J401" s="39"/>
      <c r="K401" s="41"/>
      <c r="L401" s="41"/>
      <c r="M401" s="42"/>
      <c r="U401" s="3" t="str">
        <f t="shared" si="36"/>
        <v/>
      </c>
      <c r="V401" s="3" t="str">
        <f t="shared" si="37"/>
        <v/>
      </c>
      <c r="AD401" s="6" t="str">
        <f t="shared" si="38"/>
        <v/>
      </c>
    </row>
    <row r="402" spans="1:30" x14ac:dyDescent="0.25">
      <c r="A402" s="37"/>
      <c r="B402" s="38"/>
      <c r="C402" s="2"/>
      <c r="D402" s="41"/>
      <c r="E402" s="38"/>
      <c r="F402" s="2"/>
      <c r="G402" s="41"/>
      <c r="H402" s="38"/>
      <c r="I402" s="39"/>
      <c r="J402" s="39"/>
      <c r="K402" s="41"/>
      <c r="L402" s="41"/>
      <c r="M402" s="42"/>
      <c r="U402" s="3" t="str">
        <f t="shared" si="36"/>
        <v/>
      </c>
      <c r="V402" s="3" t="str">
        <f t="shared" si="37"/>
        <v/>
      </c>
      <c r="AD402" s="6" t="str">
        <f t="shared" si="38"/>
        <v/>
      </c>
    </row>
    <row r="403" spans="1:30" x14ac:dyDescent="0.25">
      <c r="A403" s="37"/>
      <c r="B403" s="38"/>
      <c r="C403" s="2"/>
      <c r="D403" s="41"/>
      <c r="E403" s="38"/>
      <c r="F403" s="2"/>
      <c r="G403" s="41"/>
      <c r="H403" s="38"/>
      <c r="I403" s="39"/>
      <c r="J403" s="39"/>
      <c r="K403" s="41"/>
      <c r="L403" s="41"/>
      <c r="M403" s="42"/>
      <c r="U403" s="3" t="str">
        <f t="shared" si="36"/>
        <v/>
      </c>
      <c r="V403" s="3" t="str">
        <f t="shared" si="37"/>
        <v/>
      </c>
      <c r="AD403" s="6" t="str">
        <f t="shared" si="38"/>
        <v/>
      </c>
    </row>
    <row r="404" spans="1:30" x14ac:dyDescent="0.25">
      <c r="A404" s="37"/>
      <c r="B404" s="38"/>
      <c r="C404" s="2"/>
      <c r="D404" s="41"/>
      <c r="E404" s="38"/>
      <c r="F404" s="2"/>
      <c r="G404" s="41"/>
      <c r="H404" s="38"/>
      <c r="I404" s="39"/>
      <c r="J404" s="39"/>
      <c r="K404" s="41"/>
      <c r="L404" s="41"/>
      <c r="M404" s="42"/>
      <c r="U404" s="3" t="str">
        <f t="shared" si="36"/>
        <v/>
      </c>
      <c r="V404" s="3" t="str">
        <f t="shared" si="37"/>
        <v/>
      </c>
      <c r="AD404" s="6" t="str">
        <f t="shared" si="38"/>
        <v/>
      </c>
    </row>
    <row r="405" spans="1:30" x14ac:dyDescent="0.25">
      <c r="A405" s="37"/>
      <c r="B405" s="38"/>
      <c r="C405" s="2"/>
      <c r="D405" s="41"/>
      <c r="E405" s="38"/>
      <c r="F405" s="2"/>
      <c r="G405" s="41"/>
      <c r="H405" s="38"/>
      <c r="I405" s="39"/>
      <c r="J405" s="39"/>
      <c r="K405" s="41"/>
      <c r="L405" s="41"/>
      <c r="M405" s="42"/>
      <c r="U405" s="3" t="str">
        <f t="shared" si="36"/>
        <v/>
      </c>
      <c r="V405" s="3" t="str">
        <f t="shared" si="37"/>
        <v/>
      </c>
      <c r="AD405" s="6" t="str">
        <f t="shared" si="38"/>
        <v/>
      </c>
    </row>
    <row r="406" spans="1:30" x14ac:dyDescent="0.25">
      <c r="A406" s="37"/>
      <c r="B406" s="38"/>
      <c r="C406" s="2"/>
      <c r="D406" s="41"/>
      <c r="E406" s="38"/>
      <c r="F406" s="2"/>
      <c r="G406" s="41"/>
      <c r="H406" s="38"/>
      <c r="I406" s="39"/>
      <c r="J406" s="39"/>
      <c r="K406" s="41"/>
      <c r="L406" s="41"/>
      <c r="M406" s="42"/>
      <c r="U406" s="3" t="str">
        <f t="shared" si="36"/>
        <v/>
      </c>
      <c r="V406" s="3" t="str">
        <f t="shared" si="37"/>
        <v/>
      </c>
      <c r="AD406" s="6" t="str">
        <f t="shared" si="38"/>
        <v/>
      </c>
    </row>
    <row r="407" spans="1:30" x14ac:dyDescent="0.25">
      <c r="A407" s="37"/>
      <c r="B407" s="38"/>
      <c r="C407" s="2"/>
      <c r="D407" s="41"/>
      <c r="E407" s="38"/>
      <c r="F407" s="2"/>
      <c r="G407" s="41"/>
      <c r="H407" s="38"/>
      <c r="I407" s="39"/>
      <c r="J407" s="39"/>
      <c r="K407" s="41"/>
      <c r="L407" s="41"/>
      <c r="M407" s="42"/>
      <c r="U407" s="3" t="str">
        <f t="shared" si="36"/>
        <v/>
      </c>
      <c r="V407" s="3" t="str">
        <f t="shared" si="37"/>
        <v/>
      </c>
      <c r="AD407" s="6" t="str">
        <f t="shared" si="38"/>
        <v/>
      </c>
    </row>
    <row r="408" spans="1:30" x14ac:dyDescent="0.25">
      <c r="A408" s="37"/>
      <c r="B408" s="38"/>
      <c r="C408" s="2"/>
      <c r="D408" s="41"/>
      <c r="E408" s="38"/>
      <c r="F408" s="2"/>
      <c r="G408" s="41"/>
      <c r="H408" s="38"/>
      <c r="I408" s="39"/>
      <c r="J408" s="39"/>
      <c r="K408" s="41"/>
      <c r="L408" s="41"/>
      <c r="M408" s="42"/>
      <c r="U408" s="3" t="str">
        <f t="shared" si="36"/>
        <v/>
      </c>
      <c r="V408" s="3" t="str">
        <f t="shared" si="37"/>
        <v/>
      </c>
      <c r="AD408" s="6" t="str">
        <f t="shared" si="38"/>
        <v/>
      </c>
    </row>
    <row r="409" spans="1:30" x14ac:dyDescent="0.25">
      <c r="A409" s="37"/>
      <c r="B409" s="38"/>
      <c r="C409" s="2"/>
      <c r="D409" s="41"/>
      <c r="E409" s="38"/>
      <c r="F409" s="2"/>
      <c r="G409" s="41"/>
      <c r="H409" s="38"/>
      <c r="I409" s="39"/>
      <c r="J409" s="39"/>
      <c r="K409" s="41"/>
      <c r="L409" s="41"/>
      <c r="M409" s="42"/>
      <c r="U409" s="3" t="str">
        <f t="shared" si="36"/>
        <v/>
      </c>
      <c r="V409" s="3" t="str">
        <f t="shared" si="37"/>
        <v/>
      </c>
      <c r="AD409" s="6" t="str">
        <f t="shared" si="38"/>
        <v/>
      </c>
    </row>
    <row r="410" spans="1:30" x14ac:dyDescent="0.25">
      <c r="A410" s="37"/>
      <c r="B410" s="38"/>
      <c r="C410" s="2"/>
      <c r="D410" s="41"/>
      <c r="E410" s="38"/>
      <c r="F410" s="2"/>
      <c r="G410" s="41"/>
      <c r="H410" s="38"/>
      <c r="I410" s="39"/>
      <c r="J410" s="39"/>
      <c r="K410" s="41"/>
      <c r="L410" s="41"/>
      <c r="M410" s="42"/>
      <c r="U410" s="3" t="str">
        <f t="shared" si="36"/>
        <v/>
      </c>
      <c r="V410" s="3" t="str">
        <f t="shared" si="37"/>
        <v/>
      </c>
      <c r="AD410" s="6" t="str">
        <f t="shared" si="38"/>
        <v/>
      </c>
    </row>
    <row r="411" spans="1:30" x14ac:dyDescent="0.25">
      <c r="A411" s="37"/>
      <c r="B411" s="38"/>
      <c r="C411" s="2"/>
      <c r="D411" s="41"/>
      <c r="E411" s="38"/>
      <c r="F411" s="2"/>
      <c r="G411" s="41"/>
      <c r="H411" s="38"/>
      <c r="I411" s="39"/>
      <c r="J411" s="39"/>
      <c r="K411" s="41"/>
      <c r="L411" s="41"/>
      <c r="M411" s="42"/>
      <c r="U411" s="3" t="str">
        <f t="shared" si="36"/>
        <v/>
      </c>
      <c r="V411" s="3" t="str">
        <f t="shared" si="37"/>
        <v/>
      </c>
      <c r="AD411" s="6" t="str">
        <f t="shared" si="38"/>
        <v/>
      </c>
    </row>
    <row r="412" spans="1:30" x14ac:dyDescent="0.25">
      <c r="A412" s="37"/>
      <c r="B412" s="38"/>
      <c r="C412" s="2"/>
      <c r="D412" s="41"/>
      <c r="E412" s="38"/>
      <c r="F412" s="2"/>
      <c r="G412" s="41"/>
      <c r="H412" s="38"/>
      <c r="I412" s="39"/>
      <c r="J412" s="39"/>
      <c r="K412" s="41"/>
      <c r="L412" s="41"/>
      <c r="M412" s="42"/>
      <c r="U412" s="3" t="str">
        <f t="shared" si="36"/>
        <v/>
      </c>
      <c r="V412" s="3" t="str">
        <f t="shared" si="37"/>
        <v/>
      </c>
      <c r="AD412" s="6" t="str">
        <f t="shared" si="38"/>
        <v/>
      </c>
    </row>
    <row r="413" spans="1:30" x14ac:dyDescent="0.25">
      <c r="A413" s="37"/>
      <c r="B413" s="38"/>
      <c r="C413" s="2"/>
      <c r="D413" s="41"/>
      <c r="E413" s="38"/>
      <c r="F413" s="2"/>
      <c r="G413" s="41"/>
      <c r="H413" s="38"/>
      <c r="I413" s="39"/>
      <c r="J413" s="39"/>
      <c r="K413" s="41"/>
      <c r="L413" s="41"/>
      <c r="M413" s="42"/>
      <c r="U413" s="3" t="str">
        <f t="shared" si="36"/>
        <v/>
      </c>
      <c r="V413" s="3" t="str">
        <f t="shared" si="37"/>
        <v/>
      </c>
      <c r="AD413" s="6" t="str">
        <f t="shared" si="38"/>
        <v/>
      </c>
    </row>
    <row r="414" spans="1:30" x14ac:dyDescent="0.25">
      <c r="A414" s="37"/>
      <c r="B414" s="38"/>
      <c r="C414" s="2"/>
      <c r="D414" s="41"/>
      <c r="E414" s="38"/>
      <c r="F414" s="2"/>
      <c r="G414" s="41"/>
      <c r="H414" s="38"/>
      <c r="I414" s="39"/>
      <c r="J414" s="39"/>
      <c r="K414" s="41"/>
      <c r="L414" s="41"/>
      <c r="M414" s="42"/>
      <c r="U414" s="3" t="str">
        <f t="shared" si="36"/>
        <v/>
      </c>
      <c r="V414" s="3" t="str">
        <f t="shared" si="37"/>
        <v/>
      </c>
      <c r="AD414" s="6" t="str">
        <f t="shared" si="38"/>
        <v/>
      </c>
    </row>
    <row r="415" spans="1:30" x14ac:dyDescent="0.25">
      <c r="A415" s="37"/>
      <c r="B415" s="38"/>
      <c r="C415" s="2"/>
      <c r="D415" s="41"/>
      <c r="E415" s="38"/>
      <c r="F415" s="2"/>
      <c r="G415" s="41"/>
      <c r="H415" s="38"/>
      <c r="I415" s="39"/>
      <c r="J415" s="39"/>
      <c r="K415" s="41"/>
      <c r="L415" s="41"/>
      <c r="M415" s="42"/>
      <c r="U415" s="3" t="str">
        <f t="shared" si="36"/>
        <v/>
      </c>
      <c r="V415" s="3" t="str">
        <f t="shared" si="37"/>
        <v/>
      </c>
      <c r="AD415" s="6" t="str">
        <f t="shared" si="38"/>
        <v/>
      </c>
    </row>
    <row r="416" spans="1:30" x14ac:dyDescent="0.25">
      <c r="A416" s="37"/>
      <c r="B416" s="38"/>
      <c r="C416" s="2"/>
      <c r="D416" s="41"/>
      <c r="E416" s="38"/>
      <c r="F416" s="2"/>
      <c r="G416" s="41"/>
      <c r="H416" s="38"/>
      <c r="I416" s="39"/>
      <c r="J416" s="39"/>
      <c r="K416" s="41"/>
      <c r="L416" s="41"/>
      <c r="M416" s="42"/>
      <c r="U416" s="3" t="str">
        <f t="shared" si="36"/>
        <v/>
      </c>
      <c r="V416" s="3" t="str">
        <f t="shared" si="37"/>
        <v/>
      </c>
      <c r="AD416" s="6" t="str">
        <f t="shared" si="38"/>
        <v/>
      </c>
    </row>
    <row r="417" spans="1:30" x14ac:dyDescent="0.25">
      <c r="A417" s="37"/>
      <c r="B417" s="38"/>
      <c r="C417" s="2"/>
      <c r="D417" s="41"/>
      <c r="E417" s="38"/>
      <c r="F417" s="2"/>
      <c r="G417" s="41"/>
      <c r="H417" s="38"/>
      <c r="I417" s="39"/>
      <c r="J417" s="39"/>
      <c r="K417" s="41"/>
      <c r="L417" s="41"/>
      <c r="M417" s="42"/>
      <c r="U417" s="3" t="str">
        <f t="shared" si="36"/>
        <v/>
      </c>
      <c r="V417" s="3" t="str">
        <f t="shared" si="37"/>
        <v/>
      </c>
      <c r="AD417" s="6" t="str">
        <f t="shared" si="38"/>
        <v/>
      </c>
    </row>
    <row r="418" spans="1:30" x14ac:dyDescent="0.25">
      <c r="A418" s="37"/>
      <c r="B418" s="38"/>
      <c r="C418" s="2"/>
      <c r="D418" s="41"/>
      <c r="E418" s="38"/>
      <c r="F418" s="2"/>
      <c r="G418" s="41"/>
      <c r="H418" s="38"/>
      <c r="I418" s="39"/>
      <c r="J418" s="39"/>
      <c r="K418" s="41"/>
      <c r="L418" s="41"/>
      <c r="M418" s="42"/>
      <c r="U418" s="3" t="str">
        <f t="shared" si="36"/>
        <v/>
      </c>
      <c r="V418" s="3" t="str">
        <f t="shared" si="37"/>
        <v/>
      </c>
      <c r="AD418" s="6" t="str">
        <f t="shared" si="38"/>
        <v/>
      </c>
    </row>
    <row r="419" spans="1:30" x14ac:dyDescent="0.25">
      <c r="A419" s="37"/>
      <c r="B419" s="38"/>
      <c r="C419" s="2"/>
      <c r="D419" s="41"/>
      <c r="E419" s="38"/>
      <c r="F419" s="2"/>
      <c r="G419" s="41"/>
      <c r="H419" s="38"/>
      <c r="I419" s="39"/>
      <c r="J419" s="39"/>
      <c r="K419" s="41"/>
      <c r="L419" s="41"/>
      <c r="M419" s="42"/>
      <c r="U419" s="3" t="str">
        <f t="shared" si="36"/>
        <v/>
      </c>
      <c r="V419" s="3" t="str">
        <f t="shared" si="37"/>
        <v/>
      </c>
      <c r="AD419" s="6" t="str">
        <f t="shared" si="38"/>
        <v/>
      </c>
    </row>
    <row r="420" spans="1:30" x14ac:dyDescent="0.25">
      <c r="A420" s="37"/>
      <c r="B420" s="38"/>
      <c r="C420" s="2"/>
      <c r="D420" s="41"/>
      <c r="E420" s="38"/>
      <c r="F420" s="2"/>
      <c r="G420" s="41"/>
      <c r="H420" s="38"/>
      <c r="I420" s="39"/>
      <c r="J420" s="39"/>
      <c r="K420" s="41"/>
      <c r="L420" s="41"/>
      <c r="M420" s="42"/>
      <c r="U420" s="3" t="str">
        <f t="shared" si="36"/>
        <v/>
      </c>
      <c r="V420" s="3" t="str">
        <f t="shared" si="37"/>
        <v/>
      </c>
      <c r="AD420" s="6" t="str">
        <f t="shared" si="38"/>
        <v/>
      </c>
    </row>
    <row r="421" spans="1:30" x14ac:dyDescent="0.25">
      <c r="A421" s="37"/>
      <c r="B421" s="38"/>
      <c r="C421" s="2"/>
      <c r="D421" s="41"/>
      <c r="E421" s="38"/>
      <c r="F421" s="2"/>
      <c r="G421" s="41"/>
      <c r="H421" s="38"/>
      <c r="I421" s="39"/>
      <c r="J421" s="39"/>
      <c r="K421" s="41"/>
      <c r="L421" s="41"/>
      <c r="M421" s="42"/>
      <c r="U421" s="3" t="str">
        <f t="shared" si="36"/>
        <v/>
      </c>
      <c r="V421" s="3" t="str">
        <f t="shared" si="37"/>
        <v/>
      </c>
      <c r="AD421" s="6" t="str">
        <f t="shared" si="38"/>
        <v/>
      </c>
    </row>
    <row r="422" spans="1:30" x14ac:dyDescent="0.25">
      <c r="A422" s="37"/>
      <c r="B422" s="38"/>
      <c r="C422" s="2"/>
      <c r="D422" s="41"/>
      <c r="E422" s="38"/>
      <c r="F422" s="2"/>
      <c r="G422" s="41"/>
      <c r="H422" s="38"/>
      <c r="I422" s="39"/>
      <c r="J422" s="39"/>
      <c r="K422" s="41"/>
      <c r="L422" s="41"/>
      <c r="M422" s="42"/>
      <c r="U422" s="3" t="str">
        <f t="shared" si="36"/>
        <v/>
      </c>
      <c r="V422" s="3" t="str">
        <f t="shared" si="37"/>
        <v/>
      </c>
    </row>
    <row r="423" spans="1:30" x14ac:dyDescent="0.25">
      <c r="A423" s="37"/>
      <c r="B423" s="38"/>
      <c r="C423" s="2"/>
      <c r="D423" s="41"/>
      <c r="E423" s="38"/>
      <c r="F423" s="2"/>
      <c r="G423" s="41"/>
      <c r="H423" s="38"/>
      <c r="I423" s="39"/>
      <c r="J423" s="39"/>
      <c r="K423" s="41"/>
      <c r="L423" s="41"/>
      <c r="M423" s="42"/>
      <c r="U423" s="3" t="str">
        <f t="shared" si="36"/>
        <v/>
      </c>
      <c r="V423" s="3" t="str">
        <f t="shared" si="37"/>
        <v/>
      </c>
    </row>
    <row r="424" spans="1:30" x14ac:dyDescent="0.25">
      <c r="A424" s="37"/>
      <c r="B424" s="38"/>
      <c r="C424" s="2"/>
      <c r="D424" s="41"/>
      <c r="E424" s="38"/>
      <c r="F424" s="2"/>
      <c r="G424" s="41"/>
      <c r="H424" s="38"/>
      <c r="I424" s="39"/>
      <c r="J424" s="39"/>
      <c r="K424" s="41"/>
      <c r="L424" s="41"/>
      <c r="M424" s="42"/>
      <c r="U424" s="3" t="str">
        <f t="shared" si="36"/>
        <v/>
      </c>
      <c r="V424" s="3" t="str">
        <f t="shared" si="37"/>
        <v/>
      </c>
    </row>
    <row r="425" spans="1:30" x14ac:dyDescent="0.25">
      <c r="A425" s="37"/>
      <c r="B425" s="38"/>
      <c r="C425" s="2"/>
      <c r="D425" s="41"/>
      <c r="E425" s="38"/>
      <c r="F425" s="2"/>
      <c r="G425" s="41"/>
      <c r="H425" s="38"/>
      <c r="I425" s="39"/>
      <c r="J425" s="39"/>
      <c r="K425" s="41"/>
      <c r="L425" s="41"/>
      <c r="M425" s="42"/>
      <c r="U425" s="3" t="str">
        <f t="shared" si="36"/>
        <v/>
      </c>
      <c r="V425" s="3" t="str">
        <f t="shared" si="37"/>
        <v/>
      </c>
    </row>
    <row r="426" spans="1:30" x14ac:dyDescent="0.25">
      <c r="A426" s="37"/>
      <c r="B426" s="38"/>
      <c r="C426" s="2"/>
      <c r="D426" s="41"/>
      <c r="E426" s="38"/>
      <c r="F426" s="2"/>
      <c r="G426" s="41"/>
      <c r="H426" s="38"/>
      <c r="I426" s="39"/>
      <c r="J426" s="39"/>
      <c r="K426" s="41"/>
      <c r="L426" s="41"/>
      <c r="M426" s="42"/>
      <c r="U426" s="3" t="str">
        <f t="shared" si="36"/>
        <v/>
      </c>
      <c r="V426" s="3" t="str">
        <f t="shared" si="37"/>
        <v/>
      </c>
    </row>
    <row r="427" spans="1:30" x14ac:dyDescent="0.25">
      <c r="A427" s="37"/>
      <c r="B427" s="38"/>
      <c r="C427" s="2"/>
      <c r="D427" s="41"/>
      <c r="E427" s="38"/>
      <c r="F427" s="2"/>
      <c r="G427" s="41"/>
      <c r="H427" s="38"/>
      <c r="I427" s="39"/>
      <c r="J427" s="39"/>
      <c r="K427" s="41"/>
      <c r="L427" s="41"/>
      <c r="M427" s="42"/>
      <c r="U427" s="3" t="str">
        <f t="shared" si="36"/>
        <v/>
      </c>
      <c r="V427" s="3" t="str">
        <f t="shared" si="37"/>
        <v/>
      </c>
    </row>
    <row r="428" spans="1:30" x14ac:dyDescent="0.25">
      <c r="A428" s="37"/>
      <c r="B428" s="38"/>
      <c r="C428" s="2"/>
      <c r="D428" s="41"/>
      <c r="E428" s="38"/>
      <c r="F428" s="2"/>
      <c r="G428" s="41"/>
      <c r="H428" s="38"/>
      <c r="I428" s="39"/>
      <c r="J428" s="39"/>
      <c r="K428" s="41"/>
      <c r="L428" s="41"/>
      <c r="M428" s="42"/>
      <c r="U428" s="3" t="str">
        <f t="shared" si="36"/>
        <v/>
      </c>
      <c r="V428" s="3" t="str">
        <f t="shared" si="37"/>
        <v/>
      </c>
    </row>
    <row r="429" spans="1:30" x14ac:dyDescent="0.25">
      <c r="A429" s="37"/>
      <c r="B429" s="38"/>
      <c r="C429" s="2"/>
      <c r="D429" s="41"/>
      <c r="E429" s="38"/>
      <c r="F429" s="2"/>
      <c r="G429" s="41"/>
      <c r="H429" s="38"/>
      <c r="I429" s="39"/>
      <c r="J429" s="39"/>
      <c r="K429" s="41"/>
      <c r="L429" s="41"/>
      <c r="M429" s="42"/>
      <c r="U429" s="3" t="str">
        <f t="shared" si="36"/>
        <v/>
      </c>
      <c r="V429" s="3" t="str">
        <f t="shared" si="37"/>
        <v/>
      </c>
    </row>
    <row r="430" spans="1:30" x14ac:dyDescent="0.25">
      <c r="A430" s="37"/>
      <c r="B430" s="38"/>
      <c r="C430" s="2"/>
      <c r="D430" s="41"/>
      <c r="E430" s="38"/>
      <c r="F430" s="2"/>
      <c r="G430" s="41"/>
      <c r="H430" s="38"/>
      <c r="I430" s="39"/>
      <c r="J430" s="39"/>
      <c r="K430" s="41"/>
      <c r="L430" s="41"/>
      <c r="M430" s="42"/>
      <c r="U430" s="3" t="str">
        <f t="shared" si="36"/>
        <v/>
      </c>
      <c r="V430" s="3" t="str">
        <f t="shared" si="37"/>
        <v/>
      </c>
    </row>
    <row r="431" spans="1:30" x14ac:dyDescent="0.25">
      <c r="A431" s="37"/>
      <c r="B431" s="38"/>
      <c r="C431" s="2"/>
      <c r="D431" s="41"/>
      <c r="E431" s="38"/>
      <c r="F431" s="2"/>
      <c r="G431" s="41"/>
      <c r="H431" s="38"/>
      <c r="I431" s="39"/>
      <c r="J431" s="39"/>
      <c r="K431" s="41"/>
      <c r="L431" s="41"/>
      <c r="M431" s="42"/>
      <c r="U431" s="3" t="str">
        <f t="shared" si="36"/>
        <v/>
      </c>
      <c r="V431" s="3" t="str">
        <f t="shared" si="37"/>
        <v/>
      </c>
    </row>
    <row r="432" spans="1:30" x14ac:dyDescent="0.25">
      <c r="A432" s="37"/>
      <c r="B432" s="38"/>
      <c r="C432" s="2"/>
      <c r="D432" s="41"/>
      <c r="E432" s="38"/>
      <c r="F432" s="2"/>
      <c r="G432" s="41"/>
      <c r="H432" s="38"/>
      <c r="I432" s="39"/>
      <c r="J432" s="39"/>
      <c r="K432" s="41"/>
      <c r="L432" s="41"/>
      <c r="M432" s="42"/>
      <c r="U432" s="3" t="str">
        <f t="shared" si="36"/>
        <v/>
      </c>
      <c r="V432" s="3" t="str">
        <f t="shared" si="37"/>
        <v/>
      </c>
    </row>
    <row r="433" spans="1:22" x14ac:dyDescent="0.25">
      <c r="A433" s="37"/>
      <c r="B433" s="38"/>
      <c r="C433" s="2"/>
      <c r="D433" s="41"/>
      <c r="E433" s="38"/>
      <c r="F433" s="2"/>
      <c r="G433" s="41"/>
      <c r="H433" s="38"/>
      <c r="I433" s="39"/>
      <c r="J433" s="39"/>
      <c r="K433" s="41"/>
      <c r="L433" s="41"/>
      <c r="M433" s="42"/>
      <c r="U433" s="3" t="str">
        <f t="shared" si="36"/>
        <v/>
      </c>
      <c r="V433" s="3" t="str">
        <f t="shared" si="37"/>
        <v/>
      </c>
    </row>
    <row r="434" spans="1:22" x14ac:dyDescent="0.25">
      <c r="A434" s="37"/>
      <c r="B434" s="38"/>
      <c r="C434" s="2"/>
      <c r="D434" s="41"/>
      <c r="E434" s="38"/>
      <c r="F434" s="2"/>
      <c r="G434" s="41"/>
      <c r="H434" s="38"/>
      <c r="I434" s="39"/>
      <c r="J434" s="39"/>
      <c r="K434" s="41"/>
      <c r="L434" s="41"/>
      <c r="M434" s="42"/>
      <c r="U434" s="3" t="str">
        <f t="shared" si="36"/>
        <v/>
      </c>
      <c r="V434" s="3" t="str">
        <f t="shared" si="37"/>
        <v/>
      </c>
    </row>
    <row r="435" spans="1:22" x14ac:dyDescent="0.25">
      <c r="A435" s="37"/>
      <c r="B435" s="38"/>
      <c r="C435" s="2"/>
      <c r="D435" s="41"/>
      <c r="E435" s="38"/>
      <c r="F435" s="2"/>
      <c r="G435" s="41"/>
      <c r="H435" s="38"/>
      <c r="I435" s="39"/>
      <c r="J435" s="39"/>
      <c r="K435" s="41"/>
      <c r="L435" s="41"/>
      <c r="M435" s="42"/>
      <c r="U435" s="3" t="str">
        <f t="shared" si="36"/>
        <v/>
      </c>
      <c r="V435" s="3" t="str">
        <f t="shared" si="37"/>
        <v/>
      </c>
    </row>
    <row r="436" spans="1:22" x14ac:dyDescent="0.25">
      <c r="A436" s="37"/>
      <c r="B436" s="38"/>
      <c r="C436" s="2"/>
      <c r="D436" s="41"/>
      <c r="E436" s="38"/>
      <c r="F436" s="2"/>
      <c r="G436" s="41"/>
      <c r="H436" s="38"/>
      <c r="I436" s="39"/>
      <c r="J436" s="39"/>
      <c r="K436" s="41"/>
      <c r="L436" s="41"/>
      <c r="M436" s="42"/>
      <c r="U436" s="3" t="str">
        <f t="shared" si="36"/>
        <v/>
      </c>
      <c r="V436" s="3" t="str">
        <f t="shared" si="37"/>
        <v/>
      </c>
    </row>
    <row r="437" spans="1:22" x14ac:dyDescent="0.25">
      <c r="A437" s="37"/>
      <c r="B437" s="38"/>
      <c r="C437" s="2"/>
      <c r="D437" s="41"/>
      <c r="E437" s="38"/>
      <c r="F437" s="2"/>
      <c r="G437" s="41"/>
      <c r="H437" s="38"/>
      <c r="I437" s="39"/>
      <c r="J437" s="39"/>
      <c r="K437" s="41"/>
      <c r="L437" s="41"/>
      <c r="M437" s="42"/>
      <c r="U437" s="3" t="str">
        <f t="shared" si="36"/>
        <v/>
      </c>
      <c r="V437" s="3" t="str">
        <f t="shared" si="37"/>
        <v/>
      </c>
    </row>
    <row r="438" spans="1:22" x14ac:dyDescent="0.25">
      <c r="A438" s="37"/>
      <c r="B438" s="38"/>
      <c r="C438" s="2"/>
      <c r="D438" s="41"/>
      <c r="E438" s="38"/>
      <c r="F438" s="2"/>
      <c r="G438" s="41"/>
      <c r="H438" s="38"/>
      <c r="I438" s="39"/>
      <c r="J438" s="39"/>
      <c r="K438" s="41"/>
      <c r="L438" s="41"/>
      <c r="M438" s="42"/>
      <c r="U438" s="3" t="str">
        <f t="shared" si="36"/>
        <v/>
      </c>
      <c r="V438" s="3" t="str">
        <f t="shared" si="37"/>
        <v/>
      </c>
    </row>
    <row r="439" spans="1:22" x14ac:dyDescent="0.25">
      <c r="A439" s="37"/>
      <c r="B439" s="38"/>
      <c r="C439" s="2"/>
      <c r="D439" s="41"/>
      <c r="E439" s="38"/>
      <c r="F439" s="2"/>
      <c r="G439" s="41"/>
      <c r="H439" s="38"/>
      <c r="I439" s="39"/>
      <c r="J439" s="39"/>
      <c r="K439" s="41"/>
      <c r="L439" s="41"/>
      <c r="M439" s="42"/>
      <c r="U439" s="3" t="str">
        <f t="shared" si="36"/>
        <v/>
      </c>
      <c r="V439" s="3" t="str">
        <f t="shared" si="37"/>
        <v/>
      </c>
    </row>
    <row r="440" spans="1:22" x14ac:dyDescent="0.25">
      <c r="A440" s="37"/>
      <c r="B440" s="38"/>
      <c r="C440" s="2"/>
      <c r="D440" s="41"/>
      <c r="E440" s="38"/>
      <c r="F440" s="2"/>
      <c r="G440" s="41"/>
      <c r="H440" s="38"/>
      <c r="I440" s="39"/>
      <c r="J440" s="39"/>
      <c r="K440" s="41"/>
      <c r="L440" s="41"/>
      <c r="M440" s="42"/>
      <c r="U440" s="3" t="str">
        <f t="shared" si="36"/>
        <v/>
      </c>
      <c r="V440" s="3" t="str">
        <f t="shared" si="37"/>
        <v/>
      </c>
    </row>
    <row r="441" spans="1:22" x14ac:dyDescent="0.25">
      <c r="A441" s="37"/>
      <c r="B441" s="38"/>
      <c r="C441" s="2"/>
      <c r="D441" s="41"/>
      <c r="E441" s="38"/>
      <c r="F441" s="2"/>
      <c r="G441" s="41"/>
      <c r="H441" s="38"/>
      <c r="I441" s="39"/>
      <c r="J441" s="39"/>
      <c r="K441" s="41"/>
      <c r="L441" s="41"/>
      <c r="M441" s="42"/>
      <c r="U441" s="3" t="str">
        <f t="shared" si="36"/>
        <v/>
      </c>
      <c r="V441" s="3" t="str">
        <f t="shared" si="37"/>
        <v/>
      </c>
    </row>
    <row r="442" spans="1:22" x14ac:dyDescent="0.25">
      <c r="A442" s="37"/>
      <c r="B442" s="38"/>
      <c r="C442" s="2"/>
      <c r="D442" s="41"/>
      <c r="E442" s="38"/>
      <c r="F442" s="2"/>
      <c r="G442" s="41"/>
      <c r="H442" s="38"/>
      <c r="I442" s="39"/>
      <c r="J442" s="39"/>
      <c r="K442" s="41"/>
      <c r="L442" s="41"/>
      <c r="M442" s="42"/>
      <c r="U442" s="3" t="str">
        <f t="shared" si="36"/>
        <v/>
      </c>
      <c r="V442" s="3" t="str">
        <f t="shared" si="37"/>
        <v/>
      </c>
    </row>
    <row r="443" spans="1:22" x14ac:dyDescent="0.25">
      <c r="A443" s="37"/>
      <c r="B443" s="38"/>
      <c r="C443" s="2"/>
      <c r="D443" s="41"/>
      <c r="E443" s="38"/>
      <c r="F443" s="2"/>
      <c r="G443" s="41"/>
      <c r="H443" s="38"/>
      <c r="I443" s="39"/>
      <c r="J443" s="39"/>
      <c r="K443" s="41"/>
      <c r="L443" s="41"/>
      <c r="M443" s="42"/>
      <c r="U443" s="3" t="str">
        <f t="shared" si="36"/>
        <v/>
      </c>
      <c r="V443" s="3" t="str">
        <f t="shared" si="37"/>
        <v/>
      </c>
    </row>
    <row r="444" spans="1:22" x14ac:dyDescent="0.25">
      <c r="A444" s="37"/>
      <c r="B444" s="38"/>
      <c r="C444" s="2"/>
      <c r="D444" s="41"/>
      <c r="E444" s="38"/>
      <c r="F444" s="2"/>
      <c r="G444" s="41"/>
      <c r="H444" s="38"/>
      <c r="I444" s="39"/>
      <c r="J444" s="39"/>
      <c r="K444" s="41"/>
      <c r="L444" s="41"/>
      <c r="M444" s="42"/>
      <c r="U444" s="3" t="str">
        <f t="shared" si="36"/>
        <v/>
      </c>
      <c r="V444" s="3" t="str">
        <f t="shared" si="37"/>
        <v/>
      </c>
    </row>
    <row r="445" spans="1:22" x14ac:dyDescent="0.25">
      <c r="A445" s="37"/>
      <c r="B445" s="38"/>
      <c r="C445" s="2"/>
      <c r="D445" s="41"/>
      <c r="E445" s="38"/>
      <c r="F445" s="2"/>
      <c r="G445" s="41"/>
      <c r="H445" s="38"/>
      <c r="I445" s="39"/>
      <c r="J445" s="39"/>
      <c r="K445" s="41"/>
      <c r="L445" s="41"/>
      <c r="M445" s="42"/>
      <c r="U445" s="3" t="str">
        <f t="shared" si="36"/>
        <v/>
      </c>
      <c r="V445" s="3" t="str">
        <f t="shared" si="37"/>
        <v/>
      </c>
    </row>
    <row r="446" spans="1:22" x14ac:dyDescent="0.25">
      <c r="A446" s="37"/>
      <c r="B446" s="38"/>
      <c r="C446" s="2"/>
      <c r="D446" s="41"/>
      <c r="E446" s="38"/>
      <c r="F446" s="2"/>
      <c r="G446" s="41"/>
      <c r="H446" s="38"/>
      <c r="I446" s="39"/>
      <c r="J446" s="39"/>
      <c r="K446" s="41"/>
      <c r="L446" s="41"/>
      <c r="M446" s="42"/>
      <c r="U446" s="3" t="str">
        <f t="shared" si="36"/>
        <v/>
      </c>
      <c r="V446" s="3" t="str">
        <f t="shared" si="37"/>
        <v/>
      </c>
    </row>
    <row r="447" spans="1:22" x14ac:dyDescent="0.25">
      <c r="A447" s="37"/>
      <c r="B447" s="38"/>
      <c r="C447" s="2"/>
      <c r="D447" s="41"/>
      <c r="E447" s="38"/>
      <c r="F447" s="2"/>
      <c r="G447" s="41"/>
      <c r="H447" s="38"/>
      <c r="I447" s="39"/>
      <c r="J447" s="39"/>
      <c r="K447" s="41"/>
      <c r="L447" s="41"/>
      <c r="M447" s="42"/>
      <c r="U447" s="3" t="str">
        <f t="shared" si="36"/>
        <v/>
      </c>
      <c r="V447" s="3" t="str">
        <f t="shared" si="37"/>
        <v/>
      </c>
    </row>
    <row r="448" spans="1:22" x14ac:dyDescent="0.25">
      <c r="A448" s="37"/>
      <c r="B448" s="38"/>
      <c r="C448" s="2"/>
      <c r="D448" s="41"/>
      <c r="E448" s="38"/>
      <c r="F448" s="2"/>
      <c r="G448" s="41"/>
      <c r="H448" s="38"/>
      <c r="I448" s="39"/>
      <c r="J448" s="39"/>
      <c r="K448" s="41"/>
      <c r="L448" s="41"/>
      <c r="M448" s="42"/>
      <c r="U448" s="3" t="str">
        <f t="shared" si="36"/>
        <v/>
      </c>
      <c r="V448" s="3" t="str">
        <f t="shared" si="37"/>
        <v/>
      </c>
    </row>
    <row r="449" spans="1:22" x14ac:dyDescent="0.25">
      <c r="A449" s="37"/>
      <c r="B449" s="38"/>
      <c r="C449" s="2"/>
      <c r="D449" s="41"/>
      <c r="E449" s="38"/>
      <c r="F449" s="2"/>
      <c r="G449" s="41"/>
      <c r="H449" s="38"/>
      <c r="I449" s="39"/>
      <c r="J449" s="39"/>
      <c r="K449" s="41"/>
      <c r="L449" s="41"/>
      <c r="M449" s="42"/>
      <c r="U449" s="3" t="str">
        <f t="shared" si="36"/>
        <v/>
      </c>
      <c r="V449" s="3" t="str">
        <f t="shared" si="37"/>
        <v/>
      </c>
    </row>
    <row r="450" spans="1:22" x14ac:dyDescent="0.25">
      <c r="A450" s="37"/>
      <c r="B450" s="38"/>
      <c r="C450" s="2"/>
      <c r="D450" s="41"/>
      <c r="E450" s="38"/>
      <c r="F450" s="2"/>
      <c r="G450" s="41"/>
      <c r="H450" s="38"/>
      <c r="I450" s="39"/>
      <c r="J450" s="39"/>
      <c r="K450" s="41"/>
      <c r="L450" s="41"/>
      <c r="M450" s="42"/>
      <c r="U450" s="3" t="str">
        <f t="shared" si="36"/>
        <v/>
      </c>
      <c r="V450" s="3" t="str">
        <f t="shared" si="37"/>
        <v/>
      </c>
    </row>
    <row r="451" spans="1:22" x14ac:dyDescent="0.25">
      <c r="A451" s="37"/>
      <c r="B451" s="38"/>
      <c r="C451" s="2"/>
      <c r="D451" s="41"/>
      <c r="E451" s="38"/>
      <c r="F451" s="2"/>
      <c r="G451" s="41"/>
      <c r="H451" s="38"/>
      <c r="I451" s="39"/>
      <c r="J451" s="39"/>
      <c r="K451" s="41"/>
      <c r="L451" s="41"/>
      <c r="M451" s="42"/>
      <c r="U451" s="3" t="str">
        <f t="shared" si="36"/>
        <v/>
      </c>
      <c r="V451" s="3" t="str">
        <f t="shared" si="37"/>
        <v/>
      </c>
    </row>
    <row r="452" spans="1:22" x14ac:dyDescent="0.25">
      <c r="A452" s="37"/>
      <c r="B452" s="38"/>
      <c r="C452" s="2"/>
      <c r="D452" s="41"/>
      <c r="E452" s="38"/>
      <c r="F452" s="2"/>
      <c r="G452" s="41"/>
      <c r="H452" s="38"/>
      <c r="I452" s="39"/>
      <c r="J452" s="39"/>
      <c r="K452" s="41"/>
      <c r="L452" s="41"/>
      <c r="M452" s="42"/>
      <c r="U452" s="3" t="str">
        <f t="shared" ref="U452:U515" si="39">IF(COUNTIF(Q:Q,O452)*COUNTIF(S:S,O452),O452,"")</f>
        <v/>
      </c>
      <c r="V452" s="3" t="str">
        <f t="shared" ref="V452:V515" si="40">IF(U452&gt;$A$14,U452,"")</f>
        <v/>
      </c>
    </row>
    <row r="453" spans="1:22" x14ac:dyDescent="0.25">
      <c r="A453" s="37"/>
      <c r="B453" s="38"/>
      <c r="C453" s="2"/>
      <c r="D453" s="41"/>
      <c r="E453" s="38"/>
      <c r="F453" s="2"/>
      <c r="G453" s="41"/>
      <c r="H453" s="38"/>
      <c r="I453" s="39"/>
      <c r="J453" s="39"/>
      <c r="K453" s="41"/>
      <c r="L453" s="41"/>
      <c r="M453" s="42"/>
      <c r="U453" s="3" t="str">
        <f t="shared" si="39"/>
        <v/>
      </c>
      <c r="V453" s="3" t="str">
        <f t="shared" si="40"/>
        <v/>
      </c>
    </row>
    <row r="454" spans="1:22" x14ac:dyDescent="0.25">
      <c r="A454" s="37"/>
      <c r="B454" s="38"/>
      <c r="C454" s="2"/>
      <c r="D454" s="41"/>
      <c r="E454" s="38"/>
      <c r="F454" s="2"/>
      <c r="G454" s="41"/>
      <c r="H454" s="38"/>
      <c r="I454" s="39"/>
      <c r="J454" s="39"/>
      <c r="K454" s="41"/>
      <c r="L454" s="41"/>
      <c r="M454" s="42"/>
      <c r="U454" s="3" t="str">
        <f t="shared" si="39"/>
        <v/>
      </c>
      <c r="V454" s="3" t="str">
        <f t="shared" si="40"/>
        <v/>
      </c>
    </row>
    <row r="455" spans="1:22" x14ac:dyDescent="0.25">
      <c r="A455" s="37"/>
      <c r="B455" s="38"/>
      <c r="C455" s="2"/>
      <c r="D455" s="41"/>
      <c r="E455" s="38"/>
      <c r="F455" s="2"/>
      <c r="G455" s="41"/>
      <c r="H455" s="38"/>
      <c r="I455" s="39"/>
      <c r="J455" s="39"/>
      <c r="K455" s="41"/>
      <c r="L455" s="41"/>
      <c r="M455" s="42"/>
      <c r="U455" s="3" t="str">
        <f t="shared" si="39"/>
        <v/>
      </c>
      <c r="V455" s="3" t="str">
        <f t="shared" si="40"/>
        <v/>
      </c>
    </row>
    <row r="456" spans="1:22" x14ac:dyDescent="0.25">
      <c r="A456" s="37"/>
      <c r="B456" s="38"/>
      <c r="C456" s="2"/>
      <c r="D456" s="41"/>
      <c r="E456" s="38"/>
      <c r="F456" s="2"/>
      <c r="G456" s="41"/>
      <c r="H456" s="38"/>
      <c r="I456" s="39"/>
      <c r="J456" s="39"/>
      <c r="K456" s="41"/>
      <c r="L456" s="41"/>
      <c r="M456" s="42"/>
      <c r="U456" s="3" t="str">
        <f t="shared" si="39"/>
        <v/>
      </c>
      <c r="V456" s="3" t="str">
        <f t="shared" si="40"/>
        <v/>
      </c>
    </row>
    <row r="457" spans="1:22" x14ac:dyDescent="0.25">
      <c r="A457" s="37"/>
      <c r="B457" s="38"/>
      <c r="C457" s="2"/>
      <c r="D457" s="41"/>
      <c r="E457" s="38"/>
      <c r="F457" s="2"/>
      <c r="G457" s="41"/>
      <c r="H457" s="38"/>
      <c r="I457" s="39"/>
      <c r="J457" s="39"/>
      <c r="K457" s="41"/>
      <c r="L457" s="41"/>
      <c r="M457" s="42"/>
      <c r="U457" s="3" t="str">
        <f t="shared" si="39"/>
        <v/>
      </c>
      <c r="V457" s="3" t="str">
        <f t="shared" si="40"/>
        <v/>
      </c>
    </row>
    <row r="458" spans="1:22" x14ac:dyDescent="0.25">
      <c r="A458" s="37"/>
      <c r="B458" s="38"/>
      <c r="C458" s="2"/>
      <c r="D458" s="41"/>
      <c r="E458" s="38"/>
      <c r="F458" s="2"/>
      <c r="G458" s="41"/>
      <c r="H458" s="38"/>
      <c r="I458" s="39"/>
      <c r="J458" s="39"/>
      <c r="K458" s="41"/>
      <c r="L458" s="41"/>
      <c r="M458" s="42"/>
      <c r="U458" s="3" t="str">
        <f t="shared" si="39"/>
        <v/>
      </c>
      <c r="V458" s="3" t="str">
        <f t="shared" si="40"/>
        <v/>
      </c>
    </row>
    <row r="459" spans="1:22" x14ac:dyDescent="0.25">
      <c r="A459" s="37"/>
      <c r="B459" s="38"/>
      <c r="C459" s="2"/>
      <c r="D459" s="41"/>
      <c r="E459" s="38"/>
      <c r="F459" s="2"/>
      <c r="G459" s="41"/>
      <c r="H459" s="38"/>
      <c r="I459" s="39"/>
      <c r="J459" s="39"/>
      <c r="K459" s="41"/>
      <c r="L459" s="41"/>
      <c r="M459" s="42"/>
      <c r="U459" s="3" t="str">
        <f t="shared" si="39"/>
        <v/>
      </c>
      <c r="V459" s="3" t="str">
        <f t="shared" si="40"/>
        <v/>
      </c>
    </row>
    <row r="460" spans="1:22" x14ac:dyDescent="0.25">
      <c r="A460" s="37"/>
      <c r="B460" s="38"/>
      <c r="C460" s="2"/>
      <c r="D460" s="41"/>
      <c r="E460" s="38"/>
      <c r="F460" s="2"/>
      <c r="G460" s="41"/>
      <c r="H460" s="38"/>
      <c r="I460" s="39"/>
      <c r="J460" s="39"/>
      <c r="K460" s="41"/>
      <c r="L460" s="41"/>
      <c r="M460" s="42"/>
      <c r="U460" s="3" t="str">
        <f t="shared" si="39"/>
        <v/>
      </c>
      <c r="V460" s="3" t="str">
        <f t="shared" si="40"/>
        <v/>
      </c>
    </row>
    <row r="461" spans="1:22" x14ac:dyDescent="0.25">
      <c r="A461" s="37"/>
      <c r="B461" s="38"/>
      <c r="C461" s="2"/>
      <c r="D461" s="41"/>
      <c r="E461" s="38"/>
      <c r="F461" s="2"/>
      <c r="G461" s="41"/>
      <c r="H461" s="38"/>
      <c r="I461" s="39"/>
      <c r="J461" s="39"/>
      <c r="K461" s="41"/>
      <c r="L461" s="41"/>
      <c r="M461" s="42"/>
      <c r="U461" s="3" t="str">
        <f t="shared" si="39"/>
        <v/>
      </c>
      <c r="V461" s="3" t="str">
        <f t="shared" si="40"/>
        <v/>
      </c>
    </row>
    <row r="462" spans="1:22" x14ac:dyDescent="0.25">
      <c r="A462" s="37"/>
      <c r="B462" s="38"/>
      <c r="C462" s="2"/>
      <c r="D462" s="41"/>
      <c r="E462" s="38"/>
      <c r="F462" s="2"/>
      <c r="G462" s="41"/>
      <c r="H462" s="38"/>
      <c r="I462" s="39"/>
      <c r="J462" s="39"/>
      <c r="K462" s="41"/>
      <c r="L462" s="41"/>
      <c r="M462" s="42"/>
      <c r="U462" s="3" t="str">
        <f t="shared" si="39"/>
        <v/>
      </c>
      <c r="V462" s="3" t="str">
        <f t="shared" si="40"/>
        <v/>
      </c>
    </row>
    <row r="463" spans="1:22" x14ac:dyDescent="0.25">
      <c r="A463" s="37"/>
      <c r="B463" s="38"/>
      <c r="C463" s="2"/>
      <c r="D463" s="41"/>
      <c r="E463" s="38"/>
      <c r="F463" s="2"/>
      <c r="G463" s="41"/>
      <c r="H463" s="38"/>
      <c r="I463" s="39"/>
      <c r="J463" s="39"/>
      <c r="K463" s="41"/>
      <c r="L463" s="41"/>
      <c r="M463" s="42"/>
      <c r="U463" s="3" t="str">
        <f t="shared" si="39"/>
        <v/>
      </c>
      <c r="V463" s="3" t="str">
        <f t="shared" si="40"/>
        <v/>
      </c>
    </row>
    <row r="464" spans="1:22" x14ac:dyDescent="0.25">
      <c r="A464" s="37"/>
      <c r="B464" s="38"/>
      <c r="C464" s="2"/>
      <c r="D464" s="41"/>
      <c r="E464" s="38"/>
      <c r="F464" s="2"/>
      <c r="G464" s="41"/>
      <c r="H464" s="38"/>
      <c r="I464" s="39"/>
      <c r="J464" s="39"/>
      <c r="K464" s="41"/>
      <c r="L464" s="41"/>
      <c r="M464" s="42"/>
      <c r="U464" s="3" t="str">
        <f t="shared" si="39"/>
        <v/>
      </c>
      <c r="V464" s="3" t="str">
        <f t="shared" si="40"/>
        <v/>
      </c>
    </row>
    <row r="465" spans="1:22" x14ac:dyDescent="0.25">
      <c r="A465" s="37"/>
      <c r="B465" s="38"/>
      <c r="C465" s="2"/>
      <c r="D465" s="41"/>
      <c r="E465" s="38"/>
      <c r="F465" s="2"/>
      <c r="G465" s="41"/>
      <c r="H465" s="38"/>
      <c r="I465" s="39"/>
      <c r="J465" s="39"/>
      <c r="K465" s="41"/>
      <c r="L465" s="41"/>
      <c r="M465" s="42"/>
      <c r="U465" s="3" t="str">
        <f t="shared" si="39"/>
        <v/>
      </c>
      <c r="V465" s="3" t="str">
        <f t="shared" si="40"/>
        <v/>
      </c>
    </row>
    <row r="466" spans="1:22" x14ac:dyDescent="0.25">
      <c r="A466" s="37"/>
      <c r="B466" s="38"/>
      <c r="C466" s="2"/>
      <c r="D466" s="41"/>
      <c r="E466" s="38"/>
      <c r="F466" s="2"/>
      <c r="G466" s="41"/>
      <c r="H466" s="38"/>
      <c r="I466" s="39"/>
      <c r="J466" s="39"/>
      <c r="K466" s="41"/>
      <c r="L466" s="41"/>
      <c r="M466" s="42"/>
      <c r="U466" s="3" t="str">
        <f t="shared" si="39"/>
        <v/>
      </c>
      <c r="V466" s="3" t="str">
        <f t="shared" si="40"/>
        <v/>
      </c>
    </row>
    <row r="467" spans="1:22" x14ac:dyDescent="0.25">
      <c r="A467" s="37"/>
      <c r="B467" s="38"/>
      <c r="C467" s="2"/>
      <c r="D467" s="41"/>
      <c r="E467" s="38"/>
      <c r="F467" s="2"/>
      <c r="G467" s="41"/>
      <c r="H467" s="38"/>
      <c r="I467" s="39"/>
      <c r="J467" s="39"/>
      <c r="K467" s="41"/>
      <c r="L467" s="41"/>
      <c r="M467" s="42"/>
      <c r="U467" s="3" t="str">
        <f t="shared" si="39"/>
        <v/>
      </c>
      <c r="V467" s="3" t="str">
        <f t="shared" si="40"/>
        <v/>
      </c>
    </row>
    <row r="468" spans="1:22" x14ac:dyDescent="0.25">
      <c r="A468" s="37"/>
      <c r="B468" s="38"/>
      <c r="C468" s="2"/>
      <c r="D468" s="41"/>
      <c r="E468" s="38"/>
      <c r="F468" s="2"/>
      <c r="G468" s="41"/>
      <c r="H468" s="38"/>
      <c r="I468" s="39"/>
      <c r="J468" s="39"/>
      <c r="K468" s="41"/>
      <c r="L468" s="41"/>
      <c r="M468" s="42"/>
      <c r="U468" s="3" t="str">
        <f t="shared" si="39"/>
        <v/>
      </c>
      <c r="V468" s="3" t="str">
        <f t="shared" si="40"/>
        <v/>
      </c>
    </row>
    <row r="469" spans="1:22" x14ac:dyDescent="0.25">
      <c r="A469" s="37"/>
      <c r="B469" s="38"/>
      <c r="C469" s="2"/>
      <c r="D469" s="41"/>
      <c r="E469" s="38"/>
      <c r="F469" s="2"/>
      <c r="G469" s="41"/>
      <c r="H469" s="38"/>
      <c r="I469" s="39"/>
      <c r="J469" s="39"/>
      <c r="K469" s="41"/>
      <c r="L469" s="41"/>
      <c r="M469" s="42"/>
      <c r="U469" s="3" t="str">
        <f t="shared" si="39"/>
        <v/>
      </c>
      <c r="V469" s="3" t="str">
        <f t="shared" si="40"/>
        <v/>
      </c>
    </row>
    <row r="470" spans="1:22" x14ac:dyDescent="0.25">
      <c r="A470" s="37"/>
      <c r="B470" s="38"/>
      <c r="C470" s="2"/>
      <c r="D470" s="41"/>
      <c r="E470" s="38"/>
      <c r="F470" s="2"/>
      <c r="G470" s="41"/>
      <c r="H470" s="38"/>
      <c r="I470" s="39"/>
      <c r="J470" s="39"/>
      <c r="K470" s="41"/>
      <c r="L470" s="41"/>
      <c r="M470" s="42"/>
      <c r="U470" s="3" t="str">
        <f t="shared" si="39"/>
        <v/>
      </c>
      <c r="V470" s="3" t="str">
        <f t="shared" si="40"/>
        <v/>
      </c>
    </row>
    <row r="471" spans="1:22" x14ac:dyDescent="0.25">
      <c r="A471" s="37"/>
      <c r="B471" s="38"/>
      <c r="C471" s="2"/>
      <c r="D471" s="41"/>
      <c r="E471" s="38"/>
      <c r="F471" s="2"/>
      <c r="G471" s="41"/>
      <c r="H471" s="38"/>
      <c r="I471" s="39"/>
      <c r="J471" s="39"/>
      <c r="K471" s="41"/>
      <c r="L471" s="41"/>
      <c r="M471" s="42"/>
      <c r="U471" s="3" t="str">
        <f t="shared" si="39"/>
        <v/>
      </c>
      <c r="V471" s="3" t="str">
        <f t="shared" si="40"/>
        <v/>
      </c>
    </row>
    <row r="472" spans="1:22" x14ac:dyDescent="0.25">
      <c r="A472" s="37"/>
      <c r="B472" s="38"/>
      <c r="C472" s="2"/>
      <c r="D472" s="41"/>
      <c r="E472" s="38"/>
      <c r="F472" s="2"/>
      <c r="G472" s="41"/>
      <c r="H472" s="38"/>
      <c r="I472" s="39"/>
      <c r="J472" s="39"/>
      <c r="K472" s="41"/>
      <c r="L472" s="41"/>
      <c r="M472" s="42"/>
      <c r="U472" s="3" t="str">
        <f t="shared" si="39"/>
        <v/>
      </c>
      <c r="V472" s="3" t="str">
        <f t="shared" si="40"/>
        <v/>
      </c>
    </row>
    <row r="473" spans="1:22" x14ac:dyDescent="0.25">
      <c r="A473" s="37"/>
      <c r="B473" s="38"/>
      <c r="C473" s="2"/>
      <c r="D473" s="41"/>
      <c r="E473" s="38"/>
      <c r="F473" s="2"/>
      <c r="G473" s="41"/>
      <c r="H473" s="38"/>
      <c r="I473" s="39"/>
      <c r="J473" s="39"/>
      <c r="K473" s="41"/>
      <c r="L473" s="41"/>
      <c r="M473" s="42"/>
      <c r="U473" s="3" t="str">
        <f t="shared" si="39"/>
        <v/>
      </c>
      <c r="V473" s="3" t="str">
        <f t="shared" si="40"/>
        <v/>
      </c>
    </row>
    <row r="474" spans="1:22" x14ac:dyDescent="0.25">
      <c r="A474" s="37"/>
      <c r="B474" s="38"/>
      <c r="C474" s="2"/>
      <c r="D474" s="41"/>
      <c r="E474" s="38"/>
      <c r="F474" s="2"/>
      <c r="G474" s="41"/>
      <c r="H474" s="38"/>
      <c r="I474" s="39"/>
      <c r="J474" s="39"/>
      <c r="K474" s="41"/>
      <c r="L474" s="41"/>
      <c r="M474" s="42"/>
      <c r="U474" s="3" t="str">
        <f t="shared" si="39"/>
        <v/>
      </c>
      <c r="V474" s="3" t="str">
        <f t="shared" si="40"/>
        <v/>
      </c>
    </row>
    <row r="475" spans="1:22" x14ac:dyDescent="0.25">
      <c r="A475" s="37"/>
      <c r="B475" s="38"/>
      <c r="C475" s="2"/>
      <c r="D475" s="41"/>
      <c r="E475" s="38"/>
      <c r="F475" s="2"/>
      <c r="G475" s="41"/>
      <c r="H475" s="38"/>
      <c r="I475" s="39"/>
      <c r="J475" s="39"/>
      <c r="K475" s="41"/>
      <c r="L475" s="41"/>
      <c r="M475" s="42"/>
      <c r="U475" s="3" t="str">
        <f t="shared" si="39"/>
        <v/>
      </c>
      <c r="V475" s="3" t="str">
        <f t="shared" si="40"/>
        <v/>
      </c>
    </row>
    <row r="476" spans="1:22" x14ac:dyDescent="0.25">
      <c r="A476" s="37"/>
      <c r="B476" s="38"/>
      <c r="C476" s="2"/>
      <c r="D476" s="41"/>
      <c r="E476" s="38"/>
      <c r="F476" s="2"/>
      <c r="G476" s="41"/>
      <c r="H476" s="38"/>
      <c r="I476" s="39"/>
      <c r="J476" s="39"/>
      <c r="K476" s="41"/>
      <c r="L476" s="41"/>
      <c r="M476" s="42"/>
      <c r="U476" s="3" t="str">
        <f t="shared" si="39"/>
        <v/>
      </c>
      <c r="V476" s="3" t="str">
        <f t="shared" si="40"/>
        <v/>
      </c>
    </row>
    <row r="477" spans="1:22" x14ac:dyDescent="0.25">
      <c r="A477" s="37"/>
      <c r="B477" s="38"/>
      <c r="C477" s="2"/>
      <c r="D477" s="41"/>
      <c r="E477" s="38"/>
      <c r="F477" s="2"/>
      <c r="G477" s="41"/>
      <c r="H477" s="38"/>
      <c r="I477" s="39"/>
      <c r="J477" s="39"/>
      <c r="K477" s="41"/>
      <c r="L477" s="41"/>
      <c r="M477" s="42"/>
      <c r="U477" s="3" t="str">
        <f t="shared" si="39"/>
        <v/>
      </c>
      <c r="V477" s="3" t="str">
        <f t="shared" si="40"/>
        <v/>
      </c>
    </row>
    <row r="478" spans="1:22" x14ac:dyDescent="0.25">
      <c r="A478" s="37"/>
      <c r="B478" s="38"/>
      <c r="C478" s="2"/>
      <c r="D478" s="41"/>
      <c r="E478" s="38"/>
      <c r="F478" s="2"/>
      <c r="G478" s="41"/>
      <c r="H478" s="38"/>
      <c r="I478" s="39"/>
      <c r="J478" s="39"/>
      <c r="K478" s="41"/>
      <c r="L478" s="41"/>
      <c r="M478" s="42"/>
      <c r="U478" s="3" t="str">
        <f t="shared" si="39"/>
        <v/>
      </c>
      <c r="V478" s="3" t="str">
        <f t="shared" si="40"/>
        <v/>
      </c>
    </row>
    <row r="479" spans="1:22" x14ac:dyDescent="0.25">
      <c r="A479" s="37"/>
      <c r="B479" s="38"/>
      <c r="C479" s="2"/>
      <c r="D479" s="41"/>
      <c r="E479" s="38"/>
      <c r="F479" s="2"/>
      <c r="G479" s="41"/>
      <c r="H479" s="38"/>
      <c r="I479" s="39"/>
      <c r="J479" s="39"/>
      <c r="K479" s="41"/>
      <c r="L479" s="41"/>
      <c r="M479" s="42"/>
      <c r="U479" s="3" t="str">
        <f t="shared" si="39"/>
        <v/>
      </c>
      <c r="V479" s="3" t="str">
        <f t="shared" si="40"/>
        <v/>
      </c>
    </row>
    <row r="480" spans="1:22" x14ac:dyDescent="0.25">
      <c r="A480" s="37"/>
      <c r="B480" s="38"/>
      <c r="C480" s="2"/>
      <c r="D480" s="41"/>
      <c r="E480" s="38"/>
      <c r="F480" s="2"/>
      <c r="G480" s="41"/>
      <c r="H480" s="38"/>
      <c r="I480" s="39"/>
      <c r="J480" s="39"/>
      <c r="K480" s="41"/>
      <c r="L480" s="41"/>
      <c r="M480" s="42"/>
      <c r="U480" s="3" t="str">
        <f t="shared" si="39"/>
        <v/>
      </c>
      <c r="V480" s="3" t="str">
        <f t="shared" si="40"/>
        <v/>
      </c>
    </row>
    <row r="481" spans="1:22" x14ac:dyDescent="0.25">
      <c r="A481" s="37"/>
      <c r="B481" s="38"/>
      <c r="C481" s="2"/>
      <c r="D481" s="41"/>
      <c r="E481" s="38"/>
      <c r="F481" s="2"/>
      <c r="G481" s="41"/>
      <c r="H481" s="38"/>
      <c r="I481" s="39"/>
      <c r="J481" s="39"/>
      <c r="K481" s="41"/>
      <c r="L481" s="41"/>
      <c r="M481" s="42"/>
      <c r="U481" s="3" t="str">
        <f t="shared" si="39"/>
        <v/>
      </c>
      <c r="V481" s="3" t="str">
        <f t="shared" si="40"/>
        <v/>
      </c>
    </row>
    <row r="482" spans="1:22" x14ac:dyDescent="0.25">
      <c r="A482" s="37"/>
      <c r="B482" s="38"/>
      <c r="C482" s="2"/>
      <c r="D482" s="41"/>
      <c r="E482" s="38"/>
      <c r="F482" s="2"/>
      <c r="G482" s="41"/>
      <c r="H482" s="38"/>
      <c r="I482" s="39"/>
      <c r="J482" s="39"/>
      <c r="K482" s="41"/>
      <c r="L482" s="41"/>
      <c r="M482" s="42"/>
      <c r="U482" s="3" t="str">
        <f t="shared" si="39"/>
        <v/>
      </c>
      <c r="V482" s="3" t="str">
        <f t="shared" si="40"/>
        <v/>
      </c>
    </row>
    <row r="483" spans="1:22" x14ac:dyDescent="0.25">
      <c r="A483" s="37"/>
      <c r="B483" s="38"/>
      <c r="C483" s="2"/>
      <c r="D483" s="41"/>
      <c r="E483" s="38"/>
      <c r="F483" s="2"/>
      <c r="G483" s="41"/>
      <c r="H483" s="38"/>
      <c r="I483" s="39"/>
      <c r="J483" s="39"/>
      <c r="K483" s="41"/>
      <c r="L483" s="41"/>
      <c r="M483" s="42"/>
      <c r="U483" s="3" t="str">
        <f t="shared" si="39"/>
        <v/>
      </c>
      <c r="V483" s="3" t="str">
        <f t="shared" si="40"/>
        <v/>
      </c>
    </row>
    <row r="484" spans="1:22" x14ac:dyDescent="0.25">
      <c r="A484" s="37"/>
      <c r="B484" s="38"/>
      <c r="C484" s="2"/>
      <c r="D484" s="41"/>
      <c r="E484" s="38"/>
      <c r="F484" s="2"/>
      <c r="G484" s="41"/>
      <c r="H484" s="38"/>
      <c r="I484" s="39"/>
      <c r="J484" s="39"/>
      <c r="K484" s="41"/>
      <c r="L484" s="41"/>
      <c r="M484" s="42"/>
      <c r="U484" s="3" t="str">
        <f t="shared" si="39"/>
        <v/>
      </c>
      <c r="V484" s="3" t="str">
        <f t="shared" si="40"/>
        <v/>
      </c>
    </row>
    <row r="485" spans="1:22" x14ac:dyDescent="0.25">
      <c r="A485" s="37"/>
      <c r="B485" s="38"/>
      <c r="C485" s="2"/>
      <c r="D485" s="41"/>
      <c r="E485" s="38"/>
      <c r="F485" s="2"/>
      <c r="G485" s="41"/>
      <c r="H485" s="38"/>
      <c r="I485" s="39"/>
      <c r="J485" s="39"/>
      <c r="K485" s="41"/>
      <c r="L485" s="41"/>
      <c r="M485" s="42"/>
      <c r="U485" s="3" t="str">
        <f t="shared" si="39"/>
        <v/>
      </c>
      <c r="V485" s="3" t="str">
        <f t="shared" si="40"/>
        <v/>
      </c>
    </row>
    <row r="486" spans="1:22" x14ac:dyDescent="0.25">
      <c r="A486" s="37"/>
      <c r="B486" s="38"/>
      <c r="C486" s="2"/>
      <c r="D486" s="41"/>
      <c r="E486" s="38"/>
      <c r="F486" s="2"/>
      <c r="G486" s="41"/>
      <c r="H486" s="38"/>
      <c r="I486" s="39"/>
      <c r="J486" s="39"/>
      <c r="K486" s="41"/>
      <c r="L486" s="41"/>
      <c r="M486" s="42"/>
      <c r="U486" s="3" t="str">
        <f t="shared" si="39"/>
        <v/>
      </c>
      <c r="V486" s="3" t="str">
        <f t="shared" si="40"/>
        <v/>
      </c>
    </row>
    <row r="487" spans="1:22" x14ac:dyDescent="0.25">
      <c r="A487" s="37"/>
      <c r="B487" s="38"/>
      <c r="C487" s="2"/>
      <c r="D487" s="41"/>
      <c r="E487" s="38"/>
      <c r="F487" s="2"/>
      <c r="G487" s="41"/>
      <c r="H487" s="38"/>
      <c r="I487" s="39"/>
      <c r="J487" s="39"/>
      <c r="K487" s="41"/>
      <c r="L487" s="41"/>
      <c r="M487" s="42"/>
      <c r="U487" s="3" t="str">
        <f t="shared" si="39"/>
        <v/>
      </c>
      <c r="V487" s="3" t="str">
        <f t="shared" si="40"/>
        <v/>
      </c>
    </row>
    <row r="488" spans="1:22" x14ac:dyDescent="0.25">
      <c r="A488" s="37"/>
      <c r="B488" s="38"/>
      <c r="C488" s="2"/>
      <c r="D488" s="41"/>
      <c r="E488" s="38"/>
      <c r="F488" s="2"/>
      <c r="G488" s="41"/>
      <c r="H488" s="38"/>
      <c r="I488" s="39"/>
      <c r="J488" s="39"/>
      <c r="K488" s="41"/>
      <c r="L488" s="41"/>
      <c r="M488" s="42"/>
      <c r="U488" s="3" t="str">
        <f t="shared" si="39"/>
        <v/>
      </c>
      <c r="V488" s="3" t="str">
        <f t="shared" si="40"/>
        <v/>
      </c>
    </row>
    <row r="489" spans="1:22" x14ac:dyDescent="0.25">
      <c r="A489" s="37"/>
      <c r="B489" s="38"/>
      <c r="C489" s="2"/>
      <c r="D489" s="41"/>
      <c r="E489" s="38"/>
      <c r="F489" s="2"/>
      <c r="G489" s="41"/>
      <c r="H489" s="38"/>
      <c r="I489" s="39"/>
      <c r="J489" s="39"/>
      <c r="K489" s="41"/>
      <c r="L489" s="41"/>
      <c r="M489" s="42"/>
      <c r="U489" s="3" t="str">
        <f t="shared" si="39"/>
        <v/>
      </c>
      <c r="V489" s="3" t="str">
        <f t="shared" si="40"/>
        <v/>
      </c>
    </row>
    <row r="490" spans="1:22" x14ac:dyDescent="0.25">
      <c r="A490" s="37"/>
      <c r="B490" s="38"/>
      <c r="C490" s="2"/>
      <c r="D490" s="41"/>
      <c r="E490" s="38"/>
      <c r="F490" s="2"/>
      <c r="G490" s="41"/>
      <c r="H490" s="38"/>
      <c r="I490" s="39"/>
      <c r="J490" s="39"/>
      <c r="K490" s="41"/>
      <c r="L490" s="41"/>
      <c r="M490" s="42"/>
      <c r="U490" s="3" t="str">
        <f t="shared" si="39"/>
        <v/>
      </c>
      <c r="V490" s="3" t="str">
        <f t="shared" si="40"/>
        <v/>
      </c>
    </row>
    <row r="491" spans="1:22" x14ac:dyDescent="0.25">
      <c r="A491" s="37"/>
      <c r="B491" s="38"/>
      <c r="C491" s="2"/>
      <c r="D491" s="41"/>
      <c r="E491" s="38"/>
      <c r="F491" s="2"/>
      <c r="G491" s="41"/>
      <c r="H491" s="38"/>
      <c r="I491" s="39"/>
      <c r="J491" s="39"/>
      <c r="K491" s="41"/>
      <c r="L491" s="41"/>
      <c r="M491" s="42"/>
      <c r="U491" s="3" t="str">
        <f t="shared" si="39"/>
        <v/>
      </c>
      <c r="V491" s="3" t="str">
        <f t="shared" si="40"/>
        <v/>
      </c>
    </row>
    <row r="492" spans="1:22" x14ac:dyDescent="0.25">
      <c r="A492" s="37"/>
      <c r="B492" s="38"/>
      <c r="C492" s="2"/>
      <c r="D492" s="41"/>
      <c r="E492" s="38"/>
      <c r="F492" s="2"/>
      <c r="G492" s="41"/>
      <c r="H492" s="38"/>
      <c r="I492" s="39"/>
      <c r="J492" s="39"/>
      <c r="K492" s="41"/>
      <c r="L492" s="41"/>
      <c r="M492" s="42"/>
      <c r="U492" s="3" t="str">
        <f t="shared" si="39"/>
        <v/>
      </c>
      <c r="V492" s="3" t="str">
        <f t="shared" si="40"/>
        <v/>
      </c>
    </row>
    <row r="493" spans="1:22" x14ac:dyDescent="0.25">
      <c r="A493" s="37"/>
      <c r="B493" s="38"/>
      <c r="C493" s="2"/>
      <c r="D493" s="41"/>
      <c r="E493" s="38"/>
      <c r="F493" s="2"/>
      <c r="G493" s="41"/>
      <c r="H493" s="38"/>
      <c r="I493" s="39"/>
      <c r="J493" s="39"/>
      <c r="K493" s="41"/>
      <c r="L493" s="41"/>
      <c r="M493" s="42"/>
      <c r="U493" s="3" t="str">
        <f t="shared" si="39"/>
        <v/>
      </c>
      <c r="V493" s="3" t="str">
        <f t="shared" si="40"/>
        <v/>
      </c>
    </row>
    <row r="494" spans="1:22" x14ac:dyDescent="0.25">
      <c r="A494" s="37"/>
      <c r="B494" s="38"/>
      <c r="C494" s="2"/>
      <c r="D494" s="41"/>
      <c r="E494" s="38"/>
      <c r="F494" s="2"/>
      <c r="G494" s="41"/>
      <c r="H494" s="38"/>
      <c r="I494" s="39"/>
      <c r="J494" s="39"/>
      <c r="K494" s="41"/>
      <c r="L494" s="41"/>
      <c r="M494" s="42"/>
      <c r="U494" s="3" t="str">
        <f t="shared" si="39"/>
        <v/>
      </c>
      <c r="V494" s="3" t="str">
        <f t="shared" si="40"/>
        <v/>
      </c>
    </row>
    <row r="495" spans="1:22" x14ac:dyDescent="0.25">
      <c r="A495" s="37"/>
      <c r="B495" s="38"/>
      <c r="C495" s="2"/>
      <c r="D495" s="41"/>
      <c r="E495" s="38"/>
      <c r="F495" s="2"/>
      <c r="G495" s="41"/>
      <c r="H495" s="38"/>
      <c r="I495" s="39"/>
      <c r="J495" s="39"/>
      <c r="K495" s="41"/>
      <c r="L495" s="41"/>
      <c r="M495" s="42"/>
      <c r="U495" s="3" t="str">
        <f t="shared" si="39"/>
        <v/>
      </c>
      <c r="V495" s="3" t="str">
        <f t="shared" si="40"/>
        <v/>
      </c>
    </row>
    <row r="496" spans="1:22" x14ac:dyDescent="0.25">
      <c r="A496" s="37"/>
      <c r="B496" s="38"/>
      <c r="C496" s="2"/>
      <c r="D496" s="41"/>
      <c r="E496" s="38"/>
      <c r="F496" s="2"/>
      <c r="G496" s="41"/>
      <c r="H496" s="38"/>
      <c r="I496" s="39"/>
      <c r="J496" s="39"/>
      <c r="K496" s="41"/>
      <c r="L496" s="41"/>
      <c r="M496" s="42"/>
      <c r="U496" s="3" t="str">
        <f t="shared" si="39"/>
        <v/>
      </c>
      <c r="V496" s="3" t="str">
        <f t="shared" si="40"/>
        <v/>
      </c>
    </row>
    <row r="497" spans="1:22" x14ac:dyDescent="0.25">
      <c r="A497" s="37"/>
      <c r="B497" s="38"/>
      <c r="C497" s="2"/>
      <c r="D497" s="41"/>
      <c r="E497" s="38"/>
      <c r="F497" s="2"/>
      <c r="G497" s="41"/>
      <c r="H497" s="38"/>
      <c r="I497" s="39"/>
      <c r="J497" s="39"/>
      <c r="K497" s="41"/>
      <c r="L497" s="41"/>
      <c r="M497" s="42"/>
      <c r="U497" s="3" t="str">
        <f t="shared" si="39"/>
        <v/>
      </c>
      <c r="V497" s="3" t="str">
        <f t="shared" si="40"/>
        <v/>
      </c>
    </row>
    <row r="498" spans="1:22" x14ac:dyDescent="0.25">
      <c r="A498" s="37"/>
      <c r="B498" s="38"/>
      <c r="C498" s="2"/>
      <c r="D498" s="41"/>
      <c r="E498" s="38"/>
      <c r="F498" s="2"/>
      <c r="G498" s="41"/>
      <c r="H498" s="38"/>
      <c r="I498" s="39"/>
      <c r="J498" s="39"/>
      <c r="K498" s="41"/>
      <c r="L498" s="41"/>
      <c r="M498" s="42"/>
      <c r="U498" s="3" t="str">
        <f t="shared" si="39"/>
        <v/>
      </c>
      <c r="V498" s="3" t="str">
        <f t="shared" si="40"/>
        <v/>
      </c>
    </row>
    <row r="499" spans="1:22" x14ac:dyDescent="0.25">
      <c r="A499" s="37"/>
      <c r="B499" s="38"/>
      <c r="C499" s="2"/>
      <c r="D499" s="41"/>
      <c r="E499" s="38"/>
      <c r="F499" s="2"/>
      <c r="G499" s="41"/>
      <c r="H499" s="38"/>
      <c r="I499" s="39"/>
      <c r="J499" s="39"/>
      <c r="K499" s="41"/>
      <c r="L499" s="41"/>
      <c r="M499" s="42"/>
      <c r="U499" s="3" t="str">
        <f t="shared" si="39"/>
        <v/>
      </c>
      <c r="V499" s="3" t="str">
        <f t="shared" si="40"/>
        <v/>
      </c>
    </row>
    <row r="500" spans="1:22" x14ac:dyDescent="0.25">
      <c r="A500" s="37"/>
      <c r="B500" s="38"/>
      <c r="C500" s="2"/>
      <c r="D500" s="41"/>
      <c r="E500" s="38"/>
      <c r="F500" s="2"/>
      <c r="G500" s="41"/>
      <c r="H500" s="38"/>
      <c r="I500" s="39"/>
      <c r="J500" s="39"/>
      <c r="K500" s="41"/>
      <c r="L500" s="41"/>
      <c r="M500" s="42"/>
      <c r="U500" s="3" t="str">
        <f t="shared" si="39"/>
        <v/>
      </c>
      <c r="V500" s="3" t="str">
        <f t="shared" si="40"/>
        <v/>
      </c>
    </row>
    <row r="501" spans="1:22" x14ac:dyDescent="0.25">
      <c r="A501" s="37"/>
      <c r="B501" s="38"/>
      <c r="C501" s="2"/>
      <c r="D501" s="41"/>
      <c r="E501" s="38"/>
      <c r="F501" s="2"/>
      <c r="G501" s="41"/>
      <c r="H501" s="38"/>
      <c r="I501" s="39"/>
      <c r="J501" s="39"/>
      <c r="K501" s="41"/>
      <c r="L501" s="41"/>
      <c r="M501" s="42"/>
      <c r="U501" s="3" t="str">
        <f t="shared" si="39"/>
        <v/>
      </c>
      <c r="V501" s="3" t="str">
        <f t="shared" si="40"/>
        <v/>
      </c>
    </row>
    <row r="502" spans="1:22" x14ac:dyDescent="0.25">
      <c r="A502" s="37"/>
      <c r="B502" s="38"/>
      <c r="C502" s="2"/>
      <c r="D502" s="41"/>
      <c r="E502" s="38"/>
      <c r="F502" s="2"/>
      <c r="G502" s="41"/>
      <c r="H502" s="38"/>
      <c r="I502" s="39"/>
      <c r="J502" s="39"/>
      <c r="K502" s="41"/>
      <c r="L502" s="41"/>
      <c r="M502" s="42"/>
      <c r="U502" s="3" t="str">
        <f t="shared" si="39"/>
        <v/>
      </c>
      <c r="V502" s="3" t="str">
        <f t="shared" si="40"/>
        <v/>
      </c>
    </row>
    <row r="503" spans="1:22" x14ac:dyDescent="0.25">
      <c r="A503" s="37"/>
      <c r="B503" s="38"/>
      <c r="C503" s="2"/>
      <c r="D503" s="41"/>
      <c r="E503" s="38"/>
      <c r="F503" s="2"/>
      <c r="G503" s="41"/>
      <c r="H503" s="38"/>
      <c r="I503" s="39"/>
      <c r="J503" s="39"/>
      <c r="K503" s="41"/>
      <c r="L503" s="41"/>
      <c r="M503" s="42"/>
      <c r="U503" s="3" t="str">
        <f t="shared" si="39"/>
        <v/>
      </c>
      <c r="V503" s="3" t="str">
        <f t="shared" si="40"/>
        <v/>
      </c>
    </row>
    <row r="504" spans="1:22" x14ac:dyDescent="0.25">
      <c r="A504" s="37"/>
      <c r="B504" s="38"/>
      <c r="C504" s="2"/>
      <c r="D504" s="41"/>
      <c r="E504" s="38"/>
      <c r="F504" s="2"/>
      <c r="G504" s="41"/>
      <c r="H504" s="38"/>
      <c r="I504" s="39"/>
      <c r="J504" s="39"/>
      <c r="K504" s="41"/>
      <c r="L504" s="41"/>
      <c r="M504" s="42"/>
      <c r="U504" s="3" t="str">
        <f t="shared" si="39"/>
        <v/>
      </c>
      <c r="V504" s="3" t="str">
        <f t="shared" si="40"/>
        <v/>
      </c>
    </row>
    <row r="505" spans="1:22" x14ac:dyDescent="0.25">
      <c r="A505" s="37"/>
      <c r="B505" s="38"/>
      <c r="C505" s="2"/>
      <c r="D505" s="41"/>
      <c r="E505" s="38"/>
      <c r="F505" s="2"/>
      <c r="G505" s="41"/>
      <c r="H505" s="38"/>
      <c r="I505" s="39"/>
      <c r="J505" s="39"/>
      <c r="K505" s="41"/>
      <c r="L505" s="41"/>
      <c r="M505" s="42"/>
      <c r="U505" s="3" t="str">
        <f t="shared" si="39"/>
        <v/>
      </c>
      <c r="V505" s="3" t="str">
        <f t="shared" si="40"/>
        <v/>
      </c>
    </row>
    <row r="506" spans="1:22" x14ac:dyDescent="0.25">
      <c r="A506" s="37"/>
      <c r="B506" s="38"/>
      <c r="C506" s="2"/>
      <c r="D506" s="41"/>
      <c r="E506" s="38"/>
      <c r="F506" s="2"/>
      <c r="G506" s="41"/>
      <c r="H506" s="38"/>
      <c r="I506" s="39"/>
      <c r="J506" s="39"/>
      <c r="K506" s="41"/>
      <c r="L506" s="41"/>
      <c r="M506" s="42"/>
      <c r="U506" s="3" t="str">
        <f t="shared" si="39"/>
        <v/>
      </c>
      <c r="V506" s="3" t="str">
        <f t="shared" si="40"/>
        <v/>
      </c>
    </row>
    <row r="507" spans="1:22" x14ac:dyDescent="0.25">
      <c r="A507" s="37"/>
      <c r="B507" s="38"/>
      <c r="C507" s="2"/>
      <c r="D507" s="41"/>
      <c r="E507" s="38"/>
      <c r="F507" s="2"/>
      <c r="G507" s="41"/>
      <c r="H507" s="38"/>
      <c r="I507" s="39"/>
      <c r="J507" s="39"/>
      <c r="K507" s="41"/>
      <c r="L507" s="41"/>
      <c r="M507" s="42"/>
      <c r="U507" s="3" t="str">
        <f t="shared" si="39"/>
        <v/>
      </c>
      <c r="V507" s="3" t="str">
        <f t="shared" si="40"/>
        <v/>
      </c>
    </row>
    <row r="508" spans="1:22" x14ac:dyDescent="0.25">
      <c r="A508" s="37"/>
      <c r="B508" s="38"/>
      <c r="C508" s="2"/>
      <c r="D508" s="41"/>
      <c r="E508" s="38"/>
      <c r="F508" s="2"/>
      <c r="G508" s="41"/>
      <c r="H508" s="38"/>
      <c r="I508" s="39"/>
      <c r="J508" s="39"/>
      <c r="K508" s="41"/>
      <c r="L508" s="41"/>
      <c r="M508" s="42"/>
      <c r="U508" s="3" t="str">
        <f t="shared" si="39"/>
        <v/>
      </c>
      <c r="V508" s="3" t="str">
        <f t="shared" si="40"/>
        <v/>
      </c>
    </row>
    <row r="509" spans="1:22" x14ac:dyDescent="0.25">
      <c r="A509" s="37"/>
      <c r="B509" s="38"/>
      <c r="C509" s="2"/>
      <c r="D509" s="41"/>
      <c r="E509" s="38"/>
      <c r="F509" s="2"/>
      <c r="G509" s="41"/>
      <c r="H509" s="38"/>
      <c r="I509" s="39"/>
      <c r="J509" s="39"/>
      <c r="K509" s="41"/>
      <c r="L509" s="41"/>
      <c r="M509" s="42"/>
      <c r="U509" s="3" t="str">
        <f t="shared" si="39"/>
        <v/>
      </c>
      <c r="V509" s="3" t="str">
        <f t="shared" si="40"/>
        <v/>
      </c>
    </row>
    <row r="510" spans="1:22" x14ac:dyDescent="0.25">
      <c r="A510" s="37"/>
      <c r="B510" s="38"/>
      <c r="C510" s="2"/>
      <c r="D510" s="41"/>
      <c r="E510" s="38"/>
      <c r="F510" s="2"/>
      <c r="G510" s="41"/>
      <c r="H510" s="38"/>
      <c r="I510" s="39"/>
      <c r="J510" s="39"/>
      <c r="K510" s="41"/>
      <c r="L510" s="41"/>
      <c r="M510" s="42"/>
      <c r="U510" s="3" t="str">
        <f t="shared" si="39"/>
        <v/>
      </c>
      <c r="V510" s="3" t="str">
        <f t="shared" si="40"/>
        <v/>
      </c>
    </row>
    <row r="511" spans="1:22" x14ac:dyDescent="0.25">
      <c r="A511" s="37"/>
      <c r="B511" s="38"/>
      <c r="C511" s="2"/>
      <c r="D511" s="41"/>
      <c r="E511" s="38"/>
      <c r="F511" s="2"/>
      <c r="G511" s="41"/>
      <c r="H511" s="38"/>
      <c r="I511" s="39"/>
      <c r="J511" s="39"/>
      <c r="K511" s="41"/>
      <c r="L511" s="41"/>
      <c r="M511" s="42"/>
      <c r="U511" s="3" t="str">
        <f t="shared" si="39"/>
        <v/>
      </c>
      <c r="V511" s="3" t="str">
        <f t="shared" si="40"/>
        <v/>
      </c>
    </row>
    <row r="512" spans="1:22" x14ac:dyDescent="0.25">
      <c r="A512" s="37"/>
      <c r="B512" s="38"/>
      <c r="C512" s="2"/>
      <c r="D512" s="41"/>
      <c r="E512" s="38"/>
      <c r="F512" s="2"/>
      <c r="G512" s="41"/>
      <c r="H512" s="38"/>
      <c r="I512" s="39"/>
      <c r="J512" s="39"/>
      <c r="K512" s="41"/>
      <c r="L512" s="41"/>
      <c r="M512" s="42"/>
      <c r="U512" s="3" t="str">
        <f t="shared" si="39"/>
        <v/>
      </c>
      <c r="V512" s="3" t="str">
        <f t="shared" si="40"/>
        <v/>
      </c>
    </row>
    <row r="513" spans="1:22" x14ac:dyDescent="0.25">
      <c r="A513" s="37"/>
      <c r="B513" s="38"/>
      <c r="C513" s="2"/>
      <c r="D513" s="41"/>
      <c r="E513" s="38"/>
      <c r="F513" s="2"/>
      <c r="G513" s="41"/>
      <c r="H513" s="38"/>
      <c r="I513" s="39"/>
      <c r="J513" s="39"/>
      <c r="K513" s="41"/>
      <c r="L513" s="41"/>
      <c r="M513" s="42"/>
      <c r="U513" s="3" t="str">
        <f t="shared" si="39"/>
        <v/>
      </c>
      <c r="V513" s="3" t="str">
        <f t="shared" si="40"/>
        <v/>
      </c>
    </row>
    <row r="514" spans="1:22" x14ac:dyDescent="0.25">
      <c r="A514" s="37"/>
      <c r="B514" s="38"/>
      <c r="C514" s="2"/>
      <c r="D514" s="41"/>
      <c r="E514" s="38"/>
      <c r="F514" s="2"/>
      <c r="G514" s="41"/>
      <c r="H514" s="38"/>
      <c r="I514" s="39"/>
      <c r="J514" s="39"/>
      <c r="K514" s="41"/>
      <c r="L514" s="41"/>
      <c r="M514" s="42"/>
      <c r="U514" s="3" t="str">
        <f t="shared" si="39"/>
        <v/>
      </c>
      <c r="V514" s="3" t="str">
        <f t="shared" si="40"/>
        <v/>
      </c>
    </row>
    <row r="515" spans="1:22" x14ac:dyDescent="0.25">
      <c r="A515" s="37"/>
      <c r="B515" s="38"/>
      <c r="C515" s="2"/>
      <c r="D515" s="41"/>
      <c r="E515" s="38"/>
      <c r="F515" s="2"/>
      <c r="G515" s="41"/>
      <c r="H515" s="38"/>
      <c r="I515" s="39"/>
      <c r="J515" s="39"/>
      <c r="K515" s="41"/>
      <c r="L515" s="41"/>
      <c r="M515" s="42"/>
      <c r="U515" s="3" t="str">
        <f t="shared" si="39"/>
        <v/>
      </c>
      <c r="V515" s="3" t="str">
        <f t="shared" si="40"/>
        <v/>
      </c>
    </row>
    <row r="516" spans="1:22" x14ac:dyDescent="0.25">
      <c r="A516" s="37"/>
      <c r="B516" s="38"/>
      <c r="C516" s="2"/>
      <c r="D516" s="41"/>
      <c r="E516" s="38"/>
      <c r="F516" s="2"/>
      <c r="G516" s="41"/>
      <c r="H516" s="38"/>
      <c r="I516" s="39"/>
      <c r="J516" s="39"/>
      <c r="K516" s="41"/>
      <c r="L516" s="41"/>
      <c r="M516" s="42"/>
      <c r="U516" s="3" t="str">
        <f t="shared" ref="U516:U567" si="41">IF(COUNTIF(Q:Q,O516)*COUNTIF(S:S,O516),O516,"")</f>
        <v/>
      </c>
      <c r="V516" s="3" t="str">
        <f t="shared" ref="V516:V567" si="42">IF(U516&gt;$A$14,U516,"")</f>
        <v/>
      </c>
    </row>
    <row r="517" spans="1:22" x14ac:dyDescent="0.25">
      <c r="A517" s="37"/>
      <c r="B517" s="38"/>
      <c r="C517" s="2"/>
      <c r="D517" s="41"/>
      <c r="E517" s="38"/>
      <c r="F517" s="2"/>
      <c r="G517" s="41"/>
      <c r="H517" s="38"/>
      <c r="I517" s="39"/>
      <c r="J517" s="39"/>
      <c r="K517" s="41"/>
      <c r="L517" s="41"/>
      <c r="M517" s="42"/>
      <c r="U517" s="3" t="str">
        <f t="shared" si="41"/>
        <v/>
      </c>
      <c r="V517" s="3" t="str">
        <f t="shared" si="42"/>
        <v/>
      </c>
    </row>
    <row r="518" spans="1:22" x14ac:dyDescent="0.25">
      <c r="A518" s="37"/>
      <c r="B518" s="38"/>
      <c r="C518" s="2"/>
      <c r="D518" s="41"/>
      <c r="E518" s="38"/>
      <c r="F518" s="2"/>
      <c r="G518" s="41"/>
      <c r="H518" s="38"/>
      <c r="I518" s="39"/>
      <c r="J518" s="39"/>
      <c r="K518" s="41"/>
      <c r="L518" s="41"/>
      <c r="M518" s="42"/>
      <c r="U518" s="3" t="str">
        <f t="shared" si="41"/>
        <v/>
      </c>
      <c r="V518" s="3" t="str">
        <f t="shared" si="42"/>
        <v/>
      </c>
    </row>
    <row r="519" spans="1:22" x14ac:dyDescent="0.25">
      <c r="A519" s="37"/>
      <c r="B519" s="38"/>
      <c r="C519" s="2"/>
      <c r="D519" s="41"/>
      <c r="E519" s="38"/>
      <c r="F519" s="2"/>
      <c r="G519" s="41"/>
      <c r="H519" s="38"/>
      <c r="I519" s="39"/>
      <c r="J519" s="39"/>
      <c r="K519" s="41"/>
      <c r="L519" s="41"/>
      <c r="M519" s="42"/>
      <c r="U519" s="3" t="str">
        <f t="shared" si="41"/>
        <v/>
      </c>
      <c r="V519" s="3" t="str">
        <f t="shared" si="42"/>
        <v/>
      </c>
    </row>
    <row r="520" spans="1:22" x14ac:dyDescent="0.25">
      <c r="A520" s="37"/>
      <c r="B520" s="38"/>
      <c r="C520" s="2"/>
      <c r="D520" s="41"/>
      <c r="E520" s="38"/>
      <c r="F520" s="2"/>
      <c r="G520" s="41"/>
      <c r="H520" s="38"/>
      <c r="I520" s="39"/>
      <c r="J520" s="39"/>
      <c r="K520" s="41"/>
      <c r="L520" s="41"/>
      <c r="M520" s="42"/>
      <c r="U520" s="3" t="str">
        <f t="shared" si="41"/>
        <v/>
      </c>
      <c r="V520" s="3" t="str">
        <f t="shared" si="42"/>
        <v/>
      </c>
    </row>
    <row r="521" spans="1:22" x14ac:dyDescent="0.25">
      <c r="A521" s="37"/>
      <c r="B521" s="38"/>
      <c r="C521" s="2"/>
      <c r="D521" s="41"/>
      <c r="E521" s="38"/>
      <c r="F521" s="2"/>
      <c r="G521" s="41"/>
      <c r="H521" s="38"/>
      <c r="I521" s="39"/>
      <c r="J521" s="39"/>
      <c r="K521" s="41"/>
      <c r="L521" s="41"/>
      <c r="M521" s="42"/>
      <c r="U521" s="3" t="str">
        <f t="shared" si="41"/>
        <v/>
      </c>
      <c r="V521" s="3" t="str">
        <f t="shared" si="42"/>
        <v/>
      </c>
    </row>
    <row r="522" spans="1:22" x14ac:dyDescent="0.25">
      <c r="A522" s="37"/>
      <c r="B522" s="38"/>
      <c r="C522" s="2"/>
      <c r="D522" s="41"/>
      <c r="E522" s="38"/>
      <c r="F522" s="2"/>
      <c r="G522" s="41"/>
      <c r="H522" s="38"/>
      <c r="I522" s="39"/>
      <c r="J522" s="39"/>
      <c r="K522" s="41"/>
      <c r="L522" s="41"/>
      <c r="M522" s="42"/>
      <c r="U522" s="3" t="str">
        <f t="shared" si="41"/>
        <v/>
      </c>
      <c r="V522" s="3" t="str">
        <f t="shared" si="42"/>
        <v/>
      </c>
    </row>
    <row r="523" spans="1:22" x14ac:dyDescent="0.25">
      <c r="A523" s="37"/>
      <c r="B523" s="38"/>
      <c r="C523" s="2"/>
      <c r="D523" s="41"/>
      <c r="E523" s="38"/>
      <c r="F523" s="2"/>
      <c r="G523" s="41"/>
      <c r="H523" s="38"/>
      <c r="I523" s="39"/>
      <c r="J523" s="39"/>
      <c r="K523" s="41"/>
      <c r="L523" s="41"/>
      <c r="M523" s="42"/>
      <c r="U523" s="3" t="str">
        <f t="shared" si="41"/>
        <v/>
      </c>
      <c r="V523" s="3" t="str">
        <f t="shared" si="42"/>
        <v/>
      </c>
    </row>
    <row r="524" spans="1:22" x14ac:dyDescent="0.25">
      <c r="A524" s="37"/>
      <c r="B524" s="38"/>
      <c r="C524" s="2"/>
      <c r="D524" s="41"/>
      <c r="E524" s="38"/>
      <c r="F524" s="2"/>
      <c r="G524" s="41"/>
      <c r="H524" s="38"/>
      <c r="I524" s="39"/>
      <c r="J524" s="39"/>
      <c r="K524" s="41"/>
      <c r="L524" s="41"/>
      <c r="M524" s="42"/>
      <c r="U524" s="3" t="str">
        <f t="shared" si="41"/>
        <v/>
      </c>
      <c r="V524" s="3" t="str">
        <f t="shared" si="42"/>
        <v/>
      </c>
    </row>
    <row r="525" spans="1:22" x14ac:dyDescent="0.25">
      <c r="A525" s="37"/>
      <c r="B525" s="38"/>
      <c r="C525" s="2"/>
      <c r="D525" s="41"/>
      <c r="E525" s="38"/>
      <c r="F525" s="2"/>
      <c r="G525" s="41"/>
      <c r="H525" s="38"/>
      <c r="I525" s="39"/>
      <c r="J525" s="39"/>
      <c r="K525" s="41"/>
      <c r="L525" s="41"/>
      <c r="M525" s="42"/>
      <c r="U525" s="3" t="str">
        <f t="shared" si="41"/>
        <v/>
      </c>
      <c r="V525" s="3" t="str">
        <f t="shared" si="42"/>
        <v/>
      </c>
    </row>
    <row r="526" spans="1:22" x14ac:dyDescent="0.25">
      <c r="A526" s="37"/>
      <c r="B526" s="38"/>
      <c r="C526" s="2"/>
      <c r="D526" s="41"/>
      <c r="E526" s="38"/>
      <c r="F526" s="2"/>
      <c r="G526" s="41"/>
      <c r="H526" s="38"/>
      <c r="I526" s="39"/>
      <c r="J526" s="39"/>
      <c r="K526" s="41"/>
      <c r="L526" s="41"/>
      <c r="M526" s="42"/>
      <c r="U526" s="3" t="str">
        <f t="shared" si="41"/>
        <v/>
      </c>
      <c r="V526" s="3" t="str">
        <f t="shared" si="42"/>
        <v/>
      </c>
    </row>
    <row r="527" spans="1:22" x14ac:dyDescent="0.25">
      <c r="A527" s="37"/>
      <c r="B527" s="38"/>
      <c r="C527" s="2"/>
      <c r="D527" s="41"/>
      <c r="E527" s="38"/>
      <c r="F527" s="2"/>
      <c r="G527" s="41"/>
      <c r="H527" s="38"/>
      <c r="I527" s="39"/>
      <c r="J527" s="39"/>
      <c r="K527" s="41"/>
      <c r="L527" s="41"/>
      <c r="M527" s="42"/>
      <c r="U527" s="3" t="str">
        <f t="shared" si="41"/>
        <v/>
      </c>
      <c r="V527" s="3" t="str">
        <f t="shared" si="42"/>
        <v/>
      </c>
    </row>
    <row r="528" spans="1:22" x14ac:dyDescent="0.25">
      <c r="A528" s="37"/>
      <c r="B528" s="38"/>
      <c r="C528" s="2"/>
      <c r="D528" s="41"/>
      <c r="E528" s="38"/>
      <c r="F528" s="2"/>
      <c r="G528" s="41"/>
      <c r="H528" s="38"/>
      <c r="I528" s="39"/>
      <c r="J528" s="39"/>
      <c r="K528" s="41"/>
      <c r="L528" s="41"/>
      <c r="M528" s="42"/>
      <c r="U528" s="3" t="str">
        <f t="shared" si="41"/>
        <v/>
      </c>
      <c r="V528" s="3" t="str">
        <f t="shared" si="42"/>
        <v/>
      </c>
    </row>
    <row r="529" spans="1:22" x14ac:dyDescent="0.25">
      <c r="A529" s="37"/>
      <c r="B529" s="38"/>
      <c r="C529" s="2"/>
      <c r="D529" s="41"/>
      <c r="E529" s="38"/>
      <c r="F529" s="2"/>
      <c r="G529" s="41"/>
      <c r="H529" s="38"/>
      <c r="I529" s="39"/>
      <c r="J529" s="39"/>
      <c r="K529" s="41"/>
      <c r="L529" s="41"/>
      <c r="M529" s="42"/>
      <c r="U529" s="3" t="str">
        <f t="shared" si="41"/>
        <v/>
      </c>
      <c r="V529" s="3" t="str">
        <f t="shared" si="42"/>
        <v/>
      </c>
    </row>
    <row r="530" spans="1:22" x14ac:dyDescent="0.25">
      <c r="A530" s="37"/>
      <c r="B530" s="38"/>
      <c r="C530" s="2"/>
      <c r="D530" s="41"/>
      <c r="E530" s="38"/>
      <c r="F530" s="2"/>
      <c r="G530" s="41"/>
      <c r="H530" s="38"/>
      <c r="I530" s="39"/>
      <c r="J530" s="39"/>
      <c r="K530" s="41"/>
      <c r="L530" s="41"/>
      <c r="M530" s="42"/>
      <c r="U530" s="3" t="str">
        <f t="shared" si="41"/>
        <v/>
      </c>
      <c r="V530" s="3" t="str">
        <f t="shared" si="42"/>
        <v/>
      </c>
    </row>
    <row r="531" spans="1:22" x14ac:dyDescent="0.25">
      <c r="A531" s="37"/>
      <c r="B531" s="38"/>
      <c r="C531" s="2"/>
      <c r="D531" s="41"/>
      <c r="E531" s="38"/>
      <c r="F531" s="2"/>
      <c r="G531" s="41"/>
      <c r="H531" s="38"/>
      <c r="I531" s="39"/>
      <c r="J531" s="39"/>
      <c r="K531" s="41"/>
      <c r="L531" s="41"/>
      <c r="M531" s="42"/>
      <c r="U531" s="3" t="str">
        <f t="shared" si="41"/>
        <v/>
      </c>
      <c r="V531" s="3" t="str">
        <f t="shared" si="42"/>
        <v/>
      </c>
    </row>
    <row r="532" spans="1:22" x14ac:dyDescent="0.25">
      <c r="A532" s="37"/>
      <c r="B532" s="38"/>
      <c r="C532" s="2"/>
      <c r="D532" s="41"/>
      <c r="E532" s="38"/>
      <c r="F532" s="2"/>
      <c r="G532" s="41"/>
      <c r="H532" s="38"/>
      <c r="I532" s="39"/>
      <c r="J532" s="39"/>
      <c r="K532" s="41"/>
      <c r="L532" s="41"/>
      <c r="M532" s="42"/>
      <c r="U532" s="3" t="str">
        <f t="shared" si="41"/>
        <v/>
      </c>
      <c r="V532" s="3" t="str">
        <f t="shared" si="42"/>
        <v/>
      </c>
    </row>
    <row r="533" spans="1:22" x14ac:dyDescent="0.25">
      <c r="A533" s="37"/>
      <c r="B533" s="38"/>
      <c r="C533" s="2"/>
      <c r="D533" s="41"/>
      <c r="E533" s="38"/>
      <c r="F533" s="2"/>
      <c r="G533" s="41"/>
      <c r="H533" s="38"/>
      <c r="I533" s="39"/>
      <c r="J533" s="39"/>
      <c r="K533" s="41"/>
      <c r="L533" s="41"/>
      <c r="M533" s="42"/>
      <c r="U533" s="3" t="str">
        <f t="shared" si="41"/>
        <v/>
      </c>
      <c r="V533" s="3" t="str">
        <f t="shared" si="42"/>
        <v/>
      </c>
    </row>
    <row r="534" spans="1:22" x14ac:dyDescent="0.25">
      <c r="A534" s="37"/>
      <c r="B534" s="38"/>
      <c r="C534" s="2"/>
      <c r="D534" s="41"/>
      <c r="E534" s="38"/>
      <c r="F534" s="2"/>
      <c r="G534" s="41"/>
      <c r="H534" s="38"/>
      <c r="I534" s="39"/>
      <c r="J534" s="39"/>
      <c r="K534" s="41"/>
      <c r="L534" s="41"/>
      <c r="M534" s="42"/>
      <c r="U534" s="3" t="str">
        <f t="shared" si="41"/>
        <v/>
      </c>
      <c r="V534" s="3" t="str">
        <f t="shared" si="42"/>
        <v/>
      </c>
    </row>
    <row r="535" spans="1:22" x14ac:dyDescent="0.25">
      <c r="A535" s="37"/>
      <c r="B535" s="38"/>
      <c r="C535" s="2"/>
      <c r="D535" s="41"/>
      <c r="E535" s="38"/>
      <c r="F535" s="2"/>
      <c r="G535" s="41"/>
      <c r="H535" s="38"/>
      <c r="I535" s="39"/>
      <c r="J535" s="39"/>
      <c r="K535" s="41"/>
      <c r="L535" s="41"/>
      <c r="M535" s="42"/>
      <c r="U535" s="3" t="str">
        <f t="shared" si="41"/>
        <v/>
      </c>
      <c r="V535" s="3" t="str">
        <f t="shared" si="42"/>
        <v/>
      </c>
    </row>
    <row r="536" spans="1:22" x14ac:dyDescent="0.25">
      <c r="A536" s="37"/>
      <c r="B536" s="38"/>
      <c r="C536" s="2"/>
      <c r="D536" s="41"/>
      <c r="E536" s="38"/>
      <c r="F536" s="2"/>
      <c r="G536" s="41"/>
      <c r="H536" s="38"/>
      <c r="I536" s="39"/>
      <c r="J536" s="39"/>
      <c r="K536" s="41"/>
      <c r="L536" s="41"/>
      <c r="M536" s="42"/>
      <c r="U536" s="3" t="str">
        <f t="shared" si="41"/>
        <v/>
      </c>
      <c r="V536" s="3" t="str">
        <f t="shared" si="42"/>
        <v/>
      </c>
    </row>
    <row r="537" spans="1:22" x14ac:dyDescent="0.25">
      <c r="A537" s="37"/>
      <c r="B537" s="38"/>
      <c r="C537" s="2"/>
      <c r="D537" s="41"/>
      <c r="E537" s="38"/>
      <c r="F537" s="2"/>
      <c r="G537" s="41"/>
      <c r="H537" s="38"/>
      <c r="I537" s="39"/>
      <c r="J537" s="39"/>
      <c r="K537" s="41"/>
      <c r="L537" s="41"/>
      <c r="M537" s="42"/>
      <c r="U537" s="3" t="str">
        <f t="shared" si="41"/>
        <v/>
      </c>
      <c r="V537" s="3" t="str">
        <f t="shared" si="42"/>
        <v/>
      </c>
    </row>
    <row r="538" spans="1:22" x14ac:dyDescent="0.25">
      <c r="A538" s="37"/>
      <c r="B538" s="38"/>
      <c r="C538" s="2"/>
      <c r="D538" s="41"/>
      <c r="E538" s="38"/>
      <c r="F538" s="2"/>
      <c r="G538" s="41"/>
      <c r="H538" s="38"/>
      <c r="I538" s="39"/>
      <c r="J538" s="39"/>
      <c r="K538" s="41"/>
      <c r="L538" s="41"/>
      <c r="M538" s="42"/>
      <c r="U538" s="3" t="str">
        <f t="shared" si="41"/>
        <v/>
      </c>
      <c r="V538" s="3" t="str">
        <f t="shared" si="42"/>
        <v/>
      </c>
    </row>
    <row r="539" spans="1:22" x14ac:dyDescent="0.25">
      <c r="A539" s="37"/>
      <c r="B539" s="38"/>
      <c r="C539" s="2"/>
      <c r="D539" s="41"/>
      <c r="E539" s="38"/>
      <c r="F539" s="2"/>
      <c r="G539" s="41"/>
      <c r="H539" s="38"/>
      <c r="I539" s="39"/>
      <c r="J539" s="39"/>
      <c r="K539" s="41"/>
      <c r="L539" s="41"/>
      <c r="M539" s="42"/>
      <c r="U539" s="3" t="str">
        <f t="shared" si="41"/>
        <v/>
      </c>
      <c r="V539" s="3" t="str">
        <f t="shared" si="42"/>
        <v/>
      </c>
    </row>
    <row r="540" spans="1:22" x14ac:dyDescent="0.25">
      <c r="A540" s="37"/>
      <c r="B540" s="38"/>
      <c r="C540" s="2"/>
      <c r="D540" s="41"/>
      <c r="E540" s="38"/>
      <c r="F540" s="2"/>
      <c r="G540" s="41"/>
      <c r="H540" s="38"/>
      <c r="I540" s="39"/>
      <c r="J540" s="39"/>
      <c r="K540" s="41"/>
      <c r="L540" s="41"/>
      <c r="M540" s="42"/>
      <c r="U540" s="3" t="str">
        <f t="shared" si="41"/>
        <v/>
      </c>
      <c r="V540" s="3" t="str">
        <f t="shared" si="42"/>
        <v/>
      </c>
    </row>
    <row r="541" spans="1:22" x14ac:dyDescent="0.25">
      <c r="A541" s="37"/>
      <c r="B541" s="38"/>
      <c r="C541" s="2"/>
      <c r="D541" s="41"/>
      <c r="E541" s="38"/>
      <c r="F541" s="2"/>
      <c r="G541" s="41"/>
      <c r="H541" s="38"/>
      <c r="I541" s="39"/>
      <c r="J541" s="39"/>
      <c r="K541" s="41"/>
      <c r="L541" s="41"/>
      <c r="M541" s="42"/>
      <c r="U541" s="3" t="str">
        <f t="shared" si="41"/>
        <v/>
      </c>
      <c r="V541" s="3" t="str">
        <f t="shared" si="42"/>
        <v/>
      </c>
    </row>
    <row r="542" spans="1:22" x14ac:dyDescent="0.25">
      <c r="A542" s="37"/>
      <c r="B542" s="38"/>
      <c r="C542" s="2"/>
      <c r="D542" s="41"/>
      <c r="E542" s="38"/>
      <c r="F542" s="2"/>
      <c r="G542" s="41"/>
      <c r="H542" s="38"/>
      <c r="I542" s="39"/>
      <c r="J542" s="39"/>
      <c r="K542" s="41"/>
      <c r="L542" s="41"/>
      <c r="M542" s="42"/>
      <c r="U542" s="3" t="str">
        <f t="shared" si="41"/>
        <v/>
      </c>
      <c r="V542" s="3" t="str">
        <f t="shared" si="42"/>
        <v/>
      </c>
    </row>
    <row r="543" spans="1:22" x14ac:dyDescent="0.25">
      <c r="A543" s="37"/>
      <c r="B543" s="38"/>
      <c r="C543" s="2"/>
      <c r="D543" s="41"/>
      <c r="E543" s="38"/>
      <c r="F543" s="2"/>
      <c r="G543" s="41"/>
      <c r="H543" s="38"/>
      <c r="I543" s="39"/>
      <c r="J543" s="39"/>
      <c r="K543" s="41"/>
      <c r="L543" s="41"/>
      <c r="M543" s="42"/>
      <c r="U543" s="3" t="str">
        <f t="shared" si="41"/>
        <v/>
      </c>
      <c r="V543" s="3" t="str">
        <f t="shared" si="42"/>
        <v/>
      </c>
    </row>
    <row r="544" spans="1:22" x14ac:dyDescent="0.25">
      <c r="A544" s="37"/>
      <c r="B544" s="38"/>
      <c r="C544" s="2"/>
      <c r="D544" s="41"/>
      <c r="E544" s="38"/>
      <c r="F544" s="2"/>
      <c r="G544" s="41"/>
      <c r="H544" s="38"/>
      <c r="I544" s="39"/>
      <c r="J544" s="39"/>
      <c r="K544" s="41"/>
      <c r="L544" s="41"/>
      <c r="M544" s="42"/>
      <c r="U544" s="3" t="str">
        <f t="shared" si="41"/>
        <v/>
      </c>
      <c r="V544" s="3" t="str">
        <f t="shared" si="42"/>
        <v/>
      </c>
    </row>
    <row r="545" spans="1:22" x14ac:dyDescent="0.25">
      <c r="A545" s="37"/>
      <c r="B545" s="38"/>
      <c r="C545" s="2"/>
      <c r="D545" s="41"/>
      <c r="E545" s="38"/>
      <c r="F545" s="2"/>
      <c r="G545" s="41"/>
      <c r="H545" s="38"/>
      <c r="I545" s="39"/>
      <c r="J545" s="39"/>
      <c r="K545" s="41"/>
      <c r="L545" s="41"/>
      <c r="M545" s="42"/>
      <c r="U545" s="3" t="str">
        <f t="shared" si="41"/>
        <v/>
      </c>
      <c r="V545" s="3" t="str">
        <f t="shared" si="42"/>
        <v/>
      </c>
    </row>
    <row r="546" spans="1:22" x14ac:dyDescent="0.25">
      <c r="A546" s="37"/>
      <c r="B546" s="38"/>
      <c r="C546" s="2"/>
      <c r="D546" s="41"/>
      <c r="E546" s="38"/>
      <c r="F546" s="2"/>
      <c r="G546" s="41"/>
      <c r="H546" s="38"/>
      <c r="I546" s="39"/>
      <c r="J546" s="39"/>
      <c r="K546" s="41"/>
      <c r="L546" s="41"/>
      <c r="M546" s="42"/>
      <c r="U546" s="3" t="str">
        <f t="shared" si="41"/>
        <v/>
      </c>
      <c r="V546" s="3" t="str">
        <f t="shared" si="42"/>
        <v/>
      </c>
    </row>
    <row r="547" spans="1:22" x14ac:dyDescent="0.25">
      <c r="A547" s="37"/>
      <c r="B547" s="38"/>
      <c r="C547" s="2"/>
      <c r="D547" s="41"/>
      <c r="E547" s="38"/>
      <c r="F547" s="2"/>
      <c r="G547" s="41"/>
      <c r="H547" s="38"/>
      <c r="I547" s="39"/>
      <c r="J547" s="39"/>
      <c r="K547" s="41"/>
      <c r="L547" s="41"/>
      <c r="M547" s="42"/>
      <c r="U547" s="3" t="str">
        <f t="shared" si="41"/>
        <v/>
      </c>
      <c r="V547" s="3" t="str">
        <f t="shared" si="42"/>
        <v/>
      </c>
    </row>
    <row r="548" spans="1:22" x14ac:dyDescent="0.25">
      <c r="A548" s="37"/>
      <c r="B548" s="38"/>
      <c r="C548" s="2"/>
      <c r="D548" s="41"/>
      <c r="E548" s="38"/>
      <c r="F548" s="2"/>
      <c r="G548" s="41"/>
      <c r="H548" s="38"/>
      <c r="I548" s="39"/>
      <c r="J548" s="39"/>
      <c r="K548" s="41"/>
      <c r="L548" s="41"/>
      <c r="M548" s="42"/>
      <c r="U548" s="3" t="str">
        <f t="shared" si="41"/>
        <v/>
      </c>
      <c r="V548" s="3" t="str">
        <f t="shared" si="42"/>
        <v/>
      </c>
    </row>
    <row r="549" spans="1:22" x14ac:dyDescent="0.25">
      <c r="A549" s="37"/>
      <c r="B549" s="38"/>
      <c r="C549" s="2"/>
      <c r="D549" s="41"/>
      <c r="E549" s="38"/>
      <c r="F549" s="2"/>
      <c r="G549" s="41"/>
      <c r="H549" s="38"/>
      <c r="I549" s="39"/>
      <c r="J549" s="39"/>
      <c r="K549" s="41"/>
      <c r="L549" s="41"/>
      <c r="M549" s="42"/>
      <c r="U549" s="3" t="str">
        <f t="shared" si="41"/>
        <v/>
      </c>
      <c r="V549" s="3" t="str">
        <f t="shared" si="42"/>
        <v/>
      </c>
    </row>
    <row r="550" spans="1:22" x14ac:dyDescent="0.25">
      <c r="A550" s="37"/>
      <c r="B550" s="38"/>
      <c r="C550" s="2"/>
      <c r="D550" s="41"/>
      <c r="E550" s="38"/>
      <c r="F550" s="2"/>
      <c r="G550" s="41"/>
      <c r="H550" s="38"/>
      <c r="I550" s="39"/>
      <c r="J550" s="39"/>
      <c r="K550" s="41"/>
      <c r="L550" s="41"/>
      <c r="M550" s="42"/>
      <c r="U550" s="3" t="str">
        <f t="shared" si="41"/>
        <v/>
      </c>
      <c r="V550" s="3" t="str">
        <f t="shared" si="42"/>
        <v/>
      </c>
    </row>
    <row r="551" spans="1:22" x14ac:dyDescent="0.25">
      <c r="A551" s="37"/>
      <c r="B551" s="38"/>
      <c r="C551" s="2"/>
      <c r="D551" s="41"/>
      <c r="E551" s="38"/>
      <c r="F551" s="2"/>
      <c r="G551" s="41"/>
      <c r="H551" s="38"/>
      <c r="I551" s="39"/>
      <c r="J551" s="39"/>
      <c r="K551" s="41"/>
      <c r="L551" s="41"/>
      <c r="M551" s="42"/>
      <c r="U551" s="3" t="str">
        <f t="shared" si="41"/>
        <v/>
      </c>
      <c r="V551" s="3" t="str">
        <f t="shared" si="42"/>
        <v/>
      </c>
    </row>
    <row r="552" spans="1:22" x14ac:dyDescent="0.25">
      <c r="A552" s="37"/>
      <c r="B552" s="38"/>
      <c r="C552" s="2"/>
      <c r="D552" s="41"/>
      <c r="E552" s="38"/>
      <c r="F552" s="2"/>
      <c r="G552" s="41"/>
      <c r="H552" s="38"/>
      <c r="I552" s="39"/>
      <c r="J552" s="39"/>
      <c r="K552" s="41"/>
      <c r="L552" s="41"/>
      <c r="M552" s="42"/>
      <c r="U552" s="3" t="str">
        <f t="shared" si="41"/>
        <v/>
      </c>
      <c r="V552" s="3" t="str">
        <f t="shared" si="42"/>
        <v/>
      </c>
    </row>
    <row r="553" spans="1:22" x14ac:dyDescent="0.25">
      <c r="A553" s="37"/>
      <c r="B553" s="38"/>
      <c r="C553" s="2"/>
      <c r="D553" s="41"/>
      <c r="E553" s="38"/>
      <c r="F553" s="2"/>
      <c r="G553" s="41"/>
      <c r="H553" s="38"/>
      <c r="I553" s="39"/>
      <c r="J553" s="39"/>
      <c r="K553" s="41"/>
      <c r="L553" s="41"/>
      <c r="M553" s="42"/>
      <c r="U553" s="3" t="str">
        <f t="shared" si="41"/>
        <v/>
      </c>
      <c r="V553" s="3" t="str">
        <f t="shared" si="42"/>
        <v/>
      </c>
    </row>
    <row r="554" spans="1:22" x14ac:dyDescent="0.25">
      <c r="A554" s="37"/>
      <c r="B554" s="38"/>
      <c r="C554" s="2"/>
      <c r="D554" s="41"/>
      <c r="E554" s="38"/>
      <c r="F554" s="2"/>
      <c r="G554" s="41"/>
      <c r="H554" s="38"/>
      <c r="I554" s="39"/>
      <c r="J554" s="39"/>
      <c r="K554" s="41"/>
      <c r="L554" s="41"/>
      <c r="M554" s="42"/>
      <c r="U554" s="3" t="str">
        <f t="shared" si="41"/>
        <v/>
      </c>
      <c r="V554" s="3" t="str">
        <f t="shared" si="42"/>
        <v/>
      </c>
    </row>
    <row r="555" spans="1:22" x14ac:dyDescent="0.25">
      <c r="U555" s="3" t="str">
        <f t="shared" si="41"/>
        <v/>
      </c>
      <c r="V555" s="3" t="str">
        <f t="shared" si="42"/>
        <v/>
      </c>
    </row>
    <row r="556" spans="1:22" x14ac:dyDescent="0.25">
      <c r="U556" s="3" t="str">
        <f t="shared" si="41"/>
        <v/>
      </c>
      <c r="V556" s="3" t="str">
        <f t="shared" si="42"/>
        <v/>
      </c>
    </row>
    <row r="557" spans="1:22" x14ac:dyDescent="0.25">
      <c r="U557" s="3" t="str">
        <f t="shared" si="41"/>
        <v/>
      </c>
      <c r="V557" s="3" t="str">
        <f t="shared" si="42"/>
        <v/>
      </c>
    </row>
    <row r="558" spans="1:22" x14ac:dyDescent="0.25">
      <c r="U558" s="3" t="str">
        <f t="shared" si="41"/>
        <v/>
      </c>
      <c r="V558" s="3" t="str">
        <f t="shared" si="42"/>
        <v/>
      </c>
    </row>
    <row r="559" spans="1:22" x14ac:dyDescent="0.25">
      <c r="U559" s="3" t="str">
        <f t="shared" si="41"/>
        <v/>
      </c>
      <c r="V559" s="3" t="str">
        <f t="shared" si="42"/>
        <v/>
      </c>
    </row>
    <row r="560" spans="1:22" x14ac:dyDescent="0.25">
      <c r="U560" s="3" t="str">
        <f t="shared" si="41"/>
        <v/>
      </c>
      <c r="V560" s="3" t="str">
        <f t="shared" si="42"/>
        <v/>
      </c>
    </row>
    <row r="561" spans="21:22" x14ac:dyDescent="0.25">
      <c r="U561" s="3" t="str">
        <f t="shared" si="41"/>
        <v/>
      </c>
      <c r="V561" s="3" t="str">
        <f t="shared" si="42"/>
        <v/>
      </c>
    </row>
    <row r="562" spans="21:22" x14ac:dyDescent="0.25">
      <c r="U562" s="3" t="str">
        <f t="shared" si="41"/>
        <v/>
      </c>
      <c r="V562" s="3" t="str">
        <f t="shared" si="42"/>
        <v/>
      </c>
    </row>
    <row r="563" spans="21:22" x14ac:dyDescent="0.25">
      <c r="U563" s="3" t="str">
        <f t="shared" si="41"/>
        <v/>
      </c>
      <c r="V563" s="3" t="str">
        <f t="shared" si="42"/>
        <v/>
      </c>
    </row>
    <row r="564" spans="21:22" x14ac:dyDescent="0.25">
      <c r="U564" s="3" t="str">
        <f t="shared" si="41"/>
        <v/>
      </c>
      <c r="V564" s="3" t="str">
        <f t="shared" si="42"/>
        <v/>
      </c>
    </row>
    <row r="565" spans="21:22" x14ac:dyDescent="0.25">
      <c r="U565" s="3" t="str">
        <f t="shared" si="41"/>
        <v/>
      </c>
      <c r="V565" s="3" t="str">
        <f t="shared" si="42"/>
        <v/>
      </c>
    </row>
    <row r="566" spans="21:22" x14ac:dyDescent="0.25">
      <c r="U566" s="3" t="str">
        <f t="shared" si="41"/>
        <v/>
      </c>
      <c r="V566" s="3" t="str">
        <f t="shared" si="42"/>
        <v/>
      </c>
    </row>
    <row r="567" spans="21:22" x14ac:dyDescent="0.25">
      <c r="U567" s="3" t="str">
        <f t="shared" si="41"/>
        <v/>
      </c>
      <c r="V567" s="3" t="str">
        <f t="shared" si="42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4 N50:N100 AI63:AI77 N116:N1048576">
    <cfRule type="cellIs" dxfId="5" priority="1" operator="lessThan">
      <formula>0</formula>
    </cfRule>
  </conditionalFormatting>
  <hyperlinks>
    <hyperlink ref="C4" r:id="rId1" xr:uid="{F638B4EB-443F-46E3-9CA5-E6B86A9FBD71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28E1-12D4-4ABC-9A0A-A3C92FA0A232}">
  <dimension ref="A1:AI569"/>
  <sheetViews>
    <sheetView zoomScale="90" zoomScaleNormal="90" workbookViewId="0">
      <selection activeCell="N16" sqref="N16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4" bestFit="1" customWidth="1"/>
    <col min="5" max="5" width="7.140625" style="4" bestFit="1" customWidth="1"/>
    <col min="6" max="6" width="8.7109375" style="4" bestFit="1" customWidth="1"/>
    <col min="7" max="7" width="10.5703125" style="4" bestFit="1" customWidth="1"/>
    <col min="8" max="8" width="18" style="4" bestFit="1" customWidth="1"/>
    <col min="9" max="9" width="7.14062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2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46198.625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F2" s="12"/>
      <c r="G2" s="13" t="s">
        <v>4</v>
      </c>
      <c r="H2" s="2">
        <f>B5/B14</f>
        <v>320034.13697461062</v>
      </c>
      <c r="I2" s="1"/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103">_xlfn.UNIQUE(V:V)</f>
        <v>0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7</v>
      </c>
      <c r="C3" s="18" t="s">
        <v>8</v>
      </c>
      <c r="D3" s="8" t="s">
        <v>9</v>
      </c>
      <c r="H3" s="4" t="s">
        <v>10</v>
      </c>
      <c r="N3" s="4"/>
      <c r="O3" s="3" cm="1">
        <f t="array" ref="O3:P104">_xll.BDH(B4, "LAST_PRICE", "01/26/2026 15:00:00", "01/26/2035 16:00:00", "BarSize=60", "BarType=T", "RecurDaily=True", "TZ=London")</f>
        <v>46048.625</v>
      </c>
      <c r="P3" s="4">
        <v>93.62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46048.625</v>
      </c>
      <c r="V3" s="3" t="str">
        <f>IF(U3&gt;$A$14,U3,"")</f>
        <v/>
      </c>
      <c r="W3" s="3" t="str">
        <v/>
      </c>
      <c r="Z3" s="3" cm="1">
        <f t="array" ref="Z3:AA293">_xll.BDH(D1, "LAST_PRICE", "05/01/2025","")</f>
        <v>45778</v>
      </c>
      <c r="AA3" s="4">
        <v>231.3922</v>
      </c>
      <c r="AB3" s="74" cm="1">
        <f t="array" ref="AB3:AC294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1" t="s">
        <v>13</v>
      </c>
      <c r="C4" s="22" t="s">
        <v>14</v>
      </c>
      <c r="D4" s="21" t="s">
        <v>15</v>
      </c>
      <c r="H4" s="6">
        <v>46100</v>
      </c>
      <c r="I4" s="4" t="s">
        <v>7</v>
      </c>
      <c r="J4" s="4">
        <v>2.3302999999999998</v>
      </c>
      <c r="N4" s="4"/>
      <c r="O4" s="3">
        <v>46049.625</v>
      </c>
      <c r="P4" s="4">
        <v>93.74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46049.625</v>
      </c>
      <c r="V4" s="3" t="str">
        <f t="shared" ref="V4:V67" si="1">IF(U4&gt;$A$14,U4,"")</f>
        <v/>
      </c>
      <c r="W4" s="3">
        <v>46050.625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74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1</v>
      </c>
    </row>
    <row r="5" spans="1:32" x14ac:dyDescent="0.25">
      <c r="A5" s="17" t="s">
        <v>17</v>
      </c>
      <c r="B5" s="23">
        <f>30*10^6</f>
        <v>30000000</v>
      </c>
      <c r="C5" s="24">
        <f>26*10^6</f>
        <v>26000000</v>
      </c>
      <c r="D5" s="23">
        <f>18.7*10^6</f>
        <v>18700000</v>
      </c>
      <c r="N5" s="4"/>
      <c r="O5" s="3">
        <v>46050.625</v>
      </c>
      <c r="P5" s="4">
        <v>93.63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46050.625</v>
      </c>
      <c r="V5" s="3">
        <f t="shared" si="1"/>
        <v>46050.625</v>
      </c>
      <c r="W5" s="3">
        <v>46051.625</v>
      </c>
      <c r="X5" s="3">
        <v>46045</v>
      </c>
      <c r="Y5" s="5">
        <v>263.94619999999998</v>
      </c>
      <c r="Z5" s="3">
        <v>45783</v>
      </c>
      <c r="AA5" s="4">
        <v>232.7954</v>
      </c>
      <c r="AB5" s="74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5">
        <v>0</v>
      </c>
      <c r="C6" s="26">
        <v>2.4E-2</v>
      </c>
      <c r="D6" s="27">
        <v>0.05</v>
      </c>
      <c r="N6" s="4"/>
      <c r="O6" s="3">
        <v>46051.625</v>
      </c>
      <c r="P6" s="4">
        <v>93.53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46051.625</v>
      </c>
      <c r="V6" s="3">
        <f t="shared" si="1"/>
        <v>46051.625</v>
      </c>
      <c r="W6" s="3">
        <v>46052.625</v>
      </c>
      <c r="X6" s="3">
        <v>46048</v>
      </c>
      <c r="Y6" s="5">
        <v>264.02949999999998</v>
      </c>
      <c r="Z6" s="3">
        <v>45784</v>
      </c>
      <c r="AA6" s="4">
        <v>232.8287</v>
      </c>
      <c r="AB6" s="74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6" cm="1">
        <f t="array" ref="B7">_xll.BDP("EURR002W INDEX","PX_LAST")/100+0.25/100</f>
        <v>2.6499999999999999E-2</v>
      </c>
      <c r="C7" s="26" cm="1">
        <f t="array" ref="C7">_xll.BDP("EURR002W INDEX","PX_LAST")/100</f>
        <v>2.4E-2</v>
      </c>
      <c r="D7" s="27">
        <v>0</v>
      </c>
      <c r="E7" s="1"/>
      <c r="H7" s="1"/>
      <c r="J7" s="1"/>
      <c r="N7" s="4"/>
      <c r="O7" s="3">
        <v>46052.625</v>
      </c>
      <c r="P7" s="4">
        <v>93.62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46052.625</v>
      </c>
      <c r="V7" s="3">
        <f t="shared" si="1"/>
        <v>46052.625</v>
      </c>
      <c r="W7" s="3">
        <v>46055.625</v>
      </c>
      <c r="X7" s="3">
        <v>46049</v>
      </c>
      <c r="Y7" s="5">
        <v>264.17689999999999</v>
      </c>
      <c r="Z7" s="3">
        <v>45785</v>
      </c>
      <c r="AA7" s="4">
        <v>233.9237</v>
      </c>
      <c r="AB7" s="74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46055.625</v>
      </c>
      <c r="P8" s="4">
        <v>93.64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46055.625</v>
      </c>
      <c r="V8" s="3">
        <f t="shared" si="1"/>
        <v>46055.625</v>
      </c>
      <c r="W8" s="3">
        <v>46056.625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74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28" cm="1">
        <f t="array" ref="B9">_xll.BDP(B4,"PX_LAST")</f>
        <v>91.07</v>
      </c>
      <c r="C9" s="28" cm="1">
        <f t="array" ref="C9">_xll.BDP(C4,"PX_LAST")</f>
        <v>99.774000000000001</v>
      </c>
      <c r="D9" s="28" cm="1">
        <f t="array" ref="D9">_xll.BDP(D4,"PX_LAST")</f>
        <v>249.3082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46056.625</v>
      </c>
      <c r="P9" s="4">
        <v>93.64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46056.625</v>
      </c>
      <c r="V9" s="3">
        <f t="shared" si="1"/>
        <v>46056.625</v>
      </c>
      <c r="W9" s="3">
        <v>46057.625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74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29" t="s">
        <v>23</v>
      </c>
      <c r="B10" s="30"/>
      <c r="C10" s="31"/>
      <c r="D10" s="30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46057.625</v>
      </c>
      <c r="P10" s="4">
        <v>93.61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46057.625</v>
      </c>
      <c r="V10" s="3">
        <f t="shared" si="1"/>
        <v>46057.625</v>
      </c>
      <c r="W10" s="3">
        <v>46058.625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74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2"/>
      <c r="J11" s="1"/>
      <c r="K11" s="1"/>
      <c r="L11" s="1"/>
      <c r="M11" s="1"/>
      <c r="N11" s="1"/>
      <c r="O11" s="3">
        <v>46058.625</v>
      </c>
      <c r="P11" s="4">
        <v>93.49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46058.625</v>
      </c>
      <c r="V11" s="3">
        <f t="shared" si="1"/>
        <v>46058.625</v>
      </c>
      <c r="W11" s="3">
        <v>46059.625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74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3" t="s">
        <v>24</v>
      </c>
      <c r="B12" s="65" t="s">
        <v>2</v>
      </c>
      <c r="C12" s="66"/>
      <c r="D12" s="67"/>
      <c r="E12" s="68" t="s">
        <v>3</v>
      </c>
      <c r="F12" s="69"/>
      <c r="G12" s="70"/>
      <c r="H12" s="71" t="s">
        <v>3</v>
      </c>
      <c r="I12" s="72"/>
      <c r="J12" s="72"/>
      <c r="K12" s="73"/>
      <c r="L12" s="11" t="s">
        <v>25</v>
      </c>
      <c r="M12" s="33" t="s">
        <v>26</v>
      </c>
      <c r="O12" s="3">
        <v>46059.625</v>
      </c>
      <c r="P12" s="4">
        <v>93.62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46059.625</v>
      </c>
      <c r="V12" s="3">
        <f t="shared" si="1"/>
        <v>46059.625</v>
      </c>
      <c r="W12" s="3">
        <v>46062.625</v>
      </c>
      <c r="X12" s="3">
        <v>46056</v>
      </c>
      <c r="Y12" s="5">
        <v>264</v>
      </c>
      <c r="Z12" s="3">
        <v>45792</v>
      </c>
      <c r="AA12" s="4">
        <v>236.27610000000001</v>
      </c>
      <c r="AB12" s="74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29"/>
      <c r="B13" s="34" t="s">
        <v>27</v>
      </c>
      <c r="C13" s="35" t="s">
        <v>28</v>
      </c>
      <c r="D13" s="36" t="s">
        <v>29</v>
      </c>
      <c r="E13" s="34" t="s">
        <v>27</v>
      </c>
      <c r="F13" s="35" t="s">
        <v>28</v>
      </c>
      <c r="G13" s="36" t="s">
        <v>29</v>
      </c>
      <c r="H13" s="34" t="s">
        <v>30</v>
      </c>
      <c r="I13" s="35" t="s">
        <v>31</v>
      </c>
      <c r="J13" s="35" t="s">
        <v>32</v>
      </c>
      <c r="K13" s="36" t="s">
        <v>33</v>
      </c>
      <c r="L13" s="36"/>
      <c r="M13" s="29"/>
      <c r="O13" s="3">
        <v>46062.625</v>
      </c>
      <c r="P13" s="4">
        <v>93.76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46062.625</v>
      </c>
      <c r="V13" s="3">
        <f t="shared" si="1"/>
        <v>46062.625</v>
      </c>
      <c r="W13" s="3">
        <v>46064.625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74">
        <v>45793</v>
      </c>
      <c r="AC13" s="4">
        <v>301.29500000000002</v>
      </c>
      <c r="AD13" s="6">
        <f t="shared" si="2"/>
        <v>45793</v>
      </c>
    </row>
    <row r="14" spans="1:32" x14ac:dyDescent="0.25">
      <c r="A14" s="37">
        <v>46049.625</v>
      </c>
      <c r="B14" s="38">
        <v>93.74</v>
      </c>
      <c r="C14" s="2"/>
      <c r="D14" s="18"/>
      <c r="E14" s="38">
        <v>100.59</v>
      </c>
      <c r="F14" s="1"/>
      <c r="G14" s="18"/>
      <c r="H14" s="38">
        <v>241.37200000000001</v>
      </c>
      <c r="I14" s="39">
        <v>264.18</v>
      </c>
      <c r="J14" s="39">
        <f>IF(ISERROR(H14-2),"",I14)</f>
        <v>264.18</v>
      </c>
      <c r="K14" s="18"/>
      <c r="L14" s="18"/>
      <c r="M14" s="40">
        <v>0</v>
      </c>
      <c r="O14" s="3">
        <v>46064.625</v>
      </c>
      <c r="P14" s="4">
        <v>93.63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46064.625</v>
      </c>
      <c r="V14" s="3">
        <f t="shared" si="1"/>
        <v>46064.625</v>
      </c>
      <c r="W14" s="3">
        <v>46065.625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74">
        <v>45796</v>
      </c>
      <c r="AC14" s="4">
        <v>299.93799999999999</v>
      </c>
      <c r="AD14" s="6">
        <f t="shared" si="2"/>
        <v>45796</v>
      </c>
    </row>
    <row r="15" spans="1:32" x14ac:dyDescent="0.25">
      <c r="A15" s="37">
        <f t="shared" ref="A15:A78" ca="1" si="3">IF(AND(ISBLANK(W4), A14 = $W$1),NOW(),IF(ISBLANK(W4),"",W4))</f>
        <v>46050.625</v>
      </c>
      <c r="B15" s="38">
        <f ca="1">IF(COUNTIF($W$2:W1000,A15)=1,VLOOKUP(A15,O:P,2), IF(COUNTIF($W$2:W1000,A15)=0,$B$9,""))</f>
        <v>93.63</v>
      </c>
      <c r="C15" s="2">
        <f ca="1">IF(ISERROR(B15-2),"",(B15/$B$14-1)*$B$5)</f>
        <v>-35203.755067207967</v>
      </c>
      <c r="D15" s="41">
        <f ca="1">IF(ISERROR(B15-2),"",-1*(INT(A15)-INT($A$14))/360*$B$7*$B$5)</f>
        <v>-2208.3333333333335</v>
      </c>
      <c r="E15" s="38">
        <f ca="1">IF(COUNTIF($W$2:W1000,A15)=1,VLOOKUP(A15,Q:R,2), IF(COUNTIF($W$2:W1000,A15)=0,$C$9,""))</f>
        <v>100.65</v>
      </c>
      <c r="F15" s="2">
        <f ca="1">IF(ISERROR(B15-2),"",(E15-$E$14)/100*$C$5)</f>
        <v>15600.000000000591</v>
      </c>
      <c r="G15" s="41">
        <f ca="1">IF(ISERROR(B15-2),"",(INT(A15)-INT($A$14))/360*$C$6*$C$5-(INT(A15)-INT($A$14))/360*$C$7*$C$5*$E$14/100)</f>
        <v>-10.226666666666915</v>
      </c>
      <c r="H15" s="38">
        <f ca="1">IF(COUNTIF($W$2:W1000,A15)=1,VLOOKUP(A15,S:T,2), IF(COUNTIF($W$2:W1000,A15)=0,$D$9,""))</f>
        <v>244.39099999999999</v>
      </c>
      <c r="I15" s="39">
        <f ca="1">IF(COUNTIF($X$2:X1000,INT(A15))=1,VLOOKUP(INT(A15),X:Y,2), IF(ISERROR(H15-2),"",I14*(1-$D$8*(H15-H14)*0.0001)))</f>
        <v>263.77480000000003</v>
      </c>
      <c r="J15" s="39">
        <f ca="1">IF(ISERROR(H15-2),"",I15)</f>
        <v>263.77480000000003</v>
      </c>
      <c r="K15" s="41">
        <f ca="1">IF(ISERROR(H15-2),"",(J15/$J$14-1)*$D$5)</f>
        <v>-28682.110682109917</v>
      </c>
      <c r="L15" s="41" t="str">
        <f ca="1">IF($A15="","",IF(COUNTIFS(Dividends!$G:$G,"&gt;"&amp;INT($A14),Dividends!$G:$G,"&lt;="&amp;INT($A15))=0,"",$H$2*SUMIFS(Dividends!$H:$H,Dividends!$G:$G,"&gt;"&amp;INT($A14),Dividends!$G:$G,"&lt;="&amp;INT($A15))))</f>
        <v/>
      </c>
      <c r="M15" s="42">
        <f ca="1">IF(ISERROR(B15-2),"",C15+D15-F15-G15-K15+SUM($L$14:L15))</f>
        <v>-24319.751051765306</v>
      </c>
      <c r="O15" s="3">
        <v>46065.625</v>
      </c>
      <c r="P15" s="4">
        <v>93.65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46065.625</v>
      </c>
      <c r="V15" s="3">
        <f t="shared" si="1"/>
        <v>46065.625</v>
      </c>
      <c r="W15" s="3">
        <v>46066.625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74">
        <v>45797</v>
      </c>
      <c r="AC15" s="4">
        <v>295.73700000000002</v>
      </c>
      <c r="AD15" s="6">
        <f t="shared" si="2"/>
        <v>45797</v>
      </c>
    </row>
    <row r="16" spans="1:32" x14ac:dyDescent="0.25">
      <c r="A16" s="37">
        <f t="shared" ca="1" si="3"/>
        <v>46051.625</v>
      </c>
      <c r="B16" s="38">
        <f ca="1">IF(COUNTIF($W$2:W1001,A16)=1,VLOOKUP(A16,O:P,2), IF(COUNTIF($W$2:W1001,A16)=0,$B$9,""))</f>
        <v>93.53</v>
      </c>
      <c r="C16" s="2">
        <f t="shared" ref="C16:C79" ca="1" si="4">IF(ISERROR(B16-2),"",(B16/$B$14-1)*$B$5)</f>
        <v>-67207.16876466581</v>
      </c>
      <c r="D16" s="41">
        <f t="shared" ref="D16:D79" ca="1" si="5">IF(ISERROR(B16-2),"",-1*(INT(A16)-INT($A$14))/360*$B$7*$B$5)</f>
        <v>-4416.666666666667</v>
      </c>
      <c r="E16" s="38">
        <f ca="1">IF(COUNTIF($W$2:W1001,A16)=1,VLOOKUP(A16,Q:R,2), IF(COUNTIF($W$2:W1001,A16)=0,$C$9,""))</f>
        <v>100.706</v>
      </c>
      <c r="F16" s="2">
        <f t="shared" ref="F16:F79" ca="1" si="6">IF(ISERROR(B16-2),"",(E16-$E$14)/100*$C$5)</f>
        <v>30159.999999999909</v>
      </c>
      <c r="G16" s="41">
        <f t="shared" ref="G16:G79" ca="1" si="7">IF(ISERROR(B16-2),"",(INT(A16)-INT($A$14))/360*$C$6*$C$5-(INT(A16)-INT($A$14))/360*$C$7*$C$5*$E$14/100)</f>
        <v>-20.453333333333831</v>
      </c>
      <c r="H16" s="38">
        <f ca="1">IF(COUNTIF($W$2:W1001,A16)=1,VLOOKUP(A16,S:T,2), IF(COUNTIF($W$2:W1001,A16)=0,$D$9,""))</f>
        <v>249.25</v>
      </c>
      <c r="I16" s="39">
        <f ca="1">IF(COUNTIF($X$2:X1001,INT(A16))=1,VLOOKUP(INT(A16),X:Y,2), IF(ISERROR(H16-2),"",I15*(1-$D$8*(H16-H15)*0.0001)))</f>
        <v>263.46510000000001</v>
      </c>
      <c r="J16" s="39">
        <f t="shared" ref="J16:J79" ca="1" si="8">IF(ISERROR(H16-2),"",I16)</f>
        <v>263.46510000000001</v>
      </c>
      <c r="K16" s="41">
        <f t="shared" ref="K16:K79" ca="1" si="9">IF(ISERROR(H16-2),"",(J16/$J$14-1)*$D$5)</f>
        <v>-50604.247104247959</v>
      </c>
      <c r="L16" s="41" t="str">
        <f ca="1">IF($A16="","",IF(COUNTIFS(Dividends!$G:$G,"&gt;"&amp;INT($A15),Dividends!$G:$G,"&lt;="&amp;INT($A16))=0,"",$H$2*SUMIFS(Dividends!$H:$H,Dividends!$G:$G,"&gt;"&amp;INT($A15),Dividends!$G:$G,"&lt;="&amp;INT($A16))))</f>
        <v/>
      </c>
      <c r="M16" s="42">
        <f ca="1">IF(ISERROR(B16-2),"",C16+D16-F16-G16-K16+SUM($L$14:L16))</f>
        <v>-51159.134993751097</v>
      </c>
      <c r="O16" s="3">
        <v>46066.625</v>
      </c>
      <c r="P16" s="4">
        <v>93.55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46066.625</v>
      </c>
      <c r="V16" s="3">
        <f t="shared" si="1"/>
        <v>46066.625</v>
      </c>
      <c r="W16" s="3">
        <v>46069.625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74">
        <v>45798</v>
      </c>
      <c r="AC16" s="4">
        <v>298.613</v>
      </c>
      <c r="AD16" s="6">
        <f t="shared" si="2"/>
        <v>45798</v>
      </c>
    </row>
    <row r="17" spans="1:30" x14ac:dyDescent="0.25">
      <c r="A17" s="37">
        <f t="shared" ca="1" si="3"/>
        <v>46052.625</v>
      </c>
      <c r="B17" s="38">
        <f ca="1">IF(COUNTIF($W$2:W1002,A17)=1,VLOOKUP(A17,O:P,2), IF(COUNTIF($W$2:W1002,A17)=0,$B$9,""))</f>
        <v>93.62</v>
      </c>
      <c r="C17" s="2">
        <f t="shared" ca="1" si="4"/>
        <v>-38404.096436951419</v>
      </c>
      <c r="D17" s="41">
        <f t="shared" ca="1" si="5"/>
        <v>-6625</v>
      </c>
      <c r="E17" s="38">
        <f ca="1">IF(COUNTIF($W$2:W1002,A17)=1,VLOOKUP(A17,Q:R,2), IF(COUNTIF($W$2:W1002,A17)=0,$C$9,""))</f>
        <v>100.675</v>
      </c>
      <c r="F17" s="2">
        <f t="shared" ca="1" si="6"/>
        <v>22099.999999998374</v>
      </c>
      <c r="G17" s="41">
        <f t="shared" ca="1" si="7"/>
        <v>-30.680000000000291</v>
      </c>
      <c r="H17" s="38">
        <f ca="1">IF(COUNTIF($W$2:W1002,A17)=1,VLOOKUP(A17,S:T,2), IF(COUNTIF($W$2:W1002,A17)=0,$D$9,""))</f>
        <v>246.12</v>
      </c>
      <c r="I17" s="39">
        <f ca="1">IF(COUNTIF($X$2:X1002,INT(A17))=1,VLOOKUP(INT(A17),X:Y,2), IF(ISERROR(H17-2),"",I16*(1-$D$8*(H17-H16)*0.0001)))</f>
        <v>263.61529999999999</v>
      </c>
      <c r="J17" s="39">
        <f t="shared" ca="1" si="8"/>
        <v>263.61529999999999</v>
      </c>
      <c r="K17" s="41">
        <f t="shared" ca="1" si="9"/>
        <v>-39972.329472330013</v>
      </c>
      <c r="L17" s="41" t="str">
        <f ca="1">IF($A17="","",IF(COUNTIFS(Dividends!$G:$G,"&gt;"&amp;INT($A16),Dividends!$G:$G,"&lt;="&amp;INT($A17))=0,"",$H$2*SUMIFS(Dividends!$H:$H,Dividends!$G:$G,"&gt;"&amp;INT($A16),Dividends!$G:$G,"&lt;="&amp;INT($A17))))</f>
        <v/>
      </c>
      <c r="M17" s="42">
        <f ca="1">IF(ISERROR(B17-2),"",C17+D17-F17-G17-K17+SUM($L$14:L17))</f>
        <v>-27126.08696461979</v>
      </c>
      <c r="O17" s="3">
        <v>46069.625</v>
      </c>
      <c r="P17" s="4">
        <v>93.55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46069.625</v>
      </c>
      <c r="V17" s="3">
        <f t="shared" si="1"/>
        <v>46069.625</v>
      </c>
      <c r="W17" s="3">
        <v>46070.625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74">
        <v>45799</v>
      </c>
      <c r="AC17" s="4">
        <v>302.62099999999998</v>
      </c>
      <c r="AD17" s="6">
        <f t="shared" si="2"/>
        <v>45799</v>
      </c>
    </row>
    <row r="18" spans="1:30" x14ac:dyDescent="0.25">
      <c r="A18" s="37">
        <f t="shared" ca="1" si="3"/>
        <v>46055.625</v>
      </c>
      <c r="B18" s="38">
        <f ca="1">IF(COUNTIF($W$2:W1003,A18)=1,VLOOKUP(A18,O:P,2), IF(COUNTIF($W$2:W1003,A18)=0,$B$9,""))</f>
        <v>93.64</v>
      </c>
      <c r="C18" s="2">
        <f t="shared" ca="1" si="4"/>
        <v>-32003.413697457851</v>
      </c>
      <c r="D18" s="41">
        <f t="shared" ca="1" si="5"/>
        <v>-13250</v>
      </c>
      <c r="E18" s="38">
        <f ca="1">IF(COUNTIF($W$2:W1003,A18)=1,VLOOKUP(A18,Q:R,2), IF(COUNTIF($W$2:W1003,A18)=0,$C$9,""))</f>
        <v>100.607</v>
      </c>
      <c r="F18" s="2">
        <f t="shared" ca="1" si="6"/>
        <v>4419.9999999989359</v>
      </c>
      <c r="G18" s="41">
        <f t="shared" ca="1" si="7"/>
        <v>-61.360000000000582</v>
      </c>
      <c r="H18" s="38">
        <f ca="1">IF(COUNTIF($W$2:W1003,A18)=1,VLOOKUP(A18,S:T,2), IF(COUNTIF($W$2:W1003,A18)=0,$D$9,""))</f>
        <v>243.642</v>
      </c>
      <c r="I18" s="39">
        <f ca="1">IF(COUNTIF($X$2:X1003,INT(A18))=1,VLOOKUP(INT(A18),X:Y,2), IF(ISERROR(H18-2),"",I17*(1-$D$8*(H18-H17)*0.0001)))</f>
        <v>264.12970000000001</v>
      </c>
      <c r="J18" s="39">
        <f t="shared" ca="1" si="8"/>
        <v>264.12970000000001</v>
      </c>
      <c r="K18" s="41">
        <f t="shared" ca="1" si="9"/>
        <v>-3560.4890604889806</v>
      </c>
      <c r="L18" s="41" t="str">
        <f ca="1">IF($A18="","",IF(COUNTIFS(Dividends!$G:$G,"&gt;"&amp;INT($A17),Dividends!$G:$G,"&lt;="&amp;INT($A18))=0,"",$H$2*SUMIFS(Dividends!$H:$H,Dividends!$G:$G,"&gt;"&amp;INT($A17),Dividends!$G:$G,"&lt;="&amp;INT($A18))))</f>
        <v/>
      </c>
      <c r="M18" s="42">
        <f ca="1">IF(ISERROR(B18-2),"",C18+D18-F18-G18-K18+SUM($L$14:L18))</f>
        <v>-46051.564636967807</v>
      </c>
      <c r="O18" s="3">
        <v>46070.625</v>
      </c>
      <c r="P18" s="4">
        <v>93.48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46070.625</v>
      </c>
      <c r="V18" s="3">
        <f t="shared" si="1"/>
        <v>46070.625</v>
      </c>
      <c r="W18" s="3">
        <v>46071.625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74">
        <v>45800</v>
      </c>
      <c r="AC18" s="4">
        <v>315.95499999999998</v>
      </c>
      <c r="AD18" s="6">
        <f t="shared" si="2"/>
        <v>45800</v>
      </c>
    </row>
    <row r="19" spans="1:30" x14ac:dyDescent="0.25">
      <c r="A19" s="37">
        <f t="shared" ca="1" si="3"/>
        <v>46056.625</v>
      </c>
      <c r="B19" s="38">
        <f ca="1">IF(COUNTIF($W$2:W1004,A19)=1,VLOOKUP(A19,O:P,2), IF(COUNTIF($W$2:W1004,A19)=0,$B$9,""))</f>
        <v>93.64</v>
      </c>
      <c r="C19" s="2">
        <f t="shared" ca="1" si="4"/>
        <v>-32003.413697457851</v>
      </c>
      <c r="D19" s="41">
        <f t="shared" ca="1" si="5"/>
        <v>-15458.333333333334</v>
      </c>
      <c r="E19" s="38">
        <f ca="1">IF(COUNTIF($W$2:W1004,A19)=1,VLOOKUP(A19,Q:R,2), IF(COUNTIF($W$2:W1004,A19)=0,$C$9,""))</f>
        <v>100.57599999999999</v>
      </c>
      <c r="F19" s="2">
        <f t="shared" ca="1" si="6"/>
        <v>-3640.0000000026007</v>
      </c>
      <c r="G19" s="41">
        <f t="shared" ca="1" si="7"/>
        <v>-71.586666666666133</v>
      </c>
      <c r="H19" s="38">
        <f ca="1">IF(COUNTIF($W$2:W1004,A19)=1,VLOOKUP(A19,S:T,2), IF(COUNTIF($W$2:W1004,A19)=0,$D$9,""))</f>
        <v>243.64</v>
      </c>
      <c r="I19" s="39">
        <f ca="1">IF(COUNTIF($X$2:X1004,INT(A19))=1,VLOOKUP(INT(A19),X:Y,2), IF(ISERROR(H19-2),"",I18*(1-$D$8*(H19-H18)*0.0001)))</f>
        <v>264</v>
      </c>
      <c r="J19" s="39">
        <f t="shared" ca="1" si="8"/>
        <v>264</v>
      </c>
      <c r="K19" s="41">
        <f t="shared" ca="1" si="9"/>
        <v>-12741.312741312471</v>
      </c>
      <c r="L19" s="41" t="str">
        <f ca="1">IF($A19="","",IF(COUNTIFS(Dividends!$G:$G,"&gt;"&amp;INT($A18),Dividends!$G:$G,"&lt;="&amp;INT($A19))=0,"",$H$2*SUMIFS(Dividends!$H:$H,Dividends!$G:$G,"&gt;"&amp;INT($A18),Dividends!$G:$G,"&lt;="&amp;INT($A19))))</f>
        <v/>
      </c>
      <c r="M19" s="42">
        <f ca="1">IF(ISERROR(B19-2),"",C19+D19-F19-G19-K19+SUM($L$14:L19))</f>
        <v>-31008.847622809455</v>
      </c>
      <c r="O19" s="3">
        <v>46071.625</v>
      </c>
      <c r="P19" s="4">
        <v>93.67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46071.625</v>
      </c>
      <c r="V19" s="3">
        <f t="shared" si="1"/>
        <v>46071.625</v>
      </c>
      <c r="W19" s="3">
        <v>46072.625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74">
        <v>45804</v>
      </c>
      <c r="AC19" s="4">
        <v>300.10899999999998</v>
      </c>
      <c r="AD19" s="6">
        <f t="shared" si="2"/>
        <v>45804</v>
      </c>
    </row>
    <row r="20" spans="1:30" x14ac:dyDescent="0.25">
      <c r="A20" s="37">
        <f t="shared" ca="1" si="3"/>
        <v>46057.625</v>
      </c>
      <c r="B20" s="38">
        <f ca="1">IF(COUNTIF($W$2:W1005,A20)=1,VLOOKUP(A20,O:P,2), IF(COUNTIF($W$2:W1005,A20)=0,$B$9,""))</f>
        <v>93.61</v>
      </c>
      <c r="C20" s="2">
        <f t="shared" ca="1" si="4"/>
        <v>-41604.437806698203</v>
      </c>
      <c r="D20" s="41">
        <f t="shared" ca="1" si="5"/>
        <v>-17666.666666666668</v>
      </c>
      <c r="E20" s="38">
        <f ca="1">IF(COUNTIF($W$2:W1005,A20)=1,VLOOKUP(A20,Q:R,2), IF(COUNTIF($W$2:W1005,A20)=0,$C$9,""))</f>
        <v>100.637</v>
      </c>
      <c r="F20" s="2">
        <f t="shared" ca="1" si="6"/>
        <v>12219.999999999232</v>
      </c>
      <c r="G20" s="41">
        <f t="shared" ca="1" si="7"/>
        <v>-81.813333333335322</v>
      </c>
      <c r="H20" s="38">
        <f ca="1">IF(COUNTIF($W$2:W1005,A20)=1,VLOOKUP(A20,S:T,2), IF(COUNTIF($W$2:W1005,A20)=0,$D$9,""))</f>
        <v>244.55699999999999</v>
      </c>
      <c r="I20" s="39">
        <f ca="1">IF(COUNTIF($X$2:X1005,INT(A20))=1,VLOOKUP(INT(A20),X:Y,2), IF(ISERROR(H20-2),"",I19*(1-$D$8*(H20-H19)*0.0001)))</f>
        <v>263.81950000000001</v>
      </c>
      <c r="J20" s="39">
        <f t="shared" ca="1" si="8"/>
        <v>263.81950000000001</v>
      </c>
      <c r="K20" s="41">
        <f t="shared" ca="1" si="9"/>
        <v>-25518.01801801916</v>
      </c>
      <c r="L20" s="41" t="str">
        <f ca="1">IF($A20="","",IF(COUNTIFS(Dividends!$G:$G,"&gt;"&amp;INT($A19),Dividends!$G:$G,"&lt;="&amp;INT($A20))=0,"",$H$2*SUMIFS(Dividends!$H:$H,Dividends!$G:$G,"&gt;"&amp;INT($A19),Dividends!$G:$G,"&lt;="&amp;INT($A20))))</f>
        <v/>
      </c>
      <c r="M20" s="42">
        <f ca="1">IF(ISERROR(B20-2),"",C20+D20-F20-G20-K20+SUM($L$14:L20))</f>
        <v>-45891.273122011604</v>
      </c>
      <c r="O20" s="3">
        <v>46072.625</v>
      </c>
      <c r="P20" s="4">
        <v>93.64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46072.625</v>
      </c>
      <c r="V20" s="3">
        <f t="shared" si="1"/>
        <v>46072.625</v>
      </c>
      <c r="W20" s="3">
        <v>46073.625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74">
        <v>45805</v>
      </c>
      <c r="AC20" s="4">
        <v>300.60399999999998</v>
      </c>
      <c r="AD20" s="6">
        <f t="shared" si="2"/>
        <v>45805</v>
      </c>
    </row>
    <row r="21" spans="1:30" x14ac:dyDescent="0.25">
      <c r="A21" s="37">
        <f t="shared" ca="1" si="3"/>
        <v>46058.625</v>
      </c>
      <c r="B21" s="38">
        <f ca="1">IF(COUNTIF($W$2:W1006,A21)=1,VLOOKUP(A21,O:P,2), IF(COUNTIF($W$2:W1006,A21)=0,$B$9,""))</f>
        <v>93.49</v>
      </c>
      <c r="C21" s="2">
        <f t="shared" ca="1" si="4"/>
        <v>-80008.534243652946</v>
      </c>
      <c r="D21" s="41">
        <f t="shared" ca="1" si="5"/>
        <v>-19875</v>
      </c>
      <c r="E21" s="38">
        <f ca="1">IF(COUNTIF($W$2:W1006,A21)=1,VLOOKUP(A21,Q:R,2), IF(COUNTIF($W$2:W1006,A21)=0,$C$9,""))</f>
        <v>100.67</v>
      </c>
      <c r="F21" s="2">
        <f t="shared" ca="1" si="6"/>
        <v>20799.999999999556</v>
      </c>
      <c r="G21" s="41">
        <f t="shared" ca="1" si="7"/>
        <v>-92.040000000000873</v>
      </c>
      <c r="H21" s="38">
        <f ca="1">IF(COUNTIF($W$2:W1006,A21)=1,VLOOKUP(A21,S:T,2), IF(COUNTIF($W$2:W1006,A21)=0,$D$9,""))</f>
        <v>249.851</v>
      </c>
      <c r="I21" s="39">
        <f ca="1">IF(COUNTIF($X$2:X1006,INT(A21))=1,VLOOKUP(INT(A21),X:Y,2), IF(ISERROR(H21-2),"",I20*(1-$D$8*(H21-H20)*0.0001)))</f>
        <v>263.54730000000001</v>
      </c>
      <c r="J21" s="39">
        <f t="shared" ca="1" si="8"/>
        <v>263.54730000000001</v>
      </c>
      <c r="K21" s="41">
        <f t="shared" ca="1" si="9"/>
        <v>-44785.714285713293</v>
      </c>
      <c r="L21" s="41" t="str">
        <f ca="1">IF($A21="","",IF(COUNTIFS(Dividends!$G:$G,"&gt;"&amp;INT($A20),Dividends!$G:$G,"&lt;="&amp;INT($A21))=0,"",$H$2*SUMIFS(Dividends!$H:$H,Dividends!$G:$G,"&gt;"&amp;INT($A20),Dividends!$G:$G,"&lt;="&amp;INT($A21))))</f>
        <v/>
      </c>
      <c r="M21" s="42">
        <f ca="1">IF(ISERROR(B21-2),"",C21+D21-F21-G21-K21+SUM($L$14:L21))</f>
        <v>-75805.779957939201</v>
      </c>
      <c r="O21" s="3">
        <v>46073.625</v>
      </c>
      <c r="P21" s="4">
        <v>93.75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46073.625</v>
      </c>
      <c r="V21" s="3">
        <f t="shared" si="1"/>
        <v>46073.625</v>
      </c>
      <c r="W21" s="3">
        <v>46076.625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74">
        <v>45806</v>
      </c>
      <c r="AC21" s="4">
        <v>300.02</v>
      </c>
      <c r="AD21" s="6">
        <f t="shared" si="2"/>
        <v>45806</v>
      </c>
    </row>
    <row r="22" spans="1:30" x14ac:dyDescent="0.25">
      <c r="A22" s="37">
        <f t="shared" ca="1" si="3"/>
        <v>46059.625</v>
      </c>
      <c r="B22" s="38">
        <f ca="1">IF(COUNTIF($W$2:W1007,A22)=1,VLOOKUP(A22,O:P,2), IF(COUNTIF($W$2:W1007,A22)=0,$B$9,""))</f>
        <v>93.62</v>
      </c>
      <c r="C22" s="2">
        <f t="shared" ca="1" si="4"/>
        <v>-38404.096436951419</v>
      </c>
      <c r="D22" s="41">
        <f t="shared" ca="1" si="5"/>
        <v>-22083.333333333332</v>
      </c>
      <c r="E22" s="38">
        <f ca="1">IF(COUNTIF($W$2:W1007,A22)=1,VLOOKUP(A22,Q:R,2), IF(COUNTIF($W$2:W1007,A22)=0,$C$9,""))</f>
        <v>100.67</v>
      </c>
      <c r="F22" s="2">
        <f t="shared" ca="1" si="6"/>
        <v>20799.999999999556</v>
      </c>
      <c r="G22" s="41">
        <f t="shared" ca="1" si="7"/>
        <v>-102.26666666666642</v>
      </c>
      <c r="H22" s="38">
        <f ca="1">IF(COUNTIF($W$2:W1007,A22)=1,VLOOKUP(A22,S:T,2), IF(COUNTIF($W$2:W1007,A22)=0,$D$9,""))</f>
        <v>244.11</v>
      </c>
      <c r="I22" s="39">
        <f ca="1">IF(COUNTIF($X$2:X1007,INT(A22))=1,VLOOKUP(INT(A22),X:Y,2), IF(ISERROR(H22-2),"",I21*(1-$D$8*(H22-H21)*0.0001)))</f>
        <v>264.17489999999998</v>
      </c>
      <c r="J22" s="39">
        <f t="shared" ca="1" si="8"/>
        <v>264.17489999999998</v>
      </c>
      <c r="K22" s="41">
        <f t="shared" ca="1" si="9"/>
        <v>-361.00386100608171</v>
      </c>
      <c r="L22" s="41" t="str">
        <f ca="1">IF($A22="","",IF(COUNTIFS(Dividends!$G:$G,"&gt;"&amp;INT($A21),Dividends!$G:$G,"&lt;="&amp;INT($A22))=0,"",$H$2*SUMIFS(Dividends!$H:$H,Dividends!$G:$G,"&gt;"&amp;INT($A21),Dividends!$G:$G,"&lt;="&amp;INT($A22))))</f>
        <v/>
      </c>
      <c r="M22" s="42">
        <f ca="1">IF(ISERROR(B22-2),"",C22+D22-F22-G22-K22+SUM($L$14:L22))</f>
        <v>-80824.159242611553</v>
      </c>
      <c r="O22" s="3">
        <v>46076.625</v>
      </c>
      <c r="P22" s="4">
        <v>93.75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46076.625</v>
      </c>
      <c r="V22" s="3">
        <f t="shared" si="1"/>
        <v>46076.625</v>
      </c>
      <c r="W22" s="3">
        <v>46077.625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74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7">
        <f t="shared" ca="1" si="3"/>
        <v>46062.625</v>
      </c>
      <c r="B23" s="38">
        <f ca="1">IF(COUNTIF($W$2:W1008,A23)=1,VLOOKUP(A23,O:P,2), IF(COUNTIF($W$2:W1008,A23)=0,$B$9,""))</f>
        <v>93.76</v>
      </c>
      <c r="C23" s="2">
        <f t="shared" ca="1" si="4"/>
        <v>6400.6827394935681</v>
      </c>
      <c r="D23" s="41">
        <f t="shared" ca="1" si="5"/>
        <v>-28708.333333333328</v>
      </c>
      <c r="E23" s="38">
        <f ca="1">IF(COUNTIF($W$2:W1008,A23)=1,VLOOKUP(A23,Q:R,2), IF(COUNTIF($W$2:W1008,A23)=0,$C$9,""))</f>
        <v>100.702</v>
      </c>
      <c r="F23" s="2">
        <f t="shared" ca="1" si="6"/>
        <v>29119.999999998639</v>
      </c>
      <c r="G23" s="41">
        <f t="shared" ca="1" si="7"/>
        <v>-132.94666666666672</v>
      </c>
      <c r="H23" s="38">
        <f ca="1">IF(COUNTIF($W$2:W1008,A23)=1,VLOOKUP(A23,S:T,2), IF(COUNTIF($W$2:W1008,A23)=0,$D$9,""))</f>
        <v>241.44</v>
      </c>
      <c r="I23" s="39">
        <f ca="1">IF(COUNTIF($X$2:X1008,INT(A23))=1,VLOOKUP(INT(A23),X:Y,2), IF(ISERROR(H23-2),"",I22*(1-$D$8*(H23-H22)*0.0001)))</f>
        <v>264.56029999999998</v>
      </c>
      <c r="J23" s="39">
        <f t="shared" ca="1" si="8"/>
        <v>264.56029999999998</v>
      </c>
      <c r="K23" s="41">
        <f t="shared" ca="1" si="9"/>
        <v>26919.562419560461</v>
      </c>
      <c r="L23" s="41" t="str">
        <f ca="1">IF($A23="","",IF(COUNTIFS(Dividends!$G:$G,"&gt;"&amp;INT($A22),Dividends!$G:$G,"&lt;="&amp;INT($A23))=0,"",$H$2*SUMIFS(Dividends!$H:$H,Dividends!$G:$G,"&gt;"&amp;INT($A22),Dividends!$G:$G,"&lt;="&amp;INT($A23))))</f>
        <v/>
      </c>
      <c r="M23" s="42">
        <f ca="1">IF(ISERROR(B23-2),"",C23+D23-F23-G23-K23+SUM($L$14:L23))</f>
        <v>-78214.266346732198</v>
      </c>
      <c r="O23" s="3">
        <v>46077.625</v>
      </c>
      <c r="P23" s="4">
        <v>93.71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46077.625</v>
      </c>
      <c r="V23" s="3">
        <f t="shared" si="1"/>
        <v>46077.625</v>
      </c>
      <c r="W23" s="3">
        <v>46078.625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74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7">
        <f t="shared" ca="1" si="3"/>
        <v>46064.625</v>
      </c>
      <c r="B24" s="38">
        <f ca="1">IF(COUNTIF($W$2:W1009,A24)=1,VLOOKUP(A24,O:P,2), IF(COUNTIF($W$2:W1009,A24)=0,$B$9,""))</f>
        <v>93.63</v>
      </c>
      <c r="C24" s="2">
        <f t="shared" ca="1" si="4"/>
        <v>-35203.755067207967</v>
      </c>
      <c r="D24" s="41">
        <f t="shared" ca="1" si="5"/>
        <v>-33124.999999999993</v>
      </c>
      <c r="E24" s="38">
        <f ca="1">IF(COUNTIF($W$2:W1009,A24)=1,VLOOKUP(A24,Q:R,2), IF(COUNTIF($W$2:W1009,A24)=0,$C$9,""))</f>
        <v>100.73</v>
      </c>
      <c r="F24" s="2">
        <f t="shared" ca="1" si="6"/>
        <v>36400.000000000146</v>
      </c>
      <c r="G24" s="41">
        <f t="shared" ca="1" si="7"/>
        <v>-153.40000000000146</v>
      </c>
      <c r="H24" s="38">
        <f ca="1">IF(COUNTIF($W$2:W1009,A24)=1,VLOOKUP(A24,S:T,2), IF(COUNTIF($W$2:W1009,A24)=0,$D$9,""))</f>
        <v>242.79599999999999</v>
      </c>
      <c r="I24" s="39">
        <f ca="1">IF(COUNTIF($X$2:X1009,INT(A24))=1,VLOOKUP(INT(A24),X:Y,2), IF(ISERROR(H24-2),"",I23*(1-$D$8*(H24-H23)*0.0001)))</f>
        <v>264.35489999999999</v>
      </c>
      <c r="J24" s="39">
        <f t="shared" ca="1" si="8"/>
        <v>264.35489999999999</v>
      </c>
      <c r="K24" s="41">
        <f t="shared" ca="1" si="9"/>
        <v>12380.308880306389</v>
      </c>
      <c r="L24" s="41" t="str">
        <f ca="1">IF($A24="","",IF(COUNTIFS(Dividends!$G:$G,"&gt;"&amp;INT($A23),Dividends!$G:$G,"&lt;="&amp;INT($A24))=0,"",$H$2*SUMIFS(Dividends!$H:$H,Dividends!$G:$G,"&gt;"&amp;INT($A23),Dividends!$G:$G,"&lt;="&amp;INT($A24))))</f>
        <v/>
      </c>
      <c r="M24" s="42">
        <f ca="1">IF(ISERROR(B24-2),"",C24+D24-F24-G24-K24+SUM($L$14:L24))</f>
        <v>-116955.66394751451</v>
      </c>
      <c r="O24" s="3">
        <v>46078.625</v>
      </c>
      <c r="P24" s="4">
        <v>93.78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46078.625</v>
      </c>
      <c r="V24" s="3">
        <f t="shared" si="1"/>
        <v>46078.625</v>
      </c>
      <c r="W24" s="3">
        <v>46079.625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74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7">
        <f t="shared" ca="1" si="3"/>
        <v>46065.625</v>
      </c>
      <c r="B25" s="38">
        <f ca="1">IF(COUNTIF($W$2:W1010,A25)=1,VLOOKUP(A25,O:P,2), IF(COUNTIF($W$2:W1010,A25)=0,$B$9,""))</f>
        <v>93.65</v>
      </c>
      <c r="C25" s="2">
        <f t="shared" ca="1" si="4"/>
        <v>-28803.072327711066</v>
      </c>
      <c r="D25" s="41">
        <f t="shared" ca="1" si="5"/>
        <v>-35333.333333333336</v>
      </c>
      <c r="E25" s="38">
        <f ca="1">IF(COUNTIF($W$2:W1010,A25)=1,VLOOKUP(A25,Q:R,2), IF(COUNTIF($W$2:W1010,A25)=0,$C$9,""))</f>
        <v>100.751</v>
      </c>
      <c r="F25" s="2">
        <f t="shared" ca="1" si="6"/>
        <v>41860.000000000349</v>
      </c>
      <c r="G25" s="41">
        <f t="shared" ca="1" si="7"/>
        <v>-163.62666666667064</v>
      </c>
      <c r="H25" s="38">
        <f ca="1">IF(COUNTIF($W$2:W1010,A25)=1,VLOOKUP(A25,S:T,2), IF(COUNTIF($W$2:W1010,A25)=0,$D$9,""))</f>
        <v>244.61799999999999</v>
      </c>
      <c r="I25" s="39">
        <f ca="1">IF(COUNTIF($X$2:X1010,INT(A25))=1,VLOOKUP(INT(A25),X:Y,2), IF(ISERROR(H25-2),"",I24*(1-$D$8*(H25-H24)*0.0001)))</f>
        <v>264.04489999999998</v>
      </c>
      <c r="J25" s="39">
        <f t="shared" ca="1" si="8"/>
        <v>264.04489999999998</v>
      </c>
      <c r="K25" s="41">
        <f t="shared" ca="1" si="9"/>
        <v>-9563.0630630648575</v>
      </c>
      <c r="L25" s="41" t="str">
        <f ca="1">IF($A25="","",IF(COUNTIFS(Dividends!$G:$G,"&gt;"&amp;INT($A24),Dividends!$G:$G,"&lt;="&amp;INT($A25))=0,"",$H$2*SUMIFS(Dividends!$H:$H,Dividends!$G:$G,"&gt;"&amp;INT($A24),Dividends!$G:$G,"&lt;="&amp;INT($A25))))</f>
        <v/>
      </c>
      <c r="M25" s="42">
        <f ca="1">IF(ISERROR(B25-2),"",C25+D25-F25-G25-K25+SUM($L$14:L25))</f>
        <v>-96269.715931313229</v>
      </c>
      <c r="O25" s="3">
        <v>46079.625</v>
      </c>
      <c r="P25" s="4">
        <v>93.67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46079.625</v>
      </c>
      <c r="V25" s="3">
        <f t="shared" si="1"/>
        <v>46079.625</v>
      </c>
      <c r="W25" s="3">
        <v>46080.625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74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7">
        <f t="shared" ca="1" si="3"/>
        <v>46066.625</v>
      </c>
      <c r="B26" s="38">
        <f ca="1">IF(COUNTIF($W$2:W1011,A26)=1,VLOOKUP(A26,O:P,2), IF(COUNTIF($W$2:W1011,A26)=0,$B$9,""))</f>
        <v>93.55</v>
      </c>
      <c r="C26" s="2">
        <f t="shared" ca="1" si="4"/>
        <v>-60806.486025175574</v>
      </c>
      <c r="D26" s="41">
        <f t="shared" ca="1" si="5"/>
        <v>-37541.666666666664</v>
      </c>
      <c r="E26" s="38">
        <f ca="1">IF(COUNTIF($W$2:W1011,A26)=1,VLOOKUP(A26,Q:R,2), IF(COUNTIF($W$2:W1011,A26)=0,$C$9,""))</f>
        <v>100.819</v>
      </c>
      <c r="F26" s="2">
        <f t="shared" ca="1" si="6"/>
        <v>59539.999999999796</v>
      </c>
      <c r="G26" s="41">
        <f t="shared" ca="1" si="7"/>
        <v>-173.85333333333256</v>
      </c>
      <c r="H26" s="38">
        <f ca="1">IF(COUNTIF($W$2:W1011,A26)=1,VLOOKUP(A26,S:T,2), IF(COUNTIF($W$2:W1011,A26)=0,$D$9,""))</f>
        <v>247.57300000000001</v>
      </c>
      <c r="I26" s="39">
        <f ca="1">IF(COUNTIF($X$2:X1011,INT(A26))=1,VLOOKUP(INT(A26),X:Y,2), IF(ISERROR(H26-2),"",I25*(1-$D$8*(H26-H25)*0.0001)))</f>
        <v>263.8886</v>
      </c>
      <c r="J26" s="39">
        <f t="shared" ca="1" si="8"/>
        <v>263.8886</v>
      </c>
      <c r="K26" s="41">
        <f t="shared" ca="1" si="9"/>
        <v>-20626.769626771093</v>
      </c>
      <c r="L26" s="41" t="str">
        <f ca="1">IF($A26="","",IF(COUNTIFS(Dividends!$G:$G,"&gt;"&amp;INT($A25),Dividends!$G:$G,"&lt;="&amp;INT($A26))=0,"",$H$2*SUMIFS(Dividends!$H:$H,Dividends!$G:$G,"&gt;"&amp;INT($A25),Dividends!$G:$G,"&lt;="&amp;INT($A26))))</f>
        <v/>
      </c>
      <c r="M26" s="42">
        <f ca="1">IF(ISERROR(B26-2),"",C26+D26-F26-G26-K26+SUM($L$14:L26))</f>
        <v>-137087.5297317376</v>
      </c>
      <c r="O26" s="3">
        <v>46080.625</v>
      </c>
      <c r="P26" s="4">
        <v>93.58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46080.625</v>
      </c>
      <c r="V26" s="3">
        <f t="shared" si="1"/>
        <v>46080.625</v>
      </c>
      <c r="W26" s="3">
        <v>46083.625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74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7">
        <f t="shared" ca="1" si="3"/>
        <v>46069.625</v>
      </c>
      <c r="B27" s="38">
        <f ca="1">IF(COUNTIF($W$2:W1012,A27)=1,VLOOKUP(A27,O:P,2), IF(COUNTIF($W$2:W1012,A27)=0,$B$9,""))</f>
        <v>93.55</v>
      </c>
      <c r="C27" s="2">
        <f t="shared" ca="1" si="4"/>
        <v>-60806.486025175574</v>
      </c>
      <c r="D27" s="41">
        <f t="shared" ca="1" si="5"/>
        <v>-44166.666666666664</v>
      </c>
      <c r="E27" s="38">
        <f ca="1">IF(COUNTIF($W$2:W1012,A27)=1,VLOOKUP(A27,Q:R,2), IF(COUNTIF($W$2:W1012,A27)=0,$C$9,""))</f>
        <v>100.827</v>
      </c>
      <c r="F27" s="2">
        <f t="shared" ca="1" si="6"/>
        <v>61619.999999998639</v>
      </c>
      <c r="G27" s="41">
        <f t="shared" ca="1" si="7"/>
        <v>-204.53333333333285</v>
      </c>
      <c r="H27" s="38">
        <f ca="1">IF(COUNTIF($W$2:W1012,A27)=1,VLOOKUP(A27,S:T,2), IF(COUNTIF($W$2:W1012,A27)=0,$D$9,""))</f>
        <v>248.94900000000001</v>
      </c>
      <c r="I27" s="39">
        <f ca="1">IF(COUNTIF($X$2:X1012,INT(A27))=1,VLOOKUP(INT(A27),X:Y,2), IF(ISERROR(H27-2),"",I26*(1-$D$8*(H27-H26)*0.0001)))</f>
        <v>263.76089999999999</v>
      </c>
      <c r="J27" s="39">
        <f t="shared" ca="1" si="8"/>
        <v>263.76089999999999</v>
      </c>
      <c r="K27" s="41">
        <f t="shared" ca="1" si="9"/>
        <v>-29666.023166023937</v>
      </c>
      <c r="L27" s="41" t="str">
        <f ca="1">IF($A27="","",IF(COUNTIFS(Dividends!$G:$G,"&gt;"&amp;INT($A26),Dividends!$G:$G,"&lt;="&amp;INT($A27))=0,"",$H$2*SUMIFS(Dividends!$H:$H,Dividends!$G:$G,"&gt;"&amp;INT($A26),Dividends!$G:$G,"&lt;="&amp;INT($A27))))</f>
        <v/>
      </c>
      <c r="M27" s="42">
        <f ca="1">IF(ISERROR(B27-2),"",C27+D27-F27-G27-K27+SUM($L$14:L27))</f>
        <v>-136722.59619248362</v>
      </c>
      <c r="O27" s="3">
        <v>46083.625</v>
      </c>
      <c r="P27" s="4">
        <v>93.24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46083.625</v>
      </c>
      <c r="V27" s="3">
        <f t="shared" si="1"/>
        <v>46083.625</v>
      </c>
      <c r="W27" s="3">
        <v>46084.625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74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7">
        <f t="shared" ca="1" si="3"/>
        <v>46070.625</v>
      </c>
      <c r="B28" s="38">
        <f ca="1">IF(COUNTIF($W$2:W1013,A28)=1,VLOOKUP(A28,O:P,2), IF(COUNTIF($W$2:W1013,A28)=0,$B$9,""))</f>
        <v>93.48</v>
      </c>
      <c r="C28" s="2">
        <f t="shared" ca="1" si="4"/>
        <v>-83208.875613396405</v>
      </c>
      <c r="D28" s="41">
        <f t="shared" ca="1" si="5"/>
        <v>-46375</v>
      </c>
      <c r="E28" s="38">
        <f ca="1">IF(COUNTIF($W$2:W1013,A28)=1,VLOOKUP(A28,Q:R,2), IF(COUNTIF($W$2:W1013,A28)=0,$C$9,""))</f>
        <v>100.84399999999999</v>
      </c>
      <c r="F28" s="2">
        <f t="shared" ca="1" si="6"/>
        <v>66039.999999997584</v>
      </c>
      <c r="G28" s="41">
        <f t="shared" ca="1" si="7"/>
        <v>-214.76000000000204</v>
      </c>
      <c r="H28" s="38">
        <f ca="1">IF(COUNTIF($W$2:W1013,A28)=1,VLOOKUP(A28,S:T,2), IF(COUNTIF($W$2:W1013,A28)=0,$D$9,""))</f>
        <v>252.08199999999999</v>
      </c>
      <c r="I28" s="39">
        <f ca="1">IF(COUNTIF($X$2:X1013,INT(A28))=1,VLOOKUP(INT(A28),X:Y,2), IF(ISERROR(H28-2),"",I27*(1-$D$8*(H28-H27)*0.0001)))</f>
        <v>263.60289999999998</v>
      </c>
      <c r="J28" s="39">
        <f t="shared" ca="1" si="8"/>
        <v>263.60289999999998</v>
      </c>
      <c r="K28" s="41">
        <f t="shared" ca="1" si="9"/>
        <v>-40850.064350065528</v>
      </c>
      <c r="L28" s="41" t="str">
        <f ca="1">IF($A28="","",IF(COUNTIFS(Dividends!$G:$G,"&gt;"&amp;INT($A27),Dividends!$G:$G,"&lt;="&amp;INT($A28))=0,"",$H$2*SUMIFS(Dividends!$H:$H,Dividends!$G:$G,"&gt;"&amp;INT($A27),Dividends!$G:$G,"&lt;="&amp;INT($A28))))</f>
        <v/>
      </c>
      <c r="M28" s="42">
        <f ca="1">IF(ISERROR(B28-2),"",C28+D28-F28-G28-K28+SUM($L$14:L28))</f>
        <v>-154559.05126332847</v>
      </c>
      <c r="O28" s="3">
        <v>46084.625</v>
      </c>
      <c r="P28" s="4">
        <v>92.69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46084.625</v>
      </c>
      <c r="V28" s="3">
        <f t="shared" si="1"/>
        <v>46084.625</v>
      </c>
      <c r="W28" s="3">
        <v>46085.625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74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7">
        <f t="shared" ca="1" si="3"/>
        <v>46071.625</v>
      </c>
      <c r="B29" s="38">
        <f ca="1">IF(COUNTIF($W$2:W1014,A29)=1,VLOOKUP(A29,O:P,2), IF(COUNTIF($W$2:W1014,A29)=0,$B$9,""))</f>
        <v>93.67</v>
      </c>
      <c r="C29" s="2">
        <f t="shared" ca="1" si="4"/>
        <v>-22402.389588220827</v>
      </c>
      <c r="D29" s="41">
        <f t="shared" ca="1" si="5"/>
        <v>-48583.333333333328</v>
      </c>
      <c r="E29" s="38">
        <f ca="1">IF(COUNTIF($W$2:W1014,A29)=1,VLOOKUP(A29,Q:R,2), IF(COUNTIF($W$2:W1014,A29)=0,$C$9,""))</f>
        <v>100.795</v>
      </c>
      <c r="F29" s="2">
        <f t="shared" ca="1" si="6"/>
        <v>53299.999999999556</v>
      </c>
      <c r="G29" s="41">
        <f t="shared" ca="1" si="7"/>
        <v>-224.98666666667123</v>
      </c>
      <c r="H29" s="38">
        <f ca="1">IF(COUNTIF($W$2:W1014,A29)=1,VLOOKUP(A29,S:T,2), IF(COUNTIF($W$2:W1014,A29)=0,$D$9,""))</f>
        <v>245.43600000000001</v>
      </c>
      <c r="I29" s="39">
        <f ca="1">IF(COUNTIF($X$2:X1014,INT(A29))=1,VLOOKUP(INT(A29),X:Y,2), IF(ISERROR(H29-2),"",I28*(1-$D$8*(H29-H28)*0.0001)))</f>
        <v>264.26510000000002</v>
      </c>
      <c r="J29" s="39">
        <f t="shared" ca="1" si="8"/>
        <v>264.26510000000002</v>
      </c>
      <c r="K29" s="41">
        <f t="shared" ca="1" si="9"/>
        <v>6023.8095238111637</v>
      </c>
      <c r="L29" s="41" t="str">
        <f ca="1">IF($A29="","",IF(COUNTIFS(Dividends!$G:$G,"&gt;"&amp;INT($A28),Dividends!$G:$G,"&lt;="&amp;INT($A29))=0,"",$H$2*SUMIFS(Dividends!$H:$H,Dividends!$G:$G,"&gt;"&amp;INT($A28),Dividends!$G:$G,"&lt;="&amp;INT($A29))))</f>
        <v/>
      </c>
      <c r="M29" s="42">
        <f ca="1">IF(ISERROR(B29-2),"",C29+D29-F29-G29-K29+SUM($L$14:L29))</f>
        <v>-130084.5457786982</v>
      </c>
      <c r="O29" s="3">
        <v>46085.625</v>
      </c>
      <c r="P29" s="4">
        <v>93.3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46085.625</v>
      </c>
      <c r="V29" s="3">
        <f t="shared" si="1"/>
        <v>46085.625</v>
      </c>
      <c r="W29" s="3">
        <v>46087.625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74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7">
        <f t="shared" ca="1" si="3"/>
        <v>46072.625</v>
      </c>
      <c r="B30" s="38">
        <f ca="1">IF(COUNTIF($W$2:W1015,A30)=1,VLOOKUP(A30,O:P,2), IF(COUNTIF($W$2:W1015,A30)=0,$B$9,""))</f>
        <v>93.64</v>
      </c>
      <c r="C30" s="2">
        <f t="shared" ca="1" si="4"/>
        <v>-32003.413697457851</v>
      </c>
      <c r="D30" s="41">
        <f t="shared" ca="1" si="5"/>
        <v>-50791.666666666657</v>
      </c>
      <c r="E30" s="38">
        <f ca="1">IF(COUNTIF($W$2:W1015,A30)=1,VLOOKUP(A30,Q:R,2), IF(COUNTIF($W$2:W1015,A30)=0,$C$9,""))</f>
        <v>100.789</v>
      </c>
      <c r="F30" s="2">
        <f t="shared" ca="1" si="6"/>
        <v>51739.999999999491</v>
      </c>
      <c r="G30" s="41">
        <f t="shared" ca="1" si="7"/>
        <v>-235.21333333333314</v>
      </c>
      <c r="H30" s="38">
        <f ca="1">IF(COUNTIF($W$2:W1015,A30)=1,VLOOKUP(A30,S:T,2), IF(COUNTIF($W$2:W1015,A30)=0,$D$9,""))</f>
        <v>249.529</v>
      </c>
      <c r="I30" s="39">
        <f ca="1">IF(COUNTIF($X$2:X1015,INT(A30))=1,VLOOKUP(INT(A30),X:Y,2), IF(ISERROR(H30-2),"",I29*(1-$D$8*(H30-H29)*0.0001)))</f>
        <v>263.74880000000002</v>
      </c>
      <c r="J30" s="39">
        <f t="shared" ca="1" si="8"/>
        <v>263.74880000000002</v>
      </c>
      <c r="K30" s="41">
        <f t="shared" ca="1" si="9"/>
        <v>-30522.522522522089</v>
      </c>
      <c r="L30" s="41" t="str">
        <f ca="1">IF($A30="","",IF(COUNTIFS(Dividends!$G:$G,"&gt;"&amp;INT($A29),Dividends!$G:$G,"&lt;="&amp;INT($A30))=0,"",$H$2*SUMIFS(Dividends!$H:$H,Dividends!$G:$G,"&gt;"&amp;INT($A29),Dividends!$G:$G,"&lt;="&amp;INT($A30))))</f>
        <v/>
      </c>
      <c r="M30" s="42">
        <f ca="1">IF(ISERROR(B30-2),"",C30+D30-F30-G30-K30+SUM($L$14:L30))</f>
        <v>-103777.34450826856</v>
      </c>
      <c r="O30" s="3">
        <v>46087.625</v>
      </c>
      <c r="P30" s="4">
        <v>92.48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46087.625</v>
      </c>
      <c r="V30" s="3">
        <f t="shared" si="1"/>
        <v>46087.625</v>
      </c>
      <c r="W30" s="3">
        <v>46090.625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74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7">
        <f t="shared" ca="1" si="3"/>
        <v>46073.625</v>
      </c>
      <c r="B31" s="38">
        <f ca="1">IF(COUNTIF($W$2:W1016,A31)=1,VLOOKUP(A31,O:P,2), IF(COUNTIF($W$2:W1016,A31)=0,$B$9,""))</f>
        <v>93.75</v>
      </c>
      <c r="C31" s="2">
        <f t="shared" ca="1" si="4"/>
        <v>3200.341369746784</v>
      </c>
      <c r="D31" s="41">
        <f t="shared" ca="1" si="5"/>
        <v>-53000</v>
      </c>
      <c r="E31" s="38">
        <f ca="1">IF(COUNTIF($W$2:W1016,A31)=1,VLOOKUP(A31,Q:R,2), IF(COUNTIF($W$2:W1016,A31)=0,$C$9,""))</f>
        <v>100.77500000000001</v>
      </c>
      <c r="F31" s="2">
        <f t="shared" ca="1" si="6"/>
        <v>48100.000000000589</v>
      </c>
      <c r="G31" s="41">
        <f t="shared" ca="1" si="7"/>
        <v>-245.44000000000233</v>
      </c>
      <c r="H31" s="38">
        <f ca="1">IF(COUNTIF($W$2:W1016,A31)=1,VLOOKUP(A31,S:T,2), IF(COUNTIF($W$2:W1016,A31)=0,$D$9,""))</f>
        <v>246.54499999999999</v>
      </c>
      <c r="I31" s="39">
        <f ca="1">IF(COUNTIF($X$2:X1016,INT(A31))=1,VLOOKUP(INT(A31),X:Y,2), IF(ISERROR(H31-2),"",I30*(1-$D$8*(H31-H30)*0.0001)))</f>
        <v>264.06599999999997</v>
      </c>
      <c r="J31" s="39">
        <f t="shared" ca="1" si="8"/>
        <v>264.06599999999997</v>
      </c>
      <c r="K31" s="41">
        <f t="shared" ca="1" si="9"/>
        <v>-8069.4980694998367</v>
      </c>
      <c r="L31" s="41" t="str">
        <f ca="1">IF($A31="","",IF(COUNTIFS(Dividends!$G:$G,"&gt;"&amp;INT($A30),Dividends!$G:$G,"&lt;="&amp;INT($A31))=0,"",$H$2*SUMIFS(Dividends!$H:$H,Dividends!$G:$G,"&gt;"&amp;INT($A30),Dividends!$G:$G,"&lt;="&amp;INT($A31))))</f>
        <v/>
      </c>
      <c r="M31" s="42">
        <f ca="1">IF(ISERROR(B31-2),"",C31+D31-F31-G31-K31+SUM($L$14:L31))</f>
        <v>-89584.720560753965</v>
      </c>
      <c r="O31" s="3">
        <v>46090.625</v>
      </c>
      <c r="P31" s="4">
        <v>92.3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46090.625</v>
      </c>
      <c r="V31" s="3">
        <f t="shared" si="1"/>
        <v>46090.625</v>
      </c>
      <c r="W31" s="3">
        <v>46091.625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74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7">
        <f t="shared" ca="1" si="3"/>
        <v>46076.625</v>
      </c>
      <c r="B32" s="38">
        <f ca="1">IF(COUNTIF($W$2:W1017,A32)=1,VLOOKUP(A32,O:P,2), IF(COUNTIF($W$2:W1017,A32)=0,$B$9,""))</f>
        <v>93.75</v>
      </c>
      <c r="C32" s="2">
        <f t="shared" ca="1" si="4"/>
        <v>3200.341369746784</v>
      </c>
      <c r="D32" s="41">
        <f t="shared" ca="1" si="5"/>
        <v>-59624.999999999993</v>
      </c>
      <c r="E32" s="38">
        <f ca="1">IF(COUNTIF($W$2:W1017,A32)=1,VLOOKUP(A32,Q:R,2), IF(COUNTIF($W$2:W1017,A32)=0,$C$9,""))</f>
        <v>100.827</v>
      </c>
      <c r="F32" s="2">
        <f t="shared" ca="1" si="6"/>
        <v>61619.999999998639</v>
      </c>
      <c r="G32" s="41">
        <f t="shared" ca="1" si="7"/>
        <v>-276.12000000000262</v>
      </c>
      <c r="H32" s="38">
        <f ca="1">IF(COUNTIF($W$2:W1017,A32)=1,VLOOKUP(A32,S:T,2), IF(COUNTIF($W$2:W1017,A32)=0,$D$9,""))</f>
        <v>249.63800000000001</v>
      </c>
      <c r="I32" s="39">
        <f ca="1">IF(COUNTIF($X$2:X1017,INT(A32))=1,VLOOKUP(INT(A32),X:Y,2), IF(ISERROR(H32-2),"",I31*(1-$D$8*(H32-H31)*0.0001)))</f>
        <v>263.87049999999999</v>
      </c>
      <c r="J32" s="39">
        <f t="shared" ca="1" si="8"/>
        <v>263.87049999999999</v>
      </c>
      <c r="K32" s="41">
        <f t="shared" ca="1" si="9"/>
        <v>-21907.979407981184</v>
      </c>
      <c r="L32" s="41" t="str">
        <f ca="1">IF($A32="","",IF(COUNTIFS(Dividends!$G:$G,"&gt;"&amp;INT($A31),Dividends!$G:$G,"&lt;="&amp;INT($A32))=0,"",$H$2*SUMIFS(Dividends!$H:$H,Dividends!$G:$G,"&gt;"&amp;INT($A31),Dividends!$G:$G,"&lt;="&amp;INT($A32))))</f>
        <v/>
      </c>
      <c r="M32" s="42">
        <f ca="1">IF(ISERROR(B32-2),"",C32+D32-F32-G32-K32+SUM($L$14:L32))</f>
        <v>-95860.559222270676</v>
      </c>
      <c r="O32" s="3">
        <v>46091.625</v>
      </c>
      <c r="P32" s="4">
        <v>92.84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46091.625</v>
      </c>
      <c r="V32" s="3">
        <f t="shared" si="1"/>
        <v>46091.625</v>
      </c>
      <c r="W32" s="3">
        <v>46092.625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74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7">
        <f t="shared" ca="1" si="3"/>
        <v>46077.625</v>
      </c>
      <c r="B33" s="38">
        <f ca="1">IF(COUNTIF($W$2:W1018,A33)=1,VLOOKUP(A33,O:P,2), IF(COUNTIF($W$2:W1018,A33)=0,$B$9,""))</f>
        <v>93.71</v>
      </c>
      <c r="C33" s="2">
        <f t="shared" ca="1" si="4"/>
        <v>-9601.0241092370215</v>
      </c>
      <c r="D33" s="41">
        <f t="shared" ca="1" si="5"/>
        <v>-61833.333333333336</v>
      </c>
      <c r="E33" s="38">
        <f ca="1">IF(COUNTIF($W$2:W1018,A33)=1,VLOOKUP(A33,Q:R,2), IF(COUNTIF($W$2:W1018,A33)=0,$C$9,""))</f>
        <v>100.815</v>
      </c>
      <c r="F33" s="2">
        <f t="shared" ca="1" si="6"/>
        <v>58499.999999998516</v>
      </c>
      <c r="G33" s="41">
        <f t="shared" ca="1" si="7"/>
        <v>-286.34666666666453</v>
      </c>
      <c r="H33" s="38">
        <f ca="1">IF(COUNTIF($W$2:W1018,A33)=1,VLOOKUP(A33,S:T,2), IF(COUNTIF($W$2:W1018,A33)=0,$D$9,""))</f>
        <v>252.33600000000001</v>
      </c>
      <c r="I33" s="39">
        <f ca="1">IF(COUNTIF($X$2:X1018,INT(A33))=1,VLOOKUP(INT(A33),X:Y,2), IF(ISERROR(H33-2),"",I32*(1-$D$8*(H33-H32)*0.0001)))</f>
        <v>263.58609999999999</v>
      </c>
      <c r="J33" s="39">
        <f t="shared" ca="1" si="8"/>
        <v>263.58609999999999</v>
      </c>
      <c r="K33" s="41">
        <f t="shared" ca="1" si="9"/>
        <v>-42039.253539253972</v>
      </c>
      <c r="L33" s="41" t="str">
        <f ca="1">IF($A33="","",IF(COUNTIFS(Dividends!$G:$G,"&gt;"&amp;INT($A32),Dividends!$G:$G,"&lt;="&amp;INT($A33))=0,"",$H$2*SUMIFS(Dividends!$H:$H,Dividends!$G:$G,"&gt;"&amp;INT($A32),Dividends!$G:$G,"&lt;="&amp;INT($A33))))</f>
        <v/>
      </c>
      <c r="M33" s="42">
        <f ca="1">IF(ISERROR(B33-2),"",C33+D33-F33-G33-K33+SUM($L$14:L33))</f>
        <v>-87608.757236648235</v>
      </c>
      <c r="O33" s="3">
        <v>46092.625</v>
      </c>
      <c r="P33" s="4">
        <v>92.41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>
        <f t="shared" si="0"/>
        <v>46092.625</v>
      </c>
      <c r="V33" s="3">
        <f t="shared" si="1"/>
        <v>46092.625</v>
      </c>
      <c r="W33" s="3">
        <v>46093.625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74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7">
        <f t="shared" ca="1" si="3"/>
        <v>46078.625</v>
      </c>
      <c r="B34" s="38">
        <f ca="1">IF(COUNTIF($W$2:W1019,A34)=1,VLOOKUP(A34,O:P,2), IF(COUNTIF($W$2:W1019,A34)=0,$B$9,""))</f>
        <v>93.78</v>
      </c>
      <c r="C34" s="2">
        <f t="shared" ca="1" si="4"/>
        <v>12801.365478987136</v>
      </c>
      <c r="D34" s="41">
        <f t="shared" ca="1" si="5"/>
        <v>-64041.666666666672</v>
      </c>
      <c r="E34" s="38">
        <f ca="1">IF(COUNTIF($W$2:W1019,A34)=1,VLOOKUP(A34,Q:R,2), IF(COUNTIF($W$2:W1019,A34)=0,$C$9,""))</f>
        <v>100.824</v>
      </c>
      <c r="F34" s="2">
        <f t="shared" ca="1" si="6"/>
        <v>60839.999999998618</v>
      </c>
      <c r="G34" s="41">
        <f t="shared" ca="1" si="7"/>
        <v>-296.573333333341</v>
      </c>
      <c r="H34" s="38">
        <f ca="1">IF(COUNTIF($W$2:W1019,A34)=1,VLOOKUP(A34,S:T,2), IF(COUNTIF($W$2:W1019,A34)=0,$D$9,""))</f>
        <v>251.27199999999999</v>
      </c>
      <c r="I34" s="39">
        <f ca="1">IF(COUNTIF($X$2:X1019,INT(A34))=1,VLOOKUP(INT(A34),X:Y,2), IF(ISERROR(H34-2),"",I33*(1-$D$8*(H34-H33)*0.0001)))</f>
        <v>263.79109999999997</v>
      </c>
      <c r="J34" s="39">
        <f t="shared" ca="1" si="8"/>
        <v>263.79109999999997</v>
      </c>
      <c r="K34" s="41">
        <f t="shared" ca="1" si="9"/>
        <v>-27528.314028315694</v>
      </c>
      <c r="L34" s="41" t="str">
        <f ca="1">IF($A34="","",IF(COUNTIFS(Dividends!$G:$G,"&gt;"&amp;INT($A33),Dividends!$G:$G,"&lt;="&amp;INT($A34))=0,"",$H$2*SUMIFS(Dividends!$H:$H,Dividends!$G:$G,"&gt;"&amp;INT($A33),Dividends!$G:$G,"&lt;="&amp;INT($A34))))</f>
        <v/>
      </c>
      <c r="M34" s="42">
        <f ca="1">IF(ISERROR(B34-2),"",C34+D34-F34-G34-K34+SUM($L$14:L34))</f>
        <v>-84255.413826029122</v>
      </c>
      <c r="O34" s="3">
        <v>46093.625</v>
      </c>
      <c r="P34" s="4">
        <v>92.08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46093.625</v>
      </c>
      <c r="V34" s="3">
        <f t="shared" si="1"/>
        <v>46093.625</v>
      </c>
      <c r="W34" s="3">
        <v>46094.625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74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7">
        <f t="shared" ca="1" si="3"/>
        <v>46079.625</v>
      </c>
      <c r="B35" s="38">
        <f ca="1">IF(COUNTIF($W$2:W1020,A35)=1,VLOOKUP(A35,O:P,2), IF(COUNTIF($W$2:W1020,A35)=0,$B$9,""))</f>
        <v>93.67</v>
      </c>
      <c r="C35" s="2">
        <f t="shared" ca="1" si="4"/>
        <v>-22402.389588220827</v>
      </c>
      <c r="D35" s="41">
        <f t="shared" ca="1" si="5"/>
        <v>-66249.999999999985</v>
      </c>
      <c r="E35" s="38">
        <f ca="1">IF(COUNTIF($W$2:W1020,A35)=1,VLOOKUP(A35,Q:R,2), IF(COUNTIF($W$2:W1020,A35)=0,$C$9,""))</f>
        <v>100.834</v>
      </c>
      <c r="F35" s="2">
        <f t="shared" ca="1" si="6"/>
        <v>63439.999999999942</v>
      </c>
      <c r="G35" s="41">
        <f t="shared" ca="1" si="7"/>
        <v>-306.80000000000291</v>
      </c>
      <c r="H35" s="38">
        <f ca="1">IF(COUNTIF($W$2:W1020,A35)=1,VLOOKUP(A35,S:T,2), IF(COUNTIF($W$2:W1020,A35)=0,$D$9,""))</f>
        <v>252.99199999999999</v>
      </c>
      <c r="I35" s="39">
        <f ca="1">IF(COUNTIF($X$2:X1020,INT(A35))=1,VLOOKUP(INT(A35),X:Y,2), IF(ISERROR(H35-2),"",I34*(1-$D$8*(H35-H34)*0.0001)))</f>
        <v>263.42880000000002</v>
      </c>
      <c r="J35" s="39">
        <f t="shared" ca="1" si="8"/>
        <v>263.42880000000002</v>
      </c>
      <c r="K35" s="41">
        <f t="shared" ca="1" si="9"/>
        <v>-53173.745173744494</v>
      </c>
      <c r="L35" s="41" t="str">
        <f ca="1">IF($A35="","",IF(COUNTIFS(Dividends!$G:$G,"&gt;"&amp;INT($A34),Dividends!$G:$G,"&lt;="&amp;INT($A35))=0,"",$H$2*SUMIFS(Dividends!$H:$H,Dividends!$G:$G,"&gt;"&amp;INT($A34),Dividends!$G:$G,"&lt;="&amp;INT($A35))))</f>
        <v/>
      </c>
      <c r="M35" s="42">
        <f ca="1">IF(ISERROR(B35-2),"",C35+D35-F35-G35-K35+SUM($L$14:L35))</f>
        <v>-98611.844414476262</v>
      </c>
      <c r="O35" s="3">
        <v>46094.625</v>
      </c>
      <c r="P35" s="4">
        <v>91.86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46094.625</v>
      </c>
      <c r="V35" s="3">
        <f t="shared" si="1"/>
        <v>46094.625</v>
      </c>
      <c r="W35" s="3">
        <v>46097.625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74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7">
        <f t="shared" ca="1" si="3"/>
        <v>46080.625</v>
      </c>
      <c r="B36" s="38">
        <f ca="1">IF(COUNTIF($W$2:W1021,A36)=1,VLOOKUP(A36,O:P,2), IF(COUNTIF($W$2:W1021,A36)=0,$B$9,""))</f>
        <v>93.58</v>
      </c>
      <c r="C36" s="2">
        <f t="shared" ca="1" si="4"/>
        <v>-51205.461915935222</v>
      </c>
      <c r="D36" s="41">
        <f t="shared" ca="1" si="5"/>
        <v>-68458.333333333328</v>
      </c>
      <c r="E36" s="38">
        <f ca="1">IF(COUNTIF($W$2:W1021,A36)=1,VLOOKUP(A36,Q:R,2), IF(COUNTIF($W$2:W1021,A36)=0,$C$9,""))</f>
        <v>100.923</v>
      </c>
      <c r="F36" s="2">
        <f t="shared" ca="1" si="6"/>
        <v>86579.999999999578</v>
      </c>
      <c r="G36" s="41">
        <f t="shared" ca="1" si="7"/>
        <v>-317.02666666666482</v>
      </c>
      <c r="H36" s="38">
        <f ca="1">IF(COUNTIF($W$2:W1021,A36)=1,VLOOKUP(A36,S:T,2), IF(COUNTIF($W$2:W1021,A36)=0,$D$9,""))</f>
        <v>260.255</v>
      </c>
      <c r="I36" s="39">
        <f ca="1">IF(COUNTIF($X$2:X1021,INT(A36))=1,VLOOKUP(INT(A36),X:Y,2), IF(ISERROR(H36-2),"",I35*(1-$D$8*(H36-H35)*0.0001)))</f>
        <v>262.72750000000002</v>
      </c>
      <c r="J36" s="39">
        <f t="shared" ca="1" si="8"/>
        <v>262.72750000000002</v>
      </c>
      <c r="K36" s="41">
        <f t="shared" ca="1" si="9"/>
        <v>-102815.31531531371</v>
      </c>
      <c r="L36" s="41" t="str">
        <f ca="1">IF($A36="","",IF(COUNTIFS(Dividends!$G:$G,"&gt;"&amp;INT($A35),Dividends!$G:$G,"&lt;="&amp;INT($A36))=0,"",$H$2*SUMIFS(Dividends!$H:$H,Dividends!$G:$G,"&gt;"&amp;INT($A35),Dividends!$G:$G,"&lt;="&amp;INT($A36))))</f>
        <v/>
      </c>
      <c r="M36" s="42">
        <f ca="1">IF(ISERROR(B36-2),"",C36+D36-F36-G36-K36+SUM($L$14:L36))</f>
        <v>-103111.45326728774</v>
      </c>
      <c r="O36" s="3">
        <v>46097.625</v>
      </c>
      <c r="P36" s="4">
        <v>91.95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46097.625</v>
      </c>
      <c r="V36" s="3">
        <f t="shared" si="1"/>
        <v>46097.625</v>
      </c>
      <c r="W36" s="3">
        <v>46098.625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74">
        <v>45827</v>
      </c>
      <c r="AC36" s="4">
        <v>313.43900000000002</v>
      </c>
      <c r="AD36" s="6">
        <f t="shared" si="2"/>
        <v>45827</v>
      </c>
    </row>
    <row r="37" spans="1:30" x14ac:dyDescent="0.25">
      <c r="A37" s="37">
        <f t="shared" ca="1" si="3"/>
        <v>46083.625</v>
      </c>
      <c r="B37" s="38">
        <f ca="1">IF(COUNTIF($W$2:W1022,A37)=1,VLOOKUP(A37,O:P,2), IF(COUNTIF($W$2:W1022,A37)=0,$B$9,""))</f>
        <v>93.24</v>
      </c>
      <c r="C37" s="2">
        <f t="shared" ca="1" si="4"/>
        <v>-160017.06848730589</v>
      </c>
      <c r="D37" s="41">
        <f t="shared" ca="1" si="5"/>
        <v>-75083.333333333328</v>
      </c>
      <c r="E37" s="38">
        <f ca="1">IF(COUNTIF($W$2:W1022,A37)=1,VLOOKUP(A37,Q:R,2), IF(COUNTIF($W$2:W1022,A37)=0,$C$9,""))</f>
        <v>100.748</v>
      </c>
      <c r="F37" s="2">
        <f t="shared" ca="1" si="6"/>
        <v>41080.000000000327</v>
      </c>
      <c r="G37" s="41">
        <f t="shared" ca="1" si="7"/>
        <v>-347.70666666666511</v>
      </c>
      <c r="H37" s="38">
        <f ca="1">IF(COUNTIF($W$2:W1022,A37)=1,VLOOKUP(A37,S:T,2), IF(COUNTIF($W$2:W1022,A37)=0,$D$9,""))</f>
        <v>267.18200000000002</v>
      </c>
      <c r="I37" s="39">
        <f ca="1">IF(COUNTIF($X$2:X1022,INT(A37))=1,VLOOKUP(INT(A37),X:Y,2), IF(ISERROR(H37-2),"",I36*(1-$D$8*(H37-H36)*0.0001)))</f>
        <v>262.18009999999998</v>
      </c>
      <c r="J37" s="39">
        <f t="shared" ca="1" si="8"/>
        <v>262.18009999999998</v>
      </c>
      <c r="K37" s="41">
        <f t="shared" ca="1" si="9"/>
        <v>-141563.06306306523</v>
      </c>
      <c r="L37" s="41" t="str">
        <f ca="1">IF($A37="","",IF(COUNTIFS(Dividends!$G:$G,"&gt;"&amp;INT($A36),Dividends!$G:$G,"&lt;="&amp;INT($A37))=0,"",$H$2*SUMIFS(Dividends!$H:$H,Dividends!$G:$G,"&gt;"&amp;INT($A36),Dividends!$G:$G,"&lt;="&amp;INT($A37))))</f>
        <v/>
      </c>
      <c r="M37" s="42">
        <f ca="1">IF(ISERROR(B37-2),"",C37+D37-F37-G37-K37+SUM($L$14:L37))</f>
        <v>-134269.63209090766</v>
      </c>
      <c r="O37" s="3">
        <v>46098.625</v>
      </c>
      <c r="P37" s="4">
        <v>92.21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46098.625</v>
      </c>
      <c r="V37" s="3">
        <f t="shared" si="1"/>
        <v>46098.625</v>
      </c>
      <c r="W37" s="3">
        <v>46099.625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74">
        <v>45828</v>
      </c>
      <c r="AC37" s="4">
        <v>304.02</v>
      </c>
      <c r="AD37" s="6">
        <f t="shared" si="2"/>
        <v>45828</v>
      </c>
    </row>
    <row r="38" spans="1:30" x14ac:dyDescent="0.25">
      <c r="A38" s="37">
        <f t="shared" ca="1" si="3"/>
        <v>46084.625</v>
      </c>
      <c r="B38" s="38">
        <f ca="1">IF(COUNTIF($W$2:W1023,A38)=1,VLOOKUP(A38,O:P,2), IF(COUNTIF($W$2:W1023,A38)=0,$B$9,""))</f>
        <v>92.69</v>
      </c>
      <c r="C38" s="2">
        <f t="shared" ca="1" si="4"/>
        <v>-336035.84382333909</v>
      </c>
      <c r="D38" s="41">
        <f t="shared" ca="1" si="5"/>
        <v>-77291.666666666672</v>
      </c>
      <c r="E38" s="38">
        <f ca="1">IF(COUNTIF($W$2:W1023,A38)=1,VLOOKUP(A38,Q:R,2), IF(COUNTIF($W$2:W1023,A38)=0,$C$9,""))</f>
        <v>100.50700000000001</v>
      </c>
      <c r="F38" s="2">
        <f t="shared" ca="1" si="6"/>
        <v>-21579.999999999585</v>
      </c>
      <c r="G38" s="41">
        <f t="shared" ca="1" si="7"/>
        <v>-357.9333333333343</v>
      </c>
      <c r="H38" s="38">
        <f ca="1">IF(COUNTIF($W$2:W1023,A38)=1,VLOOKUP(A38,S:T,2), IF(COUNTIF($W$2:W1023,A38)=0,$D$9,""))</f>
        <v>279.875</v>
      </c>
      <c r="I38" s="39">
        <f ca="1">IF(COUNTIF($X$2:X1023,INT(A38))=1,VLOOKUP(INT(A38),X:Y,2), IF(ISERROR(H38-2),"",I37*(1-$D$8*(H38-H37)*0.0001)))</f>
        <v>260.81470000000002</v>
      </c>
      <c r="J38" s="39">
        <f t="shared" ca="1" si="8"/>
        <v>260.81470000000002</v>
      </c>
      <c r="K38" s="41">
        <f t="shared" ca="1" si="9"/>
        <v>-238212.99871299713</v>
      </c>
      <c r="L38" s="41" t="str">
        <f ca="1">IF($A38="","",IF(COUNTIFS(Dividends!$G:$G,"&gt;"&amp;INT($A37),Dividends!$G:$G,"&lt;="&amp;INT($A38))=0,"",$H$2*SUMIFS(Dividends!$H:$H,Dividends!$G:$G,"&gt;"&amp;INT($A37),Dividends!$G:$G,"&lt;="&amp;INT($A38))))</f>
        <v/>
      </c>
      <c r="M38" s="42">
        <f ca="1">IF(ISERROR(B38-2),"",C38+D38-F38-G38-K38+SUM($L$14:L38))</f>
        <v>-153176.57844367571</v>
      </c>
      <c r="O38" s="3">
        <v>46099.625</v>
      </c>
      <c r="P38" s="4">
        <v>92.17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46099.625</v>
      </c>
      <c r="V38" s="3">
        <f t="shared" si="1"/>
        <v>46099.625</v>
      </c>
      <c r="W38" s="3">
        <v>46100.625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74">
        <v>45831</v>
      </c>
      <c r="AC38" s="4">
        <v>307.142</v>
      </c>
      <c r="AD38" s="6">
        <f t="shared" si="2"/>
        <v>45831</v>
      </c>
    </row>
    <row r="39" spans="1:30" x14ac:dyDescent="0.25">
      <c r="A39" s="37">
        <f t="shared" ca="1" si="3"/>
        <v>46085.625</v>
      </c>
      <c r="B39" s="38">
        <f ca="1">IF(COUNTIF($W$2:W1024,A39)=1,VLOOKUP(A39,O:P,2), IF(COUNTIF($W$2:W1024,A39)=0,$B$9,""))</f>
        <v>93.3</v>
      </c>
      <c r="C39" s="2">
        <f t="shared" ca="1" si="4"/>
        <v>-140815.02026882852</v>
      </c>
      <c r="D39" s="41">
        <f t="shared" ca="1" si="5"/>
        <v>-79500</v>
      </c>
      <c r="E39" s="38">
        <f ca="1">IF(COUNTIF($W$2:W1024,A39)=1,VLOOKUP(A39,Q:R,2), IF(COUNTIF($W$2:W1024,A39)=0,$C$9,""))</f>
        <v>100.57899999999999</v>
      </c>
      <c r="F39" s="2">
        <f t="shared" ca="1" si="6"/>
        <v>-2860.0000000025716</v>
      </c>
      <c r="G39" s="41">
        <f t="shared" ca="1" si="7"/>
        <v>-368.16000000000349</v>
      </c>
      <c r="H39" s="38">
        <f ca="1">IF(COUNTIF($W$2:W1024,A39)=1,VLOOKUP(A39,S:T,2), IF(COUNTIF($W$2:W1024,A39)=0,$D$9,""))</f>
        <v>265.24</v>
      </c>
      <c r="I39" s="39">
        <f ca="1">IF(COUNTIF($X$2:X1024,INT(A39))=1,VLOOKUP(INT(A39),X:Y,2), IF(ISERROR(H39-2),"",I38*(1-$D$8*(H39-H38)*0.0001)))</f>
        <v>262.13139999999999</v>
      </c>
      <c r="J39" s="39">
        <f t="shared" ca="1" si="8"/>
        <v>262.13139999999999</v>
      </c>
      <c r="K39" s="41">
        <f t="shared" ca="1" si="9"/>
        <v>-145010.29601029726</v>
      </c>
      <c r="L39" s="41" t="str">
        <f ca="1">IF($A39="","",IF(COUNTIFS(Dividends!$G:$G,"&gt;"&amp;INT($A38),Dividends!$G:$G,"&lt;="&amp;INT($A39))=0,"",$H$2*SUMIFS(Dividends!$H:$H,Dividends!$G:$G,"&gt;"&amp;INT($A38),Dividends!$G:$G,"&lt;="&amp;INT($A39))))</f>
        <v/>
      </c>
      <c r="M39" s="42">
        <f ca="1">IF(ISERROR(B39-2),"",C39+D39-F39-G39-K39+SUM($L$14:L39))</f>
        <v>-72076.564258528699</v>
      </c>
      <c r="O39" s="3">
        <v>46100.625</v>
      </c>
      <c r="P39" s="4">
        <v>89.42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46100.625</v>
      </c>
      <c r="V39" s="3">
        <f t="shared" si="1"/>
        <v>46100.625</v>
      </c>
      <c r="W39" s="3">
        <v>46101.625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74">
        <v>45832</v>
      </c>
      <c r="AC39" s="4">
        <v>291.75099999999998</v>
      </c>
      <c r="AD39" s="6">
        <f t="shared" si="2"/>
        <v>45832</v>
      </c>
    </row>
    <row r="40" spans="1:30" x14ac:dyDescent="0.25">
      <c r="A40" s="37">
        <f t="shared" ca="1" si="3"/>
        <v>46087.625</v>
      </c>
      <c r="B40" s="38">
        <f ca="1">IF(COUNTIF($W$2:W1025,A40)=1,VLOOKUP(A40,O:P,2), IF(COUNTIF($W$2:W1025,A40)=0,$B$9,""))</f>
        <v>92.48</v>
      </c>
      <c r="C40" s="2">
        <f t="shared" ca="1" si="4"/>
        <v>-403243.01258800487</v>
      </c>
      <c r="D40" s="41">
        <f t="shared" ca="1" si="5"/>
        <v>-83916.666666666672</v>
      </c>
      <c r="E40" s="38">
        <f ca="1">IF(COUNTIF($W$2:W1025,A40)=1,VLOOKUP(A40,Q:R,2), IF(COUNTIF($W$2:W1025,A40)=0,$C$9,""))</f>
        <v>100.179</v>
      </c>
      <c r="F40" s="2">
        <f t="shared" ca="1" si="6"/>
        <v>-106860.00000000036</v>
      </c>
      <c r="G40" s="41">
        <f t="shared" ca="1" si="7"/>
        <v>-388.61333333332732</v>
      </c>
      <c r="H40" s="38">
        <f ca="1">IF(COUNTIF($W$2:W1025,A40)=1,VLOOKUP(A40,S:T,2), IF(COUNTIF($W$2:W1025,A40)=0,$D$9,""))</f>
        <v>288.95600000000002</v>
      </c>
      <c r="I40" s="39">
        <f ca="1">IF(COUNTIF($X$2:X1025,INT(A40))=1,VLOOKUP(INT(A40),X:Y,2), IF(ISERROR(H40-2),"",I39*(1-$D$8*(H40-H39)*0.0001)))</f>
        <v>259.30169999999998</v>
      </c>
      <c r="J40" s="39">
        <f t="shared" ca="1" si="8"/>
        <v>259.30169999999998</v>
      </c>
      <c r="K40" s="41">
        <f t="shared" ca="1" si="9"/>
        <v>-345310.81081081199</v>
      </c>
      <c r="L40" s="41" t="str">
        <f ca="1">IF($A40="","",IF(COUNTIFS(Dividends!$G:$G,"&gt;"&amp;INT($A39),Dividends!$G:$G,"&lt;="&amp;INT($A40))=0,"",$H$2*SUMIFS(Dividends!$H:$H,Dividends!$G:$G,"&gt;"&amp;INT($A39),Dividends!$G:$G,"&lt;="&amp;INT($A40))))</f>
        <v/>
      </c>
      <c r="M40" s="42">
        <f ca="1">IF(ISERROR(B40-2),"",C40+D40-F40-G40-K40+SUM($L$14:L40))</f>
        <v>-34600.255110525875</v>
      </c>
      <c r="O40" s="3">
        <v>46101.625</v>
      </c>
      <c r="P40" s="4">
        <v>89.08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46101.625</v>
      </c>
      <c r="V40" s="3">
        <f t="shared" si="1"/>
        <v>46101.625</v>
      </c>
      <c r="W40" s="3">
        <v>46104.625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74">
        <v>45833</v>
      </c>
      <c r="AC40" s="4">
        <v>292.76</v>
      </c>
      <c r="AD40" s="6">
        <f t="shared" si="2"/>
        <v>45833</v>
      </c>
    </row>
    <row r="41" spans="1:30" x14ac:dyDescent="0.25">
      <c r="A41" s="37">
        <f t="shared" ca="1" si="3"/>
        <v>46090.625</v>
      </c>
      <c r="B41" s="38">
        <f ca="1">IF(COUNTIF($W$2:W1026,A41)=1,VLOOKUP(A41,O:P,2), IF(COUNTIF($W$2:W1026,A41)=0,$B$9,""))</f>
        <v>92.3</v>
      </c>
      <c r="C41" s="2">
        <f t="shared" ca="1" si="4"/>
        <v>-460849.15724343702</v>
      </c>
      <c r="D41" s="41">
        <f t="shared" ca="1" si="5"/>
        <v>-90541.666666666672</v>
      </c>
      <c r="E41" s="38">
        <f ca="1">IF(COUNTIF($W$2:W1026,A41)=1,VLOOKUP(A41,Q:R,2), IF(COUNTIF($W$2:W1026,A41)=0,$C$9,""))</f>
        <v>100.143</v>
      </c>
      <c r="F41" s="2">
        <f t="shared" ca="1" si="6"/>
        <v>-116220.0000000007</v>
      </c>
      <c r="G41" s="41">
        <f t="shared" ca="1" si="7"/>
        <v>-419.29333333333489</v>
      </c>
      <c r="H41" s="38">
        <f ca="1">IF(COUNTIF($W$2:W1026,A41)=1,VLOOKUP(A41,S:T,2), IF(COUNTIF($W$2:W1026,A41)=0,$D$9,""))</f>
        <v>293.44200000000001</v>
      </c>
      <c r="I41" s="39">
        <f ca="1">IF(COUNTIF($X$2:X1026,INT(A41))=1,VLOOKUP(INT(A41),X:Y,2), IF(ISERROR(H41-2),"",I40*(1-$D$8*(H41-H40)*0.0001)))</f>
        <v>259.07319999999999</v>
      </c>
      <c r="J41" s="39">
        <f t="shared" ca="1" si="8"/>
        <v>259.07319999999999</v>
      </c>
      <c r="K41" s="41">
        <f t="shared" ca="1" si="9"/>
        <v>-361485.19948520174</v>
      </c>
      <c r="L41" s="41" t="str">
        <f ca="1">IF($A41="","",IF(COUNTIFS(Dividends!$G:$G,"&gt;"&amp;INT($A40),Dividends!$G:$G,"&lt;="&amp;INT($A41))=0,"",$H$2*SUMIFS(Dividends!$H:$H,Dividends!$G:$G,"&gt;"&amp;INT($A40),Dividends!$G:$G,"&lt;="&amp;INT($A41))))</f>
        <v/>
      </c>
      <c r="M41" s="42">
        <f ca="1">IF(ISERROR(B41-2),"",C41+D41-F41-G41-K41+SUM($L$14:L41))</f>
        <v>-73266.331091567874</v>
      </c>
      <c r="O41" s="3">
        <v>46104.625</v>
      </c>
      <c r="P41" s="4">
        <v>89.33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46104.625</v>
      </c>
      <c r="V41" s="3">
        <f t="shared" si="1"/>
        <v>46104.625</v>
      </c>
      <c r="W41" s="3">
        <v>46105.625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74">
        <v>45834</v>
      </c>
      <c r="AC41" s="4">
        <v>290.53100000000001</v>
      </c>
      <c r="AD41" s="6">
        <f t="shared" si="2"/>
        <v>45834</v>
      </c>
    </row>
    <row r="42" spans="1:30" x14ac:dyDescent="0.25">
      <c r="A42" s="37">
        <f t="shared" ca="1" si="3"/>
        <v>46091.625</v>
      </c>
      <c r="B42" s="38">
        <f ca="1">IF(COUNTIF($W$2:W1027,A42)=1,VLOOKUP(A42,O:P,2), IF(COUNTIF($W$2:W1027,A42)=0,$B$9,""))</f>
        <v>92.84</v>
      </c>
      <c r="C42" s="2">
        <f t="shared" ca="1" si="4"/>
        <v>-288030.72327714728</v>
      </c>
      <c r="D42" s="41">
        <f t="shared" ca="1" si="5"/>
        <v>-92750</v>
      </c>
      <c r="E42" s="38">
        <f ca="1">IF(COUNTIF($W$2:W1027,A42)=1,VLOOKUP(A42,Q:R,2), IF(COUNTIF($W$2:W1027,A42)=0,$C$9,""))</f>
        <v>100.342</v>
      </c>
      <c r="F42" s="2">
        <f t="shared" ca="1" si="6"/>
        <v>-64480.000000001208</v>
      </c>
      <c r="G42" s="41">
        <f t="shared" ca="1" si="7"/>
        <v>-429.52000000000407</v>
      </c>
      <c r="H42" s="38">
        <f ca="1">IF(COUNTIF($W$2:W1027,A42)=1,VLOOKUP(A42,S:T,2), IF(COUNTIF($W$2:W1027,A42)=0,$D$9,""))</f>
        <v>273.53199999999998</v>
      </c>
      <c r="I42" s="39">
        <f ca="1">IF(COUNTIF($X$2:X1027,INT(A42))=1,VLOOKUP(INT(A42),X:Y,2), IF(ISERROR(H42-2),"",I41*(1-$D$8*(H42-H41)*0.0001)))</f>
        <v>261.08800000000002</v>
      </c>
      <c r="J42" s="39">
        <f t="shared" ca="1" si="8"/>
        <v>261.08800000000002</v>
      </c>
      <c r="K42" s="41">
        <f t="shared" ca="1" si="9"/>
        <v>-218867.43886743821</v>
      </c>
      <c r="L42" s="41" t="str">
        <f ca="1">IF($A42="","",IF(COUNTIFS(Dividends!$G:$G,"&gt;"&amp;INT($A41),Dividends!$G:$G,"&lt;="&amp;INT($A42))=0,"",$H$2*SUMIFS(Dividends!$H:$H,Dividends!$G:$G,"&gt;"&amp;INT($A41),Dividends!$G:$G,"&lt;="&amp;INT($A42))))</f>
        <v/>
      </c>
      <c r="M42" s="42">
        <f ca="1">IF(ISERROR(B42-2),"",C42+D42-F42-G42-K42+SUM($L$14:L42))</f>
        <v>-97003.76440970783</v>
      </c>
      <c r="O42" s="3">
        <v>46105.625</v>
      </c>
      <c r="P42" s="4">
        <v>89.26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46105.625</v>
      </c>
      <c r="V42" s="3">
        <f t="shared" si="1"/>
        <v>46105.625</v>
      </c>
      <c r="W42" s="3">
        <v>46106.625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74">
        <v>45835</v>
      </c>
      <c r="AC42" s="4">
        <v>284.21499999999997</v>
      </c>
      <c r="AD42" s="6">
        <f t="shared" si="2"/>
        <v>45835</v>
      </c>
    </row>
    <row r="43" spans="1:30" x14ac:dyDescent="0.25">
      <c r="A43" s="37">
        <f t="shared" ca="1" si="3"/>
        <v>46092.625</v>
      </c>
      <c r="B43" s="38">
        <f ca="1">IF(COUNTIF($W$2:W1028,A43)=1,VLOOKUP(A43,O:P,2), IF(COUNTIF($W$2:W1028,A43)=0,$B$9,""))</f>
        <v>92.41</v>
      </c>
      <c r="C43" s="2">
        <f t="shared" ca="1" si="4"/>
        <v>-425645.40217623237</v>
      </c>
      <c r="D43" s="41">
        <f t="shared" ca="1" si="5"/>
        <v>-94958.333333333328</v>
      </c>
      <c r="E43" s="38">
        <f ca="1">IF(COUNTIF($W$2:W1028,A43)=1,VLOOKUP(A43,Q:R,2), IF(COUNTIF($W$2:W1028,A43)=0,$C$9,""))</f>
        <v>99.995000000000005</v>
      </c>
      <c r="F43" s="2">
        <f t="shared" ca="1" si="6"/>
        <v>-154699.99999999971</v>
      </c>
      <c r="G43" s="41">
        <f t="shared" ca="1" si="7"/>
        <v>-439.74666666667326</v>
      </c>
      <c r="H43" s="38">
        <f ca="1">IF(COUNTIF($W$2:W1028,A43)=1,VLOOKUP(A43,S:T,2), IF(COUNTIF($W$2:W1028,A43)=0,$D$9,""))</f>
        <v>289.27199999999999</v>
      </c>
      <c r="I43" s="39">
        <f ca="1">IF(COUNTIF($X$2:X1028,INT(A43))=1,VLOOKUP(INT(A43),X:Y,2), IF(ISERROR(H43-2),"",I42*(1-$D$8*(H43-H42)*0.0001)))</f>
        <v>259.59120000000001</v>
      </c>
      <c r="J43" s="39">
        <f t="shared" ca="1" si="8"/>
        <v>259.59120000000001</v>
      </c>
      <c r="K43" s="41">
        <f t="shared" ca="1" si="9"/>
        <v>-324818.53281853313</v>
      </c>
      <c r="L43" s="41" t="str">
        <f ca="1">IF($A43="","",IF(COUNTIFS(Dividends!$G:$G,"&gt;"&amp;INT($A42),Dividends!$G:$G,"&lt;="&amp;INT($A43))=0,"",$H$2*SUMIFS(Dividends!$H:$H,Dividends!$G:$G,"&gt;"&amp;INT($A42),Dividends!$G:$G,"&lt;="&amp;INT($A43))))</f>
        <v/>
      </c>
      <c r="M43" s="42">
        <f ca="1">IF(ISERROR(B43-2),"",C43+D43-F43-G43-K43+SUM($L$14:L43))</f>
        <v>-40645.456024366198</v>
      </c>
      <c r="O43" s="3">
        <v>46106.625</v>
      </c>
      <c r="P43" s="4">
        <v>89.54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46106.625</v>
      </c>
      <c r="V43" s="3">
        <f t="shared" si="1"/>
        <v>46106.625</v>
      </c>
      <c r="W43" s="3">
        <v>46107.625</v>
      </c>
      <c r="X43" s="3">
        <v>46099</v>
      </c>
      <c r="Y43" s="5">
        <v>258.3931</v>
      </c>
      <c r="Z43" s="3">
        <v>45838</v>
      </c>
      <c r="AA43" s="4">
        <v>239.3235</v>
      </c>
      <c r="AB43" s="74">
        <v>45838</v>
      </c>
      <c r="AC43" s="4">
        <v>282.54000000000002</v>
      </c>
      <c r="AD43" s="6">
        <f t="shared" si="2"/>
        <v>45838</v>
      </c>
    </row>
    <row r="44" spans="1:30" x14ac:dyDescent="0.25">
      <c r="A44" s="37">
        <f t="shared" ca="1" si="3"/>
        <v>46093.625</v>
      </c>
      <c r="B44" s="38">
        <f ca="1">IF(COUNTIF($W$2:W1029,A44)=1,VLOOKUP(A44,O:P,2), IF(COUNTIF($W$2:W1029,A44)=0,$B$9,""))</f>
        <v>92.08</v>
      </c>
      <c r="C44" s="2">
        <f t="shared" ca="1" si="4"/>
        <v>-531256.66737785295</v>
      </c>
      <c r="D44" s="41">
        <f t="shared" ca="1" si="5"/>
        <v>-97166.666666666657</v>
      </c>
      <c r="E44" s="38">
        <f ca="1">IF(COUNTIF($W$2:W1029,A44)=1,VLOOKUP(A44,Q:R,2), IF(COUNTIF($W$2:W1029,A44)=0,$C$9,""))</f>
        <v>99.95</v>
      </c>
      <c r="F44" s="2">
        <f t="shared" ca="1" si="6"/>
        <v>-166400.00000000015</v>
      </c>
      <c r="G44" s="41">
        <f t="shared" ca="1" si="7"/>
        <v>-449.97333333334245</v>
      </c>
      <c r="H44" s="38">
        <f ca="1">IF(COUNTIF($W$2:W1029,A44)=1,VLOOKUP(A44,S:T,2), IF(COUNTIF($W$2:W1029,A44)=0,$D$9,""))</f>
        <v>296.22500000000002</v>
      </c>
      <c r="I44" s="39">
        <f ca="1">IF(COUNTIF($X$2:X1029,INT(A44))=1,VLOOKUP(INT(A44),X:Y,2), IF(ISERROR(H44-2),"",I43*(1-$D$8*(H44-H43)*0.0001)))</f>
        <v>258.51130000000001</v>
      </c>
      <c r="J44" s="39">
        <f t="shared" ca="1" si="8"/>
        <v>258.51130000000001</v>
      </c>
      <c r="K44" s="41">
        <f t="shared" ca="1" si="9"/>
        <v>-401259.33075933158</v>
      </c>
      <c r="L44" s="41" t="str">
        <f ca="1">IF($A44="","",IF(COUNTIFS(Dividends!$G:$G,"&gt;"&amp;INT($A43),Dividends!$G:$G,"&lt;="&amp;INT($A44))=0,"",$H$2*SUMIFS(Dividends!$H:$H,Dividends!$G:$G,"&gt;"&amp;INT($A43),Dividends!$G:$G,"&lt;="&amp;INT($A44))))</f>
        <v/>
      </c>
      <c r="M44" s="42">
        <f ca="1">IF(ISERROR(B44-2),"",C44+D44-F44-G44-K44+SUM($L$14:L44))</f>
        <v>-60314.029951854551</v>
      </c>
      <c r="O44" s="3">
        <v>46107.625</v>
      </c>
      <c r="P44" s="4">
        <v>89.29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>
        <f t="shared" si="0"/>
        <v>46107.625</v>
      </c>
      <c r="V44" s="3">
        <f t="shared" si="1"/>
        <v>46107.625</v>
      </c>
      <c r="W44" s="3">
        <v>46108.625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74">
        <v>45839</v>
      </c>
      <c r="AC44" s="4">
        <v>282.95999999999998</v>
      </c>
      <c r="AD44" s="6">
        <f t="shared" si="2"/>
        <v>45839</v>
      </c>
    </row>
    <row r="45" spans="1:30" x14ac:dyDescent="0.25">
      <c r="A45" s="37">
        <f t="shared" ca="1" si="3"/>
        <v>46094.625</v>
      </c>
      <c r="B45" s="38">
        <f ca="1">IF(COUNTIF($W$2:W1030,A45)=1,VLOOKUP(A45,O:P,2), IF(COUNTIF($W$2:W1030,A45)=0,$B$9,""))</f>
        <v>91.86</v>
      </c>
      <c r="C45" s="2">
        <f t="shared" ca="1" si="4"/>
        <v>-601664.17751226551</v>
      </c>
      <c r="D45" s="41">
        <f t="shared" ca="1" si="5"/>
        <v>-99375</v>
      </c>
      <c r="E45" s="38">
        <f ca="1">IF(COUNTIF($W$2:W1030,A45)=1,VLOOKUP(A45,Q:R,2), IF(COUNTIF($W$2:W1030,A45)=0,$C$9,""))</f>
        <v>99.905000000000001</v>
      </c>
      <c r="F45" s="2">
        <f t="shared" ca="1" si="6"/>
        <v>-178100.00000000058</v>
      </c>
      <c r="G45" s="41">
        <f t="shared" ca="1" si="7"/>
        <v>-460.19999999999709</v>
      </c>
      <c r="H45" s="38">
        <f ca="1">IF(COUNTIF($W$2:W1030,A45)=1,VLOOKUP(A45,S:T,2), IF(COUNTIF($W$2:W1030,A45)=0,$D$9,""))</f>
        <v>306.91800000000001</v>
      </c>
      <c r="I45" s="39">
        <f ca="1">IF(COUNTIF($X$2:X1030,INT(A45))=1,VLOOKUP(INT(A45),X:Y,2), IF(ISERROR(H45-2),"",I44*(1-$D$8*(H45-H44)*0.0001)))</f>
        <v>257.45740000000001</v>
      </c>
      <c r="J45" s="39">
        <f t="shared" ca="1" si="8"/>
        <v>257.45740000000001</v>
      </c>
      <c r="K45" s="41">
        <f t="shared" ca="1" si="9"/>
        <v>-475859.71685971582</v>
      </c>
      <c r="L45" s="41" t="str">
        <f ca="1">IF($A45="","",IF(COUNTIFS(Dividends!$G:$G,"&gt;"&amp;INT($A44),Dividends!$G:$G,"&lt;="&amp;INT($A45))=0,"",$H$2*SUMIFS(Dividends!$H:$H,Dividends!$G:$G,"&gt;"&amp;INT($A44),Dividends!$G:$G,"&lt;="&amp;INT($A45))))</f>
        <v/>
      </c>
      <c r="M45" s="42">
        <f ca="1">IF(ISERROR(B45-2),"",C45+D45-F45-G45-K45+SUM($L$14:L45))</f>
        <v>-46619.260652549099</v>
      </c>
      <c r="O45" s="3">
        <v>46108.625</v>
      </c>
      <c r="P45" s="4">
        <v>88.99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46108.625</v>
      </c>
      <c r="V45" s="3">
        <f t="shared" si="1"/>
        <v>46108.625</v>
      </c>
      <c r="W45" s="3">
        <v>46111.625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74">
        <v>45840</v>
      </c>
      <c r="AC45" s="4">
        <v>283.459</v>
      </c>
      <c r="AD45" s="6">
        <f t="shared" si="2"/>
        <v>45840</v>
      </c>
    </row>
    <row r="46" spans="1:30" x14ac:dyDescent="0.25">
      <c r="A46" s="37">
        <f t="shared" ca="1" si="3"/>
        <v>46097.625</v>
      </c>
      <c r="B46" s="38">
        <f ca="1">IF(COUNTIF($W$2:W1031,A46)=1,VLOOKUP(A46,O:P,2), IF(COUNTIF($W$2:W1031,A46)=0,$B$9,""))</f>
        <v>91.95</v>
      </c>
      <c r="C46" s="2">
        <f t="shared" ca="1" si="4"/>
        <v>-572861.1051845511</v>
      </c>
      <c r="D46" s="41">
        <f t="shared" ca="1" si="5"/>
        <v>-106000</v>
      </c>
      <c r="E46" s="38">
        <f ca="1">IF(COUNTIF($W$2:W1031,A46)=1,VLOOKUP(A46,Q:R,2), IF(COUNTIF($W$2:W1031,A46)=0,$C$9,""))</f>
        <v>99.959000000000003</v>
      </c>
      <c r="F46" s="2">
        <f t="shared" ca="1" si="6"/>
        <v>-164060.00000000006</v>
      </c>
      <c r="G46" s="41">
        <f t="shared" ca="1" si="7"/>
        <v>-490.88000000000466</v>
      </c>
      <c r="H46" s="38">
        <f ca="1">IF(COUNTIF($W$2:W1031,A46)=1,VLOOKUP(A46,S:T,2), IF(COUNTIF($W$2:W1031,A46)=0,$D$9,""))</f>
        <v>300.69400000000002</v>
      </c>
      <c r="I46" s="39">
        <f ca="1">IF(COUNTIF($X$2:X1031,INT(A46))=1,VLOOKUP(INT(A46),X:Y,2), IF(ISERROR(H46-2),"",I45*(1-$D$8*(H46-H45)*0.0001)))</f>
        <v>257.82310000000001</v>
      </c>
      <c r="J46" s="39">
        <f t="shared" ca="1" si="8"/>
        <v>257.82310000000001</v>
      </c>
      <c r="K46" s="41">
        <f t="shared" ca="1" si="9"/>
        <v>-449973.61647361628</v>
      </c>
      <c r="L46" s="41" t="str">
        <f ca="1">IF($A46="","",IF(COUNTIFS(Dividends!$G:$G,"&gt;"&amp;INT($A45),Dividends!$G:$G,"&lt;="&amp;INT($A46))=0,"",$H$2*SUMIFS(Dividends!$H:$H,Dividends!$G:$G,"&gt;"&amp;INT($A45),Dividends!$G:$G,"&lt;="&amp;INT($A46))))</f>
        <v/>
      </c>
      <c r="M46" s="42">
        <f ca="1">IF(ISERROR(B46-2),"",C46+D46-F46-G46-K46+SUM($L$14:L46))</f>
        <v>-64336.608710934757</v>
      </c>
      <c r="O46" s="3">
        <v>46111.625</v>
      </c>
      <c r="P46" s="4">
        <v>88.85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46111.625</v>
      </c>
      <c r="V46" s="3">
        <f t="shared" si="1"/>
        <v>46111.625</v>
      </c>
      <c r="W46" s="3">
        <v>46112.625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74">
        <v>45841</v>
      </c>
      <c r="AC46" s="4">
        <v>278.322</v>
      </c>
      <c r="AD46" s="6">
        <f t="shared" si="2"/>
        <v>45841</v>
      </c>
    </row>
    <row r="47" spans="1:30" x14ac:dyDescent="0.25">
      <c r="A47" s="37">
        <f t="shared" ca="1" si="3"/>
        <v>46098.625</v>
      </c>
      <c r="B47" s="38">
        <f ca="1">IF(COUNTIF($W$2:W1032,A47)=1,VLOOKUP(A47,O:P,2), IF(COUNTIF($W$2:W1032,A47)=0,$B$9,""))</f>
        <v>92.21</v>
      </c>
      <c r="C47" s="2">
        <f t="shared" ca="1" si="4"/>
        <v>-489652.22957115475</v>
      </c>
      <c r="D47" s="41">
        <f t="shared" ca="1" si="5"/>
        <v>-108208.33333333331</v>
      </c>
      <c r="E47" s="38">
        <f ca="1">IF(COUNTIF($W$2:W1032,A47)=1,VLOOKUP(A47,Q:R,2), IF(COUNTIF($W$2:W1032,A47)=0,$C$9,""))</f>
        <v>99.992999999999995</v>
      </c>
      <c r="F47" s="2">
        <f t="shared" ca="1" si="6"/>
        <v>-155220.00000000218</v>
      </c>
      <c r="G47" s="41">
        <f t="shared" ca="1" si="7"/>
        <v>-501.10666666667385</v>
      </c>
      <c r="H47" s="38">
        <f ca="1">IF(COUNTIF($W$2:W1032,A47)=1,VLOOKUP(A47,S:T,2), IF(COUNTIF($W$2:W1032,A47)=0,$D$9,""))</f>
        <v>294.98399999999998</v>
      </c>
      <c r="I47" s="39">
        <f ca="1">IF(COUNTIF($X$2:X1032,INT(A47))=1,VLOOKUP(INT(A47),X:Y,2), IF(ISERROR(H47-2),"",I46*(1-$D$8*(H47-H46)*0.0001)))</f>
        <v>258.83109999999999</v>
      </c>
      <c r="J47" s="39">
        <f t="shared" ca="1" si="8"/>
        <v>258.83109999999999</v>
      </c>
      <c r="K47" s="41">
        <f t="shared" ca="1" si="9"/>
        <v>-378622.26512226602</v>
      </c>
      <c r="L47" s="41" t="str">
        <f ca="1">IF($A47="","",IF(COUNTIFS(Dividends!$G:$G,"&gt;"&amp;INT($A46),Dividends!$G:$G,"&lt;="&amp;INT($A47))=0,"",$H$2*SUMIFS(Dividends!$H:$H,Dividends!$G:$G,"&gt;"&amp;INT($A46),Dividends!$G:$G,"&lt;="&amp;INT($A47))))</f>
        <v/>
      </c>
      <c r="M47" s="42">
        <f ca="1">IF(ISERROR(B47-2),"",C47+D47-F47-G47-K47+SUM($L$14:L47))</f>
        <v>-63517.191115553142</v>
      </c>
      <c r="O47" s="3">
        <v>46112.625</v>
      </c>
      <c r="P47" s="4">
        <v>89.12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46112.625</v>
      </c>
      <c r="V47" s="3">
        <f t="shared" si="1"/>
        <v>46112.625</v>
      </c>
      <c r="W47" s="3">
        <v>46113.625</v>
      </c>
      <c r="X47" s="3">
        <v>46105</v>
      </c>
      <c r="Y47" s="5">
        <v>256.9957</v>
      </c>
      <c r="Z47" s="3">
        <v>45842</v>
      </c>
      <c r="AA47" s="4">
        <v>239.0291</v>
      </c>
      <c r="AB47" s="74">
        <v>45842</v>
      </c>
      <c r="AC47" s="4">
        <v>286.32499999999999</v>
      </c>
      <c r="AD47" s="6">
        <f t="shared" si="2"/>
        <v>45842</v>
      </c>
    </row>
    <row r="48" spans="1:30" x14ac:dyDescent="0.25">
      <c r="A48" s="37">
        <f t="shared" ca="1" si="3"/>
        <v>46099.625</v>
      </c>
      <c r="B48" s="38">
        <f ca="1">IF(COUNTIF($W$2:W1033,A48)=1,VLOOKUP(A48,O:P,2), IF(COUNTIF($W$2:W1033,A48)=0,$B$9,""))</f>
        <v>92.17</v>
      </c>
      <c r="C48" s="2">
        <f t="shared" ca="1" si="4"/>
        <v>-502453.59505013522</v>
      </c>
      <c r="D48" s="41">
        <f t="shared" ca="1" si="5"/>
        <v>-110416.66666666666</v>
      </c>
      <c r="E48" s="38">
        <f ca="1">IF(COUNTIF($W$2:W1033,A48)=1,VLOOKUP(A48,Q:R,2), IF(COUNTIF($W$2:W1033,A48)=0,$C$9,""))</f>
        <v>99.841999999999999</v>
      </c>
      <c r="F48" s="2">
        <f t="shared" ca="1" si="6"/>
        <v>-194480.00000000122</v>
      </c>
      <c r="G48" s="41">
        <f t="shared" ca="1" si="7"/>
        <v>-511.33333333332848</v>
      </c>
      <c r="H48" s="38">
        <f ca="1">IF(COUNTIF($W$2:W1033,A48)=1,VLOOKUP(A48,S:T,2), IF(COUNTIF($W$2:W1033,A48)=0,$D$9,""))</f>
        <v>298.827</v>
      </c>
      <c r="I48" s="39">
        <f ca="1">IF(COUNTIF($X$2:X1033,INT(A48))=1,VLOOKUP(INT(A48),X:Y,2), IF(ISERROR(H48-2),"",I47*(1-$D$8*(H48-H47)*0.0001)))</f>
        <v>258.3931</v>
      </c>
      <c r="J48" s="39">
        <f t="shared" ca="1" si="8"/>
        <v>258.3931</v>
      </c>
      <c r="K48" s="41">
        <f t="shared" ca="1" si="9"/>
        <v>-409626.1261261254</v>
      </c>
      <c r="L48" s="41" t="str">
        <f ca="1">IF($A48="","",IF(COUNTIFS(Dividends!$G:$G,"&gt;"&amp;INT($A47),Dividends!$G:$G,"&lt;="&amp;INT($A48))=0,"",$H$2*SUMIFS(Dividends!$H:$H,Dividends!$G:$G,"&gt;"&amp;INT($A47),Dividends!$G:$G,"&lt;="&amp;INT($A48))))</f>
        <v/>
      </c>
      <c r="M48" s="42">
        <f ca="1">IF(ISERROR(B48-2),"",C48+D48-F48-G48-K48+SUM($L$14:L48))</f>
        <v>-8252.802257341973</v>
      </c>
      <c r="O48" s="3">
        <v>46113.625</v>
      </c>
      <c r="P48" s="4">
        <v>89.8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46113.625</v>
      </c>
      <c r="V48" s="3">
        <f t="shared" si="1"/>
        <v>46113.625</v>
      </c>
      <c r="W48" s="3">
        <v>46114.625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74">
        <v>45845</v>
      </c>
      <c r="AC48" s="4">
        <v>282.00400000000002</v>
      </c>
      <c r="AD48" s="6">
        <f t="shared" si="2"/>
        <v>45845</v>
      </c>
    </row>
    <row r="49" spans="1:35" x14ac:dyDescent="0.25">
      <c r="A49" s="37">
        <f t="shared" ca="1" si="3"/>
        <v>46100.625</v>
      </c>
      <c r="B49" s="38">
        <f ca="1">IF(COUNTIF($W$2:W1034,A49)=1,VLOOKUP(A49,O:P,2), IF(COUNTIF($W$2:W1034,A49)=0,$B$9,""))</f>
        <v>89.42</v>
      </c>
      <c r="C49" s="2">
        <f t="shared" ca="1" si="4"/>
        <v>-1382547.4717303144</v>
      </c>
      <c r="D49" s="41">
        <f t="shared" ca="1" si="5"/>
        <v>-112625</v>
      </c>
      <c r="E49" s="38">
        <f ca="1">IF(COUNTIF($W$2:W1034,A49)=1,VLOOKUP(A49,Q:R,2), IF(COUNTIF($W$2:W1034,A49)=0,$C$9,""))</f>
        <v>99.638999999999996</v>
      </c>
      <c r="F49" s="2">
        <f t="shared" ca="1" si="6"/>
        <v>-247260.00000000198</v>
      </c>
      <c r="G49" s="41">
        <f t="shared" ca="1" si="7"/>
        <v>-521.55999999999767</v>
      </c>
      <c r="H49" s="38">
        <f ca="1">IF(COUNTIF($W$2:W1034,A49)=1,VLOOKUP(A49,S:T,2), IF(COUNTIF($W$2:W1034,A49)=0,$D$9,""))</f>
        <v>309.03899999999999</v>
      </c>
      <c r="I49" s="39">
        <f ca="1">IF(COUNTIF($X$2:X1034,INT(A49))=1,VLOOKUP(INT(A49),X:Y,2), IF(ISERROR(H49-2),"",I48*(1-$D$8*(H49-H48)*0.0001)))</f>
        <v>257.0634</v>
      </c>
      <c r="J49" s="39">
        <f t="shared" ca="1" si="8"/>
        <v>257.0634</v>
      </c>
      <c r="K49" s="41">
        <f t="shared" ca="1" si="9"/>
        <v>-503749.03474903549</v>
      </c>
      <c r="L49" s="41">
        <f ca="1">IF($A49="","",IF(COUNTIFS(Dividends!$G:$G,"&gt;"&amp;INT($A48),Dividends!$G:$G,"&lt;="&amp;INT($A49))=0,"",$H$2*SUMIFS(Dividends!$H:$H,Dividends!$G:$G,"&gt;"&amp;INT($A48),Dividends!$G:$G,"&lt;="&amp;INT($A49))))</f>
        <v>745775.54939193511</v>
      </c>
      <c r="M49" s="42">
        <f ca="1">IF(ISERROR(B49-2),"",C49+D49-F49-G49-K49+SUM($L$14:L49))</f>
        <v>2133.6724106583279</v>
      </c>
      <c r="O49" s="3">
        <v>46114.625</v>
      </c>
      <c r="P49" s="4">
        <v>89.7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46114.625</v>
      </c>
      <c r="V49" s="3">
        <f t="shared" si="1"/>
        <v>46114.625</v>
      </c>
      <c r="W49" s="3">
        <v>46119.625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74">
        <v>45846</v>
      </c>
      <c r="AC49" s="4">
        <v>282.16399999999999</v>
      </c>
      <c r="AD49" s="6">
        <f t="shared" si="2"/>
        <v>45846</v>
      </c>
    </row>
    <row r="50" spans="1:35" x14ac:dyDescent="0.25">
      <c r="A50" s="37">
        <f t="shared" ca="1" si="3"/>
        <v>46101.625</v>
      </c>
      <c r="B50" s="38">
        <f ca="1">IF(COUNTIF($W$2:W1035,A50)=1,VLOOKUP(A50,O:P,2), IF(COUNTIF($W$2:W1035,A50)=0,$B$9,""))</f>
        <v>89.08</v>
      </c>
      <c r="C50" s="2">
        <f t="shared" ca="1" si="4"/>
        <v>-1491359.0783016849</v>
      </c>
      <c r="D50" s="41">
        <f t="shared" ca="1" si="5"/>
        <v>-114833.33333333331</v>
      </c>
      <c r="E50" s="38">
        <f ca="1">IF(COUNTIF($W$2:W1035,A50)=1,VLOOKUP(A50,Q:R,2), IF(COUNTIF($W$2:W1035,A50)=0,$C$9,""))</f>
        <v>99.41</v>
      </c>
      <c r="F50" s="2">
        <f t="shared" ca="1" si="6"/>
        <v>-306800.00000000175</v>
      </c>
      <c r="G50" s="41">
        <f t="shared" ca="1" si="7"/>
        <v>-531.78666666666686</v>
      </c>
      <c r="H50" s="38">
        <f ca="1">IF(COUNTIF($W$2:W1035,A50)=1,VLOOKUP(A50,S:T,2), IF(COUNTIF($W$2:W1035,A50)=0,$D$9,""))</f>
        <v>350.86599999999999</v>
      </c>
      <c r="I50" s="39">
        <f ca="1">IF(COUNTIF($X$2:X1035,INT(A50))=1,VLOOKUP(INT(A50),X:Y,2), IF(ISERROR(H50-2),"",I49*(1-$D$8*(H50-H49)*0.0001)))</f>
        <v>255.87119999999999</v>
      </c>
      <c r="J50" s="39">
        <f t="shared" ca="1" si="8"/>
        <v>255.87119999999999</v>
      </c>
      <c r="K50" s="41">
        <f t="shared" ca="1" si="9"/>
        <v>-588138.99613899842</v>
      </c>
      <c r="L50" s="41" t="str">
        <f ca="1">IF($A50="","",IF(COUNTIFS(Dividends!$G:$G,"&gt;"&amp;INT($A49),Dividends!$G:$G,"&lt;="&amp;INT($A50))=0,"",$H$2*SUMIFS(Dividends!$H:$H,Dividends!$G:$G,"&gt;"&amp;INT($A49),Dividends!$G:$G,"&lt;="&amp;INT($A50))))</f>
        <v/>
      </c>
      <c r="M50" s="42">
        <f ca="1">IF(ISERROR(B50-2),"",C50+D50-F50-G50-K50+SUM($L$14:L50))</f>
        <v>35053.920562583604</v>
      </c>
      <c r="O50" s="3">
        <v>46119.625</v>
      </c>
      <c r="P50" s="4">
        <v>89.6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46119.625</v>
      </c>
      <c r="V50" s="3">
        <f t="shared" si="1"/>
        <v>46119.625</v>
      </c>
      <c r="W50" s="3">
        <v>46120.625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74">
        <v>45847</v>
      </c>
      <c r="AC50" s="4">
        <v>278.887</v>
      </c>
      <c r="AD50" s="6">
        <f t="shared" si="2"/>
        <v>45847</v>
      </c>
    </row>
    <row r="51" spans="1:35" x14ac:dyDescent="0.25">
      <c r="A51" s="37">
        <f t="shared" ca="1" si="3"/>
        <v>46104.625</v>
      </c>
      <c r="B51" s="38">
        <f ca="1">IF(COUNTIF($W$2:W1036,A51)=1,VLOOKUP(A51,O:P,2), IF(COUNTIF($W$2:W1036,A51)=0,$B$9,""))</f>
        <v>89.33</v>
      </c>
      <c r="C51" s="2">
        <f t="shared" ca="1" si="4"/>
        <v>-1411350.5440580321</v>
      </c>
      <c r="D51" s="41">
        <f t="shared" ca="1" si="5"/>
        <v>-121458.33333333334</v>
      </c>
      <c r="E51" s="38">
        <f ca="1">IF(COUNTIF($W$2:W1036,A51)=1,VLOOKUP(A51,Q:R,2), IF(COUNTIF($W$2:W1036,A51)=0,$C$9,""))</f>
        <v>99.53</v>
      </c>
      <c r="F51" s="2">
        <f t="shared" ca="1" si="6"/>
        <v>-275600.00000000058</v>
      </c>
      <c r="G51" s="41">
        <f t="shared" ca="1" si="7"/>
        <v>-562.46666666667443</v>
      </c>
      <c r="H51" s="38">
        <f ca="1">IF(COUNTIF($W$2:W1036,A51)=1,VLOOKUP(A51,S:T,2), IF(COUNTIF($W$2:W1036,A51)=0,$D$9,""))</f>
        <v>341.82299999999998</v>
      </c>
      <c r="I51" s="39">
        <f ca="1">IF(COUNTIF($X$2:X1036,INT(A51))=1,VLOOKUP(INT(A51),X:Y,2), IF(ISERROR(H51-2),"",I50*(1-$D$8*(H51-H50)*0.0001)))</f>
        <v>256.74209999999999</v>
      </c>
      <c r="J51" s="39">
        <f t="shared" ca="1" si="8"/>
        <v>256.74209999999999</v>
      </c>
      <c r="K51" s="41">
        <f t="shared" ca="1" si="9"/>
        <v>-526492.27799227962</v>
      </c>
      <c r="L51" s="41" t="str">
        <f ca="1">IF($A51="","",IF(COUNTIFS(Dividends!$G:$G,"&gt;"&amp;INT($A50),Dividends!$G:$G,"&lt;="&amp;INT($A51))=0,"",$H$2*SUMIFS(Dividends!$H:$H,Dividends!$G:$G,"&gt;"&amp;INT($A50),Dividends!$G:$G,"&lt;="&amp;INT($A51))))</f>
        <v/>
      </c>
      <c r="M51" s="42">
        <f ca="1">IF(ISERROR(B51-2),"",C51+D51-F51-G51-K51+SUM($L$14:L51))</f>
        <v>15621.416659516632</v>
      </c>
      <c r="O51" s="3">
        <v>46120.625</v>
      </c>
      <c r="P51" s="4">
        <v>90.56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46120.625</v>
      </c>
      <c r="V51" s="3">
        <f t="shared" si="1"/>
        <v>46120.625</v>
      </c>
      <c r="W51" s="3">
        <v>46121.625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74">
        <v>45848</v>
      </c>
      <c r="AC51" s="4">
        <v>277.661</v>
      </c>
      <c r="AD51" s="6">
        <f t="shared" si="2"/>
        <v>45848</v>
      </c>
    </row>
    <row r="52" spans="1:35" x14ac:dyDescent="0.25">
      <c r="A52" s="37">
        <f t="shared" ca="1" si="3"/>
        <v>46105.625</v>
      </c>
      <c r="B52" s="38">
        <f ca="1">IF(COUNTIF($W$2:W1037,A52)=1,VLOOKUP(A52,O:P,2), IF(COUNTIF($W$2:W1037,A52)=0,$B$9,""))</f>
        <v>89.26</v>
      </c>
      <c r="C52" s="2">
        <f t="shared" ca="1" si="4"/>
        <v>-1433752.9336462528</v>
      </c>
      <c r="D52" s="41">
        <f t="shared" ca="1" si="5"/>
        <v>-123666.66666666667</v>
      </c>
      <c r="E52" s="38">
        <f ca="1">IF(COUNTIF($W$2:W1037,A52)=1,VLOOKUP(A52,Q:R,2), IF(COUNTIF($W$2:W1037,A52)=0,$C$9,""))</f>
        <v>99.400999999999996</v>
      </c>
      <c r="F52" s="2">
        <f t="shared" ca="1" si="6"/>
        <v>-309140.00000000186</v>
      </c>
      <c r="G52" s="41">
        <f t="shared" ca="1" si="7"/>
        <v>-572.69333333332906</v>
      </c>
      <c r="H52" s="38">
        <f ca="1">IF(COUNTIF($W$2:W1037,A52)=1,VLOOKUP(A52,S:T,2), IF(COUNTIF($W$2:W1037,A52)=0,$D$9,""))</f>
        <v>342.43400000000003</v>
      </c>
      <c r="I52" s="39">
        <f ca="1">IF(COUNTIF($X$2:X1037,INT(A52))=1,VLOOKUP(INT(A52),X:Y,2), IF(ISERROR(H52-2),"",I51*(1-$D$8*(H52-H51)*0.0001)))</f>
        <v>256.9957</v>
      </c>
      <c r="J52" s="39">
        <f t="shared" ca="1" si="8"/>
        <v>256.9957</v>
      </c>
      <c r="K52" s="41">
        <f t="shared" ca="1" si="9"/>
        <v>-508541.1840411856</v>
      </c>
      <c r="L52" s="41" t="str">
        <f ca="1">IF($A52="","",IF(COUNTIFS(Dividends!$G:$G,"&gt;"&amp;INT($A51),Dividends!$G:$G,"&lt;="&amp;INT($A52))=0,"",$H$2*SUMIFS(Dividends!$H:$H,Dividends!$G:$G,"&gt;"&amp;INT($A51),Dividends!$G:$G,"&lt;="&amp;INT($A52))))</f>
        <v/>
      </c>
      <c r="M52" s="42">
        <f ca="1">IF(ISERROR(B52-2),"",C52+D52-F52-G52-K52+SUM($L$14:L52))</f>
        <v>6609.8264535362832</v>
      </c>
      <c r="O52" s="3">
        <v>46121.625</v>
      </c>
      <c r="P52" s="4">
        <v>90.47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46121.625</v>
      </c>
      <c r="V52" s="3">
        <f t="shared" si="1"/>
        <v>46121.625</v>
      </c>
      <c r="W52" s="3">
        <v>46122.625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74">
        <v>45849</v>
      </c>
      <c r="AC52" s="4">
        <v>281.73500000000001</v>
      </c>
      <c r="AD52" s="6">
        <f t="shared" si="2"/>
        <v>45849</v>
      </c>
    </row>
    <row r="53" spans="1:35" x14ac:dyDescent="0.25">
      <c r="A53" s="37">
        <f t="shared" ca="1" si="3"/>
        <v>46106.625</v>
      </c>
      <c r="B53" s="38">
        <f ca="1">IF(COUNTIF($W$2:W1038,A53)=1,VLOOKUP(A53,O:P,2), IF(COUNTIF($W$2:W1038,A53)=0,$B$9,""))</f>
        <v>89.54</v>
      </c>
      <c r="C53" s="2">
        <f t="shared" ca="1" si="4"/>
        <v>-1344143.3752933596</v>
      </c>
      <c r="D53" s="41">
        <f t="shared" ca="1" si="5"/>
        <v>-125874.99999999999</v>
      </c>
      <c r="E53" s="38">
        <f ca="1">IF(COUNTIF($W$2:W1038,A53)=1,VLOOKUP(A53,Q:R,2), IF(COUNTIF($W$2:W1038,A53)=0,$C$9,""))</f>
        <v>99.501000000000005</v>
      </c>
      <c r="F53" s="2">
        <f t="shared" ca="1" si="6"/>
        <v>-283139.99999999965</v>
      </c>
      <c r="G53" s="41">
        <f t="shared" ca="1" si="7"/>
        <v>-582.91999999999825</v>
      </c>
      <c r="H53" s="38">
        <f ca="1">IF(COUNTIF($W$2:W1038,A53)=1,VLOOKUP(A53,S:T,2), IF(COUNTIF($W$2:W1038,A53)=0,$D$9,""))</f>
        <v>334.50400000000002</v>
      </c>
      <c r="I53" s="39">
        <f ca="1">IF(COUNTIF($X$2:X1038,INT(A53))=1,VLOOKUP(INT(A53),X:Y,2), IF(ISERROR(H53-2),"",I52*(1-$D$8*(H53-H52)*0.0001)))</f>
        <v>258.20859999999999</v>
      </c>
      <c r="J53" s="39">
        <f t="shared" ca="1" si="8"/>
        <v>258.20859999999999</v>
      </c>
      <c r="K53" s="41">
        <f t="shared" ca="1" si="9"/>
        <v>-422685.9716859734</v>
      </c>
      <c r="L53" s="41" t="str">
        <f ca="1">IF($A53="","",IF(COUNTIFS(Dividends!$G:$G,"&gt;"&amp;INT($A52),Dividends!$G:$G,"&lt;="&amp;INT($A53))=0,"",$H$2*SUMIFS(Dividends!$H:$H,Dividends!$G:$G,"&gt;"&amp;INT($A52),Dividends!$G:$G,"&lt;="&amp;INT($A53))))</f>
        <v/>
      </c>
      <c r="M53" s="42">
        <f ca="1">IF(ISERROR(B53-2),"",C53+D53-F53-G53-K53+SUM($L$14:L53))</f>
        <v>-17833.934215451591</v>
      </c>
      <c r="O53" s="3">
        <v>46122.625</v>
      </c>
      <c r="P53" s="4">
        <v>90.75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46122.625</v>
      </c>
      <c r="V53" s="3">
        <f t="shared" si="1"/>
        <v>46122.625</v>
      </c>
      <c r="W53" s="3">
        <v>46125.625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74">
        <v>45852</v>
      </c>
      <c r="AC53" s="4">
        <v>282.80599999999998</v>
      </c>
      <c r="AD53" s="6">
        <f t="shared" si="2"/>
        <v>45852</v>
      </c>
    </row>
    <row r="54" spans="1:35" x14ac:dyDescent="0.25">
      <c r="A54" s="37">
        <f t="shared" ca="1" si="3"/>
        <v>46107.625</v>
      </c>
      <c r="B54" s="38">
        <f ca="1">IF(COUNTIF($W$2:W1039,A54)=1,VLOOKUP(A54,O:P,2), IF(COUNTIF($W$2:W1039,A54)=0,$B$9,""))</f>
        <v>89.29</v>
      </c>
      <c r="C54" s="2">
        <f t="shared" ca="1" si="4"/>
        <v>-1424151.9095370125</v>
      </c>
      <c r="D54" s="41">
        <f t="shared" ca="1" si="5"/>
        <v>-128083.33333333334</v>
      </c>
      <c r="E54" s="38">
        <f ca="1">IF(COUNTIF($W$2:W1039,A54)=1,VLOOKUP(A54,Q:R,2), IF(COUNTIF($W$2:W1039,A54)=0,$C$9,""))</f>
        <v>99.313000000000002</v>
      </c>
      <c r="F54" s="2">
        <f t="shared" ca="1" si="6"/>
        <v>-332020.00000000029</v>
      </c>
      <c r="G54" s="41">
        <f t="shared" ca="1" si="7"/>
        <v>-593.14666666668199</v>
      </c>
      <c r="H54" s="38">
        <f ca="1">IF(COUNTIF($W$2:W1039,A54)=1,VLOOKUP(A54,S:T,2), IF(COUNTIF($W$2:W1039,A54)=0,$D$9,""))</f>
        <v>344.47199999999998</v>
      </c>
      <c r="I54" s="39">
        <f ca="1">IF(COUNTIF($X$2:X1039,INT(A54))=1,VLOOKUP(INT(A54),X:Y,2), IF(ISERROR(H54-2),"",I53*(1-$D$8*(H54-H53)*0.0001)))</f>
        <v>255.99350000000001</v>
      </c>
      <c r="J54" s="39">
        <f t="shared" ca="1" si="8"/>
        <v>255.99350000000001</v>
      </c>
      <c r="K54" s="41">
        <f t="shared" ca="1" si="9"/>
        <v>-579481.98198198073</v>
      </c>
      <c r="L54" s="41" t="str">
        <f ca="1">IF($A54="","",IF(COUNTIFS(Dividends!$G:$G,"&gt;"&amp;INT($A53),Dividends!$G:$G,"&lt;="&amp;INT($A54))=0,"",$H$2*SUMIFS(Dividends!$H:$H,Dividends!$G:$G,"&gt;"&amp;INT($A53),Dividends!$G:$G,"&lt;="&amp;INT($A54))))</f>
        <v/>
      </c>
      <c r="M54" s="42">
        <f ca="1">IF(ISERROR(B54-2),"",C54+D54-F54-G54-K54+SUM($L$14:L54))</f>
        <v>105635.43517023709</v>
      </c>
      <c r="O54" s="3">
        <v>46125.625</v>
      </c>
      <c r="P54" s="4">
        <v>90.46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46125.625</v>
      </c>
      <c r="V54" s="3">
        <f t="shared" si="1"/>
        <v>46125.625</v>
      </c>
      <c r="W54" s="3">
        <v>46126.625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74">
        <v>45853</v>
      </c>
      <c r="AC54" s="4">
        <v>282.98599999999999</v>
      </c>
      <c r="AD54" s="6">
        <f t="shared" si="2"/>
        <v>45853</v>
      </c>
    </row>
    <row r="55" spans="1:35" x14ac:dyDescent="0.25">
      <c r="A55" s="37">
        <f t="shared" ca="1" si="3"/>
        <v>46108.625</v>
      </c>
      <c r="B55" s="38">
        <f ca="1">IF(COUNTIF($W$2:W1040,A55)=1,VLOOKUP(A55,O:P,2), IF(COUNTIF($W$2:W1040,A55)=0,$B$9,""))</f>
        <v>88.99</v>
      </c>
      <c r="C55" s="2">
        <f t="shared" ca="1" si="4"/>
        <v>-1520162.1506293993</v>
      </c>
      <c r="D55" s="41">
        <f t="shared" ca="1" si="5"/>
        <v>-130291.66666666667</v>
      </c>
      <c r="E55" s="38">
        <f ca="1">IF(COUNTIF($W$2:W1040,A55)=1,VLOOKUP(A55,Q:R,2), IF(COUNTIF($W$2:W1040,A55)=0,$C$9,""))</f>
        <v>99.304000000000002</v>
      </c>
      <c r="F55" s="2">
        <f t="shared" ca="1" si="6"/>
        <v>-334360.00000000035</v>
      </c>
      <c r="G55" s="41">
        <f t="shared" ca="1" si="7"/>
        <v>-603.37333333333663</v>
      </c>
      <c r="H55" s="38">
        <f ca="1">IF(COUNTIF($W$2:W1040,A55)=1,VLOOKUP(A55,S:T,2), IF(COUNTIF($W$2:W1040,A55)=0,$D$9,""))</f>
        <v>361.33</v>
      </c>
      <c r="I55" s="39">
        <f ca="1">IF(COUNTIF($X$2:X1040,INT(A55))=1,VLOOKUP(INT(A55),X:Y,2), IF(ISERROR(H55-2),"",I54*(1-$D$8*(H55-H54)*0.0001)))</f>
        <v>254.57159999999999</v>
      </c>
      <c r="J55" s="39">
        <f t="shared" ca="1" si="8"/>
        <v>254.57159999999999</v>
      </c>
      <c r="K55" s="41">
        <f t="shared" ca="1" si="9"/>
        <v>-680131.27413127455</v>
      </c>
      <c r="L55" s="41" t="str">
        <f ca="1">IF($A55="","",IF(COUNTIFS(Dividends!$G:$G,"&gt;"&amp;INT($A54),Dividends!$G:$G,"&lt;="&amp;INT($A55))=0,"",$H$2*SUMIFS(Dividends!$H:$H,Dividends!$G:$G,"&gt;"&amp;INT($A54),Dividends!$G:$G,"&lt;="&amp;INT($A55))))</f>
        <v/>
      </c>
      <c r="M55" s="42">
        <f ca="1">IF(ISERROR(B55-2),"",C55+D55-F55-G55-K55+SUM($L$14:L55))</f>
        <v>110416.3795604771</v>
      </c>
      <c r="O55" s="3">
        <v>46126.625</v>
      </c>
      <c r="P55" s="4">
        <v>90.75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46126.625</v>
      </c>
      <c r="V55" s="3">
        <f t="shared" si="1"/>
        <v>46126.625</v>
      </c>
      <c r="W55" s="3">
        <v>46127.625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74">
        <v>45854</v>
      </c>
      <c r="AC55" s="4">
        <v>285.26100000000002</v>
      </c>
      <c r="AD55" s="6">
        <f t="shared" si="2"/>
        <v>45854</v>
      </c>
    </row>
    <row r="56" spans="1:35" x14ac:dyDescent="0.25">
      <c r="A56" s="37">
        <f t="shared" ca="1" si="3"/>
        <v>46111.625</v>
      </c>
      <c r="B56" s="38">
        <f ca="1">IF(COUNTIF($W$2:W1041,A56)=1,VLOOKUP(A56,O:P,2), IF(COUNTIF($W$2:W1041,A56)=0,$B$9,""))</f>
        <v>88.85</v>
      </c>
      <c r="C56" s="2">
        <f t="shared" ca="1" si="4"/>
        <v>-1564966.9298058478</v>
      </c>
      <c r="D56" s="41">
        <f t="shared" ca="1" si="5"/>
        <v>-136916.66666666666</v>
      </c>
      <c r="E56" s="38">
        <f ca="1">IF(COUNTIF($W$2:W1041,A56)=1,VLOOKUP(A56,Q:R,2), IF(COUNTIF($W$2:W1041,A56)=0,$C$9,""))</f>
        <v>99.466999999999999</v>
      </c>
      <c r="F56" s="2">
        <f t="shared" ca="1" si="6"/>
        <v>-291980.00000000122</v>
      </c>
      <c r="G56" s="41">
        <f t="shared" ca="1" si="7"/>
        <v>-634.05333333332965</v>
      </c>
      <c r="H56" s="38">
        <f ca="1">IF(COUNTIF($W$2:W1041,A56)=1,VLOOKUP(A56,S:T,2), IF(COUNTIF($W$2:W1041,A56)=0,$D$9,""))</f>
        <v>364.03399999999999</v>
      </c>
      <c r="I56" s="39">
        <f ca="1">IF(COUNTIF($X$2:X1041,INT(A56))=1,VLOOKUP(INT(A56),X:Y,2), IF(ISERROR(H56-2),"",I55*(1-$D$8*(H56-H55)*0.0001)))</f>
        <v>254.6893</v>
      </c>
      <c r="J56" s="39">
        <f t="shared" ca="1" si="8"/>
        <v>254.6893</v>
      </c>
      <c r="K56" s="41">
        <f t="shared" ca="1" si="9"/>
        <v>-671799.87129987078</v>
      </c>
      <c r="L56" s="41" t="str">
        <f ca="1">IF($A56="","",IF(COUNTIFS(Dividends!$G:$G,"&gt;"&amp;INT($A55),Dividends!$G:$G,"&lt;="&amp;INT($A56))=0,"",$H$2*SUMIFS(Dividends!$H:$H,Dividends!$G:$G,"&gt;"&amp;INT($A55),Dividends!$G:$G,"&lt;="&amp;INT($A56))))</f>
        <v/>
      </c>
      <c r="M56" s="42">
        <f ca="1">IF(ISERROR(B56-2),"",C56+D56-F56-G56-K56+SUM($L$14:L56))</f>
        <v>8305.8775526257232</v>
      </c>
      <c r="O56" s="3">
        <v>46127.625</v>
      </c>
      <c r="P56" s="4">
        <v>90.88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>
        <f t="shared" si="0"/>
        <v>46127.625</v>
      </c>
      <c r="V56" s="3">
        <f t="shared" si="1"/>
        <v>46127.625</v>
      </c>
      <c r="W56" s="3">
        <v>46128.625</v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74">
        <v>45855</v>
      </c>
      <c r="AC56" s="4">
        <v>278.76799999999997</v>
      </c>
      <c r="AD56" s="6">
        <f t="shared" si="2"/>
        <v>45855</v>
      </c>
    </row>
    <row r="57" spans="1:35" x14ac:dyDescent="0.25">
      <c r="A57" s="37">
        <f t="shared" ca="1" si="3"/>
        <v>46112.625</v>
      </c>
      <c r="B57" s="38">
        <f ca="1">IF(COUNTIF($W$2:W1042,A57)=1,VLOOKUP(A57,O:P,2), IF(COUNTIF($W$2:W1042,A57)=0,$B$9,""))</f>
        <v>89.12</v>
      </c>
      <c r="C57" s="2">
        <f t="shared" ca="1" si="4"/>
        <v>-1478557.7128226978</v>
      </c>
      <c r="D57" s="41">
        <f t="shared" ca="1" si="5"/>
        <v>-139124.99999999997</v>
      </c>
      <c r="E57" s="38">
        <f ca="1">IF(COUNTIF($W$2:W1042,A57)=1,VLOOKUP(A57,Q:R,2), IF(COUNTIF($W$2:W1042,A57)=0,$C$9,""))</f>
        <v>99.444000000000003</v>
      </c>
      <c r="F57" s="2">
        <f t="shared" ca="1" si="6"/>
        <v>-297960.00000000023</v>
      </c>
      <c r="G57" s="41">
        <f t="shared" ca="1" si="7"/>
        <v>-644.27999999999884</v>
      </c>
      <c r="H57" s="38">
        <f ca="1">IF(COUNTIF($W$2:W1042,A57)=1,VLOOKUP(A57,S:T,2), IF(COUNTIF($W$2:W1042,A57)=0,$D$9,""))</f>
        <v>355.63</v>
      </c>
      <c r="I57" s="39">
        <f ca="1">IF(COUNTIF($X$2:X1042,INT(A57))=1,VLOOKUP(INT(A57),X:Y,2), IF(ISERROR(H57-2),"",I56*(1-$D$8*(H57-H56)*0.0001)))</f>
        <v>255.8124</v>
      </c>
      <c r="J57" s="39">
        <f t="shared" ca="1" si="8"/>
        <v>255.8124</v>
      </c>
      <c r="K57" s="41">
        <f t="shared" ca="1" si="9"/>
        <v>-592301.15830115799</v>
      </c>
      <c r="L57" s="41" t="str">
        <f ca="1">IF($A57="","",IF(COUNTIFS(Dividends!$G:$G,"&gt;"&amp;INT($A56),Dividends!$G:$G,"&lt;="&amp;INT($A57))=0,"",$H$2*SUMIFS(Dividends!$H:$H,Dividends!$G:$G,"&gt;"&amp;INT($A56),Dividends!$G:$G,"&lt;="&amp;INT($A57))))</f>
        <v/>
      </c>
      <c r="M57" s="42">
        <f ca="1">IF(ISERROR(B57-2),"",C57+D57-F57-G57-K57+SUM($L$14:L57))</f>
        <v>18998.274870395544</v>
      </c>
      <c r="O57" s="3">
        <v>46128.625</v>
      </c>
      <c r="P57" s="4">
        <v>90.85</v>
      </c>
      <c r="Q57" s="3">
        <v>46126.625</v>
      </c>
      <c r="R57" s="4">
        <v>99.619</v>
      </c>
      <c r="S57" s="3">
        <v>46126.625</v>
      </c>
      <c r="T57" s="4">
        <v>282.697</v>
      </c>
      <c r="U57" s="3">
        <f t="shared" si="0"/>
        <v>46128.625</v>
      </c>
      <c r="V57" s="3">
        <f t="shared" si="1"/>
        <v>46128.625</v>
      </c>
      <c r="W57" s="3">
        <v>46129.625</v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74">
        <v>45856</v>
      </c>
      <c r="AC57" s="4">
        <v>277.18599999999998</v>
      </c>
      <c r="AD57" s="6">
        <f t="shared" si="2"/>
        <v>45856</v>
      </c>
    </row>
    <row r="58" spans="1:35" x14ac:dyDescent="0.25">
      <c r="A58" s="37">
        <f t="shared" ca="1" si="3"/>
        <v>46113.625</v>
      </c>
      <c r="B58" s="38">
        <f ca="1">IF(COUNTIF($W$2:W1043,A58)=1,VLOOKUP(A58,O:P,2), IF(COUNTIF($W$2:W1043,A58)=0,$B$9,""))</f>
        <v>89.8</v>
      </c>
      <c r="C58" s="2">
        <f t="shared" ca="1" si="4"/>
        <v>-1260934.4996799666</v>
      </c>
      <c r="D58" s="41">
        <f t="shared" ca="1" si="5"/>
        <v>-141333.33333333334</v>
      </c>
      <c r="E58" s="38">
        <f ca="1">IF(COUNTIF($W$2:W1043,A58)=1,VLOOKUP(A58,Q:R,2), IF(COUNTIF($W$2:W1043,A58)=0,$C$9,""))</f>
        <v>99.510999999999996</v>
      </c>
      <c r="F58" s="2">
        <f t="shared" ca="1" si="6"/>
        <v>-280540.00000000204</v>
      </c>
      <c r="G58" s="41">
        <f t="shared" ca="1" si="7"/>
        <v>-654.50666666668258</v>
      </c>
      <c r="H58" s="38">
        <f ca="1">IF(COUNTIF($W$2:W1043,A58)=1,VLOOKUP(A58,S:T,2), IF(COUNTIF($W$2:W1043,A58)=0,$D$9,""))</f>
        <v>329.10599999999999</v>
      </c>
      <c r="I58" s="39">
        <f ca="1">IF(COUNTIF($X$2:X1043,INT(A58))=1,VLOOKUP(INT(A58),X:Y,2), IF(ISERROR(H58-2),"",I57*(1-$D$8*(H58-H57)*0.0001)))</f>
        <v>258.79109999999997</v>
      </c>
      <c r="J58" s="39">
        <f t="shared" ca="1" si="8"/>
        <v>258.79109999999997</v>
      </c>
      <c r="K58" s="41">
        <f t="shared" ca="1" si="9"/>
        <v>-381453.66795367067</v>
      </c>
      <c r="L58" s="41" t="str">
        <f ca="1">IF($A58="","",IF(COUNTIFS(Dividends!$G:$G,"&gt;"&amp;INT($A57),Dividends!$G:$G,"&lt;="&amp;INT($A58))=0,"",$H$2*SUMIFS(Dividends!$H:$H,Dividends!$G:$G,"&gt;"&amp;INT($A57),Dividends!$G:$G,"&lt;="&amp;INT($A58))))</f>
        <v/>
      </c>
      <c r="M58" s="42">
        <f ca="1">IF(ISERROR(B58-2),"",C58+D58-F58-G58-K58+SUM($L$14:L58))</f>
        <v>6155.8909989746753</v>
      </c>
      <c r="O58" s="3">
        <v>46129.625</v>
      </c>
      <c r="P58" s="4">
        <v>91.4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>
        <f t="shared" si="0"/>
        <v>46129.625</v>
      </c>
      <c r="V58" s="3">
        <f t="shared" si="1"/>
        <v>46129.625</v>
      </c>
      <c r="W58" s="3">
        <v>46132.625</v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74">
        <v>45859</v>
      </c>
      <c r="AC58" s="4">
        <v>277.45800000000003</v>
      </c>
      <c r="AD58" s="6">
        <f t="shared" si="2"/>
        <v>45859</v>
      </c>
    </row>
    <row r="59" spans="1:35" x14ac:dyDescent="0.25">
      <c r="A59" s="37">
        <f t="shared" ca="1" si="3"/>
        <v>46114.625</v>
      </c>
      <c r="B59" s="38">
        <f ca="1">IF(COUNTIF($W$2:W1044,A59)=1,VLOOKUP(A59,O:P,2), IF(COUNTIF($W$2:W1044,A59)=0,$B$9,""))</f>
        <v>89.7</v>
      </c>
      <c r="C59" s="2">
        <f t="shared" ca="1" si="4"/>
        <v>-1292937.9133774245</v>
      </c>
      <c r="D59" s="41">
        <f t="shared" ca="1" si="5"/>
        <v>-143541.66666666666</v>
      </c>
      <c r="E59" s="38">
        <f ca="1">IF(COUNTIF($W$2:W1044,A59)=1,VLOOKUP(A59,Q:R,2), IF(COUNTIF($W$2:W1044,A59)=0,$C$9,""))</f>
        <v>99.484999999999999</v>
      </c>
      <c r="F59" s="2">
        <f t="shared" ca="1" si="6"/>
        <v>-287300.00000000099</v>
      </c>
      <c r="G59" s="41">
        <f t="shared" ca="1" si="7"/>
        <v>-664.73333333333721</v>
      </c>
      <c r="H59" s="38">
        <f ca="1">IF(COUNTIF($W$2:W1044,A59)=1,VLOOKUP(A59,S:T,2), IF(COUNTIF($W$2:W1044,A59)=0,$D$9,""))</f>
        <v>326.72000000000003</v>
      </c>
      <c r="I59" s="39">
        <f ca="1">IF(COUNTIF($X$2:X1044,INT(A59))=1,VLOOKUP(INT(A59),X:Y,2), IF(ISERROR(H59-2),"",I58*(1-$D$8*(H59-H58)*0.0001)))</f>
        <v>259.01429999999999</v>
      </c>
      <c r="J59" s="39">
        <f t="shared" ca="1" si="8"/>
        <v>259.01429999999999</v>
      </c>
      <c r="K59" s="41">
        <f t="shared" ca="1" si="9"/>
        <v>-365654.44015444181</v>
      </c>
      <c r="L59" s="41" t="str">
        <f ca="1">IF($A59="","",IF(COUNTIFS(Dividends!$G:$G,"&gt;"&amp;INT($A58),Dividends!$G:$G,"&lt;="&amp;INT($A59))=0,"",$H$2*SUMIFS(Dividends!$H:$H,Dividends!$G:$G,"&gt;"&amp;INT($A58),Dividends!$G:$G,"&lt;="&amp;INT($A59))))</f>
        <v/>
      </c>
      <c r="M59" s="42">
        <f ca="1">IF(ISERROR(B59-2),"",C59+D59-F59-G59-K59+SUM($L$14:L59))</f>
        <v>-37084.857164379908</v>
      </c>
      <c r="O59" s="3">
        <v>46132.625</v>
      </c>
      <c r="P59" s="4">
        <v>91.09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>
        <f t="shared" si="0"/>
        <v>46132.625</v>
      </c>
      <c r="V59" s="3">
        <f t="shared" si="1"/>
        <v>46132.625</v>
      </c>
      <c r="W59" s="3">
        <v>46133.625</v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74">
        <v>45860</v>
      </c>
      <c r="AC59" s="4">
        <v>279.55700000000002</v>
      </c>
      <c r="AD59" s="6">
        <f t="shared" si="2"/>
        <v>45860</v>
      </c>
    </row>
    <row r="60" spans="1:35" x14ac:dyDescent="0.25">
      <c r="A60" s="37">
        <f t="shared" ca="1" si="3"/>
        <v>46119.625</v>
      </c>
      <c r="B60" s="38">
        <f ca="1">IF(COUNTIF($W$2:W1045,A60)=1,VLOOKUP(A60,O:P,2), IF(COUNTIF($W$2:W1045,A60)=0,$B$9,""))</f>
        <v>89.6</v>
      </c>
      <c r="C60" s="2">
        <f t="shared" ca="1" si="4"/>
        <v>-1324941.3270748889</v>
      </c>
      <c r="D60" s="41">
        <f t="shared" ca="1" si="5"/>
        <v>-154583.33333333334</v>
      </c>
      <c r="E60" s="38">
        <f ca="1">IF(COUNTIF($W$2:W1045,A60)=1,VLOOKUP(A60,Q:R,2), IF(COUNTIF($W$2:W1045,A60)=0,$C$9,""))</f>
        <v>99.212999999999994</v>
      </c>
      <c r="F60" s="2">
        <f t="shared" ca="1" si="6"/>
        <v>-358020.00000000244</v>
      </c>
      <c r="G60" s="41">
        <f t="shared" ca="1" si="7"/>
        <v>-715.86666666666861</v>
      </c>
      <c r="H60" s="38">
        <f ca="1">IF(COUNTIF($W$2:W1045,A60)=1,VLOOKUP(A60,S:T,2), IF(COUNTIF($W$2:W1045,A60)=0,$D$9,""))</f>
        <v>333.96699999999998</v>
      </c>
      <c r="I60" s="39">
        <f ca="1">IF(COUNTIF($X$2:X1045,INT(A60))=1,VLOOKUP(INT(A60),X:Y,2), IF(ISERROR(H60-2),"",I59*(1-$D$8*(H60-H59)*0.0001)))</f>
        <v>258.06200000000001</v>
      </c>
      <c r="J60" s="39">
        <f t="shared" ca="1" si="8"/>
        <v>258.06200000000001</v>
      </c>
      <c r="K60" s="41">
        <f t="shared" ca="1" si="9"/>
        <v>-433063.06306306168</v>
      </c>
      <c r="L60" s="41" t="str">
        <f ca="1">IF($A60="","",IF(COUNTIFS(Dividends!$G:$G,"&gt;"&amp;INT($A59),Dividends!$G:$G,"&lt;="&amp;INT($A60))=0,"",$H$2*SUMIFS(Dividends!$H:$H,Dividends!$G:$G,"&gt;"&amp;INT($A59),Dividends!$G:$G,"&lt;="&amp;INT($A60))))</f>
        <v/>
      </c>
      <c r="M60" s="42">
        <f ca="1">IF(ISERROR(B60-2),"",C60+D60-F60-G60-K60+SUM($L$14:L60))</f>
        <v>58049.818713443703</v>
      </c>
      <c r="O60" s="3">
        <v>46133.625</v>
      </c>
      <c r="P60" s="4">
        <v>91.01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>
        <f t="shared" si="0"/>
        <v>46133.625</v>
      </c>
      <c r="V60" s="3">
        <f t="shared" si="1"/>
        <v>46133.625</v>
      </c>
      <c r="W60" s="3">
        <v>46134.625</v>
      </c>
      <c r="X60" s="3">
        <v>46126</v>
      </c>
      <c r="Y60" s="5">
        <v>264.6927</v>
      </c>
      <c r="Z60" s="3">
        <v>45861</v>
      </c>
      <c r="AA60" s="4">
        <v>240.6497</v>
      </c>
      <c r="AB60" s="74">
        <v>45861</v>
      </c>
      <c r="AC60" s="4">
        <v>273.14100000000002</v>
      </c>
      <c r="AD60" s="6">
        <f t="shared" si="2"/>
        <v>45861</v>
      </c>
    </row>
    <row r="61" spans="1:35" x14ac:dyDescent="0.25">
      <c r="A61" s="37">
        <f t="shared" ca="1" si="3"/>
        <v>46120.625</v>
      </c>
      <c r="B61" s="38">
        <f ca="1">IF(COUNTIF($W$2:W1046,A61)=1,VLOOKUP(A61,O:P,2), IF(COUNTIF($W$2:W1046,A61)=0,$B$9,""))</f>
        <v>90.56</v>
      </c>
      <c r="C61" s="2">
        <f t="shared" ca="1" si="4"/>
        <v>-1017708.5555792609</v>
      </c>
      <c r="D61" s="41">
        <f t="shared" ca="1" si="5"/>
        <v>-156791.66666666666</v>
      </c>
      <c r="E61" s="38">
        <f ca="1">IF(COUNTIF($W$2:W1046,A61)=1,VLOOKUP(A61,Q:R,2), IF(COUNTIF($W$2:W1046,A61)=0,$C$9,""))</f>
        <v>99.777000000000001</v>
      </c>
      <c r="F61" s="2">
        <f t="shared" ca="1" si="6"/>
        <v>-211380.00000000064</v>
      </c>
      <c r="G61" s="41">
        <f t="shared" ca="1" si="7"/>
        <v>-726.09333333332324</v>
      </c>
      <c r="H61" s="38">
        <f ca="1">IF(COUNTIF($W$2:W1046,A61)=1,VLOOKUP(A61,S:T,2), IF(COUNTIF($W$2:W1046,A61)=0,$D$9,""))</f>
        <v>301.61900000000003</v>
      </c>
      <c r="I61" s="39">
        <f ca="1">IF(COUNTIF($X$2:X1046,INT(A61))=1,VLOOKUP(INT(A61),X:Y,2), IF(ISERROR(H61-2),"",I60*(1-$D$8*(H61-H60)*0.0001)))</f>
        <v>262.38350000000003</v>
      </c>
      <c r="J61" s="39">
        <f t="shared" ca="1" si="8"/>
        <v>262.38350000000003</v>
      </c>
      <c r="K61" s="41">
        <f t="shared" ca="1" si="9"/>
        <v>-127165.37966537764</v>
      </c>
      <c r="L61" s="41" t="str">
        <f ca="1">IF($A61="","",IF(COUNTIFS(Dividends!$G:$G,"&gt;"&amp;INT($A60),Dividends!$G:$G,"&lt;="&amp;INT($A61))=0,"",$H$2*SUMIFS(Dividends!$H:$H,Dividends!$G:$G,"&gt;"&amp;INT($A60),Dividends!$G:$G,"&lt;="&amp;INT($A61))))</f>
        <v/>
      </c>
      <c r="M61" s="42">
        <f ca="1">IF(ISERROR(B61-2),"",C61+D61-F61-G61-K61+SUM($L$14:L61))</f>
        <v>-89453.199855280924</v>
      </c>
      <c r="O61" s="3">
        <v>46134.625</v>
      </c>
      <c r="P61" s="4">
        <v>90.94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>
        <f t="shared" si="0"/>
        <v>46134.625</v>
      </c>
      <c r="V61" s="3">
        <f t="shared" si="1"/>
        <v>46134.625</v>
      </c>
      <c r="W61" s="3">
        <v>46135.625</v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74">
        <v>45862</v>
      </c>
      <c r="AC61" s="4">
        <v>270.69799999999998</v>
      </c>
      <c r="AD61" s="6">
        <f t="shared" si="2"/>
        <v>45862</v>
      </c>
    </row>
    <row r="62" spans="1:35" x14ac:dyDescent="0.25">
      <c r="A62" s="37">
        <f t="shared" ca="1" si="3"/>
        <v>46121.625</v>
      </c>
      <c r="B62" s="38">
        <f ca="1">IF(COUNTIF($W$2:W1047,A62)=1,VLOOKUP(A62,O:P,2), IF(COUNTIF($W$2:W1047,A62)=0,$B$9,""))</f>
        <v>90.47</v>
      </c>
      <c r="C62" s="2">
        <f t="shared" ca="1" si="4"/>
        <v>-1046511.6279069752</v>
      </c>
      <c r="D62" s="41">
        <f t="shared" ca="1" si="5"/>
        <v>-159000</v>
      </c>
      <c r="E62" s="38">
        <f ca="1">IF(COUNTIF($W$2:W1047,A62)=1,VLOOKUP(A62,Q:R,2), IF(COUNTIF($W$2:W1047,A62)=0,$C$9,""))</f>
        <v>99.576999999999998</v>
      </c>
      <c r="F62" s="2">
        <f t="shared" ca="1" si="6"/>
        <v>-263380.00000000134</v>
      </c>
      <c r="G62" s="41">
        <f t="shared" ca="1" si="7"/>
        <v>-736.32000000000698</v>
      </c>
      <c r="H62" s="38">
        <f ca="1">IF(COUNTIF($W$2:W1047,A62)=1,VLOOKUP(A62,S:T,2), IF(COUNTIF($W$2:W1047,A62)=0,$D$9,""))</f>
        <v>299.79199999999997</v>
      </c>
      <c r="I62" s="39">
        <f ca="1">IF(COUNTIF($X$2:X1047,INT(A62))=1,VLOOKUP(INT(A62),X:Y,2), IF(ISERROR(H62-2),"",I61*(1-$D$8*(H62-H61)*0.0001)))</f>
        <v>263.26260000000002</v>
      </c>
      <c r="J62" s="39">
        <f t="shared" ca="1" si="8"/>
        <v>263.26260000000002</v>
      </c>
      <c r="K62" s="41">
        <f t="shared" ca="1" si="9"/>
        <v>-64938.223938223447</v>
      </c>
      <c r="L62" s="41" t="str">
        <f ca="1">IF($A62="","",IF(COUNTIFS(Dividends!$G:$G,"&gt;"&amp;INT($A61),Dividends!$G:$G,"&lt;="&amp;INT($A62))=0,"",$H$2*SUMIFS(Dividends!$H:$H,Dividends!$G:$G,"&gt;"&amp;INT($A61),Dividends!$G:$G,"&lt;="&amp;INT($A62))))</f>
        <v/>
      </c>
      <c r="M62" s="42">
        <f ca="1">IF(ISERROR(B62-2),"",C62+D62-F62-G62-K62+SUM($L$14:L62))</f>
        <v>-130681.53457681532</v>
      </c>
      <c r="O62" s="3">
        <v>46135.625</v>
      </c>
      <c r="P62" s="4">
        <v>90.99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>
        <f t="shared" si="0"/>
        <v>46135.625</v>
      </c>
      <c r="V62" s="3">
        <f t="shared" si="1"/>
        <v>46135.625</v>
      </c>
      <c r="W62" s="3">
        <v>46136.625</v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74">
        <v>45863</v>
      </c>
      <c r="AC62" s="4">
        <v>269.24400000000003</v>
      </c>
      <c r="AD62" s="6">
        <f t="shared" si="2"/>
        <v>45863</v>
      </c>
    </row>
    <row r="63" spans="1:35" x14ac:dyDescent="0.25">
      <c r="A63" s="37">
        <f t="shared" ca="1" si="3"/>
        <v>46122.625</v>
      </c>
      <c r="B63" s="38">
        <f ca="1">IF(COUNTIF($W$2:W1048,A63)=1,VLOOKUP(A63,O:P,2), IF(COUNTIF($W$2:W1048,A63)=0,$B$9,""))</f>
        <v>90.75</v>
      </c>
      <c r="C63" s="2">
        <f t="shared" ca="1" si="4"/>
        <v>-956902.06955408526</v>
      </c>
      <c r="D63" s="41">
        <f t="shared" ca="1" si="5"/>
        <v>-161208.33333333334</v>
      </c>
      <c r="E63" s="38">
        <f ca="1">IF(COUNTIF($W$2:W1048,A63)=1,VLOOKUP(A63,Q:R,2), IF(COUNTIF($W$2:W1048,A63)=0,$C$9,""))</f>
        <v>99.55</v>
      </c>
      <c r="F63" s="2">
        <f t="shared" ca="1" si="6"/>
        <v>-270400.00000000163</v>
      </c>
      <c r="G63" s="41">
        <f t="shared" ca="1" si="7"/>
        <v>-746.54666666667617</v>
      </c>
      <c r="H63" s="38">
        <f ca="1">IF(COUNTIF($W$2:W1048,A63)=1,VLOOKUP(A63,S:T,2), IF(COUNTIF($W$2:W1048,A63)=0,$D$9,""))</f>
        <v>291.34300000000002</v>
      </c>
      <c r="I63" s="39">
        <f ca="1">IF(COUNTIF($X$2:X1048,INT(A63))=1,VLOOKUP(INT(A63),X:Y,2), IF(ISERROR(H63-2),"",I62*(1-$D$8*(H63-H62)*0.0001)))</f>
        <v>263.29309999999998</v>
      </c>
      <c r="J63" s="39">
        <f t="shared" ca="1" si="8"/>
        <v>263.29309999999998</v>
      </c>
      <c r="K63" s="41">
        <f t="shared" ca="1" si="9"/>
        <v>-62779.279279281996</v>
      </c>
      <c r="L63" s="41" t="str">
        <f ca="1">IF($A63="","",IF(COUNTIFS(Dividends!$G:$G,"&gt;"&amp;INT($A62),Dividends!$G:$G,"&lt;="&amp;INT($A63))=0,"",$H$2*SUMIFS(Dividends!$H:$H,Dividends!$G:$G,"&gt;"&amp;INT($A62),Dividends!$G:$G,"&lt;="&amp;INT($A63))))</f>
        <v/>
      </c>
      <c r="M63" s="42">
        <f ca="1">IF(ISERROR(B63-2),"",C63+D63-F63-G63-K63+SUM($L$14:L63))</f>
        <v>-38409.02754953329</v>
      </c>
      <c r="O63" s="3">
        <v>46136.625</v>
      </c>
      <c r="P63" s="4">
        <v>90.93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>
        <f t="shared" si="0"/>
        <v>46136.625</v>
      </c>
      <c r="V63" s="3">
        <f t="shared" si="1"/>
        <v>46136.625</v>
      </c>
      <c r="W63" s="3">
        <v>46139.625</v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74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7">
        <f t="shared" ca="1" si="3"/>
        <v>46125.625</v>
      </c>
      <c r="B64" s="38">
        <f ca="1">IF(COUNTIF($W$2:W1049,A64)=1,VLOOKUP(A64,O:P,2), IF(COUNTIF($W$2:W1049,A64)=0,$B$9,""))</f>
        <v>90.46</v>
      </c>
      <c r="C64" s="2">
        <f t="shared" ca="1" si="4"/>
        <v>-1049711.9692767221</v>
      </c>
      <c r="D64" s="41">
        <f t="shared" ca="1" si="5"/>
        <v>-167833.33333333334</v>
      </c>
      <c r="E64" s="38">
        <f ca="1">IF(COUNTIF($W$2:W1049,A64)=1,VLOOKUP(A64,Q:R,2), IF(COUNTIF($W$2:W1049,A64)=0,$C$9,""))</f>
        <v>99.418000000000006</v>
      </c>
      <c r="F64" s="2">
        <f t="shared" ca="1" si="6"/>
        <v>-304719.99999999924</v>
      </c>
      <c r="G64" s="41">
        <f t="shared" ca="1" si="7"/>
        <v>-777.22666666665464</v>
      </c>
      <c r="H64" s="38">
        <f ca="1">IF(COUNTIF($W$2:W1049,A64)=1,VLOOKUP(A64,S:T,2), IF(COUNTIF($W$2:W1049,A64)=0,$D$9,""))</f>
        <v>294.25299999999999</v>
      </c>
      <c r="I64" s="39">
        <f ca="1">IF(COUNTIF($X$2:X1049,INT(A64))=1,VLOOKUP(INT(A64),X:Y,2), IF(ISERROR(H64-2),"",I63*(1-$D$8*(H64-H63)*0.0001)))</f>
        <v>263.03910000000002</v>
      </c>
      <c r="J64" s="39">
        <f t="shared" ca="1" si="8"/>
        <v>263.03910000000002</v>
      </c>
      <c r="K64" s="41">
        <f t="shared" ca="1" si="9"/>
        <v>-80758.687258685532</v>
      </c>
      <c r="L64" s="41" t="str">
        <f ca="1">IF($A64="","",IF(COUNTIFS(Dividends!$G:$G,"&gt;"&amp;INT($A63),Dividends!$G:$G,"&lt;="&amp;INT($A64))=0,"",$H$2*SUMIFS(Dividends!$H:$H,Dividends!$G:$G,"&gt;"&amp;INT($A63),Dividends!$G:$G,"&lt;="&amp;INT($A64))))</f>
        <v/>
      </c>
      <c r="M64" s="42">
        <f ca="1">IF(ISERROR(B64-2),"",C64+D64-F64-G64-K64+SUM($L$14:L64))</f>
        <v>-85513.839292768622</v>
      </c>
      <c r="O64" s="3">
        <v>46139.625</v>
      </c>
      <c r="P64" s="4">
        <v>90.97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>
        <f t="shared" si="0"/>
        <v>46139.625</v>
      </c>
      <c r="V64" s="3">
        <f t="shared" si="1"/>
        <v>46139.625</v>
      </c>
      <c r="W64" s="3">
        <v>46140.625</v>
      </c>
      <c r="X64" s="3">
        <v>46132</v>
      </c>
      <c r="Y64" s="5">
        <v>265.2414</v>
      </c>
      <c r="Z64" s="3">
        <v>45867</v>
      </c>
      <c r="AA64" s="19">
        <v>241.9485</v>
      </c>
      <c r="AB64" s="75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3"/>
      <c r="AI64" s="7"/>
    </row>
    <row r="65" spans="1:35" x14ac:dyDescent="0.25">
      <c r="A65" s="37">
        <f t="shared" ca="1" si="3"/>
        <v>46126.625</v>
      </c>
      <c r="B65" s="38">
        <f ca="1">IF(COUNTIF($W$2:W1050,A65)=1,VLOOKUP(A65,O:P,2), IF(COUNTIF($W$2:W1050,A65)=0,$B$9,""))</f>
        <v>90.75</v>
      </c>
      <c r="C65" s="2">
        <f t="shared" ca="1" si="4"/>
        <v>-956902.06955408526</v>
      </c>
      <c r="D65" s="41">
        <f t="shared" ca="1" si="5"/>
        <v>-170041.66666666666</v>
      </c>
      <c r="E65" s="38">
        <f ca="1">IF(COUNTIF($W$2:W1050,A65)=1,VLOOKUP(A65,Q:R,2), IF(COUNTIF($W$2:W1050,A65)=0,$C$9,""))</f>
        <v>99.619</v>
      </c>
      <c r="F65" s="2">
        <f t="shared" ca="1" si="6"/>
        <v>-252460.00000000093</v>
      </c>
      <c r="G65" s="41">
        <f t="shared" ca="1" si="7"/>
        <v>-787.45333333333838</v>
      </c>
      <c r="H65" s="38">
        <f ca="1">IF(COUNTIF($W$2:W1050,A65)=1,VLOOKUP(A65,S:T,2), IF(COUNTIF($W$2:W1050,A65)=0,$D$9,""))</f>
        <v>282.697</v>
      </c>
      <c r="I65" s="39">
        <f ca="1">IF(COUNTIF($X$2:X1050,INT(A65))=1,VLOOKUP(INT(A65),X:Y,2), IF(ISERROR(H65-2),"",I64*(1-$D$8*(H65-H64)*0.0001)))</f>
        <v>264.6927</v>
      </c>
      <c r="J65" s="39">
        <f t="shared" ca="1" si="8"/>
        <v>264.6927</v>
      </c>
      <c r="K65" s="41">
        <f t="shared" ca="1" si="9"/>
        <v>36291.505791503594</v>
      </c>
      <c r="L65" s="41" t="str">
        <f ca="1">IF($A65="","",IF(COUNTIFS(Dividends!$G:$G,"&gt;"&amp;INT($A64),Dividends!$G:$G,"&lt;="&amp;INT($A65))=0,"",$H$2*SUMIFS(Dividends!$H:$H,Dividends!$G:$G,"&gt;"&amp;INT($A64),Dividends!$G:$G,"&lt;="&amp;INT($A65))))</f>
        <v/>
      </c>
      <c r="M65" s="42">
        <f ca="1">IF(ISERROR(B65-2),"",C65+D65-F65-G65-K65+SUM($L$14:L65))</f>
        <v>-164212.23928698606</v>
      </c>
      <c r="O65" s="3">
        <v>46140.625</v>
      </c>
      <c r="P65" s="4">
        <v>90.69</v>
      </c>
      <c r="Q65" s="3">
        <v>46136.625</v>
      </c>
      <c r="R65" s="4">
        <v>99.637</v>
      </c>
      <c r="S65" s="3">
        <v>46136.625</v>
      </c>
      <c r="T65" s="4">
        <v>288.863</v>
      </c>
      <c r="U65" s="3">
        <f t="shared" si="0"/>
        <v>46140.625</v>
      </c>
      <c r="V65" s="3">
        <f t="shared" si="1"/>
        <v>46140.625</v>
      </c>
      <c r="W65" s="3">
        <v>46141.625</v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76">
        <v>45868</v>
      </c>
      <c r="AC65" s="20">
        <v>266.43200000000002</v>
      </c>
      <c r="AD65" s="6">
        <f t="shared" si="2"/>
        <v>45868</v>
      </c>
      <c r="AE65" s="20"/>
      <c r="AF65" s="20"/>
      <c r="AG65" s="20"/>
      <c r="AH65" s="20"/>
      <c r="AI65" s="7"/>
    </row>
    <row r="66" spans="1:35" x14ac:dyDescent="0.25">
      <c r="A66" s="37">
        <f t="shared" ca="1" si="3"/>
        <v>46127.625</v>
      </c>
      <c r="B66" s="38">
        <f ca="1">IF(COUNTIF($W$2:W1051,A66)=1,VLOOKUP(A66,O:P,2), IF(COUNTIF($W$2:W1051,A66)=0,$B$9,""))</f>
        <v>90.88</v>
      </c>
      <c r="C66" s="2">
        <f t="shared" ca="1" si="4"/>
        <v>-915297.63174738712</v>
      </c>
      <c r="D66" s="41">
        <f t="shared" ca="1" si="5"/>
        <v>-172250</v>
      </c>
      <c r="E66" s="38">
        <f ca="1">IF(COUNTIF($W$2:W1051,A66)=1,VLOOKUP(A66,Q:R,2), IF(COUNTIF($W$2:W1051,A66)=0,$C$9,""))</f>
        <v>99.653999999999996</v>
      </c>
      <c r="F66" s="2">
        <f t="shared" ca="1" si="6"/>
        <v>-243360.0000000018</v>
      </c>
      <c r="G66" s="41">
        <f t="shared" ca="1" si="7"/>
        <v>-797.68000000002212</v>
      </c>
      <c r="H66" s="38">
        <f ca="1">IF(COUNTIF($W$2:W1051,A66)=1,VLOOKUP(A66,S:T,2), IF(COUNTIF($W$2:W1051,A66)=0,$D$9,""))</f>
        <v>282.51900000000001</v>
      </c>
      <c r="I66" s="39">
        <f ca="1">IF(COUNTIF($X$2:X1051,INT(A66))=1,VLOOKUP(INT(A66),X:Y,2), IF(ISERROR(H66-2),"",I65*(1-$D$8*(H66-H65)*0.0001)))</f>
        <v>264.62900000000002</v>
      </c>
      <c r="J66" s="39">
        <f t="shared" ca="1" si="8"/>
        <v>264.62900000000002</v>
      </c>
      <c r="K66" s="41">
        <f t="shared" ca="1" si="9"/>
        <v>31782.496782496895</v>
      </c>
      <c r="L66" s="41" t="str">
        <f ca="1">IF($A66="","",IF(COUNTIFS(Dividends!$G:$G,"&gt;"&amp;INT($A65),Dividends!$G:$G,"&lt;="&amp;INT($A66))=0,"",$H$2*SUMIFS(Dividends!$H:$H,Dividends!$G:$G,"&gt;"&amp;INT($A65),Dividends!$G:$G,"&lt;="&amp;INT($A66))))</f>
        <v/>
      </c>
      <c r="M66" s="42">
        <f ca="1">IF(ISERROR(B66-2),"",C66+D66-F66-G66-K66+SUM($L$14:L66))</f>
        <v>-129396.89913794701</v>
      </c>
      <c r="O66" s="3">
        <v>46141.625</v>
      </c>
      <c r="P66" s="4">
        <v>90.76</v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>
        <f t="shared" si="0"/>
        <v>46141.625</v>
      </c>
      <c r="V66" s="3">
        <f t="shared" si="1"/>
        <v>46141.625</v>
      </c>
      <c r="W66" s="3">
        <v>46142.625</v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76">
        <v>45869</v>
      </c>
      <c r="AC66" s="20">
        <v>268.46899999999999</v>
      </c>
      <c r="AD66" s="6">
        <f t="shared" si="2"/>
        <v>45869</v>
      </c>
      <c r="AE66" s="20"/>
      <c r="AF66" s="20"/>
      <c r="AG66" s="20"/>
      <c r="AH66" s="20"/>
      <c r="AI66" s="7"/>
    </row>
    <row r="67" spans="1:35" x14ac:dyDescent="0.25">
      <c r="A67" s="37">
        <f t="shared" ca="1" si="3"/>
        <v>46128.625</v>
      </c>
      <c r="B67" s="38">
        <f ca="1">IF(COUNTIF($W$2:W1052,A67)=1,VLOOKUP(A67,O:P,2), IF(COUNTIF($W$2:W1052,A67)=0,$B$9,""))</f>
        <v>90.85</v>
      </c>
      <c r="C67" s="2">
        <f t="shared" ca="1" si="4"/>
        <v>-924898.65585662413</v>
      </c>
      <c r="D67" s="41">
        <f t="shared" ca="1" si="5"/>
        <v>-174458.33333333334</v>
      </c>
      <c r="E67" s="38">
        <f ca="1">IF(COUNTIF($W$2:W1052,A67)=1,VLOOKUP(A67,Q:R,2), IF(COUNTIF($W$2:W1052,A67)=0,$C$9,""))</f>
        <v>99.677000000000007</v>
      </c>
      <c r="F67" s="2">
        <f t="shared" ca="1" si="6"/>
        <v>-237379.99999999913</v>
      </c>
      <c r="G67" s="41">
        <f t="shared" ca="1" si="7"/>
        <v>-807.90666666667676</v>
      </c>
      <c r="H67" s="38">
        <f ca="1">IF(COUNTIF($W$2:W1052,A67)=1,VLOOKUP(A67,S:T,2), IF(COUNTIF($W$2:W1052,A67)=0,$D$9,""))</f>
        <v>286.733</v>
      </c>
      <c r="I67" s="39">
        <f ca="1">IF(COUNTIF($X$2:X1052,INT(A67))=1,VLOOKUP(INT(A67),X:Y,2), IF(ISERROR(H67-2),"",I66*(1-$D$8*(H67-H66)*0.0001)))</f>
        <v>264.24419999999998</v>
      </c>
      <c r="J67" s="39">
        <f t="shared" ca="1" si="8"/>
        <v>264.24419999999998</v>
      </c>
      <c r="K67" s="41">
        <f t="shared" ca="1" si="9"/>
        <v>4544.4015444009219</v>
      </c>
      <c r="L67" s="41" t="str">
        <f ca="1">IF($A67="","",IF(COUNTIFS(Dividends!$G:$G,"&gt;"&amp;INT($A66),Dividends!$G:$G,"&lt;="&amp;INT($A67))=0,"",$H$2*SUMIFS(Dividends!$H:$H,Dividends!$G:$G,"&gt;"&amp;INT($A66),Dividends!$G:$G,"&lt;="&amp;INT($A67))))</f>
        <v/>
      </c>
      <c r="M67" s="42">
        <f ca="1">IF(ISERROR(B67-2),"",C67+D67-F67-G67-K67+SUM($L$14:L67))</f>
        <v>-119937.93467575754</v>
      </c>
      <c r="O67" s="3">
        <v>46142.625</v>
      </c>
      <c r="P67" s="4">
        <v>90.81</v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>
        <f t="shared" si="0"/>
        <v>46142.625</v>
      </c>
      <c r="V67" s="3">
        <f t="shared" si="1"/>
        <v>46142.625</v>
      </c>
      <c r="W67" s="3">
        <v>46147.625</v>
      </c>
      <c r="X67" s="3">
        <v>46135</v>
      </c>
      <c r="Y67" s="5">
        <v>264.38159999999999</v>
      </c>
      <c r="Z67" s="3">
        <v>45870</v>
      </c>
      <c r="AA67" s="19">
        <v>240.1619</v>
      </c>
      <c r="AB67" s="76">
        <v>45870</v>
      </c>
      <c r="AC67" s="20">
        <v>279.928</v>
      </c>
      <c r="AD67" s="6">
        <f t="shared" si="2"/>
        <v>45870</v>
      </c>
      <c r="AE67" s="20"/>
      <c r="AF67" s="20"/>
      <c r="AG67" s="20"/>
      <c r="AH67" s="20"/>
      <c r="AI67" s="7"/>
    </row>
    <row r="68" spans="1:35" x14ac:dyDescent="0.25">
      <c r="A68" s="37">
        <f t="shared" ca="1" si="3"/>
        <v>46129.625</v>
      </c>
      <c r="B68" s="38">
        <f ca="1">IF(COUNTIF($W$2:W1053,A68)=1,VLOOKUP(A68,O:P,2), IF(COUNTIF($W$2:W1053,A68)=0,$B$9,""))</f>
        <v>91.4</v>
      </c>
      <c r="C68" s="2">
        <f t="shared" ca="1" si="4"/>
        <v>-748879.88052058429</v>
      </c>
      <c r="D68" s="41">
        <f t="shared" ca="1" si="5"/>
        <v>-176666.66666666666</v>
      </c>
      <c r="E68" s="38">
        <f ca="1">IF(COUNTIF($W$2:W1053,A68)=1,VLOOKUP(A68,Q:R,2), IF(COUNTIF($W$2:W1053,A68)=0,$C$9,""))</f>
        <v>99.953999999999994</v>
      </c>
      <c r="F68" s="2">
        <f t="shared" ca="1" si="6"/>
        <v>-165360.00000000259</v>
      </c>
      <c r="G68" s="41">
        <f t="shared" ca="1" si="7"/>
        <v>-818.13333333333139</v>
      </c>
      <c r="H68" s="38">
        <f ca="1">IF(COUNTIF($W$2:W1053,A68)=1,VLOOKUP(A68,S:T,2), IF(COUNTIF($W$2:W1053,A68)=0,$D$9,""))</f>
        <v>275.16800000000001</v>
      </c>
      <c r="I68" s="39">
        <f ca="1">IF(COUNTIF($X$2:X1053,INT(A68))=1,VLOOKUP(INT(A68),X:Y,2), IF(ISERROR(H68-2),"",I67*(1-$D$8*(H68-H67)*0.0001)))</f>
        <v>265.60180000000003</v>
      </c>
      <c r="J68" s="39">
        <f t="shared" ca="1" si="8"/>
        <v>265.60180000000003</v>
      </c>
      <c r="K68" s="41">
        <f t="shared" ca="1" si="9"/>
        <v>100642.21364221333</v>
      </c>
      <c r="L68" s="41" t="str">
        <f ca="1">IF($A68="","",IF(COUNTIFS(Dividends!$G:$G,"&gt;"&amp;INT($A67),Dividends!$G:$G,"&lt;="&amp;INT($A68))=0,"",$H$2*SUMIFS(Dividends!$H:$H,Dividends!$G:$G,"&gt;"&amp;INT($A67),Dividends!$G:$G,"&lt;="&amp;INT($A68))))</f>
        <v/>
      </c>
      <c r="M68" s="42">
        <f ca="1">IF(ISERROR(B68-2),"",C68+D68-F68-G68-K68+SUM($L$14:L68))</f>
        <v>-114235.07810419332</v>
      </c>
      <c r="O68" s="3">
        <v>46147.625</v>
      </c>
      <c r="P68" s="4">
        <v>90.89</v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>
        <f t="shared" ref="U68:U131" si="10">IF(COUNTIF(Q:Q,O68)*COUNTIF(S:S,O68),O68,"")</f>
        <v>46147.625</v>
      </c>
      <c r="V68" s="3">
        <f t="shared" ref="V68:V131" si="11">IF(U68&gt;$A$14,U68,"")</f>
        <v>46147.625</v>
      </c>
      <c r="W68" s="3">
        <v>46148.625</v>
      </c>
      <c r="X68" s="3">
        <v>46136</v>
      </c>
      <c r="Y68" s="5">
        <v>264.2679</v>
      </c>
      <c r="Z68" s="3">
        <v>45873</v>
      </c>
      <c r="AA68" s="19">
        <v>240.82929999999999</v>
      </c>
      <c r="AB68" s="76">
        <v>45873</v>
      </c>
      <c r="AC68" s="20">
        <v>275.71300000000002</v>
      </c>
      <c r="AD68" s="6">
        <f t="shared" ref="AD68:AD131" si="12">IF(COUNTIF(AB:AB,Z68),Z68,"")</f>
        <v>45873</v>
      </c>
      <c r="AE68" s="20"/>
      <c r="AF68" s="20"/>
      <c r="AG68" s="20"/>
      <c r="AH68" s="20"/>
      <c r="AI68" s="7"/>
    </row>
    <row r="69" spans="1:35" x14ac:dyDescent="0.25">
      <c r="A69" s="37">
        <f t="shared" ca="1" si="3"/>
        <v>46132.625</v>
      </c>
      <c r="B69" s="38">
        <f ca="1">IF(COUNTIF($W$2:W1054,A69)=1,VLOOKUP(A69,O:P,2), IF(COUNTIF($W$2:W1054,A69)=0,$B$9,""))</f>
        <v>91.09</v>
      </c>
      <c r="C69" s="2">
        <f t="shared" ca="1" si="4"/>
        <v>-848090.46298271464</v>
      </c>
      <c r="D69" s="41">
        <f t="shared" ca="1" si="5"/>
        <v>-183291.66666666666</v>
      </c>
      <c r="E69" s="38">
        <f ca="1">IF(COUNTIF($W$2:W1054,A69)=1,VLOOKUP(A69,Q:R,2), IF(COUNTIF($W$2:W1054,A69)=0,$C$9,""))</f>
        <v>99.831000000000003</v>
      </c>
      <c r="F69" s="2">
        <f t="shared" ca="1" si="6"/>
        <v>-197340.00000000009</v>
      </c>
      <c r="G69" s="41">
        <f t="shared" ca="1" si="7"/>
        <v>-848.81333333332441</v>
      </c>
      <c r="H69" s="38">
        <f ca="1">IF(COUNTIF($W$2:W1054,A69)=1,VLOOKUP(A69,S:T,2), IF(COUNTIF($W$2:W1054,A69)=0,$D$9,""))</f>
        <v>280.36399999999998</v>
      </c>
      <c r="I69" s="39">
        <f ca="1">IF(COUNTIF($X$2:X1054,INT(A69))=1,VLOOKUP(INT(A69),X:Y,2), IF(ISERROR(H69-2),"",I68*(1-$D$8*(H69-H68)*0.0001)))</f>
        <v>265.2414</v>
      </c>
      <c r="J69" s="39">
        <f t="shared" ca="1" si="8"/>
        <v>265.2414</v>
      </c>
      <c r="K69" s="41">
        <f t="shared" ca="1" si="9"/>
        <v>75131.274131274666</v>
      </c>
      <c r="L69" s="41" t="str">
        <f ca="1">IF($A69="","",IF(COUNTIFS(Dividends!$G:$G,"&gt;"&amp;INT($A68),Dividends!$G:$G,"&lt;="&amp;INT($A69))=0,"",$H$2*SUMIFS(Dividends!$H:$H,Dividends!$G:$G,"&gt;"&amp;INT($A68),Dividends!$G:$G,"&lt;="&amp;INT($A69))))</f>
        <v/>
      </c>
      <c r="M69" s="42">
        <f ca="1">IF(ISERROR(B69-2),"",C69+D69-F69-G69-K69+SUM($L$14:L69))</f>
        <v>-162549.04105538735</v>
      </c>
      <c r="O69" s="3">
        <v>46148.625</v>
      </c>
      <c r="P69" s="4">
        <v>91.41</v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>
        <f t="shared" si="10"/>
        <v>46148.625</v>
      </c>
      <c r="V69" s="3">
        <f t="shared" si="11"/>
        <v>46148.625</v>
      </c>
      <c r="W69" s="3">
        <v>46149.625</v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76">
        <v>45874</v>
      </c>
      <c r="AC69" s="20">
        <v>275.75200000000001</v>
      </c>
      <c r="AD69" s="6">
        <f t="shared" si="12"/>
        <v>45874</v>
      </c>
      <c r="AE69" s="20"/>
      <c r="AF69" s="20"/>
      <c r="AG69" s="20"/>
      <c r="AH69" s="20"/>
      <c r="AI69" s="7"/>
    </row>
    <row r="70" spans="1:35" x14ac:dyDescent="0.25">
      <c r="A70" s="37">
        <f t="shared" ca="1" si="3"/>
        <v>46133.625</v>
      </c>
      <c r="B70" s="38">
        <f ca="1">IF(COUNTIF($W$2:W1055,A70)=1,VLOOKUP(A70,O:P,2), IF(COUNTIF($W$2:W1055,A70)=0,$B$9,""))</f>
        <v>91.01</v>
      </c>
      <c r="C70" s="2">
        <f t="shared" ca="1" si="4"/>
        <v>-873693.19394068222</v>
      </c>
      <c r="D70" s="41">
        <f t="shared" ca="1" si="5"/>
        <v>-185500</v>
      </c>
      <c r="E70" s="38">
        <f ca="1">IF(COUNTIF($W$2:W1055,A70)=1,VLOOKUP(A70,Q:R,2), IF(COUNTIF($W$2:W1055,A70)=0,$C$9,""))</f>
        <v>99.707999999999998</v>
      </c>
      <c r="F70" s="2">
        <f t="shared" ca="1" si="6"/>
        <v>-229320.00000000131</v>
      </c>
      <c r="G70" s="41">
        <f t="shared" ca="1" si="7"/>
        <v>-859.04000000000815</v>
      </c>
      <c r="H70" s="38">
        <f ca="1">IF(COUNTIF($W$2:W1055,A70)=1,VLOOKUP(A70,S:T,2), IF(COUNTIF($W$2:W1055,A70)=0,$D$9,""))</f>
        <v>285.44799999999998</v>
      </c>
      <c r="I70" s="39">
        <f ca="1">IF(COUNTIF($X$2:X1055,INT(A70))=1,VLOOKUP(INT(A70),X:Y,2), IF(ISERROR(H70-2),"",I69*(1-$D$8*(H70-H69)*0.0001)))</f>
        <v>264.60359999999997</v>
      </c>
      <c r="J70" s="39">
        <f t="shared" ca="1" si="8"/>
        <v>264.60359999999997</v>
      </c>
      <c r="K70" s="41">
        <f t="shared" ca="1" si="9"/>
        <v>29984.555984555296</v>
      </c>
      <c r="L70" s="41" t="str">
        <f ca="1">IF($A70="","",IF(COUNTIFS(Dividends!$G:$G,"&gt;"&amp;INT($A69),Dividends!$G:$G,"&lt;="&amp;INT($A70))=0,"",$H$2*SUMIFS(Dividends!$H:$H,Dividends!$G:$G,"&gt;"&amp;INT($A69),Dividends!$G:$G,"&lt;="&amp;INT($A70))))</f>
        <v/>
      </c>
      <c r="M70" s="42">
        <f ca="1">IF(ISERROR(B70-2),"",C70+D70-F70-G70-K70+SUM($L$14:L70))</f>
        <v>-113223.16053330118</v>
      </c>
      <c r="O70" s="3">
        <v>46149.625</v>
      </c>
      <c r="P70" s="4">
        <v>91.39</v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>
        <f t="shared" si="10"/>
        <v>46149.625</v>
      </c>
      <c r="V70" s="3">
        <f t="shared" si="11"/>
        <v>46149.625</v>
      </c>
      <c r="W70" s="3">
        <v>46150.625</v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74">
        <v>45875</v>
      </c>
      <c r="AC70" s="4">
        <v>275.17599999999999</v>
      </c>
      <c r="AD70" s="6">
        <f t="shared" si="12"/>
        <v>45875</v>
      </c>
      <c r="AI70" s="7"/>
    </row>
    <row r="71" spans="1:35" x14ac:dyDescent="0.25">
      <c r="A71" s="37">
        <f t="shared" ca="1" si="3"/>
        <v>46134.625</v>
      </c>
      <c r="B71" s="38">
        <f ca="1">IF(COUNTIF($W$2:W1056,A71)=1,VLOOKUP(A71,O:P,2), IF(COUNTIF($W$2:W1056,A71)=0,$B$9,""))</f>
        <v>90.94</v>
      </c>
      <c r="C71" s="2">
        <f t="shared" ca="1" si="4"/>
        <v>-896095.58352890972</v>
      </c>
      <c r="D71" s="41">
        <f t="shared" ca="1" si="5"/>
        <v>-187708.33333333334</v>
      </c>
      <c r="E71" s="38">
        <f ca="1">IF(COUNTIF($W$2:W1056,A71)=1,VLOOKUP(A71,Q:R,2), IF(COUNTIF($W$2:W1056,A71)=0,$C$9,""))</f>
        <v>99.655000000000001</v>
      </c>
      <c r="F71" s="2">
        <f t="shared" ca="1" si="6"/>
        <v>-243100.00000000061</v>
      </c>
      <c r="G71" s="41">
        <f t="shared" ca="1" si="7"/>
        <v>-869.26666666666279</v>
      </c>
      <c r="H71" s="38">
        <f ca="1">IF(COUNTIF($W$2:W1056,A71)=1,VLOOKUP(A71,S:T,2), IF(COUNTIF($W$2:W1056,A71)=0,$D$9,""))</f>
        <v>285.53500000000003</v>
      </c>
      <c r="I71" s="39">
        <f ca="1">IF(COUNTIF($X$2:X1056,INT(A71))=1,VLOOKUP(INT(A71),X:Y,2), IF(ISERROR(H71-2),"",I70*(1-$D$8*(H71-H70)*0.0001)))</f>
        <v>264.55340000000001</v>
      </c>
      <c r="J71" s="39">
        <f t="shared" ca="1" si="8"/>
        <v>264.55340000000001</v>
      </c>
      <c r="K71" s="41">
        <f t="shared" ca="1" si="9"/>
        <v>26431.145431146819</v>
      </c>
      <c r="L71" s="41" t="str">
        <f ca="1">IF($A71="","",IF(COUNTIFS(Dividends!$G:$G,"&gt;"&amp;INT($A70),Dividends!$G:$G,"&lt;="&amp;INT($A71))=0,"",$H$2*SUMIFS(Dividends!$H:$H,Dividends!$G:$G,"&gt;"&amp;INT($A70),Dividends!$G:$G,"&lt;="&amp;INT($A71))))</f>
        <v/>
      </c>
      <c r="M71" s="42">
        <f ca="1">IF(ISERROR(B71-2),"",C71+D71-F71-G71-K71+SUM($L$14:L71))</f>
        <v>-120490.24623478751</v>
      </c>
      <c r="O71" s="3">
        <v>46150.625</v>
      </c>
      <c r="P71" s="4">
        <v>91.4</v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>
        <f t="shared" si="10"/>
        <v>46150.625</v>
      </c>
      <c r="V71" s="3">
        <f t="shared" si="11"/>
        <v>46150.625</v>
      </c>
      <c r="W71" s="3">
        <v>46153.625</v>
      </c>
      <c r="X71" s="3">
        <v>46141</v>
      </c>
      <c r="Y71" s="5">
        <v>263.29599999999999</v>
      </c>
      <c r="Z71" s="3">
        <v>45876</v>
      </c>
      <c r="AA71" s="4">
        <v>241.5027</v>
      </c>
      <c r="AB71" s="74">
        <v>45876</v>
      </c>
      <c r="AC71" s="4">
        <v>270.50400000000002</v>
      </c>
      <c r="AD71" s="6">
        <f t="shared" si="12"/>
        <v>45876</v>
      </c>
      <c r="AI71" s="7"/>
    </row>
    <row r="72" spans="1:35" x14ac:dyDescent="0.25">
      <c r="A72" s="37">
        <f t="shared" ca="1" si="3"/>
        <v>46135.625</v>
      </c>
      <c r="B72" s="38">
        <f ca="1">IF(COUNTIF($W$2:W1057,A72)=1,VLOOKUP(A72,O:P,2), IF(COUNTIF($W$2:W1057,A72)=0,$B$9,""))</f>
        <v>90.99</v>
      </c>
      <c r="C72" s="2">
        <f t="shared" ca="1" si="4"/>
        <v>-880093.87668017915</v>
      </c>
      <c r="D72" s="41">
        <f t="shared" ca="1" si="5"/>
        <v>-189916.66666666666</v>
      </c>
      <c r="E72" s="38">
        <f ca="1">IF(COUNTIF($W$2:W1057,A72)=1,VLOOKUP(A72,Q:R,2), IF(COUNTIF($W$2:W1057,A72)=0,$C$9,""))</f>
        <v>99.626999999999995</v>
      </c>
      <c r="F72" s="2">
        <f t="shared" ca="1" si="6"/>
        <v>-250380.00000000212</v>
      </c>
      <c r="G72" s="41">
        <f t="shared" ca="1" si="7"/>
        <v>-879.49333333334653</v>
      </c>
      <c r="H72" s="38">
        <f ca="1">IF(COUNTIF($W$2:W1057,A72)=1,VLOOKUP(A72,S:T,2), IF(COUNTIF($W$2:W1057,A72)=0,$D$9,""))</f>
        <v>284.40800000000002</v>
      </c>
      <c r="I72" s="39">
        <f ca="1">IF(COUNTIF($X$2:X1057,INT(A72))=1,VLOOKUP(INT(A72),X:Y,2), IF(ISERROR(H72-2),"",I71*(1-$D$8*(H72-H71)*0.0001)))</f>
        <v>264.38159999999999</v>
      </c>
      <c r="J72" s="39">
        <f t="shared" ca="1" si="8"/>
        <v>264.38159999999999</v>
      </c>
      <c r="K72" s="41">
        <f t="shared" ca="1" si="9"/>
        <v>14270.270270269635</v>
      </c>
      <c r="L72" s="41" t="str">
        <f ca="1">IF($A72="","",IF(COUNTIFS(Dividends!$G:$G,"&gt;"&amp;INT($A71),Dividends!$G:$G,"&lt;="&amp;INT($A72))=0,"",$H$2*SUMIFS(Dividends!$H:$H,Dividends!$G:$G,"&gt;"&amp;INT($A71),Dividends!$G:$G,"&lt;="&amp;INT($A72))))</f>
        <v/>
      </c>
      <c r="M72" s="42">
        <f ca="1">IF(ISERROR(B72-2),"",C72+D72-F72-G72-K72+SUM($L$14:L72))</f>
        <v>-87245.770891844761</v>
      </c>
      <c r="O72" s="3">
        <v>46153.625</v>
      </c>
      <c r="P72" s="4">
        <v>91.44</v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>
        <f t="shared" si="10"/>
        <v>46153.625</v>
      </c>
      <c r="V72" s="3">
        <f t="shared" si="11"/>
        <v>46153.625</v>
      </c>
      <c r="W72" s="3">
        <v>46154.625</v>
      </c>
      <c r="X72" s="3">
        <v>46142</v>
      </c>
      <c r="Y72" s="5">
        <v>263.72019999999998</v>
      </c>
      <c r="Z72" s="3">
        <v>45877</v>
      </c>
      <c r="AA72" s="4">
        <v>241.9376</v>
      </c>
      <c r="AB72" s="74">
        <v>45877</v>
      </c>
      <c r="AC72" s="4">
        <v>266.57299999999998</v>
      </c>
      <c r="AD72" s="6">
        <f t="shared" si="12"/>
        <v>45877</v>
      </c>
      <c r="AI72" s="7"/>
    </row>
    <row r="73" spans="1:35" x14ac:dyDescent="0.25">
      <c r="A73" s="37">
        <f t="shared" ca="1" si="3"/>
        <v>46136.625</v>
      </c>
      <c r="B73" s="38">
        <f ca="1">IF(COUNTIF($W$2:W1058,A73)=1,VLOOKUP(A73,O:P,2), IF(COUNTIF($W$2:W1058,A73)=0,$B$9,""))</f>
        <v>90.93</v>
      </c>
      <c r="C73" s="2">
        <f t="shared" ca="1" si="4"/>
        <v>-899295.92489865317</v>
      </c>
      <c r="D73" s="41">
        <f t="shared" ca="1" si="5"/>
        <v>-192125</v>
      </c>
      <c r="E73" s="38">
        <f ca="1">IF(COUNTIF($W$2:W1058,A73)=1,VLOOKUP(A73,Q:R,2), IF(COUNTIF($W$2:W1058,A73)=0,$C$9,""))</f>
        <v>99.637</v>
      </c>
      <c r="F73" s="2">
        <f t="shared" ca="1" si="6"/>
        <v>-247780.00000000079</v>
      </c>
      <c r="G73" s="41">
        <f t="shared" ca="1" si="7"/>
        <v>-889.72000000000116</v>
      </c>
      <c r="H73" s="38">
        <f ca="1">IF(COUNTIF($W$2:W1058,A73)=1,VLOOKUP(A73,S:T,2), IF(COUNTIF($W$2:W1058,A73)=0,$D$9,""))</f>
        <v>288.863</v>
      </c>
      <c r="I73" s="39">
        <f ca="1">IF(COUNTIF($X$2:X1058,INT(A73))=1,VLOOKUP(INT(A73),X:Y,2), IF(ISERROR(H73-2),"",I72*(1-$D$8*(H73-H72)*0.0001)))</f>
        <v>264.2679</v>
      </c>
      <c r="J73" s="39">
        <f t="shared" ca="1" si="8"/>
        <v>264.2679</v>
      </c>
      <c r="K73" s="41">
        <f t="shared" ca="1" si="9"/>
        <v>6222.0077220071616</v>
      </c>
      <c r="L73" s="41" t="str">
        <f ca="1">IF($A73="","",IF(COUNTIFS(Dividends!$G:$G,"&gt;"&amp;INT($A72),Dividends!$G:$G,"&lt;="&amp;INT($A73))=0,"",$H$2*SUMIFS(Dividends!$H:$H,Dividends!$G:$G,"&gt;"&amp;INT($A72),Dividends!$G:$G,"&lt;="&amp;INT($A73))))</f>
        <v/>
      </c>
      <c r="M73" s="42">
        <f ca="1">IF(ISERROR(B73-2),"",C73+D73-F73-G73-K73+SUM($L$14:L73))</f>
        <v>-103197.6632287245</v>
      </c>
      <c r="O73" s="3">
        <v>46154.625</v>
      </c>
      <c r="P73" s="4">
        <v>91.28</v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>
        <f t="shared" si="10"/>
        <v>46154.625</v>
      </c>
      <c r="V73" s="3">
        <f t="shared" si="11"/>
        <v>46154.625</v>
      </c>
      <c r="W73" s="3">
        <v>46155.625</v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74">
        <v>45880</v>
      </c>
      <c r="AC73" s="4">
        <v>265.935</v>
      </c>
      <c r="AD73" s="6">
        <f t="shared" si="12"/>
        <v>45880</v>
      </c>
      <c r="AI73" s="7"/>
    </row>
    <row r="74" spans="1:35" x14ac:dyDescent="0.25">
      <c r="A74" s="37">
        <f t="shared" ca="1" si="3"/>
        <v>46139.625</v>
      </c>
      <c r="B74" s="38">
        <f ca="1">IF(COUNTIF($W$2:W1059,A74)=1,VLOOKUP(A74,O:P,2), IF(COUNTIF($W$2:W1059,A74)=0,$B$9,""))</f>
        <v>90.97</v>
      </c>
      <c r="C74" s="2">
        <f t="shared" ca="1" si="4"/>
        <v>-886494.55941966933</v>
      </c>
      <c r="D74" s="41">
        <f t="shared" ca="1" si="5"/>
        <v>-198750</v>
      </c>
      <c r="E74" s="38">
        <f ca="1">IF(COUNTIF($W$2:W1059,A74)=1,VLOOKUP(A74,Q:R,2), IF(COUNTIF($W$2:W1059,A74)=0,$C$9,""))</f>
        <v>99.608000000000004</v>
      </c>
      <c r="F74" s="2">
        <f t="shared" ca="1" si="6"/>
        <v>-255319.99999999983</v>
      </c>
      <c r="G74" s="41">
        <f t="shared" ca="1" si="7"/>
        <v>-920.39999999999418</v>
      </c>
      <c r="H74" s="38">
        <f ca="1">IF(COUNTIF($W$2:W1059,A74)=1,VLOOKUP(A74,S:T,2), IF(COUNTIF($W$2:W1059,A74)=0,$D$9,""))</f>
        <v>289.209</v>
      </c>
      <c r="I74" s="39">
        <f ca="1">IF(COUNTIF($X$2:X1059,INT(A74))=1,VLOOKUP(INT(A74),X:Y,2), IF(ISERROR(H74-2),"",I73*(1-$D$8*(H74-H73)*0.0001)))</f>
        <v>264.16750000000002</v>
      </c>
      <c r="J74" s="39">
        <f t="shared" ca="1" si="8"/>
        <v>264.16750000000002</v>
      </c>
      <c r="K74" s="41">
        <f t="shared" ca="1" si="9"/>
        <v>-884.81338481186663</v>
      </c>
      <c r="L74" s="41" t="str">
        <f ca="1">IF($A74="","",IF(COUNTIFS(Dividends!$G:$G,"&gt;"&amp;INT($A73),Dividends!$G:$G,"&lt;="&amp;INT($A74))=0,"",$H$2*SUMIFS(Dividends!$H:$H,Dividends!$G:$G,"&gt;"&amp;INT($A73),Dividends!$G:$G,"&lt;="&amp;INT($A74))))</f>
        <v/>
      </c>
      <c r="M74" s="42">
        <f ca="1">IF(ISERROR(B74-2),"",C74+D74-F74-G74-K74+SUM($L$14:L74))</f>
        <v>-82343.796642922447</v>
      </c>
      <c r="O74" s="3">
        <v>46155.625</v>
      </c>
      <c r="P74" s="4">
        <v>91.31</v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>
        <f t="shared" si="10"/>
        <v>46155.625</v>
      </c>
      <c r="V74" s="3">
        <f t="shared" si="11"/>
        <v>46155.625</v>
      </c>
      <c r="W74" s="3">
        <v>46156.625</v>
      </c>
      <c r="X74" s="3">
        <v>46147</v>
      </c>
      <c r="Y74" s="5">
        <v>264.5573</v>
      </c>
      <c r="Z74" s="3">
        <v>45881</v>
      </c>
      <c r="AA74" s="4">
        <v>242.30109999999999</v>
      </c>
      <c r="AB74" s="74">
        <v>45881</v>
      </c>
      <c r="AC74" s="4">
        <v>263.49</v>
      </c>
      <c r="AD74" s="6">
        <f t="shared" si="12"/>
        <v>45881</v>
      </c>
      <c r="AI74" s="7"/>
    </row>
    <row r="75" spans="1:35" x14ac:dyDescent="0.25">
      <c r="A75" s="37">
        <f t="shared" ca="1" si="3"/>
        <v>46140.625</v>
      </c>
      <c r="B75" s="38">
        <f ca="1">IF(COUNTIF($W$2:W1060,A75)=1,VLOOKUP(A75,O:P,2), IF(COUNTIF($W$2:W1060,A75)=0,$B$9,""))</f>
        <v>90.69</v>
      </c>
      <c r="C75" s="2">
        <f t="shared" ca="1" si="4"/>
        <v>-976104.11777256266</v>
      </c>
      <c r="D75" s="41">
        <f t="shared" ca="1" si="5"/>
        <v>-200958.33333333331</v>
      </c>
      <c r="E75" s="38">
        <f ca="1">IF(COUNTIF($W$2:W1060,A75)=1,VLOOKUP(A75,Q:R,2), IF(COUNTIF($W$2:W1060,A75)=0,$C$9,""))</f>
        <v>99.456000000000003</v>
      </c>
      <c r="F75" s="2">
        <f t="shared" ca="1" si="6"/>
        <v>-294840.00000000006</v>
      </c>
      <c r="G75" s="41">
        <f t="shared" ca="1" si="7"/>
        <v>-930.62666666667792</v>
      </c>
      <c r="H75" s="38">
        <f ca="1">IF(COUNTIF($W$2:W1060,A75)=1,VLOOKUP(A75,S:T,2), IF(COUNTIF($W$2:W1060,A75)=0,$D$9,""))</f>
        <v>291.65699999999998</v>
      </c>
      <c r="I75" s="39">
        <f ca="1">IF(COUNTIF($X$2:X1060,INT(A75))=1,VLOOKUP(INT(A75),X:Y,2), IF(ISERROR(H75-2),"",I74*(1-$D$8*(H75-H74)*0.0001)))</f>
        <v>263.87139999999999</v>
      </c>
      <c r="J75" s="39">
        <f t="shared" ca="1" si="8"/>
        <v>263.87139999999999</v>
      </c>
      <c r="K75" s="41">
        <f t="shared" ca="1" si="9"/>
        <v>-21844.272844273248</v>
      </c>
      <c r="L75" s="41" t="str">
        <f ca="1">IF($A75="","",IF(COUNTIFS(Dividends!$G:$G,"&gt;"&amp;INT($A74),Dividends!$G:$G,"&lt;="&amp;INT($A75))=0,"",$H$2*SUMIFS(Dividends!$H:$H,Dividends!$G:$G,"&gt;"&amp;INT($A74),Dividends!$G:$G,"&lt;="&amp;INT($A75))))</f>
        <v/>
      </c>
      <c r="M75" s="42">
        <f ca="1">IF(ISERROR(B75-2),"",C75+D75-F75-G75-K75+SUM($L$14:L75))</f>
        <v>-113672.00220302085</v>
      </c>
      <c r="O75" s="3">
        <v>46156.625</v>
      </c>
      <c r="P75" s="4">
        <v>91.4</v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>
        <f t="shared" si="10"/>
        <v>46156.625</v>
      </c>
      <c r="V75" s="3">
        <f t="shared" si="11"/>
        <v>46156.625</v>
      </c>
      <c r="W75" s="3">
        <v>46157.625</v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74">
        <v>45882</v>
      </c>
      <c r="AC75" s="4">
        <v>261.18700000000001</v>
      </c>
      <c r="AD75" s="6">
        <f t="shared" si="12"/>
        <v>45882</v>
      </c>
      <c r="AI75" s="7"/>
    </row>
    <row r="76" spans="1:35" x14ac:dyDescent="0.25">
      <c r="A76" s="37">
        <f t="shared" ca="1" si="3"/>
        <v>46141.625</v>
      </c>
      <c r="B76" s="38">
        <f ca="1">IF(COUNTIF($W$2:W1061,A76)=1,VLOOKUP(A76,O:P,2), IF(COUNTIF($W$2:W1061,A76)=0,$B$9,""))</f>
        <v>90.76</v>
      </c>
      <c r="C76" s="2">
        <f t="shared" ca="1" si="4"/>
        <v>-953701.72818433517</v>
      </c>
      <c r="D76" s="41">
        <f t="shared" ca="1" si="5"/>
        <v>-203166.66666666663</v>
      </c>
      <c r="E76" s="38">
        <f ca="1">IF(COUNTIF($W$2:W1061,A76)=1,VLOOKUP(A76,Q:R,2), IF(COUNTIF($W$2:W1061,A76)=0,$C$9,""))</f>
        <v>99.296000000000006</v>
      </c>
      <c r="F76" s="2">
        <f t="shared" ca="1" si="6"/>
        <v>-336439.99999999919</v>
      </c>
      <c r="G76" s="41">
        <f t="shared" ca="1" si="7"/>
        <v>-940.85333333333256</v>
      </c>
      <c r="H76" s="38">
        <f ca="1">IF(COUNTIF($W$2:W1061,A76)=1,VLOOKUP(A76,S:T,2), IF(COUNTIF($W$2:W1061,A76)=0,$D$9,""))</f>
        <v>294.57900000000001</v>
      </c>
      <c r="I76" s="39">
        <f ca="1">IF(COUNTIF($X$2:X1061,INT(A76))=1,VLOOKUP(INT(A76),X:Y,2), IF(ISERROR(H76-2),"",I75*(1-$D$8*(H76-H75)*0.0001)))</f>
        <v>263.29599999999999</v>
      </c>
      <c r="J76" s="39">
        <f t="shared" ca="1" si="8"/>
        <v>263.29599999999999</v>
      </c>
      <c r="K76" s="41">
        <f t="shared" ca="1" si="9"/>
        <v>-62574.002574003418</v>
      </c>
      <c r="L76" s="41" t="str">
        <f ca="1">IF($A76="","",IF(COUNTIFS(Dividends!$G:$G,"&gt;"&amp;INT($A75),Dividends!$G:$G,"&lt;="&amp;INT($A76))=0,"",$H$2*SUMIFS(Dividends!$H:$H,Dividends!$G:$G,"&gt;"&amp;INT($A75),Dividends!$G:$G,"&lt;="&amp;INT($A76))))</f>
        <v/>
      </c>
      <c r="M76" s="42">
        <f ca="1">IF(ISERROR(B76-2),"",C76+D76-F76-G76-K76+SUM($L$14:L76))</f>
        <v>-11137.989551730803</v>
      </c>
      <c r="O76" s="3">
        <v>46157.625</v>
      </c>
      <c r="P76" s="4">
        <v>91.28</v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>
        <f t="shared" si="10"/>
        <v>46157.625</v>
      </c>
      <c r="V76" s="3">
        <f t="shared" si="11"/>
        <v>46157.625</v>
      </c>
      <c r="W76" s="3">
        <v>46160.625</v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74">
        <v>45883</v>
      </c>
      <c r="AC76" s="4">
        <v>260.53300000000002</v>
      </c>
      <c r="AD76" s="6">
        <f t="shared" si="12"/>
        <v>45883</v>
      </c>
      <c r="AI76" s="7"/>
    </row>
    <row r="77" spans="1:35" x14ac:dyDescent="0.25">
      <c r="A77" s="37">
        <f t="shared" ca="1" si="3"/>
        <v>46142.625</v>
      </c>
      <c r="B77" s="38">
        <f ca="1">IF(COUNTIF($W$2:W1062,A77)=1,VLOOKUP(A77,O:P,2), IF(COUNTIF($W$2:W1062,A77)=0,$B$9,""))</f>
        <v>90.81</v>
      </c>
      <c r="C77" s="2">
        <f t="shared" ca="1" si="4"/>
        <v>-937700.02133560798</v>
      </c>
      <c r="D77" s="41">
        <f t="shared" ca="1" si="5"/>
        <v>-205375.00000000003</v>
      </c>
      <c r="E77" s="38">
        <f ca="1">IF(COUNTIF($W$2:W1062,A77)=1,VLOOKUP(A77,Q:R,2), IF(COUNTIF($W$2:W1062,A77)=0,$C$9,""))</f>
        <v>99.435000000000002</v>
      </c>
      <c r="F77" s="2">
        <f t="shared" ca="1" si="6"/>
        <v>-300300.00000000029</v>
      </c>
      <c r="G77" s="41">
        <f t="shared" ca="1" si="7"/>
        <v>-951.0800000000163</v>
      </c>
      <c r="H77" s="38">
        <f ca="1">IF(COUNTIF($W$2:W1062,A77)=1,VLOOKUP(A77,S:T,2), IF(COUNTIF($W$2:W1062,A77)=0,$D$9,""))</f>
        <v>292.42099999999999</v>
      </c>
      <c r="I77" s="39">
        <f ca="1">IF(COUNTIF($X$2:X1062,INT(A77))=1,VLOOKUP(INT(A77),X:Y,2), IF(ISERROR(H77-2),"",I76*(1-$D$8*(H77-H76)*0.0001)))</f>
        <v>263.72019999999998</v>
      </c>
      <c r="J77" s="39">
        <f t="shared" ca="1" si="8"/>
        <v>263.72019999999998</v>
      </c>
      <c r="K77" s="41">
        <f t="shared" ca="1" si="9"/>
        <v>-32546.975546977552</v>
      </c>
      <c r="L77" s="41" t="str">
        <f ca="1">IF($A77="","",IF(COUNTIFS(Dividends!$G:$G,"&gt;"&amp;INT($A76),Dividends!$G:$G,"&lt;="&amp;INT($A77))=0,"",$H$2*SUMIFS(Dividends!$H:$H,Dividends!$G:$G,"&gt;"&amp;INT($A76),Dividends!$G:$G,"&lt;="&amp;INT($A77))))</f>
        <v/>
      </c>
      <c r="M77" s="42">
        <f ca="1">IF(ISERROR(B77-2),"",C77+D77-F77-G77-K77+SUM($L$14:L77))</f>
        <v>-63501.416396695073</v>
      </c>
      <c r="O77" s="3">
        <v>46160.625</v>
      </c>
      <c r="P77" s="4">
        <v>91.22</v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>
        <f t="shared" si="10"/>
        <v>46160.625</v>
      </c>
      <c r="V77" s="3">
        <f t="shared" si="11"/>
        <v>46160.625</v>
      </c>
      <c r="W77" s="3">
        <v>46161.625</v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74">
        <v>45884</v>
      </c>
      <c r="AC77" s="4">
        <v>259.50799999999998</v>
      </c>
      <c r="AD77" s="6">
        <f t="shared" si="12"/>
        <v>45884</v>
      </c>
      <c r="AI77" s="7"/>
    </row>
    <row r="78" spans="1:35" x14ac:dyDescent="0.25">
      <c r="A78" s="37">
        <f t="shared" ca="1" si="3"/>
        <v>46147.625</v>
      </c>
      <c r="B78" s="38">
        <f ca="1">IF(COUNTIF($W$2:W1063,A78)=1,VLOOKUP(A78,O:P,2), IF(COUNTIF($W$2:W1063,A78)=0,$B$9,""))</f>
        <v>90.89</v>
      </c>
      <c r="C78" s="2">
        <f t="shared" ca="1" si="4"/>
        <v>-912097.29037763702</v>
      </c>
      <c r="D78" s="41">
        <f t="shared" ca="1" si="5"/>
        <v>-216416.66666666663</v>
      </c>
      <c r="E78" s="38">
        <f ca="1">IF(COUNTIF($W$2:W1063,A78)=1,VLOOKUP(A78,Q:R,2), IF(COUNTIF($W$2:W1063,A78)=0,$C$9,""))</f>
        <v>99.343000000000004</v>
      </c>
      <c r="F78" s="2">
        <f t="shared" ca="1" si="6"/>
        <v>-324219.99999999994</v>
      </c>
      <c r="G78" s="41">
        <f t="shared" ca="1" si="7"/>
        <v>-1002.2133333333477</v>
      </c>
      <c r="H78" s="38">
        <f ca="1">IF(COUNTIF($W$2:W1063,A78)=1,VLOOKUP(A78,S:T,2), IF(COUNTIF($W$2:W1063,A78)=0,$D$9,""))</f>
        <v>287.88900000000001</v>
      </c>
      <c r="I78" s="39">
        <f ca="1">IF(COUNTIF($X$2:X1063,INT(A78))=1,VLOOKUP(INT(A78),X:Y,2), IF(ISERROR(H78-2),"",I77*(1-$D$8*(H78-H77)*0.0001)))</f>
        <v>264.5573</v>
      </c>
      <c r="J78" s="39">
        <f t="shared" ca="1" si="8"/>
        <v>264.5573</v>
      </c>
      <c r="K78" s="41">
        <f t="shared" ca="1" si="9"/>
        <v>26707.207207207604</v>
      </c>
      <c r="L78" s="41" t="str">
        <f ca="1">IF($A78="","",IF(COUNTIFS(Dividends!$G:$G,"&gt;"&amp;INT($A77),Dividends!$G:$G,"&lt;="&amp;INT($A78))=0,"",$H$2*SUMIFS(Dividends!$H:$H,Dividends!$G:$G,"&gt;"&amp;INT($A77),Dividends!$G:$G,"&lt;="&amp;INT($A78))))</f>
        <v/>
      </c>
      <c r="M78" s="42">
        <f ca="1">IF(ISERROR(B78-2),"",C78+D78-F78-G78-K78+SUM($L$14:L78))</f>
        <v>-84223.401526242727</v>
      </c>
      <c r="O78" s="3">
        <v>46161.625</v>
      </c>
      <c r="P78" s="4">
        <v>90.83</v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>
        <f t="shared" si="10"/>
        <v>46161.625</v>
      </c>
      <c r="V78" s="3">
        <f t="shared" si="11"/>
        <v>46161.625</v>
      </c>
      <c r="W78" s="3">
        <v>46162.625</v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74">
        <v>45887</v>
      </c>
      <c r="AC78" s="4">
        <v>259.964</v>
      </c>
      <c r="AD78" s="6">
        <f t="shared" si="12"/>
        <v>45887</v>
      </c>
    </row>
    <row r="79" spans="1:35" x14ac:dyDescent="0.25">
      <c r="A79" s="37">
        <f t="shared" ref="A79:A142" ca="1" si="13">IF(AND(ISBLANK(W68), A78 = $W$1),NOW(),IF(ISBLANK(W68),"",W68))</f>
        <v>46148.625</v>
      </c>
      <c r="B79" s="38">
        <f ca="1">IF(COUNTIF($W$2:W1064,A79)=1,VLOOKUP(A79,O:P,2), IF(COUNTIF($W$2:W1064,A79)=0,$B$9,""))</f>
        <v>91.41</v>
      </c>
      <c r="C79" s="2">
        <f t="shared" ca="1" si="4"/>
        <v>-745679.53915084084</v>
      </c>
      <c r="D79" s="41">
        <f t="shared" ca="1" si="5"/>
        <v>-218625.00000000003</v>
      </c>
      <c r="E79" s="38">
        <f ca="1">IF(COUNTIF($W$2:W1064,A79)=1,VLOOKUP(A79,Q:R,2), IF(COUNTIF($W$2:W1064,A79)=0,$C$9,""))</f>
        <v>99.63</v>
      </c>
      <c r="F79" s="2">
        <f t="shared" ca="1" si="6"/>
        <v>-249600.00000000207</v>
      </c>
      <c r="G79" s="41">
        <f t="shared" ca="1" si="7"/>
        <v>-1012.4400000000023</v>
      </c>
      <c r="H79" s="38">
        <f ca="1">IF(COUNTIF($W$2:W1064,A79)=1,VLOOKUP(A79,S:T,2), IF(COUNTIF($W$2:W1064,A79)=0,$D$9,""))</f>
        <v>275.09699999999998</v>
      </c>
      <c r="I79" s="39">
        <f ca="1">IF(COUNTIF($X$2:X1064,INT(A79))=1,VLOOKUP(INT(A79),X:Y,2), IF(ISERROR(H79-2),"",I78*(1-$D$8*(H79-H78)*0.0001)))</f>
        <v>266.11750000000001</v>
      </c>
      <c r="J79" s="39">
        <f t="shared" ca="1" si="8"/>
        <v>266.11750000000001</v>
      </c>
      <c r="K79" s="41">
        <f t="shared" ca="1" si="9"/>
        <v>137146.07464607395</v>
      </c>
      <c r="L79" s="41" t="str">
        <f ca="1">IF($A79="","",IF(COUNTIFS(Dividends!$G:$G,"&gt;"&amp;INT($A78),Dividends!$G:$G,"&lt;="&amp;INT($A79))=0,"",$H$2*SUMIFS(Dividends!$H:$H,Dividends!$G:$G,"&gt;"&amp;INT($A78),Dividends!$G:$G,"&lt;="&amp;INT($A79))))</f>
        <v/>
      </c>
      <c r="M79" s="42">
        <f ca="1">IF(ISERROR(B79-2),"",C79+D79-F79-G79-K79+SUM($L$14:L79))</f>
        <v>-105062.62440497766</v>
      </c>
      <c r="O79" s="3">
        <v>46162.625</v>
      </c>
      <c r="P79" s="4">
        <v>91.06</v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>
        <f t="shared" si="10"/>
        <v>46162.625</v>
      </c>
      <c r="V79" s="3">
        <f t="shared" si="11"/>
        <v>46162.625</v>
      </c>
      <c r="W79" s="3">
        <v>46163.625</v>
      </c>
      <c r="X79" s="3">
        <v>46154</v>
      </c>
      <c r="Y79" s="5">
        <v>265.19240000000002</v>
      </c>
      <c r="Z79" s="3">
        <v>45888</v>
      </c>
      <c r="AA79" s="4">
        <v>242.8905</v>
      </c>
      <c r="AB79" s="74">
        <v>45888</v>
      </c>
      <c r="AC79" s="4">
        <v>260.928</v>
      </c>
      <c r="AD79" s="6">
        <f t="shared" si="12"/>
        <v>45888</v>
      </c>
    </row>
    <row r="80" spans="1:35" x14ac:dyDescent="0.25">
      <c r="A80" s="37">
        <f t="shared" ca="1" si="13"/>
        <v>46149.625</v>
      </c>
      <c r="B80" s="38">
        <f ca="1">IF(COUNTIF($W$2:W1065,A80)=1,VLOOKUP(A80,O:P,2), IF(COUNTIF($W$2:W1065,A80)=0,$B$9,""))</f>
        <v>91.39</v>
      </c>
      <c r="C80" s="2">
        <f t="shared" ref="C80:C143" ca="1" si="14">IF(ISERROR(B80-2),"",(B80/$B$14-1)*$B$5)</f>
        <v>-752080.22189033439</v>
      </c>
      <c r="D80" s="41">
        <f t="shared" ref="D80:D143" ca="1" si="15">IF(ISERROR(B80-2),"",-1*(INT(A80)-INT($A$14))/360*$B$7*$B$5)</f>
        <v>-220833.33333333331</v>
      </c>
      <c r="E80" s="38">
        <f ca="1">IF(COUNTIF($W$2:W1065,A80)=1,VLOOKUP(A80,Q:R,2), IF(COUNTIF($W$2:W1065,A80)=0,$C$9,""))</f>
        <v>99.650999999999996</v>
      </c>
      <c r="F80" s="2">
        <f t="shared" ref="F80:F143" ca="1" si="16">IF(ISERROR(B80-2),"",(E80-$E$14)/100*$C$5)</f>
        <v>-244140.00000000186</v>
      </c>
      <c r="G80" s="41">
        <f t="shared" ref="G80:G143" ca="1" si="17">IF(ISERROR(B80-2),"",(INT(A80)-INT($A$14))/360*$C$6*$C$5-(INT(A80)-INT($A$14))/360*$C$7*$C$5*$E$14/100)</f>
        <v>-1022.666666666657</v>
      </c>
      <c r="H80" s="38">
        <f ca="1">IF(COUNTIF($W$2:W1065,A80)=1,VLOOKUP(A80,S:T,2), IF(COUNTIF($W$2:W1065,A80)=0,$D$9,""))</f>
        <v>275.04599999999999</v>
      </c>
      <c r="I80" s="39">
        <f ca="1">IF(COUNTIF($X$2:X1065,INT(A80))=1,VLOOKUP(INT(A80),X:Y,2), IF(ISERROR(H80-2),"",I79*(1-$D$8*(H80-H79)*0.0001)))</f>
        <v>265.79050000000001</v>
      </c>
      <c r="J80" s="39">
        <f t="shared" ref="J80:J143" ca="1" si="18">IF(ISERROR(H80-2),"",I80)</f>
        <v>265.79050000000001</v>
      </c>
      <c r="K80" s="41">
        <f t="shared" ref="K80:K143" ca="1" si="19">IF(ISERROR(H80-2),"",(J80/$J$14-1)*$D$5)</f>
        <v>113999.35649935532</v>
      </c>
      <c r="L80" s="41" t="str">
        <f ca="1">IF($A80="","",IF(COUNTIFS(Dividends!$G:$G,"&gt;"&amp;INT($A79),Dividends!$G:$G,"&lt;="&amp;INT($A80))=0,"",$H$2*SUMIFS(Dividends!$H:$H,Dividends!$G:$G,"&gt;"&amp;INT($A79),Dividends!$G:$G,"&lt;="&amp;INT($A80))))</f>
        <v/>
      </c>
      <c r="M80" s="42">
        <f ca="1">IF(ISERROR(B80-2),"",C80+D80-F80-G80-K80+SUM($L$14:L80))</f>
        <v>-95974.695664419443</v>
      </c>
      <c r="O80" s="3">
        <v>46163.625</v>
      </c>
      <c r="P80" s="4">
        <v>91.15</v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>
        <f t="shared" si="10"/>
        <v>46163.625</v>
      </c>
      <c r="V80" s="3">
        <f t="shared" si="11"/>
        <v>46163.625</v>
      </c>
      <c r="W80" s="3">
        <v>46164.625</v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74">
        <v>45889</v>
      </c>
      <c r="AC80" s="4">
        <v>265.03500000000003</v>
      </c>
      <c r="AD80" s="6">
        <f t="shared" si="12"/>
        <v>45889</v>
      </c>
    </row>
    <row r="81" spans="1:30" x14ac:dyDescent="0.25">
      <c r="A81" s="37">
        <f t="shared" ca="1" si="13"/>
        <v>46150.625</v>
      </c>
      <c r="B81" s="38">
        <f ca="1">IF(COUNTIF($W$2:W1066,A81)=1,VLOOKUP(A81,O:P,2), IF(COUNTIF($W$2:W1066,A81)=0,$B$9,""))</f>
        <v>91.4</v>
      </c>
      <c r="C81" s="2">
        <f t="shared" ca="1" si="14"/>
        <v>-748879.88052058429</v>
      </c>
      <c r="D81" s="41">
        <f t="shared" ca="1" si="15"/>
        <v>-223041.66666666666</v>
      </c>
      <c r="E81" s="38">
        <f ca="1">IF(COUNTIF($W$2:W1066,A81)=1,VLOOKUP(A81,Q:R,2), IF(COUNTIF($W$2:W1066,A81)=0,$C$9,""))</f>
        <v>99.58</v>
      </c>
      <c r="F81" s="2">
        <f t="shared" ca="1" si="16"/>
        <v>-262600.00000000134</v>
      </c>
      <c r="G81" s="41">
        <f t="shared" ca="1" si="17"/>
        <v>-1032.8933333333407</v>
      </c>
      <c r="H81" s="38">
        <f ca="1">IF(COUNTIF($W$2:W1066,A81)=1,VLOOKUP(A81,S:T,2), IF(COUNTIF($W$2:W1066,A81)=0,$D$9,""))</f>
        <v>277.74599999999998</v>
      </c>
      <c r="I81" s="39">
        <f ca="1">IF(COUNTIF($X$2:X1066,INT(A81))=1,VLOOKUP(INT(A81),X:Y,2), IF(ISERROR(H81-2),"",I80*(1-$D$8*(H81-H80)*0.0001)))</f>
        <v>265.83870000000002</v>
      </c>
      <c r="J81" s="39">
        <f t="shared" ca="1" si="18"/>
        <v>265.83870000000002</v>
      </c>
      <c r="K81" s="41">
        <f t="shared" ca="1" si="19"/>
        <v>117411.19691119937</v>
      </c>
      <c r="L81" s="41" t="str">
        <f ca="1">IF($A81="","",IF(COUNTIFS(Dividends!$G:$G,"&gt;"&amp;INT($A80),Dividends!$G:$G,"&lt;="&amp;INT($A81))=0,"",$H$2*SUMIFS(Dividends!$H:$H,Dividends!$G:$G,"&gt;"&amp;INT($A80),Dividends!$G:$G,"&lt;="&amp;INT($A81))))</f>
        <v/>
      </c>
      <c r="M81" s="42">
        <f ca="1">IF(ISERROR(B81-2),"",C81+D81-F81-G81-K81+SUM($L$14:L81))</f>
        <v>-79924.301373180584</v>
      </c>
      <c r="O81" s="3">
        <v>46164.625</v>
      </c>
      <c r="P81" s="4">
        <v>91.28</v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>
        <f t="shared" si="10"/>
        <v>46164.625</v>
      </c>
      <c r="V81" s="3">
        <f t="shared" si="11"/>
        <v>46164.625</v>
      </c>
      <c r="W81" s="3">
        <v>46168.625</v>
      </c>
      <c r="X81" s="3">
        <v>46156</v>
      </c>
      <c r="Y81" s="5">
        <v>266.41410000000002</v>
      </c>
      <c r="Z81" s="3">
        <v>45890</v>
      </c>
      <c r="AA81" s="4">
        <v>242.1087</v>
      </c>
      <c r="AB81" s="74">
        <v>45890</v>
      </c>
      <c r="AC81" s="4">
        <v>267.86399999999998</v>
      </c>
      <c r="AD81" s="6">
        <f t="shared" si="12"/>
        <v>45890</v>
      </c>
    </row>
    <row r="82" spans="1:30" x14ac:dyDescent="0.25">
      <c r="A82" s="37">
        <f t="shared" ca="1" si="13"/>
        <v>46153.625</v>
      </c>
      <c r="B82" s="38">
        <f ca="1">IF(COUNTIF($W$2:W1067,A82)=1,VLOOKUP(A82,O:P,2), IF(COUNTIF($W$2:W1067,A82)=0,$B$9,""))</f>
        <v>91.44</v>
      </c>
      <c r="C82" s="2">
        <f t="shared" ca="1" si="14"/>
        <v>-736078.51504160382</v>
      </c>
      <c r="D82" s="41">
        <f t="shared" ca="1" si="15"/>
        <v>-229666.66666666663</v>
      </c>
      <c r="E82" s="38">
        <f ca="1">IF(COUNTIF($W$2:W1067,A82)=1,VLOOKUP(A82,Q:R,2), IF(COUNTIF($W$2:W1067,A82)=0,$C$9,""))</f>
        <v>99.436999999999998</v>
      </c>
      <c r="F82" s="2">
        <f t="shared" ca="1" si="16"/>
        <v>-299780.00000000151</v>
      </c>
      <c r="G82" s="41">
        <f t="shared" ca="1" si="17"/>
        <v>-1063.5733333333337</v>
      </c>
      <c r="H82" s="38">
        <f ca="1">IF(COUNTIF($W$2:W1067,A82)=1,VLOOKUP(A82,S:T,2), IF(COUNTIF($W$2:W1067,A82)=0,$D$9,""))</f>
        <v>277.33600000000001</v>
      </c>
      <c r="I82" s="39">
        <f ca="1">IF(COUNTIF($X$2:X1067,INT(A82))=1,VLOOKUP(INT(A82),X:Y,2), IF(ISERROR(H82-2),"",I81*(1-$D$8*(H82-H81)*0.0001)))</f>
        <v>266.14510000000001</v>
      </c>
      <c r="J82" s="39">
        <f t="shared" ca="1" si="18"/>
        <v>266.14510000000001</v>
      </c>
      <c r="K82" s="41">
        <f t="shared" ca="1" si="19"/>
        <v>139099.74259974511</v>
      </c>
      <c r="L82" s="41" t="str">
        <f ca="1">IF($A82="","",IF(COUNTIFS(Dividends!$G:$G,"&gt;"&amp;INT($A81),Dividends!$G:$G,"&lt;="&amp;INT($A82))=0,"",$H$2*SUMIFS(Dividends!$H:$H,Dividends!$G:$G,"&gt;"&amp;INT($A81),Dividends!$G:$G,"&lt;="&amp;INT($A82))))</f>
        <v/>
      </c>
      <c r="M82" s="42">
        <f ca="1">IF(ISERROR(B82-2),"",C82+D82-F82-G82-K82+SUM($L$14:L82))</f>
        <v>-58225.801582745509</v>
      </c>
      <c r="O82" s="3">
        <v>46168.625</v>
      </c>
      <c r="P82" s="4">
        <v>91.51</v>
      </c>
      <c r="Q82" s="3">
        <v>46162.625</v>
      </c>
      <c r="R82" s="4">
        <v>99.39</v>
      </c>
      <c r="S82" s="3">
        <v>46162.625</v>
      </c>
      <c r="T82" s="4">
        <v>278.315</v>
      </c>
      <c r="U82" s="3">
        <f t="shared" si="10"/>
        <v>46168.625</v>
      </c>
      <c r="V82" s="3">
        <f t="shared" si="11"/>
        <v>46168.625</v>
      </c>
      <c r="W82" s="3">
        <v>46169.625</v>
      </c>
      <c r="X82" s="3">
        <v>46157</v>
      </c>
      <c r="Y82" s="5">
        <v>265.51639999999998</v>
      </c>
      <c r="Z82" s="3">
        <v>45891</v>
      </c>
      <c r="AA82" s="4">
        <v>242.8244</v>
      </c>
      <c r="AB82" s="74">
        <v>45891</v>
      </c>
      <c r="AC82" s="4">
        <v>260.35599999999999</v>
      </c>
      <c r="AD82" s="6">
        <f t="shared" si="12"/>
        <v>45891</v>
      </c>
    </row>
    <row r="83" spans="1:30" x14ac:dyDescent="0.25">
      <c r="A83" s="37">
        <f t="shared" ca="1" si="13"/>
        <v>46154.625</v>
      </c>
      <c r="B83" s="38">
        <f ca="1">IF(COUNTIF($W$2:W1068,A83)=1,VLOOKUP(A83,O:P,2), IF(COUNTIF($W$2:W1068,A83)=0,$B$9,""))</f>
        <v>91.28</v>
      </c>
      <c r="C83" s="2">
        <f t="shared" ca="1" si="14"/>
        <v>-787283.9769575391</v>
      </c>
      <c r="D83" s="41">
        <f t="shared" ca="1" si="15"/>
        <v>-231875.00000000003</v>
      </c>
      <c r="E83" s="38">
        <f ca="1">IF(COUNTIF($W$2:W1068,A83)=1,VLOOKUP(A83,Q:R,2), IF(COUNTIF($W$2:W1068,A83)=0,$C$9,""))</f>
        <v>99.322999999999993</v>
      </c>
      <c r="F83" s="2">
        <f t="shared" ca="1" si="16"/>
        <v>-329420.00000000262</v>
      </c>
      <c r="G83" s="41">
        <f t="shared" ca="1" si="17"/>
        <v>-1073.8000000000175</v>
      </c>
      <c r="H83" s="38">
        <f ca="1">IF(COUNTIF($W$2:W1068,A83)=1,VLOOKUP(A83,S:T,2), IF(COUNTIF($W$2:W1068,A83)=0,$D$9,""))</f>
        <v>283.721</v>
      </c>
      <c r="I83" s="39">
        <f ca="1">IF(COUNTIF($X$2:X1068,INT(A83))=1,VLOOKUP(INT(A83),X:Y,2), IF(ISERROR(H83-2),"",I82*(1-$D$8*(H83-H82)*0.0001)))</f>
        <v>265.19240000000002</v>
      </c>
      <c r="J83" s="39">
        <f t="shared" ca="1" si="18"/>
        <v>265.19240000000002</v>
      </c>
      <c r="K83" s="41">
        <f t="shared" ca="1" si="19"/>
        <v>71662.805662807339</v>
      </c>
      <c r="L83" s="41" t="str">
        <f ca="1">IF($A83="","",IF(COUNTIFS(Dividends!$G:$G,"&gt;"&amp;INT($A82),Dividends!$G:$G,"&lt;="&amp;INT($A83))=0,"",$H$2*SUMIFS(Dividends!$H:$H,Dividends!$G:$G,"&gt;"&amp;INT($A82),Dividends!$G:$G,"&lt;="&amp;INT($A83))))</f>
        <v/>
      </c>
      <c r="M83" s="42">
        <f ca="1">IF(ISERROR(B83-2),"",C83+D83-F83-G83-K83+SUM($L$14:L83))</f>
        <v>-14552.433228408685</v>
      </c>
      <c r="O83" s="3">
        <v>46169.625</v>
      </c>
      <c r="P83" s="4">
        <v>91.58</v>
      </c>
      <c r="Q83" s="3">
        <v>46163.625</v>
      </c>
      <c r="R83" s="4">
        <v>99.37</v>
      </c>
      <c r="S83" s="3">
        <v>46163.625</v>
      </c>
      <c r="T83" s="4">
        <v>279.541</v>
      </c>
      <c r="U83" s="3">
        <f t="shared" si="10"/>
        <v>46169.625</v>
      </c>
      <c r="V83" s="3">
        <f t="shared" si="11"/>
        <v>46169.625</v>
      </c>
      <c r="W83" s="3">
        <v>46170.625</v>
      </c>
      <c r="X83" s="3">
        <v>46160</v>
      </c>
      <c r="Y83" s="5">
        <v>265.6705</v>
      </c>
      <c r="Z83" s="3">
        <v>45895</v>
      </c>
      <c r="AA83" s="4">
        <v>242.22980000000001</v>
      </c>
      <c r="AB83" s="74">
        <v>45895</v>
      </c>
      <c r="AC83" s="4">
        <v>267.541</v>
      </c>
      <c r="AD83" s="6">
        <f t="shared" si="12"/>
        <v>45895</v>
      </c>
    </row>
    <row r="84" spans="1:30" x14ac:dyDescent="0.25">
      <c r="A84" s="37">
        <f t="shared" ca="1" si="13"/>
        <v>46155.625</v>
      </c>
      <c r="B84" s="38">
        <f ca="1">IF(COUNTIF($W$2:W1069,A84)=1,VLOOKUP(A84,O:P,2), IF(COUNTIF($W$2:W1069,A84)=0,$B$9,""))</f>
        <v>91.31</v>
      </c>
      <c r="C84" s="2">
        <f t="shared" ca="1" si="14"/>
        <v>-777682.95284830197</v>
      </c>
      <c r="D84" s="41">
        <f t="shared" ca="1" si="15"/>
        <v>-234083.33333333331</v>
      </c>
      <c r="E84" s="38">
        <f ca="1">IF(COUNTIF($W$2:W1069,A84)=1,VLOOKUP(A84,Q:R,2), IF(COUNTIF($W$2:W1069,A84)=0,$C$9,""))</f>
        <v>99.292000000000002</v>
      </c>
      <c r="F84" s="2">
        <f t="shared" ca="1" si="16"/>
        <v>-337480.00000000047</v>
      </c>
      <c r="G84" s="41">
        <f t="shared" ca="1" si="17"/>
        <v>-1084.026666666643</v>
      </c>
      <c r="H84" s="38">
        <f ca="1">IF(COUNTIF($W$2:W1069,A84)=1,VLOOKUP(A84,S:T,2), IF(COUNTIF($W$2:W1069,A84)=0,$D$9,""))</f>
        <v>280.03899999999999</v>
      </c>
      <c r="I84" s="39">
        <f ca="1">IF(COUNTIF($X$2:X1069,INT(A84))=1,VLOOKUP(INT(A84),X:Y,2), IF(ISERROR(H84-2),"",I83*(1-$D$8*(H84-H83)*0.0001)))</f>
        <v>265.76659999999998</v>
      </c>
      <c r="J84" s="39">
        <f t="shared" ca="1" si="18"/>
        <v>265.76659999999998</v>
      </c>
      <c r="K84" s="41">
        <f t="shared" ca="1" si="19"/>
        <v>112307.59330759221</v>
      </c>
      <c r="L84" s="41" t="str">
        <f ca="1">IF($A84="","",IF(COUNTIFS(Dividends!$G:$G,"&gt;"&amp;INT($A83),Dividends!$G:$G,"&lt;="&amp;INT($A84))=0,"",$H$2*SUMIFS(Dividends!$H:$H,Dividends!$G:$G,"&gt;"&amp;INT($A83),Dividends!$G:$G,"&lt;="&amp;INT($A84))))</f>
        <v/>
      </c>
      <c r="M84" s="42">
        <f ca="1">IF(ISERROR(B84-2),"",C84+D84-F84-G84-K84+SUM($L$14:L84))</f>
        <v>-39734.303430625238</v>
      </c>
      <c r="O84" s="3">
        <v>46170.625</v>
      </c>
      <c r="P84" s="4">
        <v>91.7</v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>
        <f t="shared" si="10"/>
        <v>46170.625</v>
      </c>
      <c r="V84" s="3">
        <f t="shared" si="11"/>
        <v>46170.625</v>
      </c>
      <c r="W84" s="3">
        <v>46171.625</v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74">
        <v>45896</v>
      </c>
      <c r="AC84" s="4">
        <v>274.06099999999998</v>
      </c>
      <c r="AD84" s="6">
        <f t="shared" si="12"/>
        <v>45896</v>
      </c>
    </row>
    <row r="85" spans="1:30" x14ac:dyDescent="0.25">
      <c r="A85" s="37">
        <f t="shared" ca="1" si="13"/>
        <v>46156.625</v>
      </c>
      <c r="B85" s="38">
        <f ca="1">IF(COUNTIF($W$2:W1070,A85)=1,VLOOKUP(A85,O:P,2), IF(COUNTIF($W$2:W1070,A85)=0,$B$9,""))</f>
        <v>91.4</v>
      </c>
      <c r="C85" s="2">
        <f t="shared" ca="1" si="14"/>
        <v>-748879.88052058429</v>
      </c>
      <c r="D85" s="41">
        <f t="shared" ca="1" si="15"/>
        <v>-236291.66666666669</v>
      </c>
      <c r="E85" s="38">
        <f ca="1">IF(COUNTIF($W$2:W1070,A85)=1,VLOOKUP(A85,Q:R,2), IF(COUNTIF($W$2:W1070,A85)=0,$C$9,""))</f>
        <v>99.430999999999997</v>
      </c>
      <c r="F85" s="2">
        <f t="shared" ca="1" si="16"/>
        <v>-301340.00000000157</v>
      </c>
      <c r="G85" s="41">
        <f t="shared" ca="1" si="17"/>
        <v>-1094.2533333333558</v>
      </c>
      <c r="H85" s="38">
        <f ca="1">IF(COUNTIF($W$2:W1070,A85)=1,VLOOKUP(A85,S:T,2), IF(COUNTIF($W$2:W1070,A85)=0,$D$9,""))</f>
        <v>274.584</v>
      </c>
      <c r="I85" s="39">
        <f ca="1">IF(COUNTIF($X$2:X1070,INT(A85))=1,VLOOKUP(INT(A85),X:Y,2), IF(ISERROR(H85-2),"",I84*(1-$D$8*(H85-H84)*0.0001)))</f>
        <v>266.41410000000002</v>
      </c>
      <c r="J85" s="39">
        <f t="shared" ca="1" si="18"/>
        <v>266.41410000000002</v>
      </c>
      <c r="K85" s="41">
        <f t="shared" ca="1" si="19"/>
        <v>158140.92664092954</v>
      </c>
      <c r="L85" s="41" t="str">
        <f ca="1">IF($A85="","",IF(COUNTIFS(Dividends!$G:$G,"&gt;"&amp;INT($A84),Dividends!$G:$G,"&lt;="&amp;INT($A85))=0,"",$H$2*SUMIFS(Dividends!$H:$H,Dividends!$G:$G,"&gt;"&amp;INT($A84),Dividends!$G:$G,"&lt;="&amp;INT($A85))))</f>
        <v/>
      </c>
      <c r="M85" s="42">
        <f ca="1">IF(ISERROR(B85-2),"",C85+D85-F85-G85-K85+SUM($L$14:L85))</f>
        <v>-95102.671102910419</v>
      </c>
      <c r="O85" s="3">
        <v>46171.625</v>
      </c>
      <c r="P85" s="4">
        <v>91.85</v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>
        <f t="shared" si="10"/>
        <v>46171.625</v>
      </c>
      <c r="V85" s="3">
        <f t="shared" si="11"/>
        <v>46171.625</v>
      </c>
      <c r="W85" s="3">
        <v>46174.625</v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74">
        <v>45897</v>
      </c>
      <c r="AC85" s="4">
        <v>262.23500000000001</v>
      </c>
      <c r="AD85" s="6">
        <f t="shared" si="12"/>
        <v>45897</v>
      </c>
    </row>
    <row r="86" spans="1:30" x14ac:dyDescent="0.25">
      <c r="A86" s="37">
        <f t="shared" ca="1" si="13"/>
        <v>46157.625</v>
      </c>
      <c r="B86" s="38">
        <f ca="1">IF(COUNTIF($W$2:W1071,A86)=1,VLOOKUP(A86,O:P,2), IF(COUNTIF($W$2:W1071,A86)=0,$B$9,""))</f>
        <v>91.28</v>
      </c>
      <c r="C86" s="2">
        <f t="shared" ca="1" si="14"/>
        <v>-787283.9769575391</v>
      </c>
      <c r="D86" s="41">
        <f t="shared" ca="1" si="15"/>
        <v>-238499.99999999997</v>
      </c>
      <c r="E86" s="38">
        <f ca="1">IF(COUNTIF($W$2:W1071,A86)=1,VLOOKUP(A86,Q:R,2), IF(COUNTIF($W$2:W1071,A86)=0,$C$9,""))</f>
        <v>99.259</v>
      </c>
      <c r="F86" s="2">
        <f t="shared" ca="1" si="16"/>
        <v>-346060.00000000076</v>
      </c>
      <c r="G86" s="41">
        <f t="shared" ca="1" si="17"/>
        <v>-1104.4800000000105</v>
      </c>
      <c r="H86" s="38">
        <f ca="1">IF(COUNTIF($W$2:W1071,A86)=1,VLOOKUP(A86,S:T,2), IF(COUNTIF($W$2:W1071,A86)=0,$D$9,""))</f>
        <v>280.37200000000001</v>
      </c>
      <c r="I86" s="39">
        <f ca="1">IF(COUNTIF($X$2:X1071,INT(A86))=1,VLOOKUP(INT(A86),X:Y,2), IF(ISERROR(H86-2),"",I85*(1-$D$8*(H86-H85)*0.0001)))</f>
        <v>265.51639999999998</v>
      </c>
      <c r="J86" s="39">
        <f t="shared" ca="1" si="18"/>
        <v>265.51639999999998</v>
      </c>
      <c r="K86" s="41">
        <f t="shared" ca="1" si="19"/>
        <v>94597.168597164811</v>
      </c>
      <c r="L86" s="41" t="str">
        <f ca="1">IF($A86="","",IF(COUNTIFS(Dividends!$G:$G,"&gt;"&amp;INT($A85),Dividends!$G:$G,"&lt;="&amp;INT($A86))=0,"",$H$2*SUMIFS(Dividends!$H:$H,Dividends!$G:$G,"&gt;"&amp;INT($A85),Dividends!$G:$G,"&lt;="&amp;INT($A86))))</f>
        <v/>
      </c>
      <c r="M86" s="42">
        <f ca="1">IF(ISERROR(B86-2),"",C86+D86-F86-G86-K86+SUM($L$14:L86))</f>
        <v>-27441.116162768099</v>
      </c>
      <c r="O86" s="3">
        <v>46174.625</v>
      </c>
      <c r="P86" s="4">
        <v>91.65</v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>
        <f t="shared" si="10"/>
        <v>46174.625</v>
      </c>
      <c r="V86" s="3">
        <f t="shared" si="11"/>
        <v>46174.625</v>
      </c>
      <c r="W86" s="3">
        <v>46175.625</v>
      </c>
      <c r="X86" s="3">
        <v>46163</v>
      </c>
      <c r="Y86" s="5">
        <v>265.81610000000001</v>
      </c>
      <c r="Z86" s="3">
        <v>45898</v>
      </c>
      <c r="AA86" s="4">
        <v>241.4692</v>
      </c>
      <c r="AB86" s="74">
        <v>45898</v>
      </c>
      <c r="AC86" s="4">
        <v>267.947</v>
      </c>
      <c r="AD86" s="6">
        <f t="shared" si="12"/>
        <v>45898</v>
      </c>
    </row>
    <row r="87" spans="1:30" x14ac:dyDescent="0.25">
      <c r="A87" s="37">
        <f t="shared" ca="1" si="13"/>
        <v>46160.625</v>
      </c>
      <c r="B87" s="38">
        <f ca="1">IF(COUNTIF($W$2:W1072,A87)=1,VLOOKUP(A87,O:P,2), IF(COUNTIF($W$2:W1072,A87)=0,$B$9,""))</f>
        <v>91.22</v>
      </c>
      <c r="C87" s="2">
        <f t="shared" ca="1" si="14"/>
        <v>-806486.02517601638</v>
      </c>
      <c r="D87" s="41">
        <f t="shared" ca="1" si="15"/>
        <v>-245125</v>
      </c>
      <c r="E87" s="38">
        <f ca="1">IF(COUNTIF($W$2:W1072,A87)=1,VLOOKUP(A87,Q:R,2), IF(COUNTIF($W$2:W1072,A87)=0,$C$9,""))</f>
        <v>99.296000000000006</v>
      </c>
      <c r="F87" s="2">
        <f t="shared" ca="1" si="16"/>
        <v>-336439.99999999919</v>
      </c>
      <c r="G87" s="41">
        <f t="shared" ca="1" si="17"/>
        <v>-1135.1600000000035</v>
      </c>
      <c r="H87" s="38">
        <f ca="1">IF(COUNTIF($W$2:W1072,A87)=1,VLOOKUP(A87,S:T,2), IF(COUNTIF($W$2:W1072,A87)=0,$D$9,""))</f>
        <v>279.00200000000001</v>
      </c>
      <c r="I87" s="39">
        <f ca="1">IF(COUNTIF($X$2:X1072,INT(A87))=1,VLOOKUP(INT(A87),X:Y,2), IF(ISERROR(H87-2),"",I86*(1-$D$8*(H87-H86)*0.0001)))</f>
        <v>265.6705</v>
      </c>
      <c r="J87" s="39">
        <f t="shared" ca="1" si="18"/>
        <v>265.6705</v>
      </c>
      <c r="K87" s="41">
        <f t="shared" ca="1" si="19"/>
        <v>105505.14800514976</v>
      </c>
      <c r="L87" s="41" t="str">
        <f ca="1">IF($A87="","",IF(COUNTIFS(Dividends!$G:$G,"&gt;"&amp;INT($A86),Dividends!$G:$G,"&lt;="&amp;INT($A87))=0,"",$H$2*SUMIFS(Dividends!$H:$H,Dividends!$G:$G,"&gt;"&amp;INT($A86),Dividends!$G:$G,"&lt;="&amp;INT($A87))))</f>
        <v/>
      </c>
      <c r="M87" s="42">
        <f ca="1">IF(ISERROR(B87-2),"",C87+D87-F87-G87-K87+SUM($L$14:L87))</f>
        <v>-73765.463789231842</v>
      </c>
      <c r="O87" s="3">
        <v>46175.625</v>
      </c>
      <c r="P87" s="4">
        <v>91.88</v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>
        <f t="shared" si="10"/>
        <v>46175.625</v>
      </c>
      <c r="V87" s="3">
        <f t="shared" si="11"/>
        <v>46175.625</v>
      </c>
      <c r="W87" s="3">
        <v>46176.625</v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74">
        <v>45901</v>
      </c>
      <c r="AC87" s="4">
        <v>268.048</v>
      </c>
      <c r="AD87" s="6">
        <f t="shared" si="12"/>
        <v>45901</v>
      </c>
    </row>
    <row r="88" spans="1:30" x14ac:dyDescent="0.25">
      <c r="A88" s="37">
        <f t="shared" ca="1" si="13"/>
        <v>46161.625</v>
      </c>
      <c r="B88" s="38">
        <f ca="1">IF(COUNTIF($W$2:W1073,A88)=1,VLOOKUP(A88,O:P,2), IF(COUNTIF($W$2:W1073,A88)=0,$B$9,""))</f>
        <v>90.83</v>
      </c>
      <c r="C88" s="2">
        <f t="shared" ca="1" si="14"/>
        <v>-931299.33859611431</v>
      </c>
      <c r="D88" s="41">
        <f t="shared" ca="1" si="15"/>
        <v>-247333.33333333334</v>
      </c>
      <c r="E88" s="38">
        <f ca="1">IF(COUNTIF($W$2:W1073,A88)=1,VLOOKUP(A88,Q:R,2), IF(COUNTIF($W$2:W1073,A88)=0,$C$9,""))</f>
        <v>99.180999999999997</v>
      </c>
      <c r="F88" s="2">
        <f t="shared" ca="1" si="16"/>
        <v>-366340.00000000157</v>
      </c>
      <c r="G88" s="41">
        <f t="shared" ca="1" si="17"/>
        <v>-1145.3866666666581</v>
      </c>
      <c r="H88" s="38">
        <f ca="1">IF(COUNTIF($W$2:W1073,A88)=1,VLOOKUP(A88,S:T,2), IF(COUNTIF($W$2:W1073,A88)=0,$D$9,""))</f>
        <v>285.488</v>
      </c>
      <c r="I88" s="39">
        <f ca="1">IF(COUNTIF($X$2:X1073,INT(A88))=1,VLOOKUP(INT(A88),X:Y,2), IF(ISERROR(H88-2),"",I87*(1-$D$8*(H88-H87)*0.0001)))</f>
        <v>265.08920000000001</v>
      </c>
      <c r="J88" s="39">
        <f t="shared" ca="1" si="18"/>
        <v>265.08920000000001</v>
      </c>
      <c r="K88" s="41">
        <f t="shared" ca="1" si="19"/>
        <v>64357.786357786084</v>
      </c>
      <c r="L88" s="41" t="str">
        <f ca="1">IF($A88="","",IF(COUNTIFS(Dividends!$G:$G,"&gt;"&amp;INT($A87),Dividends!$G:$G,"&lt;="&amp;INT($A88))=0,"",$H$2*SUMIFS(Dividends!$H:$H,Dividends!$G:$G,"&gt;"&amp;INT($A87),Dividends!$G:$G,"&lt;="&amp;INT($A88))))</f>
        <v/>
      </c>
      <c r="M88" s="42">
        <f ca="1">IF(ISERROR(B88-2),"",C88+D88-F88-G88-K88+SUM($L$14:L88))</f>
        <v>-129729.52222863026</v>
      </c>
      <c r="O88" s="3">
        <v>46176.625</v>
      </c>
      <c r="P88" s="4">
        <v>91.75</v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>
        <f t="shared" si="10"/>
        <v>46176.625</v>
      </c>
      <c r="V88" s="3">
        <f t="shared" si="11"/>
        <v>46176.625</v>
      </c>
      <c r="W88" s="3">
        <v>46177.625</v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74">
        <v>45902</v>
      </c>
      <c r="AC88" s="4">
        <v>274.36700000000002</v>
      </c>
      <c r="AD88" s="6">
        <f t="shared" si="12"/>
        <v>45902</v>
      </c>
    </row>
    <row r="89" spans="1:30" x14ac:dyDescent="0.25">
      <c r="A89" s="37">
        <f t="shared" ca="1" si="13"/>
        <v>46162.625</v>
      </c>
      <c r="B89" s="38">
        <f ca="1">IF(COUNTIF($W$2:W1074,A89)=1,VLOOKUP(A89,O:P,2), IF(COUNTIF($W$2:W1074,A89)=0,$B$9,""))</f>
        <v>91.06</v>
      </c>
      <c r="C89" s="2">
        <f t="shared" ca="1" si="14"/>
        <v>-857691.48709195503</v>
      </c>
      <c r="D89" s="41">
        <f t="shared" ca="1" si="15"/>
        <v>-249541.66666666669</v>
      </c>
      <c r="E89" s="38">
        <f ca="1">IF(COUNTIF($W$2:W1074,A89)=1,VLOOKUP(A89,Q:R,2), IF(COUNTIF($W$2:W1074,A89)=0,$C$9,""))</f>
        <v>99.39</v>
      </c>
      <c r="F89" s="2">
        <f t="shared" ca="1" si="16"/>
        <v>-312000.00000000076</v>
      </c>
      <c r="G89" s="41">
        <f t="shared" ca="1" si="17"/>
        <v>-1155.6133333333419</v>
      </c>
      <c r="H89" s="38">
        <f ca="1">IF(COUNTIF($W$2:W1074,A89)=1,VLOOKUP(A89,S:T,2), IF(COUNTIF($W$2:W1074,A89)=0,$D$9,""))</f>
        <v>278.315</v>
      </c>
      <c r="I89" s="39">
        <f ca="1">IF(COUNTIF($X$2:X1074,INT(A89))=1,VLOOKUP(INT(A89),X:Y,2), IF(ISERROR(H89-2),"",I88*(1-$D$8*(H89-H88)*0.0001)))</f>
        <v>266.18329999999997</v>
      </c>
      <c r="J89" s="39">
        <f t="shared" ca="1" si="18"/>
        <v>266.18329999999997</v>
      </c>
      <c r="K89" s="41">
        <f t="shared" ca="1" si="19"/>
        <v>141803.73230372972</v>
      </c>
      <c r="L89" s="41" t="str">
        <f ca="1">IF($A89="","",IF(COUNTIFS(Dividends!$G:$G,"&gt;"&amp;INT($A88),Dividends!$G:$G,"&lt;="&amp;INT($A89))=0,"",$H$2*SUMIFS(Dividends!$H:$H,Dividends!$G:$G,"&gt;"&amp;INT($A88),Dividends!$G:$G,"&lt;="&amp;INT($A89))))</f>
        <v/>
      </c>
      <c r="M89" s="42">
        <f ca="1">IF(ISERROR(B89-2),"",C89+D89-F89-G89-K89+SUM($L$14:L89))</f>
        <v>-190105.72333708243</v>
      </c>
      <c r="O89" s="3">
        <v>46177.625</v>
      </c>
      <c r="P89" s="4">
        <v>91.74</v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>
        <f t="shared" si="10"/>
        <v>46177.625</v>
      </c>
      <c r="V89" s="3">
        <f t="shared" si="11"/>
        <v>46177.625</v>
      </c>
      <c r="W89" s="3">
        <v>46178.625</v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74">
        <v>45903</v>
      </c>
      <c r="AC89" s="4">
        <v>267.29599999999999</v>
      </c>
      <c r="AD89" s="6">
        <f t="shared" si="12"/>
        <v>45903</v>
      </c>
    </row>
    <row r="90" spans="1:30" x14ac:dyDescent="0.25">
      <c r="A90" s="37">
        <f t="shared" ca="1" si="13"/>
        <v>46163.625</v>
      </c>
      <c r="B90" s="38">
        <f ca="1">IF(COUNTIF($W$2:W1075,A90)=1,VLOOKUP(A90,O:P,2), IF(COUNTIF($W$2:W1075,A90)=0,$B$9,""))</f>
        <v>91.15</v>
      </c>
      <c r="C90" s="2">
        <f t="shared" ca="1" si="14"/>
        <v>-828888.41476423724</v>
      </c>
      <c r="D90" s="41">
        <f t="shared" ca="1" si="15"/>
        <v>-251749.99999999997</v>
      </c>
      <c r="E90" s="38">
        <f ca="1">IF(COUNTIF($W$2:W1075,A90)=1,VLOOKUP(A90,Q:R,2), IF(COUNTIF($W$2:W1075,A90)=0,$C$9,""))</f>
        <v>99.37</v>
      </c>
      <c r="F90" s="2">
        <f t="shared" ca="1" si="16"/>
        <v>-317199.99999999971</v>
      </c>
      <c r="G90" s="41">
        <f t="shared" ca="1" si="17"/>
        <v>-1165.8399999999965</v>
      </c>
      <c r="H90" s="38">
        <f ca="1">IF(COUNTIF($W$2:W1075,A90)=1,VLOOKUP(A90,S:T,2), IF(COUNTIF($W$2:W1075,A90)=0,$D$9,""))</f>
        <v>279.541</v>
      </c>
      <c r="I90" s="39">
        <f ca="1">IF(COUNTIF($X$2:X1075,INT(A90))=1,VLOOKUP(INT(A90),X:Y,2), IF(ISERROR(H90-2),"",I89*(1-$D$8*(H90-H89)*0.0001)))</f>
        <v>265.81610000000001</v>
      </c>
      <c r="J90" s="39">
        <f t="shared" ca="1" si="18"/>
        <v>265.81610000000001</v>
      </c>
      <c r="K90" s="41">
        <f t="shared" ca="1" si="19"/>
        <v>115811.45431145377</v>
      </c>
      <c r="L90" s="41" t="str">
        <f ca="1">IF($A90="","",IF(COUNTIFS(Dividends!$G:$G,"&gt;"&amp;INT($A89),Dividends!$G:$G,"&lt;="&amp;INT($A90))=0,"",$H$2*SUMIFS(Dividends!$H:$H,Dividends!$G:$G,"&gt;"&amp;INT($A89),Dividends!$G:$G,"&lt;="&amp;INT($A90))))</f>
        <v/>
      </c>
      <c r="M90" s="42">
        <f ca="1">IF(ISERROR(B90-2),"",C90+D90-F90-G90-K90+SUM($L$14:L90))</f>
        <v>-132308.47968375601</v>
      </c>
      <c r="O90" s="3">
        <v>46178.625</v>
      </c>
      <c r="P90" s="4">
        <v>91.71</v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>
        <f t="shared" si="10"/>
        <v>46178.625</v>
      </c>
      <c r="V90" s="3">
        <f t="shared" si="11"/>
        <v>46178.625</v>
      </c>
      <c r="W90" s="3">
        <v>46181.625</v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74">
        <v>45904</v>
      </c>
      <c r="AC90" s="4">
        <v>262.767</v>
      </c>
      <c r="AD90" s="6">
        <f t="shared" si="12"/>
        <v>45904</v>
      </c>
    </row>
    <row r="91" spans="1:30" x14ac:dyDescent="0.25">
      <c r="A91" s="37">
        <f t="shared" ca="1" si="13"/>
        <v>46164.625</v>
      </c>
      <c r="B91" s="38">
        <f ca="1">IF(COUNTIF($W$2:W1076,A91)=1,VLOOKUP(A91,O:P,2), IF(COUNTIF($W$2:W1076,A91)=0,$B$9,""))</f>
        <v>91.28</v>
      </c>
      <c r="C91" s="2">
        <f t="shared" ca="1" si="14"/>
        <v>-787283.9769575391</v>
      </c>
      <c r="D91" s="41">
        <f t="shared" ca="1" si="15"/>
        <v>-253958.33333333328</v>
      </c>
      <c r="E91" s="38">
        <f ca="1">IF(COUNTIF($W$2:W1076,A91)=1,VLOOKUP(A91,Q:R,2), IF(COUNTIF($W$2:W1076,A91)=0,$C$9,""))</f>
        <v>99.453999999999994</v>
      </c>
      <c r="F91" s="2">
        <f t="shared" ca="1" si="16"/>
        <v>-295360.00000000256</v>
      </c>
      <c r="G91" s="41">
        <f t="shared" ca="1" si="17"/>
        <v>-1176.0666666666802</v>
      </c>
      <c r="H91" s="38">
        <f ca="1">IF(COUNTIF($W$2:W1076,A91)=1,VLOOKUP(A91,S:T,2), IF(COUNTIF($W$2:W1076,A91)=0,$D$9,""))</f>
        <v>273.86200000000002</v>
      </c>
      <c r="I91" s="39">
        <f ca="1">IF(COUNTIF($X$2:X1076,INT(A91))=1,VLOOKUP(INT(A91),X:Y,2), IF(ISERROR(H91-2),"",I90*(1-$D$8*(H91-H90)*0.0001)))</f>
        <v>266.66180000000003</v>
      </c>
      <c r="J91" s="39">
        <f t="shared" ca="1" si="18"/>
        <v>266.66180000000003</v>
      </c>
      <c r="K91" s="41">
        <f t="shared" ca="1" si="19"/>
        <v>175674.38867439001</v>
      </c>
      <c r="L91" s="41" t="str">
        <f ca="1">IF($A91="","",IF(COUNTIFS(Dividends!$G:$G,"&gt;"&amp;INT($A90),Dividends!$G:$G,"&lt;="&amp;INT($A91))=0,"",$H$2*SUMIFS(Dividends!$H:$H,Dividends!$G:$G,"&gt;"&amp;INT($A90),Dividends!$G:$G,"&lt;="&amp;INT($A91))))</f>
        <v/>
      </c>
      <c r="M91" s="42">
        <f ca="1">IF(ISERROR(B91-2),"",C91+D91-F91-G91-K91+SUM($L$14:L91))</f>
        <v>-174605.08290665806</v>
      </c>
      <c r="O91" s="3">
        <v>46181.625</v>
      </c>
      <c r="P91" s="4">
        <v>91.65</v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>
        <f t="shared" si="10"/>
        <v>46181.625</v>
      </c>
      <c r="V91" s="3">
        <f t="shared" si="11"/>
        <v>46181.625</v>
      </c>
      <c r="W91" s="3">
        <v>46182.625</v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74">
        <v>45905</v>
      </c>
      <c r="AC91" s="4">
        <v>262.98399999999998</v>
      </c>
      <c r="AD91" s="6">
        <f t="shared" si="12"/>
        <v>45905</v>
      </c>
    </row>
    <row r="92" spans="1:30" x14ac:dyDescent="0.25">
      <c r="A92" s="37">
        <f t="shared" ca="1" si="13"/>
        <v>46168.625</v>
      </c>
      <c r="B92" s="38">
        <f ca="1">IF(COUNTIF($W$2:W1077,A92)=1,VLOOKUP(A92,O:P,2), IF(COUNTIF($W$2:W1077,A92)=0,$B$9,""))</f>
        <v>91.51</v>
      </c>
      <c r="C92" s="2">
        <f t="shared" ca="1" si="14"/>
        <v>-713676.1254533797</v>
      </c>
      <c r="D92" s="41">
        <f t="shared" ca="1" si="15"/>
        <v>-262791.66666666669</v>
      </c>
      <c r="E92" s="38">
        <f ca="1">IF(COUNTIF($W$2:W1077,A92)=1,VLOOKUP(A92,Q:R,2), IF(COUNTIF($W$2:W1077,A92)=0,$C$9,""))</f>
        <v>99.56</v>
      </c>
      <c r="F92" s="2">
        <f t="shared" ca="1" si="16"/>
        <v>-267800.00000000029</v>
      </c>
      <c r="G92" s="41">
        <f t="shared" ca="1" si="17"/>
        <v>-1216.973333333357</v>
      </c>
      <c r="H92" s="38">
        <f ca="1">IF(COUNTIF($W$2:W1077,A92)=1,VLOOKUP(A92,S:T,2), IF(COUNTIF($W$2:W1077,A92)=0,$D$9,""))</f>
        <v>268.83499999999998</v>
      </c>
      <c r="I92" s="39">
        <f ca="1">IF(COUNTIF($X$2:X1077,INT(A92))=1,VLOOKUP(INT(A92),X:Y,2), IF(ISERROR(H92-2),"",I91*(1-$D$8*(H92-H91)*0.0001)))</f>
        <v>267.40750000000003</v>
      </c>
      <c r="J92" s="39">
        <f t="shared" ca="1" si="18"/>
        <v>267.40750000000003</v>
      </c>
      <c r="K92" s="41">
        <f t="shared" ca="1" si="19"/>
        <v>228458.81595881886</v>
      </c>
      <c r="L92" s="41" t="str">
        <f ca="1">IF($A92="","",IF(COUNTIFS(Dividends!$G:$G,"&gt;"&amp;INT($A91),Dividends!$G:$G,"&lt;="&amp;INT($A92))=0,"",$H$2*SUMIFS(Dividends!$H:$H,Dividends!$G:$G,"&gt;"&amp;INT($A91),Dividends!$G:$G,"&lt;="&amp;INT($A92))))</f>
        <v/>
      </c>
      <c r="M92" s="42">
        <f ca="1">IF(ISERROR(B92-2),"",C92+D92-F92-G92-K92+SUM($L$14:L92))</f>
        <v>-190134.0853535966</v>
      </c>
      <c r="O92" s="3">
        <v>46182.625</v>
      </c>
      <c r="P92" s="4">
        <v>91.63</v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>
        <f t="shared" si="10"/>
        <v>46182.625</v>
      </c>
      <c r="V92" s="3">
        <f t="shared" si="11"/>
        <v>46182.625</v>
      </c>
      <c r="W92" s="3">
        <v>46183.625</v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74">
        <v>45908</v>
      </c>
      <c r="AC92" s="4">
        <v>260.62700000000001</v>
      </c>
      <c r="AD92" s="6">
        <f t="shared" si="12"/>
        <v>45908</v>
      </c>
    </row>
    <row r="93" spans="1:30" x14ac:dyDescent="0.25">
      <c r="A93" s="37">
        <f t="shared" ca="1" si="13"/>
        <v>46169.625</v>
      </c>
      <c r="B93" s="38">
        <f ca="1">IF(COUNTIF($W$2:W1078,A93)=1,VLOOKUP(A93,O:P,2), IF(COUNTIF($W$2:W1078,A93)=0,$B$9,""))</f>
        <v>91.58</v>
      </c>
      <c r="C93" s="2">
        <f t="shared" ca="1" si="14"/>
        <v>-691273.73586515884</v>
      </c>
      <c r="D93" s="41">
        <f t="shared" ca="1" si="15"/>
        <v>-264999.99999999994</v>
      </c>
      <c r="E93" s="38">
        <f ca="1">IF(COUNTIF($W$2:W1078,A93)=1,VLOOKUP(A93,Q:R,2), IF(COUNTIF($W$2:W1078,A93)=0,$C$9,""))</f>
        <v>99.588999999999999</v>
      </c>
      <c r="F93" s="2">
        <f t="shared" ca="1" si="16"/>
        <v>-260260.00000000125</v>
      </c>
      <c r="G93" s="41">
        <f t="shared" ca="1" si="17"/>
        <v>-1227.2000000000116</v>
      </c>
      <c r="H93" s="38">
        <f ca="1">IF(COUNTIF($W$2:W1078,A93)=1,VLOOKUP(A93,S:T,2), IF(COUNTIF($W$2:W1078,A93)=0,$D$9,""))</f>
        <v>266.55900000000003</v>
      </c>
      <c r="I93" s="39">
        <f ca="1">IF(COUNTIF($X$2:X1078,INT(A93))=1,VLOOKUP(INT(A93),X:Y,2), IF(ISERROR(H93-2),"",I92*(1-$D$8*(H93-H92)*0.0001)))</f>
        <v>267.66390000000001</v>
      </c>
      <c r="J93" s="39">
        <f t="shared" ca="1" si="18"/>
        <v>267.66390000000001</v>
      </c>
      <c r="K93" s="41">
        <f t="shared" ca="1" si="19"/>
        <v>246608.10810810883</v>
      </c>
      <c r="L93" s="41" t="str">
        <f ca="1">IF($A93="","",IF(COUNTIFS(Dividends!$G:$G,"&gt;"&amp;INT($A92),Dividends!$G:$G,"&lt;="&amp;INT($A93))=0,"",$H$2*SUMIFS(Dividends!$H:$H,Dividends!$G:$G,"&gt;"&amp;INT($A92),Dividends!$G:$G,"&lt;="&amp;INT($A93))))</f>
        <v/>
      </c>
      <c r="M93" s="42">
        <f ca="1">IF(ISERROR(B93-2),"",C93+D93-F93-G93-K93+SUM($L$14:L93))</f>
        <v>-195619.09458133113</v>
      </c>
      <c r="O93" s="3">
        <v>46183.625</v>
      </c>
      <c r="P93" s="4">
        <v>91.62</v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>
        <f t="shared" si="10"/>
        <v>46183.625</v>
      </c>
      <c r="V93" s="3">
        <f t="shared" si="11"/>
        <v>46183.625</v>
      </c>
      <c r="W93" s="3">
        <v>46184.625</v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74">
        <v>45909</v>
      </c>
      <c r="AC93" s="4">
        <v>260.81900000000002</v>
      </c>
      <c r="AD93" s="6">
        <f t="shared" si="12"/>
        <v>45909</v>
      </c>
    </row>
    <row r="94" spans="1:30" x14ac:dyDescent="0.25">
      <c r="A94" s="37">
        <f t="shared" ca="1" si="13"/>
        <v>46170.625</v>
      </c>
      <c r="B94" s="38">
        <f ca="1">IF(COUNTIF($W$2:W1079,A94)=1,VLOOKUP(A94,O:P,2), IF(COUNTIF($W$2:W1079,A94)=0,$B$9,""))</f>
        <v>91.7</v>
      </c>
      <c r="C94" s="2">
        <f t="shared" ca="1" si="14"/>
        <v>-652869.63942820404</v>
      </c>
      <c r="D94" s="41">
        <f t="shared" ca="1" si="15"/>
        <v>-267208.33333333331</v>
      </c>
      <c r="E94" s="38">
        <f ca="1">IF(COUNTIF($W$2:W1079,A94)=1,VLOOKUP(A94,Q:R,2), IF(COUNTIF($W$2:W1079,A94)=0,$C$9,""))</f>
        <v>99.653999999999996</v>
      </c>
      <c r="F94" s="2">
        <f t="shared" ca="1" si="16"/>
        <v>-243360.0000000018</v>
      </c>
      <c r="G94" s="41">
        <f t="shared" ca="1" si="17"/>
        <v>-1237.4266666666663</v>
      </c>
      <c r="H94" s="38">
        <f ca="1">IF(COUNTIF($W$2:W1079,A94)=1,VLOOKUP(A94,S:T,2), IF(COUNTIF($W$2:W1079,A94)=0,$D$9,""))</f>
        <v>264.23200000000003</v>
      </c>
      <c r="I94" s="39">
        <f ca="1">IF(COUNTIF($X$2:X1079,INT(A94))=1,VLOOKUP(INT(A94),X:Y,2), IF(ISERROR(H94-2),"",I93*(1-$D$8*(H94-H93)*0.0001)))</f>
        <v>268.21620000000001</v>
      </c>
      <c r="J94" s="39">
        <f t="shared" ca="1" si="18"/>
        <v>268.21620000000001</v>
      </c>
      <c r="K94" s="41">
        <f t="shared" ca="1" si="19"/>
        <v>285702.7027027033</v>
      </c>
      <c r="L94" s="41" t="str">
        <f ca="1">IF($A94="","",IF(COUNTIFS(Dividends!$G:$G,"&gt;"&amp;INT($A93),Dividends!$G:$G,"&lt;="&amp;INT($A94))=0,"",$H$2*SUMIFS(Dividends!$H:$H,Dividends!$G:$G,"&gt;"&amp;INT($A93),Dividends!$G:$G,"&lt;="&amp;INT($A94))))</f>
        <v/>
      </c>
      <c r="M94" s="42">
        <f ca="1">IF(ISERROR(B94-2),"",C94+D94-F94-G94-K94+SUM($L$14:L94))</f>
        <v>-215407.6994056371</v>
      </c>
      <c r="O94" s="3">
        <v>46184.625</v>
      </c>
      <c r="P94" s="4">
        <v>91.65</v>
      </c>
      <c r="Q94" s="3">
        <v>46178.625</v>
      </c>
      <c r="R94" s="4">
        <v>99.38</v>
      </c>
      <c r="S94" s="3">
        <v>46181.625</v>
      </c>
      <c r="T94" s="4">
        <v>263.755</v>
      </c>
      <c r="U94" s="3">
        <f t="shared" si="10"/>
        <v>46184.625</v>
      </c>
      <c r="V94" s="3">
        <f t="shared" si="11"/>
        <v>46184.625</v>
      </c>
      <c r="W94" s="3">
        <v>46185.625</v>
      </c>
      <c r="X94" s="3">
        <v>46176</v>
      </c>
      <c r="Y94" s="5">
        <v>268.40789999999998</v>
      </c>
      <c r="Z94" s="3">
        <v>45910</v>
      </c>
      <c r="AA94" s="4">
        <v>242.7055</v>
      </c>
      <c r="AB94" s="74">
        <v>45910</v>
      </c>
      <c r="AC94" s="4">
        <v>258.92</v>
      </c>
      <c r="AD94" s="6">
        <f t="shared" si="12"/>
        <v>45910</v>
      </c>
    </row>
    <row r="95" spans="1:30" x14ac:dyDescent="0.25">
      <c r="A95" s="37">
        <f t="shared" ca="1" si="13"/>
        <v>46171.625</v>
      </c>
      <c r="B95" s="38">
        <f ca="1">IF(COUNTIF($W$2:W1080,A95)=1,VLOOKUP(A95,O:P,2), IF(COUNTIF($W$2:W1080,A95)=0,$B$9,""))</f>
        <v>91.85</v>
      </c>
      <c r="C95" s="2">
        <f t="shared" ca="1" si="14"/>
        <v>-604864.5188820156</v>
      </c>
      <c r="D95" s="41">
        <f t="shared" ca="1" si="15"/>
        <v>-269416.66666666669</v>
      </c>
      <c r="E95" s="38">
        <f ca="1">IF(COUNTIF($W$2:W1080,A95)=1,VLOOKUP(A95,Q:R,2), IF(COUNTIF($W$2:W1080,A95)=0,$C$9,""))</f>
        <v>99.679000000000002</v>
      </c>
      <c r="F95" s="2">
        <f t="shared" ca="1" si="16"/>
        <v>-236860.00000000035</v>
      </c>
      <c r="G95" s="41">
        <f t="shared" ca="1" si="17"/>
        <v>-1247.65333333335</v>
      </c>
      <c r="H95" s="38">
        <f ca="1">IF(COUNTIF($W$2:W1080,A95)=1,VLOOKUP(A95,S:T,2), IF(COUNTIF($W$2:W1080,A95)=0,$D$9,""))</f>
        <v>258.70600000000002</v>
      </c>
      <c r="I95" s="39">
        <f ca="1">IF(COUNTIF($X$2:X1080,INT(A95))=1,VLOOKUP(INT(A95),X:Y,2), IF(ISERROR(H95-2),"",I94*(1-$D$8*(H95-H94)*0.0001)))</f>
        <v>268.76229999999998</v>
      </c>
      <c r="J95" s="39">
        <f t="shared" ca="1" si="18"/>
        <v>268.76229999999998</v>
      </c>
      <c r="K95" s="41">
        <f t="shared" ca="1" si="19"/>
        <v>324358.42985842697</v>
      </c>
      <c r="L95" s="41" t="str">
        <f ca="1">IF($A95="","",IF(COUNTIFS(Dividends!$G:$G,"&gt;"&amp;INT($A94),Dividends!$G:$G,"&lt;="&amp;INT($A95))=0,"",$H$2*SUMIFS(Dividends!$H:$H,Dividends!$G:$G,"&gt;"&amp;INT($A94),Dividends!$G:$G,"&lt;="&amp;INT($A95))))</f>
        <v/>
      </c>
      <c r="M95" s="42">
        <f ca="1">IF(ISERROR(B95-2),"",C95+D95-F95-G95-K95+SUM($L$14:L95))</f>
        <v>-214756.41268184036</v>
      </c>
      <c r="O95" s="3">
        <v>46185.625</v>
      </c>
      <c r="P95" s="4">
        <v>91.87</v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>
        <f t="shared" si="10"/>
        <v>46185.625</v>
      </c>
      <c r="V95" s="3">
        <f t="shared" si="11"/>
        <v>46185.625</v>
      </c>
      <c r="W95" s="3">
        <v>46188.625</v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74">
        <v>45911</v>
      </c>
      <c r="AC95" s="4">
        <v>252.2</v>
      </c>
      <c r="AD95" s="6">
        <f t="shared" si="12"/>
        <v>45911</v>
      </c>
    </row>
    <row r="96" spans="1:30" x14ac:dyDescent="0.25">
      <c r="A96" s="37">
        <f t="shared" ca="1" si="13"/>
        <v>46174.625</v>
      </c>
      <c r="B96" s="38">
        <f ca="1">IF(COUNTIF($W$2:W1081,A96)=1,VLOOKUP(A96,O:P,2), IF(COUNTIF($W$2:W1081,A96)=0,$B$9,""))</f>
        <v>91.65</v>
      </c>
      <c r="C96" s="2">
        <f t="shared" ca="1" si="14"/>
        <v>-668871.34627693135</v>
      </c>
      <c r="D96" s="41">
        <f t="shared" ca="1" si="15"/>
        <v>-276041.66666666669</v>
      </c>
      <c r="E96" s="38">
        <f ca="1">IF(COUNTIF($W$2:W1081,A96)=1,VLOOKUP(A96,Q:R,2), IF(COUNTIF($W$2:W1081,A96)=0,$C$9,""))</f>
        <v>99.450999999999993</v>
      </c>
      <c r="F96" s="2">
        <f t="shared" ca="1" si="16"/>
        <v>-296140.00000000262</v>
      </c>
      <c r="G96" s="41">
        <f t="shared" ca="1" si="17"/>
        <v>-1278.333333333343</v>
      </c>
      <c r="H96" s="38">
        <f ca="1">IF(COUNTIF($W$2:W1081,A96)=1,VLOOKUP(A96,S:T,2), IF(COUNTIF($W$2:W1081,A96)=0,$D$9,""))</f>
        <v>265.43599999999998</v>
      </c>
      <c r="I96" s="39">
        <f ca="1">IF(COUNTIF($X$2:X1081,INT(A96))=1,VLOOKUP(INT(A96),X:Y,2), IF(ISERROR(H96-2),"",I95*(1-$D$8*(H96-H95)*0.0001)))</f>
        <v>268.39839999999998</v>
      </c>
      <c r="J96" s="39">
        <f t="shared" ca="1" si="18"/>
        <v>268.39839999999998</v>
      </c>
      <c r="K96" s="41">
        <f t="shared" ca="1" si="19"/>
        <v>298599.74259974121</v>
      </c>
      <c r="L96" s="41" t="str">
        <f ca="1">IF($A96="","",IF(COUNTIFS(Dividends!$G:$G,"&gt;"&amp;INT($A95),Dividends!$G:$G,"&lt;="&amp;INT($A96))=0,"",$H$2*SUMIFS(Dividends!$H:$H,Dividends!$G:$G,"&gt;"&amp;INT($A95),Dividends!$G:$G,"&lt;="&amp;INT($A96))))</f>
        <v/>
      </c>
      <c r="M96" s="42">
        <f ca="1">IF(ISERROR(B96-2),"",C96+D96-F96-G96-K96+SUM($L$14:L96))</f>
        <v>-200318.87281806814</v>
      </c>
      <c r="O96" s="3">
        <v>46188.625</v>
      </c>
      <c r="P96" s="4">
        <v>92.18</v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>
        <f t="shared" si="10"/>
        <v>46188.625</v>
      </c>
      <c r="V96" s="3">
        <f t="shared" si="11"/>
        <v>46188.625</v>
      </c>
      <c r="W96" s="3">
        <v>46189.625</v>
      </c>
      <c r="X96" s="3">
        <v>46178</v>
      </c>
      <c r="Y96" s="5">
        <v>268.35000000000002</v>
      </c>
      <c r="Z96" s="3">
        <v>45912</v>
      </c>
      <c r="AA96" s="4">
        <v>243.55</v>
      </c>
      <c r="AB96" s="74">
        <v>45912</v>
      </c>
      <c r="AC96" s="4">
        <v>251.792</v>
      </c>
      <c r="AD96" s="6">
        <f t="shared" si="12"/>
        <v>45912</v>
      </c>
    </row>
    <row r="97" spans="1:30" x14ac:dyDescent="0.25">
      <c r="A97" s="37">
        <f t="shared" ca="1" si="13"/>
        <v>46175.625</v>
      </c>
      <c r="B97" s="38">
        <f ca="1">IF(COUNTIF($W$2:W1082,A97)=1,VLOOKUP(A97,O:P,2), IF(COUNTIF($W$2:W1082,A97)=0,$B$9,""))</f>
        <v>91.88</v>
      </c>
      <c r="C97" s="2">
        <f t="shared" ca="1" si="14"/>
        <v>-595263.49477277533</v>
      </c>
      <c r="D97" s="41">
        <f t="shared" ca="1" si="15"/>
        <v>-278249.99999999994</v>
      </c>
      <c r="E97" s="38">
        <f ca="1">IF(COUNTIF($W$2:W1082,A97)=1,VLOOKUP(A97,Q:R,2), IF(COUNTIF($W$2:W1082,A97)=0,$C$9,""))</f>
        <v>99.534999999999997</v>
      </c>
      <c r="F97" s="2">
        <f t="shared" ca="1" si="16"/>
        <v>-274300.00000000175</v>
      </c>
      <c r="G97" s="41">
        <f t="shared" ca="1" si="17"/>
        <v>-1288.5599999999977</v>
      </c>
      <c r="H97" s="38">
        <f ca="1">IF(COUNTIF($W$2:W1082,A97)=1,VLOOKUP(A97,S:T,2), IF(COUNTIF($W$2:W1082,A97)=0,$D$9,""))</f>
        <v>258.46100000000001</v>
      </c>
      <c r="I97" s="39">
        <f ca="1">IF(COUNTIF($X$2:X1082,INT(A97))=1,VLOOKUP(INT(A97),X:Y,2), IF(ISERROR(H97-2),"",I96*(1-$D$8*(H97-H96)*0.0001)))</f>
        <v>268.89879999999999</v>
      </c>
      <c r="J97" s="39">
        <f t="shared" ca="1" si="18"/>
        <v>268.89879999999999</v>
      </c>
      <c r="K97" s="41">
        <f t="shared" ca="1" si="19"/>
        <v>334020.5920205919</v>
      </c>
      <c r="L97" s="41" t="str">
        <f ca="1">IF($A97="","",IF(COUNTIFS(Dividends!$G:$G,"&gt;"&amp;INT($A96),Dividends!$G:$G,"&lt;="&amp;INT($A97))=0,"",$H$2*SUMIFS(Dividends!$H:$H,Dividends!$G:$G,"&gt;"&amp;INT($A96),Dividends!$G:$G,"&lt;="&amp;INT($A97))))</f>
        <v/>
      </c>
      <c r="M97" s="42">
        <f ca="1">IF(ISERROR(B97-2),"",C97+D97-F97-G97-K97+SUM($L$14:L97))</f>
        <v>-186169.97740143049</v>
      </c>
      <c r="O97" s="3">
        <v>46189.625</v>
      </c>
      <c r="P97" s="4">
        <v>92.15</v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>
        <f t="shared" si="10"/>
        <v>46189.625</v>
      </c>
      <c r="V97" s="3">
        <f t="shared" si="11"/>
        <v>46189.625</v>
      </c>
      <c r="W97" s="3">
        <v>46190.625</v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74">
        <v>45915</v>
      </c>
      <c r="AC97" s="4">
        <v>248.089</v>
      </c>
      <c r="AD97" s="6">
        <f t="shared" si="12"/>
        <v>45915</v>
      </c>
    </row>
    <row r="98" spans="1:30" x14ac:dyDescent="0.25">
      <c r="A98" s="37">
        <f t="shared" ca="1" si="13"/>
        <v>46176.625</v>
      </c>
      <c r="B98" s="38">
        <f ca="1">IF(COUNTIF($W$2:W1083,A98)=1,VLOOKUP(A98,O:P,2), IF(COUNTIF($W$2:W1083,A98)=0,$B$9,""))</f>
        <v>91.75</v>
      </c>
      <c r="C98" s="2">
        <f t="shared" ca="1" si="14"/>
        <v>-636867.93257947348</v>
      </c>
      <c r="D98" s="41">
        <f t="shared" ca="1" si="15"/>
        <v>-280458.33333333331</v>
      </c>
      <c r="E98" s="38">
        <f ca="1">IF(COUNTIF($W$2:W1083,A98)=1,VLOOKUP(A98,Q:R,2), IF(COUNTIF($W$2:W1083,A98)=0,$C$9,""))</f>
        <v>99.421999999999997</v>
      </c>
      <c r="F98" s="2">
        <f t="shared" ca="1" si="16"/>
        <v>-303680.00000000163</v>
      </c>
      <c r="G98" s="41">
        <f t="shared" ca="1" si="17"/>
        <v>-1298.7866666666523</v>
      </c>
      <c r="H98" s="38">
        <f ca="1">IF(COUNTIF($W$2:W1083,A98)=1,VLOOKUP(A98,S:T,2), IF(COUNTIF($W$2:W1083,A98)=0,$D$9,""))</f>
        <v>261.79599999999999</v>
      </c>
      <c r="I98" s="39">
        <f ca="1">IF(COUNTIF($X$2:X1083,INT(A98))=1,VLOOKUP(INT(A98),X:Y,2), IF(ISERROR(H98-2),"",I97*(1-$D$8*(H98-H97)*0.0001)))</f>
        <v>268.40789999999998</v>
      </c>
      <c r="J98" s="39">
        <f t="shared" ca="1" si="18"/>
        <v>268.40789999999998</v>
      </c>
      <c r="K98" s="41">
        <f t="shared" ca="1" si="19"/>
        <v>299272.20077219815</v>
      </c>
      <c r="L98" s="41" t="str">
        <f ca="1">IF($A98="","",IF(COUNTIFS(Dividends!$G:$G,"&gt;"&amp;INT($A97),Dividends!$G:$G,"&lt;="&amp;INT($A98))=0,"",$H$2*SUMIFS(Dividends!$H:$H,Dividends!$G:$G,"&gt;"&amp;INT($A97),Dividends!$G:$G,"&lt;="&amp;INT($A98))))</f>
        <v/>
      </c>
      <c r="M98" s="42">
        <f ca="1">IF(ISERROR(B98-2),"",C98+D98-F98-G98-K98+SUM($L$14:L98))</f>
        <v>-165844.13062640163</v>
      </c>
      <c r="O98" s="3">
        <v>46190.625</v>
      </c>
      <c r="P98" s="4">
        <v>92.16</v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>
        <f t="shared" si="10"/>
        <v>46190.625</v>
      </c>
      <c r="V98" s="3">
        <f t="shared" si="11"/>
        <v>46190.625</v>
      </c>
      <c r="W98" s="3">
        <v>46191.625</v>
      </c>
      <c r="X98" s="3">
        <v>46182</v>
      </c>
      <c r="Y98" s="5">
        <v>268.3329</v>
      </c>
      <c r="Z98" s="3">
        <v>45916</v>
      </c>
      <c r="AA98" s="4">
        <v>243.57589999999999</v>
      </c>
      <c r="AB98" s="74">
        <v>45916</v>
      </c>
      <c r="AC98" s="4">
        <v>252.04</v>
      </c>
      <c r="AD98" s="6">
        <f t="shared" si="12"/>
        <v>45916</v>
      </c>
    </row>
    <row r="99" spans="1:30" x14ac:dyDescent="0.25">
      <c r="A99" s="37">
        <f t="shared" ca="1" si="13"/>
        <v>46177.625</v>
      </c>
      <c r="B99" s="38">
        <f ca="1">IF(COUNTIF($W$2:W1084,A99)=1,VLOOKUP(A99,O:P,2), IF(COUNTIF($W$2:W1084,A99)=0,$B$9,""))</f>
        <v>91.74</v>
      </c>
      <c r="C99" s="2">
        <f t="shared" ca="1" si="14"/>
        <v>-640068.27394922031</v>
      </c>
      <c r="D99" s="41">
        <f t="shared" ca="1" si="15"/>
        <v>-282666.66666666669</v>
      </c>
      <c r="E99" s="38">
        <f ca="1">IF(COUNTIF($W$2:W1084,A99)=1,VLOOKUP(A99,Q:R,2), IF(COUNTIF($W$2:W1084,A99)=0,$C$9,""))</f>
        <v>99.430999999999997</v>
      </c>
      <c r="F99" s="2">
        <f t="shared" ca="1" si="16"/>
        <v>-301340.00000000157</v>
      </c>
      <c r="G99" s="41">
        <f t="shared" ca="1" si="17"/>
        <v>-1309.0133333333652</v>
      </c>
      <c r="H99" s="38">
        <f ca="1">IF(COUNTIF($W$2:W1084,A99)=1,VLOOKUP(A99,S:T,2), IF(COUNTIF($W$2:W1084,A99)=0,$D$9,""))</f>
        <v>261.392</v>
      </c>
      <c r="I99" s="39">
        <f ca="1">IF(COUNTIF($X$2:X1084,INT(A99))=1,VLOOKUP(INT(A99),X:Y,2), IF(ISERROR(H99-2),"",I98*(1-$D$8*(H99-H98)*0.0001)))</f>
        <v>268.64510000000001</v>
      </c>
      <c r="J99" s="39">
        <f t="shared" ca="1" si="18"/>
        <v>268.64510000000001</v>
      </c>
      <c r="K99" s="41">
        <f t="shared" ca="1" si="19"/>
        <v>316062.41956242156</v>
      </c>
      <c r="L99" s="41" t="str">
        <f ca="1">IF($A99="","",IF(COUNTIFS(Dividends!$G:$G,"&gt;"&amp;INT($A98),Dividends!$G:$G,"&lt;="&amp;INT($A99))=0,"",$H$2*SUMIFS(Dividends!$H:$H,Dividends!$G:$G,"&gt;"&amp;INT($A98),Dividends!$G:$G,"&lt;="&amp;INT($A99))))</f>
        <v/>
      </c>
      <c r="M99" s="42">
        <f ca="1">IF(ISERROR(B99-2),"",C99+D99-F99-G99-K99+SUM($L$14:L99))</f>
        <v>-190372.79745303839</v>
      </c>
      <c r="O99" s="3">
        <v>46191.625</v>
      </c>
      <c r="P99" s="4">
        <v>91.01</v>
      </c>
      <c r="Q99" s="3">
        <v>46185.625</v>
      </c>
      <c r="R99" s="4">
        <v>99.512</v>
      </c>
      <c r="S99" s="3">
        <v>46188.625</v>
      </c>
      <c r="T99" s="4">
        <v>248.518</v>
      </c>
      <c r="U99" s="3">
        <f t="shared" si="10"/>
        <v>46191.625</v>
      </c>
      <c r="V99" s="3">
        <f t="shared" si="11"/>
        <v>46191.625</v>
      </c>
      <c r="W99" s="3">
        <v>46192.625</v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74">
        <v>45917</v>
      </c>
      <c r="AC99" s="4">
        <v>250.89500000000001</v>
      </c>
      <c r="AD99" s="6">
        <f t="shared" si="12"/>
        <v>45917</v>
      </c>
    </row>
    <row r="100" spans="1:30" x14ac:dyDescent="0.25">
      <c r="A100" s="37">
        <f t="shared" ca="1" si="13"/>
        <v>46178.625</v>
      </c>
      <c r="B100" s="38">
        <f ca="1">IF(COUNTIF($W$2:W1085,A100)=1,VLOOKUP(A100,O:P,2), IF(COUNTIF($W$2:W1085,A100)=0,$B$9,""))</f>
        <v>91.71</v>
      </c>
      <c r="C100" s="2">
        <f t="shared" ca="1" si="14"/>
        <v>-649669.29805846058</v>
      </c>
      <c r="D100" s="41">
        <f t="shared" ca="1" si="15"/>
        <v>-284875</v>
      </c>
      <c r="E100" s="38">
        <f ca="1">IF(COUNTIF($W$2:W1085,A100)=1,VLOOKUP(A100,Q:R,2), IF(COUNTIF($W$2:W1085,A100)=0,$C$9,""))</f>
        <v>99.38</v>
      </c>
      <c r="F100" s="2">
        <f t="shared" ca="1" si="16"/>
        <v>-314600.00000000204</v>
      </c>
      <c r="G100" s="41">
        <f t="shared" ca="1" si="17"/>
        <v>-1319.2399999999907</v>
      </c>
      <c r="H100" s="38">
        <f ca="1">IF(COUNTIF($W$2:W1085,A100)=1,VLOOKUP(A100,S:T,2), IF(COUNTIF($W$2:W1085,A100)=0,$D$9,""))</f>
        <v>261.88600000000002</v>
      </c>
      <c r="I100" s="39">
        <f ca="1">IF(COUNTIF($X$2:X1085,INT(A100))=1,VLOOKUP(INT(A100),X:Y,2), IF(ISERROR(H100-2),"",I99*(1-$D$8*(H100-H99)*0.0001)))</f>
        <v>268.35000000000002</v>
      </c>
      <c r="J100" s="39">
        <f t="shared" ca="1" si="18"/>
        <v>268.35000000000002</v>
      </c>
      <c r="K100" s="41">
        <f t="shared" ca="1" si="19"/>
        <v>295173.74517374445</v>
      </c>
      <c r="L100" s="41" t="str">
        <f ca="1">IF($A100="","",IF(COUNTIFS(Dividends!$G:$G,"&gt;"&amp;INT($A99),Dividends!$G:$G,"&lt;="&amp;INT($A100))=0,"",$H$2*SUMIFS(Dividends!$H:$H,Dividends!$G:$G,"&gt;"&amp;INT($A99),Dividends!$G:$G,"&lt;="&amp;INT($A100))))</f>
        <v/>
      </c>
      <c r="M100" s="42">
        <f ca="1">IF(ISERROR(B100-2),"",C100+D100-F100-G100-K100+SUM($L$14:L100))</f>
        <v>-168023.25384026789</v>
      </c>
      <c r="O100" s="3">
        <v>46192.625</v>
      </c>
      <c r="P100" s="4">
        <v>91.05</v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>
        <f t="shared" si="10"/>
        <v>46192.625</v>
      </c>
      <c r="V100" s="3">
        <f t="shared" si="11"/>
        <v>46192.625</v>
      </c>
      <c r="W100" s="3">
        <v>46195.625</v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74">
        <v>45918</v>
      </c>
      <c r="AC100" s="4">
        <v>247.65700000000001</v>
      </c>
      <c r="AD100" s="6">
        <f t="shared" si="12"/>
        <v>45918</v>
      </c>
    </row>
    <row r="101" spans="1:30" x14ac:dyDescent="0.25">
      <c r="A101" s="37">
        <f t="shared" ca="1" si="13"/>
        <v>46181.625</v>
      </c>
      <c r="B101" s="38">
        <f ca="1">IF(COUNTIF($W$2:W1086,A101)=1,VLOOKUP(A101,O:P,2), IF(COUNTIF($W$2:W1086,A101)=0,$B$9,""))</f>
        <v>91.65</v>
      </c>
      <c r="C101" s="2">
        <f t="shared" ca="1" si="14"/>
        <v>-668871.34627693135</v>
      </c>
      <c r="D101" s="41">
        <f t="shared" ca="1" si="15"/>
        <v>-291499.99999999994</v>
      </c>
      <c r="E101" s="38">
        <f ca="1">IF(COUNTIF($W$2:W1086,A101)=1,VLOOKUP(A101,Q:R,2), IF(COUNTIF($W$2:W1086,A101)=0,$C$9,""))</f>
        <v>99.350999999999999</v>
      </c>
      <c r="F101" s="2">
        <f t="shared" ca="1" si="16"/>
        <v>-322140.00000000111</v>
      </c>
      <c r="G101" s="41">
        <f t="shared" ca="1" si="17"/>
        <v>-1349.9199999999837</v>
      </c>
      <c r="H101" s="38">
        <f ca="1">IF(COUNTIF($W$2:W1086,A101)=1,VLOOKUP(A101,S:T,2), IF(COUNTIF($W$2:W1086,A101)=0,$D$9,""))</f>
        <v>263.755</v>
      </c>
      <c r="I101" s="39">
        <f ca="1">IF(COUNTIF($X$2:X1086,INT(A101))=1,VLOOKUP(INT(A101),X:Y,2), IF(ISERROR(H101-2),"",I100*(1-$D$8*(H101-H100)*0.0001)))</f>
        <v>268.29649999999998</v>
      </c>
      <c r="J101" s="39">
        <f t="shared" ca="1" si="18"/>
        <v>268.29649999999998</v>
      </c>
      <c r="K101" s="41">
        <f t="shared" ca="1" si="19"/>
        <v>291386.74388674163</v>
      </c>
      <c r="L101" s="41" t="str">
        <f ca="1">IF($A101="","",IF(COUNTIFS(Dividends!$G:$G,"&gt;"&amp;INT($A100),Dividends!$G:$G,"&lt;="&amp;INT($A101))=0,"",$H$2*SUMIFS(Dividends!$H:$H,Dividends!$G:$G,"&gt;"&amp;INT($A100),Dividends!$G:$G,"&lt;="&amp;INT($A101))))</f>
        <v/>
      </c>
      <c r="M101" s="42">
        <f ca="1">IF(ISERROR(B101-2),"",C101+D101-F101-G101-K101+SUM($L$14:L101))</f>
        <v>-182492.62077173661</v>
      </c>
      <c r="O101" s="3">
        <v>46195.625</v>
      </c>
      <c r="P101" s="4">
        <v>91.17</v>
      </c>
      <c r="Q101" s="3">
        <v>46189.625</v>
      </c>
      <c r="R101" s="4">
        <v>99.625</v>
      </c>
      <c r="S101" s="3">
        <v>46190.625</v>
      </c>
      <c r="T101" s="4">
        <v>252.459</v>
      </c>
      <c r="U101" s="3">
        <f t="shared" si="10"/>
        <v>46195.625</v>
      </c>
      <c r="V101" s="3">
        <f t="shared" si="11"/>
        <v>46195.625</v>
      </c>
      <c r="W101" s="3">
        <v>46196.625</v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74">
        <v>45919</v>
      </c>
      <c r="AC101" s="4">
        <v>248.416</v>
      </c>
      <c r="AD101" s="6">
        <f t="shared" si="12"/>
        <v>45919</v>
      </c>
    </row>
    <row r="102" spans="1:30" x14ac:dyDescent="0.25">
      <c r="A102" s="37">
        <f t="shared" ca="1" si="13"/>
        <v>46182.625</v>
      </c>
      <c r="B102" s="38">
        <f ca="1">IF(COUNTIF($W$2:W1087,A102)=1,VLOOKUP(A102,O:P,2), IF(COUNTIF($W$2:W1087,A102)=0,$B$9,""))</f>
        <v>91.63</v>
      </c>
      <c r="C102" s="2">
        <f t="shared" ca="1" si="14"/>
        <v>-675272.02901642828</v>
      </c>
      <c r="D102" s="41">
        <f t="shared" ca="1" si="15"/>
        <v>-293708.33333333331</v>
      </c>
      <c r="E102" s="38">
        <f ca="1">IF(COUNTIF($W$2:W1087,A102)=1,VLOOKUP(A102,Q:R,2), IF(COUNTIF($W$2:W1087,A102)=0,$C$9,""))</f>
        <v>99.396000000000001</v>
      </c>
      <c r="F102" s="2">
        <f t="shared" ca="1" si="16"/>
        <v>-310440.0000000007</v>
      </c>
      <c r="G102" s="41">
        <f t="shared" ca="1" si="17"/>
        <v>-1360.1466666666674</v>
      </c>
      <c r="H102" s="38">
        <f ca="1">IF(COUNTIF($W$2:W1087,A102)=1,VLOOKUP(A102,S:T,2), IF(COUNTIF($W$2:W1087,A102)=0,$D$9,""))</f>
        <v>261.05</v>
      </c>
      <c r="I102" s="39">
        <f ca="1">IF(COUNTIF($X$2:X1087,INT(A102))=1,VLOOKUP(INT(A102),X:Y,2), IF(ISERROR(H102-2),"",I101*(1-$D$8*(H102-H101)*0.0001)))</f>
        <v>268.3329</v>
      </c>
      <c r="J102" s="39">
        <f t="shared" ca="1" si="18"/>
        <v>268.3329</v>
      </c>
      <c r="K102" s="41">
        <f t="shared" ca="1" si="19"/>
        <v>293963.32046331867</v>
      </c>
      <c r="L102" s="41" t="str">
        <f ca="1">IF($A102="","",IF(COUNTIFS(Dividends!$G:$G,"&gt;"&amp;INT($A101),Dividends!$G:$G,"&lt;="&amp;INT($A102))=0,"",$H$2*SUMIFS(Dividends!$H:$H,Dividends!$G:$G,"&gt;"&amp;INT($A101),Dividends!$G:$G,"&lt;="&amp;INT($A102))))</f>
        <v/>
      </c>
      <c r="M102" s="42">
        <f ca="1">IF(ISERROR(B102-2),"",C102+D102-F102-G102-K102+SUM($L$14:L102))</f>
        <v>-205367.98675447772</v>
      </c>
      <c r="O102" s="3">
        <v>46196.625</v>
      </c>
      <c r="P102" s="4">
        <v>91.08</v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>
        <f t="shared" si="10"/>
        <v>46196.625</v>
      </c>
      <c r="V102" s="3">
        <f t="shared" si="11"/>
        <v>46196.625</v>
      </c>
      <c r="W102" s="3">
        <v>46197.625</v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74">
        <v>45922</v>
      </c>
      <c r="AC102" s="4">
        <v>268.25200000000001</v>
      </c>
      <c r="AD102" s="6">
        <f t="shared" si="12"/>
        <v>45922</v>
      </c>
    </row>
    <row r="103" spans="1:30" x14ac:dyDescent="0.25">
      <c r="A103" s="37">
        <f t="shared" ca="1" si="13"/>
        <v>46183.625</v>
      </c>
      <c r="B103" s="38">
        <f ca="1">IF(COUNTIF($W$2:W1088,A103)=1,VLOOKUP(A103,O:P,2), IF(COUNTIF($W$2:W1088,A103)=0,$B$9,""))</f>
        <v>91.62</v>
      </c>
      <c r="C103" s="2">
        <f t="shared" ca="1" si="14"/>
        <v>-678472.37038617174</v>
      </c>
      <c r="D103" s="41">
        <f t="shared" ca="1" si="15"/>
        <v>-295916.66666666669</v>
      </c>
      <c r="E103" s="38">
        <f ca="1">IF(COUNTIF($W$2:W1088,A103)=1,VLOOKUP(A103,Q:R,2), IF(COUNTIF($W$2:W1088,A103)=0,$C$9,""))</f>
        <v>99.337999999999994</v>
      </c>
      <c r="F103" s="2">
        <f t="shared" ca="1" si="16"/>
        <v>-325520.0000000025</v>
      </c>
      <c r="G103" s="41">
        <f t="shared" ca="1" si="17"/>
        <v>-1370.3733333333512</v>
      </c>
      <c r="H103" s="38">
        <f ca="1">IF(COUNTIF($W$2:W1088,A103)=1,VLOOKUP(A103,S:T,2), IF(COUNTIF($W$2:W1088,A103)=0,$D$9,""))</f>
        <v>264.82</v>
      </c>
      <c r="I103" s="39">
        <f ca="1">IF(COUNTIF($X$2:X1088,INT(A103))=1,VLOOKUP(INT(A103),X:Y,2), IF(ISERROR(H103-2),"",I102*(1-$D$8*(H103-H102)*0.0001)))</f>
        <v>268.03980000000001</v>
      </c>
      <c r="J103" s="39">
        <f t="shared" ca="1" si="18"/>
        <v>268.03980000000001</v>
      </c>
      <c r="K103" s="41">
        <f t="shared" ca="1" si="19"/>
        <v>273216.21621621842</v>
      </c>
      <c r="L103" s="41" t="str">
        <f ca="1">IF($A103="","",IF(COUNTIFS(Dividends!$G:$G,"&gt;"&amp;INT($A102),Dividends!$G:$G,"&lt;="&amp;INT($A103))=0,"",$H$2*SUMIFS(Dividends!$H:$H,Dividends!$G:$G,"&gt;"&amp;INT($A102),Dividends!$G:$G,"&lt;="&amp;INT($A103))))</f>
        <v/>
      </c>
      <c r="M103" s="42">
        <f ca="1">IF(ISERROR(B103-2),"",C103+D103-F103-G103-K103+SUM($L$14:L103))</f>
        <v>-174939.33054378582</v>
      </c>
      <c r="O103" s="3">
        <v>46197.625</v>
      </c>
      <c r="P103" s="4">
        <v>91.03</v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>
        <f t="shared" si="10"/>
        <v>46197.625</v>
      </c>
      <c r="V103" s="3">
        <f t="shared" si="11"/>
        <v>46197.625</v>
      </c>
      <c r="W103" s="3">
        <v>46198.625</v>
      </c>
      <c r="X103" s="3">
        <v>46189</v>
      </c>
      <c r="Y103" s="5">
        <v>270.3356</v>
      </c>
      <c r="Z103" s="3">
        <v>45923</v>
      </c>
      <c r="AA103" s="4">
        <v>244.0994</v>
      </c>
      <c r="AB103" s="74">
        <v>45923</v>
      </c>
      <c r="AC103" s="4">
        <v>264.339</v>
      </c>
      <c r="AD103" s="6">
        <f t="shared" si="12"/>
        <v>45923</v>
      </c>
    </row>
    <row r="104" spans="1:30" x14ac:dyDescent="0.25">
      <c r="A104" s="37">
        <f t="shared" ca="1" si="13"/>
        <v>46184.625</v>
      </c>
      <c r="B104" s="38">
        <f ca="1">IF(COUNTIF($W$2:W1089,A104)=1,VLOOKUP(A104,O:P,2), IF(COUNTIF($W$2:W1089,A104)=0,$B$9,""))</f>
        <v>91.65</v>
      </c>
      <c r="C104" s="2">
        <f t="shared" ca="1" si="14"/>
        <v>-668871.34627693135</v>
      </c>
      <c r="D104" s="41">
        <f t="shared" ca="1" si="15"/>
        <v>-298125</v>
      </c>
      <c r="E104" s="38">
        <f ca="1">IF(COUNTIF($W$2:W1089,A104)=1,VLOOKUP(A104,Q:R,2), IF(COUNTIF($W$2:W1089,A104)=0,$C$9,""))</f>
        <v>99.400999999999996</v>
      </c>
      <c r="F104" s="2">
        <f t="shared" ca="1" si="16"/>
        <v>-309140.00000000186</v>
      </c>
      <c r="G104" s="41">
        <f t="shared" ca="1" si="17"/>
        <v>-1380.6000000000058</v>
      </c>
      <c r="H104" s="38">
        <f ca="1">IF(COUNTIF($W$2:W1089,A104)=1,VLOOKUP(A104,S:T,2), IF(COUNTIF($W$2:W1089,A104)=0,$D$9,""))</f>
        <v>263.56900000000002</v>
      </c>
      <c r="I104" s="39">
        <f ca="1">IF(COUNTIF($X$2:X1089,INT(A104))=1,VLOOKUP(INT(A104),X:Y,2), IF(ISERROR(H104-2),"",I103*(1-$D$8*(H104-H103)*0.0001)))</f>
        <v>268.44299999999998</v>
      </c>
      <c r="J104" s="39">
        <f t="shared" ca="1" si="18"/>
        <v>268.44299999999998</v>
      </c>
      <c r="K104" s="41">
        <f t="shared" ca="1" si="19"/>
        <v>301756.75675675354</v>
      </c>
      <c r="L104" s="41" t="str">
        <f ca="1">IF($A104="","",IF(COUNTIFS(Dividends!$G:$G,"&gt;"&amp;INT($A103),Dividends!$G:$G,"&lt;="&amp;INT($A104))=0,"",$H$2*SUMIFS(Dividends!$H:$H,Dividends!$G:$G,"&gt;"&amp;INT($A103),Dividends!$G:$G,"&lt;="&amp;INT($A104))))</f>
        <v/>
      </c>
      <c r="M104" s="42">
        <f ca="1">IF(ISERROR(B104-2),"",C104+D104-F104-G104-K104+SUM($L$14:L104))</f>
        <v>-212456.95364174794</v>
      </c>
      <c r="O104" s="3">
        <v>46198.625</v>
      </c>
      <c r="P104" s="4">
        <v>91.17</v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>
        <f t="shared" si="10"/>
        <v>46198.625</v>
      </c>
      <c r="V104" s="3">
        <f t="shared" si="11"/>
        <v>46198.625</v>
      </c>
      <c r="X104" s="3">
        <v>46190</v>
      </c>
      <c r="Y104" s="5">
        <v>270.1644</v>
      </c>
      <c r="Z104" s="3">
        <v>45924</v>
      </c>
      <c r="AA104" s="4">
        <v>244.1028</v>
      </c>
      <c r="AB104" s="74">
        <v>45924</v>
      </c>
      <c r="AC104" s="4">
        <v>264.625</v>
      </c>
      <c r="AD104" s="6">
        <f t="shared" si="12"/>
        <v>45924</v>
      </c>
    </row>
    <row r="105" spans="1:30" x14ac:dyDescent="0.25">
      <c r="A105" s="37">
        <f t="shared" ca="1" si="13"/>
        <v>46185.625</v>
      </c>
      <c r="B105" s="38">
        <f ca="1">IF(COUNTIF($W$2:W1090,A105)=1,VLOOKUP(A105,O:P,2), IF(COUNTIF($W$2:W1090,A105)=0,$B$9,""))</f>
        <v>91.87</v>
      </c>
      <c r="C105" s="2">
        <f t="shared" ca="1" si="14"/>
        <v>-598463.83614251879</v>
      </c>
      <c r="D105" s="41">
        <f t="shared" ca="1" si="15"/>
        <v>-300333.33333333331</v>
      </c>
      <c r="E105" s="38">
        <f ca="1">IF(COUNTIF($W$2:W1090,A105)=1,VLOOKUP(A105,Q:R,2), IF(COUNTIF($W$2:W1090,A105)=0,$C$9,""))</f>
        <v>99.512</v>
      </c>
      <c r="F105" s="2">
        <f t="shared" ca="1" si="16"/>
        <v>-280280.00000000076</v>
      </c>
      <c r="G105" s="41">
        <f t="shared" ca="1" si="17"/>
        <v>-1390.8266666666605</v>
      </c>
      <c r="H105" s="38">
        <f ca="1">IF(COUNTIF($W$2:W1090,A105)=1,VLOOKUP(A105,S:T,2), IF(COUNTIF($W$2:W1090,A105)=0,$D$9,""))</f>
        <v>253.16399999999999</v>
      </c>
      <c r="I105" s="39">
        <f ca="1">IF(COUNTIF($X$2:X1090,INT(A105))=1,VLOOKUP(INT(A105),X:Y,2), IF(ISERROR(H105-2),"",I104*(1-$D$8*(H105-H104)*0.0001)))</f>
        <v>269.7552</v>
      </c>
      <c r="J105" s="39">
        <f t="shared" ca="1" si="18"/>
        <v>269.7552</v>
      </c>
      <c r="K105" s="41">
        <f t="shared" ca="1" si="19"/>
        <v>394640.92664092622</v>
      </c>
      <c r="L105" s="41" t="str">
        <f ca="1">IF($A105="","",IF(COUNTIFS(Dividends!$G:$G,"&gt;"&amp;INT($A104),Dividends!$G:$G,"&lt;="&amp;INT($A105))=0,"",$H$2*SUMIFS(Dividends!$H:$H,Dividends!$G:$G,"&gt;"&amp;INT($A104),Dividends!$G:$G,"&lt;="&amp;INT($A105))))</f>
        <v/>
      </c>
      <c r="M105" s="42">
        <f ca="1">IF(ISERROR(B105-2),"",C105+D105-F105-G105-K105+SUM($L$14:L105))</f>
        <v>-265991.72005817574</v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10"/>
        <v/>
      </c>
      <c r="V105" s="3" t="str">
        <f t="shared" si="11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74">
        <v>45925</v>
      </c>
      <c r="AC105" s="4">
        <v>268.18400000000003</v>
      </c>
      <c r="AD105" s="6">
        <f t="shared" si="12"/>
        <v>45925</v>
      </c>
    </row>
    <row r="106" spans="1:30" x14ac:dyDescent="0.25">
      <c r="A106" s="37">
        <f t="shared" ca="1" si="13"/>
        <v>46188.625</v>
      </c>
      <c r="B106" s="38">
        <f ca="1">IF(COUNTIF($W$2:W1091,A106)=1,VLOOKUP(A106,O:P,2), IF(COUNTIF($W$2:W1091,A106)=0,$B$9,""))</f>
        <v>92.18</v>
      </c>
      <c r="C106" s="2">
        <f t="shared" ca="1" si="14"/>
        <v>-499253.25368038844</v>
      </c>
      <c r="D106" s="41">
        <f t="shared" ca="1" si="15"/>
        <v>-306958.33333333331</v>
      </c>
      <c r="E106" s="38">
        <f ca="1">IF(COUNTIF($W$2:W1091,A106)=1,VLOOKUP(A106,Q:R,2), IF(COUNTIF($W$2:W1091,A106)=0,$C$9,""))</f>
        <v>99.631</v>
      </c>
      <c r="F106" s="2">
        <f t="shared" ca="1" si="16"/>
        <v>-249340.00000000084</v>
      </c>
      <c r="G106" s="41">
        <f t="shared" ca="1" si="17"/>
        <v>-1421.5066666666535</v>
      </c>
      <c r="H106" s="38">
        <f ca="1">IF(COUNTIF($W$2:W1091,A106)=1,VLOOKUP(A106,S:T,2), IF(COUNTIF($W$2:W1091,A106)=0,$D$9,""))</f>
        <v>248.518</v>
      </c>
      <c r="I106" s="39">
        <f ca="1">IF(COUNTIF($X$2:X1091,INT(A106))=1,VLOOKUP(INT(A106),X:Y,2), IF(ISERROR(H106-2),"",I105*(1-$D$8*(H106-H105)*0.0001)))</f>
        <v>270.47059999999999</v>
      </c>
      <c r="J106" s="39">
        <f t="shared" ca="1" si="18"/>
        <v>270.47059999999999</v>
      </c>
      <c r="K106" s="41">
        <f t="shared" ca="1" si="19"/>
        <v>445280.56628056424</v>
      </c>
      <c r="L106" s="41" t="str">
        <f ca="1">IF($A106="","",IF(COUNTIFS(Dividends!$G:$G,"&gt;"&amp;INT($A105),Dividends!$G:$G,"&lt;="&amp;INT($A106))=0,"",$H$2*SUMIFS(Dividends!$H:$H,Dividends!$G:$G,"&gt;"&amp;INT($A105),Dividends!$G:$G,"&lt;="&amp;INT($A106))))</f>
        <v/>
      </c>
      <c r="M106" s="42">
        <f ca="1">IF(ISERROR(B106-2),"",C106+D106-F106-G106-K106+SUM($L$14:L106))</f>
        <v>-254955.09723568335</v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10"/>
        <v/>
      </c>
      <c r="V106" s="3" t="str">
        <f t="shared" si="11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74">
        <v>45926</v>
      </c>
      <c r="AC106" s="4">
        <v>265.48200000000003</v>
      </c>
      <c r="AD106" s="6">
        <f t="shared" si="12"/>
        <v>45926</v>
      </c>
    </row>
    <row r="107" spans="1:30" x14ac:dyDescent="0.25">
      <c r="A107" s="37">
        <f t="shared" ca="1" si="13"/>
        <v>46189.625</v>
      </c>
      <c r="B107" s="38">
        <f ca="1">IF(COUNTIF($W$2:W1092,A107)=1,VLOOKUP(A107,O:P,2), IF(COUNTIF($W$2:W1092,A107)=0,$B$9,""))</f>
        <v>92.15</v>
      </c>
      <c r="C107" s="2">
        <f t="shared" ca="1" si="14"/>
        <v>-508854.27778962877</v>
      </c>
      <c r="D107" s="41">
        <f t="shared" ca="1" si="15"/>
        <v>-309166.66666666669</v>
      </c>
      <c r="E107" s="38">
        <f ca="1">IF(COUNTIF($W$2:W1092,A107)=1,VLOOKUP(A107,Q:R,2), IF(COUNTIF($W$2:W1092,A107)=0,$C$9,""))</f>
        <v>99.625</v>
      </c>
      <c r="F107" s="2">
        <f t="shared" ca="1" si="16"/>
        <v>-250900.00000000087</v>
      </c>
      <c r="G107" s="41">
        <f t="shared" ca="1" si="17"/>
        <v>-1431.7333333333372</v>
      </c>
      <c r="H107" s="38">
        <f ca="1">IF(COUNTIF($W$2:W1092,A107)=1,VLOOKUP(A107,S:T,2), IF(COUNTIF($W$2:W1092,A107)=0,$D$9,""))</f>
        <v>249.79400000000001</v>
      </c>
      <c r="I107" s="39">
        <f ca="1">IF(COUNTIF($X$2:X1092,INT(A107))=1,VLOOKUP(INT(A107),X:Y,2), IF(ISERROR(H107-2),"",I106*(1-$D$8*(H107-H106)*0.0001)))</f>
        <v>270.3356</v>
      </c>
      <c r="J107" s="39">
        <f t="shared" ca="1" si="18"/>
        <v>270.3356</v>
      </c>
      <c r="K107" s="41">
        <f t="shared" ca="1" si="19"/>
        <v>435724.58172458195</v>
      </c>
      <c r="L107" s="41" t="str">
        <f ca="1">IF($A107="","",IF(COUNTIFS(Dividends!$G:$G,"&gt;"&amp;INT($A106),Dividends!$G:$G,"&lt;="&amp;INT($A107))=0,"",$H$2*SUMIFS(Dividends!$H:$H,Dividends!$G:$G,"&gt;"&amp;INT($A106),Dividends!$G:$G,"&lt;="&amp;INT($A107))))</f>
        <v/>
      </c>
      <c r="M107" s="42">
        <f ca="1">IF(ISERROR(B107-2),"",C107+D107-F107-G107-K107+SUM($L$14:L107))</f>
        <v>-255638.24345560814</v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10"/>
        <v/>
      </c>
      <c r="V107" s="3" t="str">
        <f t="shared" si="11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74">
        <v>45929</v>
      </c>
      <c r="AC107" s="4">
        <v>262.72199999999998</v>
      </c>
      <c r="AD107" s="6">
        <f t="shared" si="12"/>
        <v>45929</v>
      </c>
    </row>
    <row r="108" spans="1:30" x14ac:dyDescent="0.25">
      <c r="A108" s="37">
        <f t="shared" ca="1" si="13"/>
        <v>46190.625</v>
      </c>
      <c r="B108" s="38">
        <f ca="1">IF(COUNTIF($W$2:W1093,A108)=1,VLOOKUP(A108,O:P,2), IF(COUNTIF($W$2:W1093,A108)=0,$B$9,""))</f>
        <v>92.16</v>
      </c>
      <c r="C108" s="2">
        <f t="shared" ca="1" si="14"/>
        <v>-505653.93641988531</v>
      </c>
      <c r="D108" s="41">
        <f t="shared" ca="1" si="15"/>
        <v>-311375</v>
      </c>
      <c r="E108" s="38">
        <f ca="1">IF(COUNTIF($W$2:W1093,A108)=1,VLOOKUP(A108,Q:R,2), IF(COUNTIF($W$2:W1093,A108)=0,$C$9,""))</f>
        <v>99.600999999999999</v>
      </c>
      <c r="F108" s="2">
        <f t="shared" ca="1" si="16"/>
        <v>-257140.00000000111</v>
      </c>
      <c r="G108" s="41">
        <f t="shared" ca="1" si="17"/>
        <v>-1441.9599999999919</v>
      </c>
      <c r="H108" s="38">
        <f ca="1">IF(COUNTIF($W$2:W1093,A108)=1,VLOOKUP(A108,S:T,2), IF(COUNTIF($W$2:W1093,A108)=0,$D$9,""))</f>
        <v>252.459</v>
      </c>
      <c r="I108" s="39">
        <f ca="1">IF(COUNTIF($X$2:X1093,INT(A108))=1,VLOOKUP(INT(A108),X:Y,2), IF(ISERROR(H108-2),"",I107*(1-$D$8*(H108-H107)*0.0001)))</f>
        <v>270.1644</v>
      </c>
      <c r="J108" s="39">
        <f t="shared" ca="1" si="18"/>
        <v>270.1644</v>
      </c>
      <c r="K108" s="41">
        <f t="shared" ca="1" si="19"/>
        <v>423606.17760617536</v>
      </c>
      <c r="L108" s="41" t="str">
        <f ca="1">IF($A108="","",IF(COUNTIFS(Dividends!$G:$G,"&gt;"&amp;INT($A107),Dividends!$G:$G,"&lt;="&amp;INT($A108))=0,"",$H$2*SUMIFS(Dividends!$H:$H,Dividends!$G:$G,"&gt;"&amp;INT($A107),Dividends!$G:$G,"&lt;="&amp;INT($A108))))</f>
        <v/>
      </c>
      <c r="M108" s="42">
        <f ca="1">IF(ISERROR(B108-2),"",C108+D108-F108-G108-K108+SUM($L$14:L108))</f>
        <v>-236277.60463412455</v>
      </c>
      <c r="Q108" s="3">
        <v>46198.625</v>
      </c>
      <c r="R108" s="4">
        <v>99.748999999999995</v>
      </c>
      <c r="U108" s="3" t="str">
        <f t="shared" si="10"/>
        <v/>
      </c>
      <c r="V108" s="3" t="str">
        <f t="shared" si="11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74">
        <v>45930</v>
      </c>
      <c r="AC108" s="4">
        <v>262.26600000000002</v>
      </c>
      <c r="AD108" s="6">
        <f t="shared" si="12"/>
        <v>45930</v>
      </c>
    </row>
    <row r="109" spans="1:30" x14ac:dyDescent="0.25">
      <c r="A109" s="37">
        <f t="shared" ca="1" si="13"/>
        <v>46191.625</v>
      </c>
      <c r="B109" s="38">
        <f ca="1">IF(COUNTIF($W$2:W1094,A109)=1,VLOOKUP(A109,O:P,2), IF(COUNTIF($W$2:W1094,A109)=0,$B$9,""))</f>
        <v>91.01</v>
      </c>
      <c r="C109" s="2">
        <f t="shared" ca="1" si="14"/>
        <v>-873693.19394068222</v>
      </c>
      <c r="D109" s="41">
        <f t="shared" ca="1" si="15"/>
        <v>-313583.33333333331</v>
      </c>
      <c r="E109" s="38">
        <f ca="1">IF(COUNTIF($W$2:W1094,A109)=1,VLOOKUP(A109,Q:R,2), IF(COUNTIF($W$2:W1094,A109)=0,$C$9,""))</f>
        <v>99.582999999999998</v>
      </c>
      <c r="F109" s="2">
        <f t="shared" ca="1" si="16"/>
        <v>-261820.00000000128</v>
      </c>
      <c r="G109" s="41">
        <f t="shared" ca="1" si="17"/>
        <v>-1452.1866666666465</v>
      </c>
      <c r="H109" s="38">
        <f ca="1">IF(COUNTIF($W$2:W1094,A109)=1,VLOOKUP(A109,S:T,2), IF(COUNTIF($W$2:W1094,A109)=0,$D$9,""))</f>
        <v>249.42099999999999</v>
      </c>
      <c r="I109" s="39">
        <f ca="1">IF(COUNTIF($X$2:X1094,INT(A109))=1,VLOOKUP(INT(A109),X:Y,2), IF(ISERROR(H109-2),"",I108*(1-$D$8*(H109-H108)*0.0001)))</f>
        <v>270.5043</v>
      </c>
      <c r="J109" s="39">
        <f t="shared" ca="1" si="18"/>
        <v>270.5043</v>
      </c>
      <c r="K109" s="41">
        <f t="shared" ca="1" si="19"/>
        <v>447666.02316602162</v>
      </c>
      <c r="L109" s="41">
        <f ca="1">IF($A109="","",IF(COUNTIFS(Dividends!$G:$G,"&gt;"&amp;INT($A108),Dividends!$G:$G,"&lt;="&amp;INT($A109))=0,"",$H$2*SUMIFS(Dividends!$H:$H,Dividends!$G:$G,"&gt;"&amp;INT($A108),Dividends!$G:$G,"&lt;="&amp;INT($A109))))</f>
        <v>372711.75592063158</v>
      </c>
      <c r="M109" s="42">
        <f ca="1">IF(ISERROR(B109-2),"",C109+D109-F109-G109-K109+SUM($L$14:L109))</f>
        <v>-253183.05846080254</v>
      </c>
      <c r="U109" s="3" t="str">
        <f t="shared" si="10"/>
        <v/>
      </c>
      <c r="V109" s="3" t="str">
        <f t="shared" si="11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74">
        <v>45931</v>
      </c>
      <c r="AC109" s="4">
        <v>260.63</v>
      </c>
      <c r="AD109" s="6">
        <f t="shared" si="12"/>
        <v>45931</v>
      </c>
    </row>
    <row r="110" spans="1:30" x14ac:dyDescent="0.25">
      <c r="A110" s="37">
        <f t="shared" ca="1" si="13"/>
        <v>46192.625</v>
      </c>
      <c r="B110" s="38">
        <f ca="1">IF(COUNTIF($W$2:W1095,A110)=1,VLOOKUP(A110,O:P,2), IF(COUNTIF($W$2:W1095,A110)=0,$B$9,""))</f>
        <v>91.05</v>
      </c>
      <c r="C110" s="2">
        <f t="shared" ca="1" si="14"/>
        <v>-860891.82846170175</v>
      </c>
      <c r="D110" s="41">
        <f t="shared" ca="1" si="15"/>
        <v>-315791.66666666663</v>
      </c>
      <c r="E110" s="38">
        <f ca="1">IF(COUNTIF($W$2:W1095,A110)=1,VLOOKUP(A110,Q:R,2), IF(COUNTIF($W$2:W1095,A110)=0,$C$9,""))</f>
        <v>99.489000000000004</v>
      </c>
      <c r="F110" s="2">
        <f t="shared" ca="1" si="16"/>
        <v>-286259.99999999977</v>
      </c>
      <c r="G110" s="41">
        <f t="shared" ca="1" si="17"/>
        <v>-1462.4133333333302</v>
      </c>
      <c r="H110" s="38">
        <f ca="1">IF(COUNTIF($W$2:W1095,A110)=1,VLOOKUP(A110,S:T,2), IF(COUNTIF($W$2:W1095,A110)=0,$D$9,""))</f>
        <v>249.20599999999999</v>
      </c>
      <c r="I110" s="39">
        <f ca="1">IF(COUNTIF($X$2:X1095,INT(A110))=1,VLOOKUP(INT(A110),X:Y,2), IF(ISERROR(H110-2),"",I109*(1-$D$8*(H110-H109)*0.0001)))</f>
        <v>270.44040000000001</v>
      </c>
      <c r="J110" s="39">
        <f t="shared" ca="1" si="18"/>
        <v>270.44040000000001</v>
      </c>
      <c r="K110" s="41">
        <f t="shared" ca="1" si="19"/>
        <v>443142.85714285803</v>
      </c>
      <c r="L110" s="41" t="str">
        <f ca="1">IF($A110="","",IF(COUNTIFS(Dividends!$G:$G,"&gt;"&amp;INT($A109),Dividends!$G:$G,"&lt;="&amp;INT($A110))=0,"",$H$2*SUMIFS(Dividends!$H:$H,Dividends!$G:$G,"&gt;"&amp;INT($A109),Dividends!$G:$G,"&lt;="&amp;INT($A110))))</f>
        <v/>
      </c>
      <c r="M110" s="42">
        <f ca="1">IF(ISERROR(B110-2),"",C110+D110-F110-G110-K110+SUM($L$14:L110))</f>
        <v>-213616.63362532668</v>
      </c>
      <c r="U110" s="3" t="str">
        <f t="shared" si="10"/>
        <v/>
      </c>
      <c r="V110" s="3" t="str">
        <f t="shared" si="11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74">
        <v>45932</v>
      </c>
      <c r="AC110" s="4">
        <v>257.88900000000001</v>
      </c>
      <c r="AD110" s="6">
        <f t="shared" si="12"/>
        <v>45932</v>
      </c>
    </row>
    <row r="111" spans="1:30" x14ac:dyDescent="0.25">
      <c r="A111" s="37">
        <f t="shared" ca="1" si="13"/>
        <v>46195.625</v>
      </c>
      <c r="B111" s="38">
        <f ca="1">IF(COUNTIF($W$2:W1096,A111)=1,VLOOKUP(A111,O:P,2), IF(COUNTIF($W$2:W1096,A111)=0,$B$9,""))</f>
        <v>91.17</v>
      </c>
      <c r="C111" s="2">
        <f t="shared" ca="1" si="14"/>
        <v>-822487.73202474706</v>
      </c>
      <c r="D111" s="41">
        <f t="shared" ca="1" si="15"/>
        <v>-322416.66666666669</v>
      </c>
      <c r="E111" s="38">
        <f ca="1">IF(COUNTIF($W$2:W1096,A111)=1,VLOOKUP(A111,Q:R,2), IF(COUNTIF($W$2:W1096,A111)=0,$C$9,""))</f>
        <v>99.591999999999999</v>
      </c>
      <c r="F111" s="2">
        <f t="shared" ca="1" si="16"/>
        <v>-259480.00000000119</v>
      </c>
      <c r="G111" s="41">
        <f t="shared" ca="1" si="17"/>
        <v>-1493.0933333333523</v>
      </c>
      <c r="H111" s="38">
        <f ca="1">IF(COUNTIF($W$2:W1096,A111)=1,VLOOKUP(A111,S:T,2), IF(COUNTIF($W$2:W1096,A111)=0,$D$9,""))</f>
        <v>246.90199999999999</v>
      </c>
      <c r="I111" s="39">
        <f ca="1">IF(COUNTIF($X$2:X1096,INT(A111))=1,VLOOKUP(INT(A111),X:Y,2), IF(ISERROR(H111-2),"",I110*(1-$D$8*(H111-H110)*0.0001)))</f>
        <v>270.85840000000002</v>
      </c>
      <c r="J111" s="39">
        <f t="shared" ca="1" si="18"/>
        <v>270.85840000000002</v>
      </c>
      <c r="K111" s="41">
        <f t="shared" ca="1" si="19"/>
        <v>472731.01673101721</v>
      </c>
      <c r="L111" s="41" t="str">
        <f ca="1">IF($A111="","",IF(COUNTIFS(Dividends!$G:$G,"&gt;"&amp;INT($A110),Dividends!$G:$G,"&lt;="&amp;INT($A111))=0,"",$H$2*SUMIFS(Dividends!$H:$H,Dividends!$G:$G,"&gt;"&amp;INT($A110),Dividends!$G:$G,"&lt;="&amp;INT($A111))))</f>
        <v/>
      </c>
      <c r="M111" s="42">
        <f ca="1">IF(ISERROR(B111-2),"",C111+D111-F111-G111-K111+SUM($L$14:L111))</f>
        <v>-238175.01677652961</v>
      </c>
      <c r="U111" s="3" t="str">
        <f t="shared" si="10"/>
        <v/>
      </c>
      <c r="V111" s="3" t="str">
        <f t="shared" si="11"/>
        <v/>
      </c>
      <c r="Z111" s="3">
        <v>45933</v>
      </c>
      <c r="AA111" s="4">
        <v>244.96510000000001</v>
      </c>
      <c r="AB111" s="74">
        <v>45933</v>
      </c>
      <c r="AC111" s="4">
        <v>258.346</v>
      </c>
      <c r="AD111" s="6">
        <f t="shared" si="12"/>
        <v>45933</v>
      </c>
    </row>
    <row r="112" spans="1:30" x14ac:dyDescent="0.25">
      <c r="A112" s="37">
        <f t="shared" ca="1" si="13"/>
        <v>46196.625</v>
      </c>
      <c r="B112" s="38">
        <f ca="1">IF(COUNTIF($W$2:W1097,A112)=1,VLOOKUP(A112,O:P,2), IF(COUNTIF($W$2:W1097,A112)=0,$B$9,""))</f>
        <v>91.08</v>
      </c>
      <c r="C112" s="2">
        <f t="shared" ca="1" si="14"/>
        <v>-851290.80435246474</v>
      </c>
      <c r="D112" s="41">
        <f t="shared" ca="1" si="15"/>
        <v>-324625</v>
      </c>
      <c r="E112" s="38">
        <f ca="1">IF(COUNTIF($W$2:W1097,A112)=1,VLOOKUP(A112,Q:R,2), IF(COUNTIF($W$2:W1097,A112)=0,$C$9,""))</f>
        <v>99.66</v>
      </c>
      <c r="F112" s="2">
        <f t="shared" ca="1" si="16"/>
        <v>-241800.00000000178</v>
      </c>
      <c r="G112" s="41">
        <f t="shared" ca="1" si="17"/>
        <v>-1503.320000000007</v>
      </c>
      <c r="H112" s="38">
        <f ca="1">IF(COUNTIF($W$2:W1097,A112)=1,VLOOKUP(A112,S:T,2), IF(COUNTIF($W$2:W1097,A112)=0,$D$9,""))</f>
        <v>248.29</v>
      </c>
      <c r="I112" s="39">
        <f ca="1">IF(COUNTIF($X$2:X1097,INT(A112))=1,VLOOKUP(INT(A112),X:Y,2), IF(ISERROR(H112-2),"",I111*(1-$D$8*(H112-H111)*0.0001)))</f>
        <v>270.70330000000001</v>
      </c>
      <c r="J112" s="39">
        <f t="shared" ca="1" si="18"/>
        <v>270.70330000000001</v>
      </c>
      <c r="K112" s="41">
        <f t="shared" ca="1" si="19"/>
        <v>461752.25225225213</v>
      </c>
      <c r="L112" s="41" t="str">
        <f ca="1">IF($A112="","",IF(COUNTIFS(Dividends!$G:$G,"&gt;"&amp;INT($A111),Dividends!$G:$G,"&lt;="&amp;INT($A112))=0,"",$H$2*SUMIFS(Dividends!$H:$H,Dividends!$G:$G,"&gt;"&amp;INT($A111),Dividends!$G:$G,"&lt;="&amp;INT($A112))))</f>
        <v/>
      </c>
      <c r="M112" s="42">
        <f ca="1">IF(ISERROR(B112-2),"",C112+D112-F112-G112-K112+SUM($L$14:L112))</f>
        <v>-275877.43129214831</v>
      </c>
      <c r="U112" s="3" t="str">
        <f t="shared" si="10"/>
        <v/>
      </c>
      <c r="V112" s="3" t="str">
        <f t="shared" si="11"/>
        <v/>
      </c>
      <c r="Z112" s="3">
        <v>45936</v>
      </c>
      <c r="AA112" s="4">
        <v>244.72149999999999</v>
      </c>
      <c r="AB112" s="74">
        <v>45936</v>
      </c>
      <c r="AC112" s="4">
        <v>261.209</v>
      </c>
      <c r="AD112" s="6">
        <f t="shared" si="12"/>
        <v>45936</v>
      </c>
    </row>
    <row r="113" spans="1:30" x14ac:dyDescent="0.25">
      <c r="A113" s="37">
        <f t="shared" ca="1" si="13"/>
        <v>46197.625</v>
      </c>
      <c r="B113" s="38">
        <f ca="1">IF(COUNTIF($W$2:W1098,A113)=1,VLOOKUP(A113,O:P,2), IF(COUNTIF($W$2:W1098,A113)=0,$B$9,""))</f>
        <v>91.03</v>
      </c>
      <c r="C113" s="2">
        <f t="shared" ca="1" si="14"/>
        <v>-867292.51120119204</v>
      </c>
      <c r="D113" s="41">
        <f t="shared" ca="1" si="15"/>
        <v>-326833.33333333331</v>
      </c>
      <c r="E113" s="38">
        <f ca="1">IF(COUNTIF($W$2:W1098,A113)=1,VLOOKUP(A113,Q:R,2), IF(COUNTIF($W$2:W1098,A113)=0,$C$9,""))</f>
        <v>99.724999999999994</v>
      </c>
      <c r="F113" s="2">
        <f t="shared" ca="1" si="16"/>
        <v>-224900.00000000239</v>
      </c>
      <c r="G113" s="41">
        <f t="shared" ca="1" si="17"/>
        <v>-1513.5466666666907</v>
      </c>
      <c r="H113" s="38">
        <f ca="1">IF(COUNTIF($W$2:W1098,A113)=1,VLOOKUP(A113,S:T,2), IF(COUNTIF($W$2:W1098,A113)=0,$D$9,""))</f>
        <v>247.875</v>
      </c>
      <c r="I113" s="39">
        <f ca="1">IF(COUNTIF($X$2:X1098,INT(A113))=1,VLOOKUP(INT(A113),X:Y,2), IF(ISERROR(H113-2),"",I112*(1-$D$8*(H113-H112)*0.0001)))</f>
        <v>270.80290000000002</v>
      </c>
      <c r="J113" s="39">
        <f t="shared" ca="1" si="18"/>
        <v>270.80290000000002</v>
      </c>
      <c r="K113" s="41">
        <f t="shared" ca="1" si="19"/>
        <v>468802.44530244579</v>
      </c>
      <c r="L113" s="41" t="str">
        <f ca="1">IF($A113="","",IF(COUNTIFS(Dividends!$G:$G,"&gt;"&amp;INT($A112),Dividends!$G:$G,"&lt;="&amp;INT($A113))=0,"",$H$2*SUMIFS(Dividends!$H:$H,Dividends!$G:$G,"&gt;"&amp;INT($A112),Dividends!$G:$G,"&lt;="&amp;INT($A113))))</f>
        <v/>
      </c>
      <c r="M113" s="42">
        <f ca="1">IF(ISERROR(B113-2),"",C113+D113-F113-G113-K113+SUM($L$14:L113))</f>
        <v>-318027.43785773567</v>
      </c>
      <c r="U113" s="3" t="str">
        <f t="shared" si="10"/>
        <v/>
      </c>
      <c r="V113" s="3" t="str">
        <f t="shared" si="11"/>
        <v/>
      </c>
      <c r="Z113" s="3">
        <v>45937</v>
      </c>
      <c r="AA113" s="4">
        <v>244.3331</v>
      </c>
      <c r="AB113" s="74">
        <v>45937</v>
      </c>
      <c r="AC113" s="4">
        <v>265.35199999999998</v>
      </c>
      <c r="AD113" s="6">
        <f t="shared" si="12"/>
        <v>45937</v>
      </c>
    </row>
    <row r="114" spans="1:30" x14ac:dyDescent="0.25">
      <c r="A114" s="37">
        <f t="shared" ca="1" si="13"/>
        <v>46198.625</v>
      </c>
      <c r="B114" s="38">
        <f ca="1">IF(COUNTIF($W$2:W1099,A114)=1,VLOOKUP(A114,O:P,2), IF(COUNTIF($W$2:W1099,A114)=0,$B$9,""))</f>
        <v>91.17</v>
      </c>
      <c r="C114" s="2">
        <f t="shared" ca="1" si="14"/>
        <v>-822487.73202474706</v>
      </c>
      <c r="D114" s="41">
        <f t="shared" ca="1" si="15"/>
        <v>-329041.66666666663</v>
      </c>
      <c r="E114" s="38">
        <f ca="1">IF(COUNTIF($W$2:W1099,A114)=1,VLOOKUP(A114,Q:R,2), IF(COUNTIF($W$2:W1099,A114)=0,$C$9,""))</f>
        <v>99.748999999999995</v>
      </c>
      <c r="F114" s="2">
        <f t="shared" ca="1" si="16"/>
        <v>-218660.00000000215</v>
      </c>
      <c r="G114" s="41">
        <f t="shared" ca="1" si="17"/>
        <v>-1523.7733333333454</v>
      </c>
      <c r="H114" s="38">
        <f ca="1">IF(COUNTIF($W$2:W1099,A114)=1,VLOOKUP(A114,S:T,2), IF(COUNTIF($W$2:W1099,A114)=0,$D$9,""))</f>
        <v>246.71700000000001</v>
      </c>
      <c r="I114" s="39">
        <f ca="1">IF(COUNTIF($X$2:X1099,INT(A114))=1,VLOOKUP(INT(A114),X:Y,2), IF(ISERROR(H114-2),"",I113*(1-$D$8*(H114-H113)*0.0001)))</f>
        <v>270.97930000000002</v>
      </c>
      <c r="J114" s="39">
        <f t="shared" ca="1" si="18"/>
        <v>270.97930000000002</v>
      </c>
      <c r="K114" s="41">
        <f t="shared" ca="1" si="19"/>
        <v>481288.93178893486</v>
      </c>
      <c r="L114" s="41" t="str">
        <f ca="1">IF($A114="","",IF(COUNTIFS(Dividends!$G:$G,"&gt;"&amp;INT($A113),Dividends!$G:$G,"&lt;="&amp;INT($A114))=0,"",$H$2*SUMIFS(Dividends!$H:$H,Dividends!$G:$G,"&gt;"&amp;INT($A113),Dividends!$G:$G,"&lt;="&amp;INT($A114))))</f>
        <v/>
      </c>
      <c r="M114" s="42">
        <f ca="1">IF(ISERROR(B114-2),"",C114+D114-F114-G114-K114+SUM($L$14:L114))</f>
        <v>-294147.25183444633</v>
      </c>
      <c r="U114" s="3" t="str">
        <f t="shared" si="10"/>
        <v/>
      </c>
      <c r="V114" s="3" t="str">
        <f t="shared" si="11"/>
        <v/>
      </c>
      <c r="Z114" s="3">
        <v>45938</v>
      </c>
      <c r="AA114" s="4">
        <v>244.23560000000001</v>
      </c>
      <c r="AB114" s="74">
        <v>45938</v>
      </c>
      <c r="AC114" s="4">
        <v>265.35300000000001</v>
      </c>
      <c r="AD114" s="6">
        <f t="shared" si="12"/>
        <v>45938</v>
      </c>
    </row>
    <row r="115" spans="1:30" x14ac:dyDescent="0.25">
      <c r="A115" s="37">
        <f t="shared" ca="1" si="13"/>
        <v>46199.367902893522</v>
      </c>
      <c r="B115" s="38">
        <f ca="1">IF(COUNTIF($W$2:W1100,A115)=1,VLOOKUP(A115,O:P,2), IF(COUNTIF($W$2:W1100,A115)=0,$B$9,""))</f>
        <v>91.07</v>
      </c>
      <c r="C115" s="2">
        <f t="shared" ca="1" si="14"/>
        <v>-854491.14572221157</v>
      </c>
      <c r="D115" s="41">
        <f t="shared" ca="1" si="15"/>
        <v>-331250</v>
      </c>
      <c r="E115" s="38">
        <f ca="1">IF(COUNTIF($W$2:W1100,A115)=1,VLOOKUP(A115,Q:R,2), IF(COUNTIF($W$2:W1100,A115)=0,$C$9,""))</f>
        <v>99.774000000000001</v>
      </c>
      <c r="F115" s="2">
        <f t="shared" ca="1" si="16"/>
        <v>-212160.00000000064</v>
      </c>
      <c r="G115" s="41">
        <f t="shared" ca="1" si="17"/>
        <v>-1534</v>
      </c>
      <c r="H115" s="38">
        <f ca="1">IF(COUNTIF($W$2:W1100,A115)=1,VLOOKUP(A115,S:T,2), IF(COUNTIF($W$2:W1100,A115)=0,$D$9,""))</f>
        <v>249.3082</v>
      </c>
      <c r="I115" s="39">
        <f ca="1">IF(COUNTIF($X$2:X1100,INT(A115))=1,VLOOKUP(INT(A115),X:Y,2), IF(ISERROR(H115-2),"",I114*(1-$D$8*(H115-H114)*0.0001)))</f>
        <v>270.63811969694649</v>
      </c>
      <c r="J115" s="39">
        <f t="shared" ca="1" si="18"/>
        <v>270.63811969694649</v>
      </c>
      <c r="K115" s="41">
        <f t="shared" ca="1" si="19"/>
        <v>457138.45988681831</v>
      </c>
      <c r="L115" s="41" t="str">
        <f ca="1">IF($A115="","",IF(COUNTIFS(Dividends!$G:$G,"&gt;"&amp;INT($A114),Dividends!$G:$G,"&lt;="&amp;INT($A115))=0,"",$H$2*SUMIFS(Dividends!$H:$H,Dividends!$G:$G,"&gt;"&amp;INT($A114),Dividends!$G:$G,"&lt;="&amp;INT($A115))))</f>
        <v/>
      </c>
      <c r="M115" s="42">
        <f ca="1">IF(ISERROR(B115-2),"",C115+D115-F115-G115-K115+SUM($L$14:L115))</f>
        <v>-310698.30029646237</v>
      </c>
      <c r="U115" s="3" t="str">
        <f t="shared" si="10"/>
        <v/>
      </c>
      <c r="V115" s="3" t="str">
        <f t="shared" si="11"/>
        <v/>
      </c>
      <c r="Z115" s="3">
        <v>45939</v>
      </c>
      <c r="AA115" s="4">
        <v>243.46870000000001</v>
      </c>
      <c r="AB115" s="74">
        <v>45939</v>
      </c>
      <c r="AC115" s="4">
        <v>271.95800000000003</v>
      </c>
      <c r="AD115" s="6">
        <f t="shared" si="12"/>
        <v>45939</v>
      </c>
    </row>
    <row r="116" spans="1:30" x14ac:dyDescent="0.25">
      <c r="A116" s="37" t="str">
        <f t="shared" ca="1" si="13"/>
        <v/>
      </c>
      <c r="B116" s="38" t="str">
        <f ca="1">IF(COUNTIF($W$2:W1101,A116)=1,VLOOKUP(A116,O:P,2), IF(COUNTIF($W$2:W1101,A116)=0,$B$9,""))</f>
        <v/>
      </c>
      <c r="C116" s="2" t="str">
        <f t="shared" ca="1" si="14"/>
        <v/>
      </c>
      <c r="D116" s="41" t="str">
        <f t="shared" ca="1" si="15"/>
        <v/>
      </c>
      <c r="E116" s="38" t="str">
        <f ca="1">IF(COUNTIF($W$2:W1101,A116)=1,VLOOKUP(A116,Q:R,2), IF(COUNTIF($W$2:W1101,A116)=0,$C$9,""))</f>
        <v/>
      </c>
      <c r="F116" s="2" t="str">
        <f t="shared" ca="1" si="16"/>
        <v/>
      </c>
      <c r="G116" s="41" t="str">
        <f t="shared" ca="1" si="17"/>
        <v/>
      </c>
      <c r="H116" s="38" t="str">
        <f ca="1">IF(COUNTIF($W$2:W1101,A116)=1,VLOOKUP(A116,S:T,2), IF(COUNTIF($W$2:W1101,A116)=0,$D$9,""))</f>
        <v/>
      </c>
      <c r="I116" s="39" t="str">
        <f ca="1">IF(COUNTIF($X$2:X1101,INT(A116))=1,VLOOKUP(INT(A116),X:Y,2), IF(ISERROR(H116-2),"",I115*(1-$D$8*(H116-H115)*0.0001)))</f>
        <v/>
      </c>
      <c r="J116" s="39" t="str">
        <f t="shared" ca="1" si="18"/>
        <v/>
      </c>
      <c r="K116" s="41" t="str">
        <f t="shared" ca="1" si="19"/>
        <v/>
      </c>
      <c r="L116" s="41" t="str">
        <f ca="1">IF($A116="","",IF(COUNTIFS(Dividends!$G:$G,"&gt;"&amp;INT($A115),Dividends!$G:$G,"&lt;="&amp;INT($A116))=0,"",$H$2*SUMIFS(Dividends!$H:$H,Dividends!$G:$G,"&gt;"&amp;INT($A115),Dividends!$G:$G,"&lt;="&amp;INT($A116))))</f>
        <v/>
      </c>
      <c r="M116" s="42" t="str">
        <f ca="1">IF(ISERROR(B116-2),"",C116+D116-F116-G116-K116+SUM($L$14:L116))</f>
        <v/>
      </c>
      <c r="U116" s="3" t="str">
        <f t="shared" si="10"/>
        <v/>
      </c>
      <c r="V116" s="3" t="str">
        <f t="shared" si="11"/>
        <v/>
      </c>
      <c r="Z116" s="3">
        <v>45940</v>
      </c>
      <c r="AA116" s="4">
        <v>242.13290000000001</v>
      </c>
      <c r="AB116" s="74">
        <v>45940</v>
      </c>
      <c r="AC116" s="4">
        <v>283.27499999999998</v>
      </c>
      <c r="AD116" s="6">
        <f t="shared" si="12"/>
        <v>45940</v>
      </c>
    </row>
    <row r="117" spans="1:30" x14ac:dyDescent="0.25">
      <c r="A117" s="37" t="str">
        <f t="shared" ca="1" si="13"/>
        <v/>
      </c>
      <c r="B117" s="38" t="str">
        <f ca="1">IF(COUNTIF($W$2:W1102,A117)=1,VLOOKUP(A117,O:P,2), IF(COUNTIF($W$2:W1102,A117)=0,$B$9,""))</f>
        <v/>
      </c>
      <c r="C117" s="2" t="str">
        <f t="shared" ca="1" si="14"/>
        <v/>
      </c>
      <c r="D117" s="41" t="str">
        <f t="shared" ca="1" si="15"/>
        <v/>
      </c>
      <c r="E117" s="38" t="str">
        <f ca="1">IF(COUNTIF($W$2:W1102,A117)=1,VLOOKUP(A117,Q:R,2), IF(COUNTIF($W$2:W1102,A117)=0,$C$9,""))</f>
        <v/>
      </c>
      <c r="F117" s="2" t="str">
        <f t="shared" ca="1" si="16"/>
        <v/>
      </c>
      <c r="G117" s="41" t="str">
        <f t="shared" ca="1" si="17"/>
        <v/>
      </c>
      <c r="H117" s="38" t="str">
        <f ca="1">IF(COUNTIF($W$2:W1102,A117)=1,VLOOKUP(A117,S:T,2), IF(COUNTIF($W$2:W1102,A117)=0,$D$9,""))</f>
        <v/>
      </c>
      <c r="I117" s="39" t="str">
        <f ca="1">IF(COUNTIF($X$2:X1102,INT(A117))=1,VLOOKUP(INT(A117),X:Y,2), IF(ISERROR(H117-2),"",I116*(1-$D$8*(H117-H116)*0.0001)))</f>
        <v/>
      </c>
      <c r="J117" s="39" t="str">
        <f t="shared" ca="1" si="18"/>
        <v/>
      </c>
      <c r="K117" s="41" t="str">
        <f t="shared" ca="1" si="19"/>
        <v/>
      </c>
      <c r="L117" s="41" t="str">
        <f ca="1">IF($A117="","",IF(COUNTIFS(Dividends!$G:$G,"&gt;"&amp;INT($A116),Dividends!$G:$G,"&lt;="&amp;INT($A117))=0,"",$H$2*SUMIFS(Dividends!$H:$H,Dividends!$G:$G,"&gt;"&amp;INT($A116),Dividends!$G:$G,"&lt;="&amp;INT($A117))))</f>
        <v/>
      </c>
      <c r="M117" s="42" t="str">
        <f ca="1">IF(ISERROR(B117-2),"",C117+D117-F117-G117-K117+SUM($L$14:L117))</f>
        <v/>
      </c>
      <c r="U117" s="3" t="str">
        <f t="shared" si="10"/>
        <v/>
      </c>
      <c r="V117" s="3" t="str">
        <f t="shared" si="11"/>
        <v/>
      </c>
      <c r="Z117" s="3">
        <v>45943</v>
      </c>
      <c r="AA117" s="4">
        <v>242.50720000000001</v>
      </c>
      <c r="AB117" s="74">
        <v>45943</v>
      </c>
      <c r="AC117" s="4">
        <v>280.70100000000002</v>
      </c>
      <c r="AD117" s="6">
        <f t="shared" si="12"/>
        <v>45943</v>
      </c>
    </row>
    <row r="118" spans="1:30" x14ac:dyDescent="0.25">
      <c r="A118" s="37" t="str">
        <f t="shared" ca="1" si="13"/>
        <v/>
      </c>
      <c r="B118" s="38" t="str">
        <f ca="1">IF(COUNTIF($W$2:W1103,A118)=1,VLOOKUP(A118,O:P,2), IF(COUNTIF($W$2:W1103,A118)=0,$B$9,""))</f>
        <v/>
      </c>
      <c r="C118" s="2" t="str">
        <f t="shared" ca="1" si="14"/>
        <v/>
      </c>
      <c r="D118" s="41" t="str">
        <f t="shared" ca="1" si="15"/>
        <v/>
      </c>
      <c r="E118" s="38" t="str">
        <f ca="1">IF(COUNTIF($W$2:W1103,A118)=1,VLOOKUP(A118,Q:R,2), IF(COUNTIF($W$2:W1103,A118)=0,$C$9,""))</f>
        <v/>
      </c>
      <c r="F118" s="2" t="str">
        <f t="shared" ca="1" si="16"/>
        <v/>
      </c>
      <c r="G118" s="41" t="str">
        <f t="shared" ca="1" si="17"/>
        <v/>
      </c>
      <c r="H118" s="38" t="str">
        <f ca="1">IF(COUNTIF($W$2:W1103,A118)=1,VLOOKUP(A118,S:T,2), IF(COUNTIF($W$2:W1103,A118)=0,$D$9,""))</f>
        <v/>
      </c>
      <c r="I118" s="39" t="str">
        <f ca="1">IF(COUNTIF($X$2:X1103,INT(A118))=1,VLOOKUP(INT(A118),X:Y,2), IF(ISERROR(H118-2),"",I117*(1-$D$8*(H118-H117)*0.0001)))</f>
        <v/>
      </c>
      <c r="J118" s="39" t="str">
        <f t="shared" ca="1" si="18"/>
        <v/>
      </c>
      <c r="K118" s="41" t="str">
        <f t="shared" ca="1" si="19"/>
        <v/>
      </c>
      <c r="L118" s="41" t="str">
        <f ca="1">IF($A118="","",IF(COUNTIFS(Dividends!$G:$G,"&gt;"&amp;INT($A117),Dividends!$G:$G,"&lt;="&amp;INT($A118))=0,"",$H$2*SUMIFS(Dividends!$H:$H,Dividends!$G:$G,"&gt;"&amp;INT($A117),Dividends!$G:$G,"&lt;="&amp;INT($A118))))</f>
        <v/>
      </c>
      <c r="M118" s="42" t="str">
        <f ca="1">IF(ISERROR(B118-2),"",C118+D118-F118-G118-K118+SUM($L$14:L118))</f>
        <v/>
      </c>
      <c r="U118" s="3" t="str">
        <f t="shared" si="10"/>
        <v/>
      </c>
      <c r="V118" s="3" t="str">
        <f t="shared" si="11"/>
        <v/>
      </c>
      <c r="Z118" s="3">
        <v>45944</v>
      </c>
      <c r="AA118" s="4">
        <v>242.9716</v>
      </c>
      <c r="AB118" s="74">
        <v>45944</v>
      </c>
      <c r="AC118" s="4">
        <v>275.89800000000002</v>
      </c>
      <c r="AD118" s="6">
        <f t="shared" si="12"/>
        <v>45944</v>
      </c>
    </row>
    <row r="119" spans="1:30" x14ac:dyDescent="0.25">
      <c r="A119" s="37" t="str">
        <f t="shared" ca="1" si="13"/>
        <v/>
      </c>
      <c r="B119" s="38" t="str">
        <f ca="1">IF(COUNTIF($W$2:W1104,A119)=1,VLOOKUP(A119,O:P,2), IF(COUNTIF($W$2:W1104,A119)=0,$B$9,""))</f>
        <v/>
      </c>
      <c r="C119" s="2" t="str">
        <f t="shared" ca="1" si="14"/>
        <v/>
      </c>
      <c r="D119" s="41" t="str">
        <f t="shared" ca="1" si="15"/>
        <v/>
      </c>
      <c r="E119" s="38" t="str">
        <f ca="1">IF(COUNTIF($W$2:W1104,A119)=1,VLOOKUP(A119,Q:R,2), IF(COUNTIF($W$2:W1104,A119)=0,$C$9,""))</f>
        <v/>
      </c>
      <c r="F119" s="2" t="str">
        <f t="shared" ca="1" si="16"/>
        <v/>
      </c>
      <c r="G119" s="41" t="str">
        <f t="shared" ca="1" si="17"/>
        <v/>
      </c>
      <c r="H119" s="38" t="str">
        <f ca="1">IF(COUNTIF($W$2:W1104,A119)=1,VLOOKUP(A119,S:T,2), IF(COUNTIF($W$2:W1104,A119)=0,$D$9,""))</f>
        <v/>
      </c>
      <c r="I119" s="39" t="str">
        <f ca="1">IF(COUNTIF($X$2:X1104,INT(A119))=1,VLOOKUP(INT(A119),X:Y,2), IF(ISERROR(H119-2),"",I118*(1-$D$8*(H119-H118)*0.0001)))</f>
        <v/>
      </c>
      <c r="J119" s="39" t="str">
        <f t="shared" ca="1" si="18"/>
        <v/>
      </c>
      <c r="K119" s="41" t="str">
        <f t="shared" ca="1" si="19"/>
        <v/>
      </c>
      <c r="L119" s="41" t="str">
        <f ca="1">IF($A119="","",IF(COUNTIFS(Dividends!$G:$G,"&gt;"&amp;INT($A118),Dividends!$G:$G,"&lt;="&amp;INT($A119))=0,"",$H$2*SUMIFS(Dividends!$H:$H,Dividends!$G:$G,"&gt;"&amp;INT($A118),Dividends!$G:$G,"&lt;="&amp;INT($A119))))</f>
        <v/>
      </c>
      <c r="M119" s="42" t="str">
        <f ca="1">IF(ISERROR(B119-2),"",C119+D119-F119-G119-K119+SUM($L$14:L119))</f>
        <v/>
      </c>
      <c r="U119" s="3" t="str">
        <f t="shared" si="10"/>
        <v/>
      </c>
      <c r="V119" s="3" t="str">
        <f t="shared" si="11"/>
        <v/>
      </c>
      <c r="Z119" s="3">
        <v>45945</v>
      </c>
      <c r="AA119" s="4">
        <v>244.08959999999999</v>
      </c>
      <c r="AB119" s="74">
        <v>45945</v>
      </c>
      <c r="AC119" s="4">
        <v>269.79700000000003</v>
      </c>
      <c r="AD119" s="6">
        <f t="shared" si="12"/>
        <v>45945</v>
      </c>
    </row>
    <row r="120" spans="1:30" x14ac:dyDescent="0.25">
      <c r="A120" s="37" t="str">
        <f t="shared" ca="1" si="13"/>
        <v/>
      </c>
      <c r="B120" s="38" t="str">
        <f ca="1">IF(COUNTIF($W$2:W1105,A120)=1,VLOOKUP(A120,O:P,2), IF(COUNTIF($W$2:W1105,A120)=0,$B$9,""))</f>
        <v/>
      </c>
      <c r="C120" s="2" t="str">
        <f t="shared" ca="1" si="14"/>
        <v/>
      </c>
      <c r="D120" s="41" t="str">
        <f t="shared" ca="1" si="15"/>
        <v/>
      </c>
      <c r="E120" s="38" t="str">
        <f ca="1">IF(COUNTIF($W$2:W1105,A120)=1,VLOOKUP(A120,Q:R,2), IF(COUNTIF($W$2:W1105,A120)=0,$C$9,""))</f>
        <v/>
      </c>
      <c r="F120" s="2" t="str">
        <f t="shared" ca="1" si="16"/>
        <v/>
      </c>
      <c r="G120" s="41" t="str">
        <f t="shared" ca="1" si="17"/>
        <v/>
      </c>
      <c r="H120" s="38" t="str">
        <f ca="1">IF(COUNTIF($W$2:W1105,A120)=1,VLOOKUP(A120,S:T,2), IF(COUNTIF($W$2:W1105,A120)=0,$D$9,""))</f>
        <v/>
      </c>
      <c r="I120" s="39" t="str">
        <f ca="1">IF(COUNTIF($X$2:X1105,INT(A120))=1,VLOOKUP(INT(A120),X:Y,2), IF(ISERROR(H120-2),"",I119*(1-$D$8*(H120-H119)*0.0001)))</f>
        <v/>
      </c>
      <c r="J120" s="39" t="str">
        <f t="shared" ca="1" si="18"/>
        <v/>
      </c>
      <c r="K120" s="41" t="str">
        <f t="shared" ca="1" si="19"/>
        <v/>
      </c>
      <c r="L120" s="41" t="str">
        <f ca="1">IF($A120="","",IF(COUNTIFS(Dividends!$G:$G,"&gt;"&amp;INT($A119),Dividends!$G:$G,"&lt;="&amp;INT($A120))=0,"",$H$2*SUMIFS(Dividends!$H:$H,Dividends!$G:$G,"&gt;"&amp;INT($A119),Dividends!$G:$G,"&lt;="&amp;INT($A120))))</f>
        <v/>
      </c>
      <c r="M120" s="42" t="str">
        <f ca="1">IF(ISERROR(B120-2),"",C120+D120-F120-G120-K120+SUM($L$14:L120))</f>
        <v/>
      </c>
      <c r="U120" s="3" t="str">
        <f t="shared" si="10"/>
        <v/>
      </c>
      <c r="V120" s="3" t="str">
        <f t="shared" si="11"/>
        <v/>
      </c>
      <c r="Z120" s="3">
        <v>45946</v>
      </c>
      <c r="AA120" s="4">
        <v>243.5917</v>
      </c>
      <c r="AB120" s="74">
        <v>45946</v>
      </c>
      <c r="AC120" s="4">
        <v>273.65499999999997</v>
      </c>
      <c r="AD120" s="6">
        <f t="shared" si="12"/>
        <v>45946</v>
      </c>
    </row>
    <row r="121" spans="1:30" x14ac:dyDescent="0.25">
      <c r="A121" s="37" t="str">
        <f t="shared" ca="1" si="13"/>
        <v/>
      </c>
      <c r="B121" s="38" t="str">
        <f ca="1">IF(COUNTIF($W$2:W1106,A121)=1,VLOOKUP(A121,O:P,2), IF(COUNTIF($W$2:W1106,A121)=0,$B$9,""))</f>
        <v/>
      </c>
      <c r="C121" s="2" t="str">
        <f t="shared" ca="1" si="14"/>
        <v/>
      </c>
      <c r="D121" s="41" t="str">
        <f t="shared" ca="1" si="15"/>
        <v/>
      </c>
      <c r="E121" s="38" t="str">
        <f ca="1">IF(COUNTIF($W$2:W1106,A121)=1,VLOOKUP(A121,Q:R,2), IF(COUNTIF($W$2:W1106,A121)=0,$C$9,""))</f>
        <v/>
      </c>
      <c r="F121" s="2" t="str">
        <f t="shared" ca="1" si="16"/>
        <v/>
      </c>
      <c r="G121" s="41" t="str">
        <f t="shared" ca="1" si="17"/>
        <v/>
      </c>
      <c r="H121" s="38" t="str">
        <f ca="1">IF(COUNTIF($W$2:W1106,A121)=1,VLOOKUP(A121,S:T,2), IF(COUNTIF($W$2:W1106,A121)=0,$D$9,""))</f>
        <v/>
      </c>
      <c r="I121" s="39" t="str">
        <f ca="1">IF(COUNTIF($X$2:X1106,INT(A121))=1,VLOOKUP(INT(A121),X:Y,2), IF(ISERROR(H121-2),"",I120*(1-$D$8*(H121-H120)*0.0001)))</f>
        <v/>
      </c>
      <c r="J121" s="39" t="str">
        <f t="shared" ca="1" si="18"/>
        <v/>
      </c>
      <c r="K121" s="41" t="str">
        <f t="shared" ca="1" si="19"/>
        <v/>
      </c>
      <c r="L121" s="41" t="str">
        <f ca="1">IF($A121="","",IF(COUNTIFS(Dividends!$G:$G,"&gt;"&amp;INT($A120),Dividends!$G:$G,"&lt;="&amp;INT($A121))=0,"",$H$2*SUMIFS(Dividends!$H:$H,Dividends!$G:$G,"&gt;"&amp;INT($A120),Dividends!$G:$G,"&lt;="&amp;INT($A121))))</f>
        <v/>
      </c>
      <c r="M121" s="42" t="str">
        <f ca="1">IF(ISERROR(B121-2),"",C121+D121-F121-G121-K121+SUM($L$14:L121))</f>
        <v/>
      </c>
      <c r="U121" s="3" t="str">
        <f t="shared" si="10"/>
        <v/>
      </c>
      <c r="V121" s="3" t="str">
        <f t="shared" si="11"/>
        <v/>
      </c>
      <c r="Z121" s="3">
        <v>45947</v>
      </c>
      <c r="AA121" s="4">
        <v>243.0658</v>
      </c>
      <c r="AB121" s="74">
        <v>45947</v>
      </c>
      <c r="AC121" s="4">
        <v>277.44600000000003</v>
      </c>
      <c r="AD121" s="6">
        <f t="shared" si="12"/>
        <v>45947</v>
      </c>
    </row>
    <row r="122" spans="1:30" x14ac:dyDescent="0.25">
      <c r="A122" s="37" t="str">
        <f t="shared" ca="1" si="13"/>
        <v/>
      </c>
      <c r="B122" s="38" t="str">
        <f ca="1">IF(COUNTIF($W$2:W1107,A122)=1,VLOOKUP(A122,O:P,2), IF(COUNTIF($W$2:W1107,A122)=0,$B$9,""))</f>
        <v/>
      </c>
      <c r="C122" s="2" t="str">
        <f t="shared" ca="1" si="14"/>
        <v/>
      </c>
      <c r="D122" s="41" t="str">
        <f t="shared" ca="1" si="15"/>
        <v/>
      </c>
      <c r="E122" s="38" t="str">
        <f ca="1">IF(COUNTIF($W$2:W1107,A122)=1,VLOOKUP(A122,Q:R,2), IF(COUNTIF($W$2:W1107,A122)=0,$C$9,""))</f>
        <v/>
      </c>
      <c r="F122" s="2" t="str">
        <f t="shared" ca="1" si="16"/>
        <v/>
      </c>
      <c r="G122" s="41" t="str">
        <f t="shared" ca="1" si="17"/>
        <v/>
      </c>
      <c r="H122" s="38" t="str">
        <f ca="1">IF(COUNTIF($W$2:W1107,A122)=1,VLOOKUP(A122,S:T,2), IF(COUNTIF($W$2:W1107,A122)=0,$D$9,""))</f>
        <v/>
      </c>
      <c r="I122" s="39" t="str">
        <f ca="1">IF(COUNTIF($X$2:X1107,INT(A122))=1,VLOOKUP(INT(A122),X:Y,2), IF(ISERROR(H122-2),"",I121*(1-$D$8*(H122-H121)*0.0001)))</f>
        <v/>
      </c>
      <c r="J122" s="39" t="str">
        <f t="shared" ca="1" si="18"/>
        <v/>
      </c>
      <c r="K122" s="41" t="str">
        <f t="shared" ca="1" si="19"/>
        <v/>
      </c>
      <c r="L122" s="41" t="str">
        <f ca="1">IF($A122="","",IF(COUNTIFS(Dividends!$G:$G,"&gt;"&amp;INT($A121),Dividends!$G:$G,"&lt;="&amp;INT($A122))=0,"",$H$2*SUMIFS(Dividends!$H:$H,Dividends!$G:$G,"&gt;"&amp;INT($A121),Dividends!$G:$G,"&lt;="&amp;INT($A122))))</f>
        <v/>
      </c>
      <c r="M122" s="42" t="str">
        <f ca="1">IF(ISERROR(B122-2),"",C122+D122-F122-G122-K122+SUM($L$14:L122))</f>
        <v/>
      </c>
      <c r="U122" s="3" t="str">
        <f t="shared" si="10"/>
        <v/>
      </c>
      <c r="V122" s="3" t="str">
        <f t="shared" si="11"/>
        <v/>
      </c>
      <c r="Z122" s="3">
        <v>45950</v>
      </c>
      <c r="AA122" s="4">
        <v>244.0598</v>
      </c>
      <c r="AB122" s="74">
        <v>45950</v>
      </c>
      <c r="AC122" s="4">
        <v>269.54399999999998</v>
      </c>
      <c r="AD122" s="6">
        <f t="shared" si="12"/>
        <v>45950</v>
      </c>
    </row>
    <row r="123" spans="1:30" x14ac:dyDescent="0.25">
      <c r="A123" s="37" t="str">
        <f t="shared" ca="1" si="13"/>
        <v/>
      </c>
      <c r="B123" s="38" t="str">
        <f ca="1">IF(COUNTIF($W$2:W1108,A123)=1,VLOOKUP(A123,O:P,2), IF(COUNTIF($W$2:W1108,A123)=0,$B$9,""))</f>
        <v/>
      </c>
      <c r="C123" s="2" t="str">
        <f t="shared" ca="1" si="14"/>
        <v/>
      </c>
      <c r="D123" s="41" t="str">
        <f t="shared" ca="1" si="15"/>
        <v/>
      </c>
      <c r="E123" s="38" t="str">
        <f ca="1">IF(COUNTIF($W$2:W1108,A123)=1,VLOOKUP(A123,Q:R,2), IF(COUNTIF($W$2:W1108,A123)=0,$C$9,""))</f>
        <v/>
      </c>
      <c r="F123" s="2" t="str">
        <f t="shared" ca="1" si="16"/>
        <v/>
      </c>
      <c r="G123" s="41" t="str">
        <f t="shared" ca="1" si="17"/>
        <v/>
      </c>
      <c r="H123" s="38" t="str">
        <f ca="1">IF(COUNTIF($W$2:W1108,A123)=1,VLOOKUP(A123,S:T,2), IF(COUNTIF($W$2:W1108,A123)=0,$D$9,""))</f>
        <v/>
      </c>
      <c r="I123" s="39" t="str">
        <f ca="1">IF(COUNTIF($X$2:X1108,INT(A123))=1,VLOOKUP(INT(A123),X:Y,2), IF(ISERROR(H123-2),"",I122*(1-$D$8*(H123-H122)*0.0001)))</f>
        <v/>
      </c>
      <c r="J123" s="39" t="str">
        <f t="shared" ca="1" si="18"/>
        <v/>
      </c>
      <c r="K123" s="41" t="str">
        <f t="shared" ca="1" si="19"/>
        <v/>
      </c>
      <c r="L123" s="41" t="str">
        <f ca="1">IF($A123="","",IF(COUNTIFS(Dividends!$G:$G,"&gt;"&amp;INT($A122),Dividends!$G:$G,"&lt;="&amp;INT($A123))=0,"",$H$2*SUMIFS(Dividends!$H:$H,Dividends!$G:$G,"&gt;"&amp;INT($A122),Dividends!$G:$G,"&lt;="&amp;INT($A123))))</f>
        <v/>
      </c>
      <c r="M123" s="42" t="str">
        <f ca="1">IF(ISERROR(B123-2),"",C123+D123-F123-G123-K123+SUM($L$14:L123))</f>
        <v/>
      </c>
      <c r="U123" s="3" t="str">
        <f t="shared" si="10"/>
        <v/>
      </c>
      <c r="V123" s="3" t="str">
        <f t="shared" si="11"/>
        <v/>
      </c>
      <c r="Z123" s="3">
        <v>45951</v>
      </c>
      <c r="AA123" s="4">
        <v>244.31870000000001</v>
      </c>
      <c r="AB123" s="74">
        <v>45951</v>
      </c>
      <c r="AC123" s="4">
        <v>267.43400000000003</v>
      </c>
      <c r="AD123" s="6">
        <f t="shared" si="12"/>
        <v>45951</v>
      </c>
    </row>
    <row r="124" spans="1:30" x14ac:dyDescent="0.25">
      <c r="A124" s="37" t="str">
        <f t="shared" ca="1" si="13"/>
        <v/>
      </c>
      <c r="B124" s="38" t="str">
        <f ca="1">IF(COUNTIF($W$2:W1109,A124)=1,VLOOKUP(A124,O:P,2), IF(COUNTIF($W$2:W1109,A124)=0,$B$9,""))</f>
        <v/>
      </c>
      <c r="C124" s="2" t="str">
        <f t="shared" ca="1" si="14"/>
        <v/>
      </c>
      <c r="D124" s="41" t="str">
        <f t="shared" ca="1" si="15"/>
        <v/>
      </c>
      <c r="E124" s="38" t="str">
        <f ca="1">IF(COUNTIF($W$2:W1109,A124)=1,VLOOKUP(A124,Q:R,2), IF(COUNTIF($W$2:W1109,A124)=0,$C$9,""))</f>
        <v/>
      </c>
      <c r="F124" s="2" t="str">
        <f t="shared" ca="1" si="16"/>
        <v/>
      </c>
      <c r="G124" s="41" t="str">
        <f t="shared" ca="1" si="17"/>
        <v/>
      </c>
      <c r="H124" s="38" t="str">
        <f ca="1">IF(COUNTIF($W$2:W1109,A124)=1,VLOOKUP(A124,S:T,2), IF(COUNTIF($W$2:W1109,A124)=0,$D$9,""))</f>
        <v/>
      </c>
      <c r="I124" s="39" t="str">
        <f ca="1">IF(COUNTIF($X$2:X1109,INT(A124))=1,VLOOKUP(INT(A124),X:Y,2), IF(ISERROR(H124-2),"",I123*(1-$D$8*(H124-H123)*0.0001)))</f>
        <v/>
      </c>
      <c r="J124" s="39" t="str">
        <f t="shared" ca="1" si="18"/>
        <v/>
      </c>
      <c r="K124" s="41" t="str">
        <f t="shared" ca="1" si="19"/>
        <v/>
      </c>
      <c r="L124" s="41" t="str">
        <f ca="1">IF($A124="","",IF(COUNTIFS(Dividends!$G:$G,"&gt;"&amp;INT($A123),Dividends!$G:$G,"&lt;="&amp;INT($A124))=0,"",$H$2*SUMIFS(Dividends!$H:$H,Dividends!$G:$G,"&gt;"&amp;INT($A123),Dividends!$G:$G,"&lt;="&amp;INT($A124))))</f>
        <v/>
      </c>
      <c r="M124" s="42" t="str">
        <f ca="1">IF(ISERROR(B124-2),"",C124+D124-F124-G124-K124+SUM($L$14:L124))</f>
        <v/>
      </c>
      <c r="U124" s="3" t="str">
        <f t="shared" si="10"/>
        <v/>
      </c>
      <c r="V124" s="3" t="str">
        <f t="shared" si="11"/>
        <v/>
      </c>
      <c r="Z124" s="3">
        <v>45952</v>
      </c>
      <c r="AA124" s="4">
        <v>244.07040000000001</v>
      </c>
      <c r="AB124" s="74">
        <v>45952</v>
      </c>
      <c r="AC124" s="4">
        <v>269.74599999999998</v>
      </c>
      <c r="AD124" s="6">
        <f t="shared" si="12"/>
        <v>45952</v>
      </c>
    </row>
    <row r="125" spans="1:30" x14ac:dyDescent="0.25">
      <c r="A125" s="37" t="str">
        <f t="shared" ca="1" si="13"/>
        <v/>
      </c>
      <c r="B125" s="38" t="str">
        <f ca="1">IF(COUNTIF($W$2:W1110,A125)=1,VLOOKUP(A125,O:P,2), IF(COUNTIF($W$2:W1110,A125)=0,$B$9,""))</f>
        <v/>
      </c>
      <c r="C125" s="2" t="str">
        <f t="shared" ca="1" si="14"/>
        <v/>
      </c>
      <c r="D125" s="41" t="str">
        <f t="shared" ca="1" si="15"/>
        <v/>
      </c>
      <c r="E125" s="38" t="str">
        <f ca="1">IF(COUNTIF($W$2:W1110,A125)=1,VLOOKUP(A125,Q:R,2), IF(COUNTIF($W$2:W1110,A125)=0,$C$9,""))</f>
        <v/>
      </c>
      <c r="F125" s="2" t="str">
        <f t="shared" ca="1" si="16"/>
        <v/>
      </c>
      <c r="G125" s="41" t="str">
        <f t="shared" ca="1" si="17"/>
        <v/>
      </c>
      <c r="H125" s="38" t="str">
        <f ca="1">IF(COUNTIF($W$2:W1110,A125)=1,VLOOKUP(A125,S:T,2), IF(COUNTIF($W$2:W1110,A125)=0,$D$9,""))</f>
        <v/>
      </c>
      <c r="I125" s="39" t="str">
        <f ca="1">IF(COUNTIF($X$2:X1110,INT(A125))=1,VLOOKUP(INT(A125),X:Y,2), IF(ISERROR(H125-2),"",I124*(1-$D$8*(H125-H124)*0.0001)))</f>
        <v/>
      </c>
      <c r="J125" s="39" t="str">
        <f t="shared" ca="1" si="18"/>
        <v/>
      </c>
      <c r="K125" s="41" t="str">
        <f t="shared" ca="1" si="19"/>
        <v/>
      </c>
      <c r="L125" s="41" t="str">
        <f ca="1">IF($A125="","",IF(COUNTIFS(Dividends!$G:$G,"&gt;"&amp;INT($A124),Dividends!$G:$G,"&lt;="&amp;INT($A125))=0,"",$H$2*SUMIFS(Dividends!$H:$H,Dividends!$G:$G,"&gt;"&amp;INT($A124),Dividends!$G:$G,"&lt;="&amp;INT($A125))))</f>
        <v/>
      </c>
      <c r="M125" s="42" t="str">
        <f ca="1">IF(ISERROR(B125-2),"",C125+D125-F125-G125-K125+SUM($L$14:L125))</f>
        <v/>
      </c>
      <c r="U125" s="3" t="str">
        <f t="shared" si="10"/>
        <v/>
      </c>
      <c r="V125" s="3" t="str">
        <f t="shared" si="11"/>
        <v/>
      </c>
      <c r="Z125" s="3">
        <v>45953</v>
      </c>
      <c r="AA125" s="4">
        <v>244.25409999999999</v>
      </c>
      <c r="AB125" s="74">
        <v>45953</v>
      </c>
      <c r="AC125" s="4">
        <v>268.49799999999999</v>
      </c>
      <c r="AD125" s="6">
        <f t="shared" si="12"/>
        <v>45953</v>
      </c>
    </row>
    <row r="126" spans="1:30" x14ac:dyDescent="0.25">
      <c r="A126" s="37" t="str">
        <f t="shared" ca="1" si="13"/>
        <v/>
      </c>
      <c r="B126" s="38" t="str">
        <f ca="1">IF(COUNTIF($W$2:W1111,A126)=1,VLOOKUP(A126,O:P,2), IF(COUNTIF($W$2:W1111,A126)=0,$B$9,""))</f>
        <v/>
      </c>
      <c r="C126" s="2" t="str">
        <f t="shared" ca="1" si="14"/>
        <v/>
      </c>
      <c r="D126" s="41" t="str">
        <f t="shared" ca="1" si="15"/>
        <v/>
      </c>
      <c r="E126" s="38" t="str">
        <f ca="1">IF(COUNTIF($W$2:W1111,A126)=1,VLOOKUP(A126,Q:R,2), IF(COUNTIF($W$2:W1111,A126)=0,$C$9,""))</f>
        <v/>
      </c>
      <c r="F126" s="2" t="str">
        <f t="shared" ca="1" si="16"/>
        <v/>
      </c>
      <c r="G126" s="41" t="str">
        <f t="shared" ca="1" si="17"/>
        <v/>
      </c>
      <c r="H126" s="38" t="str">
        <f ca="1">IF(COUNTIF($W$2:W1111,A126)=1,VLOOKUP(A126,S:T,2), IF(COUNTIF($W$2:W1111,A126)=0,$D$9,""))</f>
        <v/>
      </c>
      <c r="I126" s="39" t="str">
        <f ca="1">IF(COUNTIF($X$2:X1111,INT(A126))=1,VLOOKUP(INT(A126),X:Y,2), IF(ISERROR(H126-2),"",I125*(1-$D$8*(H126-H125)*0.0001)))</f>
        <v/>
      </c>
      <c r="J126" s="39" t="str">
        <f t="shared" ca="1" si="18"/>
        <v/>
      </c>
      <c r="K126" s="41" t="str">
        <f t="shared" ca="1" si="19"/>
        <v/>
      </c>
      <c r="L126" s="41" t="str">
        <f ca="1">IF($A126="","",IF(COUNTIFS(Dividends!$G:$G,"&gt;"&amp;INT($A125),Dividends!$G:$G,"&lt;="&amp;INT($A126))=0,"",$H$2*SUMIFS(Dividends!$H:$H,Dividends!$G:$G,"&gt;"&amp;INT($A125),Dividends!$G:$G,"&lt;="&amp;INT($A126))))</f>
        <v/>
      </c>
      <c r="M126" s="42" t="str">
        <f ca="1">IF(ISERROR(B126-2),"",C126+D126-F126-G126-K126+SUM($L$14:L126))</f>
        <v/>
      </c>
      <c r="U126" s="3" t="str">
        <f t="shared" si="10"/>
        <v/>
      </c>
      <c r="V126" s="3" t="str">
        <f t="shared" si="11"/>
        <v/>
      </c>
      <c r="Z126" s="3">
        <v>45954</v>
      </c>
      <c r="AA126" s="4">
        <v>244.79400000000001</v>
      </c>
      <c r="AB126" s="74">
        <v>45954</v>
      </c>
      <c r="AC126" s="4">
        <v>265.077</v>
      </c>
      <c r="AD126" s="6">
        <f t="shared" si="12"/>
        <v>45954</v>
      </c>
    </row>
    <row r="127" spans="1:30" x14ac:dyDescent="0.25">
      <c r="A127" s="37" t="str">
        <f t="shared" ca="1" si="13"/>
        <v/>
      </c>
      <c r="B127" s="38" t="str">
        <f ca="1">IF(COUNTIF($W$2:W1112,A127)=1,VLOOKUP(A127,O:P,2), IF(COUNTIF($W$2:W1112,A127)=0,$B$9,""))</f>
        <v/>
      </c>
      <c r="C127" s="2" t="str">
        <f t="shared" ca="1" si="14"/>
        <v/>
      </c>
      <c r="D127" s="41" t="str">
        <f t="shared" ca="1" si="15"/>
        <v/>
      </c>
      <c r="E127" s="38" t="str">
        <f ca="1">IF(COUNTIF($W$2:W1112,A127)=1,VLOOKUP(A127,Q:R,2), IF(COUNTIF($W$2:W1112,A127)=0,$C$9,""))</f>
        <v/>
      </c>
      <c r="F127" s="2" t="str">
        <f t="shared" ca="1" si="16"/>
        <v/>
      </c>
      <c r="G127" s="41" t="str">
        <f t="shared" ca="1" si="17"/>
        <v/>
      </c>
      <c r="H127" s="38" t="str">
        <f ca="1">IF(COUNTIF($W$2:W1112,A127)=1,VLOOKUP(A127,S:T,2), IF(COUNTIF($W$2:W1112,A127)=0,$D$9,""))</f>
        <v/>
      </c>
      <c r="I127" s="39" t="str">
        <f ca="1">IF(COUNTIF($X$2:X1112,INT(A127))=1,VLOOKUP(INT(A127),X:Y,2), IF(ISERROR(H127-2),"",I126*(1-$D$8*(H127-H126)*0.0001)))</f>
        <v/>
      </c>
      <c r="J127" s="39" t="str">
        <f t="shared" ca="1" si="18"/>
        <v/>
      </c>
      <c r="K127" s="41" t="str">
        <f t="shared" ca="1" si="19"/>
        <v/>
      </c>
      <c r="L127" s="41" t="str">
        <f ca="1">IF($A127="","",IF(COUNTIFS(Dividends!$G:$G,"&gt;"&amp;INT($A126),Dividends!$G:$G,"&lt;="&amp;INT($A127))=0,"",$H$2*SUMIFS(Dividends!$H:$H,Dividends!$G:$G,"&gt;"&amp;INT($A126),Dividends!$G:$G,"&lt;="&amp;INT($A127))))</f>
        <v/>
      </c>
      <c r="M127" s="42" t="str">
        <f ca="1">IF(ISERROR(B127-2),"",C127+D127-F127-G127-K127+SUM($L$14:L127))</f>
        <v/>
      </c>
      <c r="U127" s="3" t="str">
        <f t="shared" si="10"/>
        <v/>
      </c>
      <c r="V127" s="3" t="str">
        <f t="shared" si="11"/>
        <v/>
      </c>
      <c r="Z127" s="3">
        <v>45957</v>
      </c>
      <c r="AA127" s="4">
        <v>245.7517</v>
      </c>
      <c r="AB127" s="74">
        <v>45957</v>
      </c>
      <c r="AC127" s="4">
        <v>256.41899999999998</v>
      </c>
      <c r="AD127" s="6">
        <f t="shared" si="12"/>
        <v>45957</v>
      </c>
    </row>
    <row r="128" spans="1:30" x14ac:dyDescent="0.25">
      <c r="A128" s="37" t="str">
        <f t="shared" ca="1" si="13"/>
        <v/>
      </c>
      <c r="B128" s="38" t="str">
        <f ca="1">IF(COUNTIF($W$2:W1113,A128)=1,VLOOKUP(A128,O:P,2), IF(COUNTIF($W$2:W1113,A128)=0,$B$9,""))</f>
        <v/>
      </c>
      <c r="C128" s="2" t="str">
        <f t="shared" ca="1" si="14"/>
        <v/>
      </c>
      <c r="D128" s="41" t="str">
        <f t="shared" ca="1" si="15"/>
        <v/>
      </c>
      <c r="E128" s="38" t="str">
        <f ca="1">IF(COUNTIF($W$2:W1113,A128)=1,VLOOKUP(A128,Q:R,2), IF(COUNTIF($W$2:W1113,A128)=0,$C$9,""))</f>
        <v/>
      </c>
      <c r="F128" s="2" t="str">
        <f t="shared" ca="1" si="16"/>
        <v/>
      </c>
      <c r="G128" s="41" t="str">
        <f t="shared" ca="1" si="17"/>
        <v/>
      </c>
      <c r="H128" s="38" t="str">
        <f ca="1">IF(COUNTIF($W$2:W1113,A128)=1,VLOOKUP(A128,S:T,2), IF(COUNTIF($W$2:W1113,A128)=0,$D$9,""))</f>
        <v/>
      </c>
      <c r="I128" s="39" t="str">
        <f ca="1">IF(COUNTIF($X$2:X1113,INT(A128))=1,VLOOKUP(INT(A128),X:Y,2), IF(ISERROR(H128-2),"",I127*(1-$D$8*(H128-H127)*0.0001)))</f>
        <v/>
      </c>
      <c r="J128" s="39" t="str">
        <f t="shared" ca="1" si="18"/>
        <v/>
      </c>
      <c r="K128" s="41" t="str">
        <f t="shared" ca="1" si="19"/>
        <v/>
      </c>
      <c r="L128" s="41" t="str">
        <f ca="1">IF($A128="","",IF(COUNTIFS(Dividends!$G:$G,"&gt;"&amp;INT($A127),Dividends!$G:$G,"&lt;="&amp;INT($A128))=0,"",$H$2*SUMIFS(Dividends!$H:$H,Dividends!$G:$G,"&gt;"&amp;INT($A127),Dividends!$G:$G,"&lt;="&amp;INT($A128))))</f>
        <v/>
      </c>
      <c r="M128" s="42" t="str">
        <f ca="1">IF(ISERROR(B128-2),"",C128+D128-F128-G128-K128+SUM($L$14:L128))</f>
        <v/>
      </c>
      <c r="U128" s="3" t="str">
        <f t="shared" si="10"/>
        <v/>
      </c>
      <c r="V128" s="3" t="str">
        <f t="shared" si="11"/>
        <v/>
      </c>
      <c r="Z128" s="3">
        <v>45958</v>
      </c>
      <c r="AA128" s="4">
        <v>245.49199999999999</v>
      </c>
      <c r="AB128" s="74">
        <v>45958</v>
      </c>
      <c r="AC128" s="4">
        <v>258.21699999999998</v>
      </c>
      <c r="AD128" s="6">
        <f t="shared" si="12"/>
        <v>45958</v>
      </c>
    </row>
    <row r="129" spans="1:30" x14ac:dyDescent="0.25">
      <c r="A129" s="37" t="str">
        <f t="shared" ca="1" si="13"/>
        <v/>
      </c>
      <c r="B129" s="38" t="str">
        <f ca="1">IF(COUNTIF($W$2:W1114,A129)=1,VLOOKUP(A129,O:P,2), IF(COUNTIF($W$2:W1114,A129)=0,$B$9,""))</f>
        <v/>
      </c>
      <c r="C129" s="2" t="str">
        <f t="shared" ca="1" si="14"/>
        <v/>
      </c>
      <c r="D129" s="41" t="str">
        <f t="shared" ca="1" si="15"/>
        <v/>
      </c>
      <c r="E129" s="38" t="str">
        <f ca="1">IF(COUNTIF($W$2:W1114,A129)=1,VLOOKUP(A129,Q:R,2), IF(COUNTIF($W$2:W1114,A129)=0,$C$9,""))</f>
        <v/>
      </c>
      <c r="F129" s="2" t="str">
        <f t="shared" ca="1" si="16"/>
        <v/>
      </c>
      <c r="G129" s="41" t="str">
        <f t="shared" ca="1" si="17"/>
        <v/>
      </c>
      <c r="H129" s="38" t="str">
        <f ca="1">IF(COUNTIF($W$2:W1114,A129)=1,VLOOKUP(A129,S:T,2), IF(COUNTIF($W$2:W1114,A129)=0,$D$9,""))</f>
        <v/>
      </c>
      <c r="I129" s="39" t="str">
        <f ca="1">IF(COUNTIF($X$2:X1114,INT(A129))=1,VLOOKUP(INT(A129),X:Y,2), IF(ISERROR(H129-2),"",I128*(1-$D$8*(H129-H128)*0.0001)))</f>
        <v/>
      </c>
      <c r="J129" s="39" t="str">
        <f t="shared" ca="1" si="18"/>
        <v/>
      </c>
      <c r="K129" s="41" t="str">
        <f t="shared" ca="1" si="19"/>
        <v/>
      </c>
      <c r="L129" s="41" t="str">
        <f ca="1">IF($A129="","",IF(COUNTIFS(Dividends!$G:$G,"&gt;"&amp;INT($A128),Dividends!$G:$G,"&lt;="&amp;INT($A129))=0,"",$H$2*SUMIFS(Dividends!$H:$H,Dividends!$G:$G,"&gt;"&amp;INT($A128),Dividends!$G:$G,"&lt;="&amp;INT($A129))))</f>
        <v/>
      </c>
      <c r="M129" s="42" t="str">
        <f ca="1">IF(ISERROR(B129-2),"",C129+D129-F129-G129-K129+SUM($L$14:L129))</f>
        <v/>
      </c>
      <c r="U129" s="3" t="str">
        <f t="shared" si="10"/>
        <v/>
      </c>
      <c r="V129" s="3" t="str">
        <f t="shared" si="11"/>
        <v/>
      </c>
      <c r="Z129" s="3">
        <v>45959</v>
      </c>
      <c r="AA129" s="4">
        <v>245.55119999999999</v>
      </c>
      <c r="AB129" s="74">
        <v>45959</v>
      </c>
      <c r="AC129" s="4">
        <v>258.82100000000003</v>
      </c>
      <c r="AD129" s="6">
        <f t="shared" si="12"/>
        <v>45959</v>
      </c>
    </row>
    <row r="130" spans="1:30" x14ac:dyDescent="0.25">
      <c r="A130" s="37" t="str">
        <f t="shared" ca="1" si="13"/>
        <v/>
      </c>
      <c r="B130" s="38" t="str">
        <f ca="1">IF(COUNTIF($W$2:W1115,A130)=1,VLOOKUP(A130,O:P,2), IF(COUNTIF($W$2:W1115,A130)=0,$B$9,""))</f>
        <v/>
      </c>
      <c r="C130" s="2" t="str">
        <f t="shared" ca="1" si="14"/>
        <v/>
      </c>
      <c r="D130" s="41" t="str">
        <f t="shared" ca="1" si="15"/>
        <v/>
      </c>
      <c r="E130" s="38" t="str">
        <f ca="1">IF(COUNTIF($W$2:W1115,A130)=1,VLOOKUP(A130,Q:R,2), IF(COUNTIF($W$2:W1115,A130)=0,$C$9,""))</f>
        <v/>
      </c>
      <c r="F130" s="2" t="str">
        <f t="shared" ca="1" si="16"/>
        <v/>
      </c>
      <c r="G130" s="41" t="str">
        <f t="shared" ca="1" si="17"/>
        <v/>
      </c>
      <c r="H130" s="38" t="str">
        <f ca="1">IF(COUNTIF($W$2:W1115,A130)=1,VLOOKUP(A130,S:T,2), IF(COUNTIF($W$2:W1115,A130)=0,$D$9,""))</f>
        <v/>
      </c>
      <c r="I130" s="39" t="str">
        <f ca="1">IF(COUNTIF($X$2:X1115,INT(A130))=1,VLOOKUP(INT(A130),X:Y,2), IF(ISERROR(H130-2),"",I129*(1-$D$8*(H130-H129)*0.0001)))</f>
        <v/>
      </c>
      <c r="J130" s="39" t="str">
        <f t="shared" ca="1" si="18"/>
        <v/>
      </c>
      <c r="K130" s="41" t="str">
        <f t="shared" ca="1" si="19"/>
        <v/>
      </c>
      <c r="L130" s="41" t="str">
        <f ca="1">IF($A130="","",IF(COUNTIFS(Dividends!$G:$G,"&gt;"&amp;INT($A129),Dividends!$G:$G,"&lt;="&amp;INT($A130))=0,"",$H$2*SUMIFS(Dividends!$H:$H,Dividends!$G:$G,"&gt;"&amp;INT($A129),Dividends!$G:$G,"&lt;="&amp;INT($A130))))</f>
        <v/>
      </c>
      <c r="M130" s="42" t="str">
        <f ca="1">IF(ISERROR(B130-2),"",C130+D130-F130-G130-K130+SUM($L$14:L130))</f>
        <v/>
      </c>
      <c r="U130" s="3" t="str">
        <f t="shared" si="10"/>
        <v/>
      </c>
      <c r="V130" s="3" t="str">
        <f t="shared" si="11"/>
        <v/>
      </c>
      <c r="Z130" s="3">
        <v>45960</v>
      </c>
      <c r="AA130" s="4">
        <v>245.16900000000001</v>
      </c>
      <c r="AB130" s="74">
        <v>45960</v>
      </c>
      <c r="AC130" s="4">
        <v>262.49700000000001</v>
      </c>
      <c r="AD130" s="6">
        <f t="shared" si="12"/>
        <v>45960</v>
      </c>
    </row>
    <row r="131" spans="1:30" x14ac:dyDescent="0.25">
      <c r="A131" s="37" t="str">
        <f t="shared" ca="1" si="13"/>
        <v/>
      </c>
      <c r="B131" s="38" t="str">
        <f ca="1">IF(COUNTIF($W$2:W1116,A131)=1,VLOOKUP(A131,O:P,2), IF(COUNTIF($W$2:W1116,A131)=0,$B$9,""))</f>
        <v/>
      </c>
      <c r="C131" s="2" t="str">
        <f t="shared" ca="1" si="14"/>
        <v/>
      </c>
      <c r="D131" s="41" t="str">
        <f t="shared" ca="1" si="15"/>
        <v/>
      </c>
      <c r="E131" s="38" t="str">
        <f ca="1">IF(COUNTIF($W$2:W1116,A131)=1,VLOOKUP(A131,Q:R,2), IF(COUNTIF($W$2:W1116,A131)=0,$C$9,""))</f>
        <v/>
      </c>
      <c r="F131" s="2" t="str">
        <f t="shared" ca="1" si="16"/>
        <v/>
      </c>
      <c r="G131" s="41" t="str">
        <f t="shared" ca="1" si="17"/>
        <v/>
      </c>
      <c r="H131" s="38" t="str">
        <f ca="1">IF(COUNTIF($W$2:W1116,A131)=1,VLOOKUP(A131,S:T,2), IF(COUNTIF($W$2:W1116,A131)=0,$D$9,""))</f>
        <v/>
      </c>
      <c r="I131" s="39" t="str">
        <f ca="1">IF(COUNTIF($X$2:X1116,INT(A131))=1,VLOOKUP(INT(A131),X:Y,2), IF(ISERROR(H131-2),"",I130*(1-$D$8*(H131-H130)*0.0001)))</f>
        <v/>
      </c>
      <c r="J131" s="39" t="str">
        <f t="shared" ca="1" si="18"/>
        <v/>
      </c>
      <c r="K131" s="41" t="str">
        <f t="shared" ca="1" si="19"/>
        <v/>
      </c>
      <c r="L131" s="41" t="str">
        <f ca="1">IF($A131="","",IF(COUNTIFS(Dividends!$G:$G,"&gt;"&amp;INT($A130),Dividends!$G:$G,"&lt;="&amp;INT($A131))=0,"",$H$2*SUMIFS(Dividends!$H:$H,Dividends!$G:$G,"&gt;"&amp;INT($A130),Dividends!$G:$G,"&lt;="&amp;INT($A131))))</f>
        <v/>
      </c>
      <c r="M131" s="42" t="str">
        <f ca="1">IF(ISERROR(B131-2),"",C131+D131-F131-G131-K131+SUM($L$14:L131))</f>
        <v/>
      </c>
      <c r="U131" s="3" t="str">
        <f t="shared" si="10"/>
        <v/>
      </c>
      <c r="V131" s="3" t="str">
        <f t="shared" si="11"/>
        <v/>
      </c>
      <c r="Z131" s="3">
        <v>45961</v>
      </c>
      <c r="AA131" s="4">
        <v>244.8545</v>
      </c>
      <c r="AB131" s="74">
        <v>45961</v>
      </c>
      <c r="AC131" s="4">
        <v>265.971</v>
      </c>
      <c r="AD131" s="6">
        <f t="shared" si="12"/>
        <v>45961</v>
      </c>
    </row>
    <row r="132" spans="1:30" x14ac:dyDescent="0.25">
      <c r="A132" s="37" t="str">
        <f t="shared" ca="1" si="13"/>
        <v/>
      </c>
      <c r="B132" s="38" t="str">
        <f ca="1">IF(COUNTIF($W$2:W1117,A132)=1,VLOOKUP(A132,O:P,2), IF(COUNTIF($W$2:W1117,A132)=0,$B$9,""))</f>
        <v/>
      </c>
      <c r="C132" s="2" t="str">
        <f t="shared" ca="1" si="14"/>
        <v/>
      </c>
      <c r="D132" s="41" t="str">
        <f t="shared" ca="1" si="15"/>
        <v/>
      </c>
      <c r="E132" s="38" t="str">
        <f ca="1">IF(COUNTIF($W$2:W1117,A132)=1,VLOOKUP(A132,Q:R,2), IF(COUNTIF($W$2:W1117,A132)=0,$C$9,""))</f>
        <v/>
      </c>
      <c r="F132" s="2" t="str">
        <f t="shared" ca="1" si="16"/>
        <v/>
      </c>
      <c r="G132" s="41" t="str">
        <f t="shared" ca="1" si="17"/>
        <v/>
      </c>
      <c r="H132" s="38" t="str">
        <f ca="1">IF(COUNTIF($W$2:W1117,A132)=1,VLOOKUP(A132,S:T,2), IF(COUNTIF($W$2:W1117,A132)=0,$D$9,""))</f>
        <v/>
      </c>
      <c r="I132" s="39" t="str">
        <f ca="1">IF(COUNTIF($X$2:X1117,INT(A132))=1,VLOOKUP(INT(A132),X:Y,2), IF(ISERROR(H132-2),"",I131*(1-$D$8*(H132-H131)*0.0001)))</f>
        <v/>
      </c>
      <c r="J132" s="39" t="str">
        <f t="shared" ca="1" si="18"/>
        <v/>
      </c>
      <c r="K132" s="41" t="str">
        <f t="shared" ca="1" si="19"/>
        <v/>
      </c>
      <c r="L132" s="41" t="str">
        <f ca="1">IF($A132="","",IF(COUNTIFS(Dividends!$G:$G,"&gt;"&amp;INT($A131),Dividends!$G:$G,"&lt;="&amp;INT($A132))=0,"",$H$2*SUMIFS(Dividends!$H:$H,Dividends!$G:$G,"&gt;"&amp;INT($A131),Dividends!$G:$G,"&lt;="&amp;INT($A132))))</f>
        <v/>
      </c>
      <c r="M132" s="42" t="str">
        <f ca="1">IF(ISERROR(B132-2),"",C132+D132-F132-G132-K132+SUM($L$14:L132))</f>
        <v/>
      </c>
      <c r="U132" s="3" t="str">
        <f t="shared" ref="U132:U195" si="20">IF(COUNTIF(Q:Q,O132)*COUNTIF(S:S,O132),O132,"")</f>
        <v/>
      </c>
      <c r="V132" s="3" t="str">
        <f t="shared" ref="V132:V195" si="21">IF(U132&gt;$A$14,U132,"")</f>
        <v/>
      </c>
      <c r="Z132" s="3">
        <v>45964</v>
      </c>
      <c r="AA132" s="4">
        <v>244.89699999999999</v>
      </c>
      <c r="AB132" s="74">
        <v>45964</v>
      </c>
      <c r="AC132" s="4">
        <v>264.774</v>
      </c>
      <c r="AD132" s="6">
        <f t="shared" ref="AD132:AD195" si="22">IF(COUNTIF(AB:AB,Z132),Z132,"")</f>
        <v>45964</v>
      </c>
    </row>
    <row r="133" spans="1:30" x14ac:dyDescent="0.25">
      <c r="A133" s="37" t="str">
        <f t="shared" ca="1" si="13"/>
        <v/>
      </c>
      <c r="B133" s="38" t="str">
        <f ca="1">IF(COUNTIF($W$2:W1118,A133)=1,VLOOKUP(A133,O:P,2), IF(COUNTIF($W$2:W1118,A133)=0,$B$9,""))</f>
        <v/>
      </c>
      <c r="C133" s="2" t="str">
        <f t="shared" ca="1" si="14"/>
        <v/>
      </c>
      <c r="D133" s="41" t="str">
        <f t="shared" ca="1" si="15"/>
        <v/>
      </c>
      <c r="E133" s="38" t="str">
        <f ca="1">IF(COUNTIF($W$2:W1118,A133)=1,VLOOKUP(A133,Q:R,2), IF(COUNTIF($W$2:W1118,A133)=0,$C$9,""))</f>
        <v/>
      </c>
      <c r="F133" s="2" t="str">
        <f t="shared" ca="1" si="16"/>
        <v/>
      </c>
      <c r="G133" s="41" t="str">
        <f t="shared" ca="1" si="17"/>
        <v/>
      </c>
      <c r="H133" s="38" t="str">
        <f ca="1">IF(COUNTIF($W$2:W1118,A133)=1,VLOOKUP(A133,S:T,2), IF(COUNTIF($W$2:W1118,A133)=0,$D$9,""))</f>
        <v/>
      </c>
      <c r="I133" s="39" t="str">
        <f ca="1">IF(COUNTIF($X$2:X1118,INT(A133))=1,VLOOKUP(INT(A133),X:Y,2), IF(ISERROR(H133-2),"",I132*(1-$D$8*(H133-H132)*0.0001)))</f>
        <v/>
      </c>
      <c r="J133" s="39" t="str">
        <f t="shared" ca="1" si="18"/>
        <v/>
      </c>
      <c r="K133" s="41" t="str">
        <f t="shared" ca="1" si="19"/>
        <v/>
      </c>
      <c r="L133" s="41" t="str">
        <f ca="1">IF($A133="","",IF(COUNTIFS(Dividends!$G:$G,"&gt;"&amp;INT($A132),Dividends!$G:$G,"&lt;="&amp;INT($A133))=0,"",$H$2*SUMIFS(Dividends!$H:$H,Dividends!$G:$G,"&gt;"&amp;INT($A132),Dividends!$G:$G,"&lt;="&amp;INT($A133))))</f>
        <v/>
      </c>
      <c r="M133" s="42" t="str">
        <f ca="1">IF(ISERROR(B133-2),"",C133+D133-F133-G133-K133+SUM($L$14:L133))</f>
        <v/>
      </c>
      <c r="U133" s="3" t="str">
        <f t="shared" si="20"/>
        <v/>
      </c>
      <c r="V133" s="3" t="str">
        <f t="shared" si="21"/>
        <v/>
      </c>
      <c r="Z133" s="3">
        <v>45965</v>
      </c>
      <c r="AA133" s="4">
        <v>244.79839999999999</v>
      </c>
      <c r="AB133" s="74">
        <v>45965</v>
      </c>
      <c r="AC133" s="4">
        <v>265.75200000000001</v>
      </c>
      <c r="AD133" s="6">
        <f t="shared" si="22"/>
        <v>45965</v>
      </c>
    </row>
    <row r="134" spans="1:30" x14ac:dyDescent="0.25">
      <c r="A134" s="37" t="str">
        <f t="shared" ca="1" si="13"/>
        <v/>
      </c>
      <c r="B134" s="38" t="str">
        <f ca="1">IF(COUNTIF($W$2:W1119,A134)=1,VLOOKUP(A134,O:P,2), IF(COUNTIF($W$2:W1119,A134)=0,$B$9,""))</f>
        <v/>
      </c>
      <c r="C134" s="2" t="str">
        <f t="shared" ca="1" si="14"/>
        <v/>
      </c>
      <c r="D134" s="41" t="str">
        <f t="shared" ca="1" si="15"/>
        <v/>
      </c>
      <c r="E134" s="38" t="str">
        <f ca="1">IF(COUNTIF($W$2:W1119,A134)=1,VLOOKUP(A134,Q:R,2), IF(COUNTIF($W$2:W1119,A134)=0,$C$9,""))</f>
        <v/>
      </c>
      <c r="F134" s="2" t="str">
        <f t="shared" ca="1" si="16"/>
        <v/>
      </c>
      <c r="G134" s="41" t="str">
        <f t="shared" ca="1" si="17"/>
        <v/>
      </c>
      <c r="H134" s="38" t="str">
        <f ca="1">IF(COUNTIF($W$2:W1119,A134)=1,VLOOKUP(A134,S:T,2), IF(COUNTIF($W$2:W1119,A134)=0,$D$9,""))</f>
        <v/>
      </c>
      <c r="I134" s="39" t="str">
        <f ca="1">IF(COUNTIF($X$2:X1119,INT(A134))=1,VLOOKUP(INT(A134),X:Y,2), IF(ISERROR(H134-2),"",I133*(1-$D$8*(H134-H133)*0.0001)))</f>
        <v/>
      </c>
      <c r="J134" s="39" t="str">
        <f t="shared" ca="1" si="18"/>
        <v/>
      </c>
      <c r="K134" s="41" t="str">
        <f t="shared" ca="1" si="19"/>
        <v/>
      </c>
      <c r="L134" s="41" t="str">
        <f ca="1">IF($A134="","",IF(COUNTIFS(Dividends!$G:$G,"&gt;"&amp;INT($A133),Dividends!$G:$G,"&lt;="&amp;INT($A134))=0,"",$H$2*SUMIFS(Dividends!$H:$H,Dividends!$G:$G,"&gt;"&amp;INT($A133),Dividends!$G:$G,"&lt;="&amp;INT($A134))))</f>
        <v/>
      </c>
      <c r="M134" s="42" t="str">
        <f ca="1">IF(ISERROR(B134-2),"",C134+D134-F134-G134-K134+SUM($L$14:L134))</f>
        <v/>
      </c>
      <c r="U134" s="3" t="str">
        <f t="shared" si="20"/>
        <v/>
      </c>
      <c r="V134" s="3" t="str">
        <f t="shared" si="21"/>
        <v/>
      </c>
      <c r="Z134" s="3">
        <v>45966</v>
      </c>
      <c r="AA134" s="4">
        <v>245.10939999999999</v>
      </c>
      <c r="AB134" s="74">
        <v>45966</v>
      </c>
      <c r="AC134" s="4">
        <v>262.87900000000002</v>
      </c>
      <c r="AD134" s="6">
        <f t="shared" si="22"/>
        <v>45966</v>
      </c>
    </row>
    <row r="135" spans="1:30" x14ac:dyDescent="0.25">
      <c r="A135" s="37" t="str">
        <f t="shared" ca="1" si="13"/>
        <v/>
      </c>
      <c r="B135" s="38" t="str">
        <f ca="1">IF(COUNTIF($W$2:W1120,A135)=1,VLOOKUP(A135,O:P,2), IF(COUNTIF($W$2:W1120,A135)=0,$B$9,""))</f>
        <v/>
      </c>
      <c r="C135" s="2" t="str">
        <f t="shared" ca="1" si="14"/>
        <v/>
      </c>
      <c r="D135" s="41" t="str">
        <f t="shared" ca="1" si="15"/>
        <v/>
      </c>
      <c r="E135" s="38" t="str">
        <f ca="1">IF(COUNTIF($W$2:W1120,A135)=1,VLOOKUP(A135,Q:R,2), IF(COUNTIF($W$2:W1120,A135)=0,$C$9,""))</f>
        <v/>
      </c>
      <c r="F135" s="2" t="str">
        <f t="shared" ca="1" si="16"/>
        <v/>
      </c>
      <c r="G135" s="41" t="str">
        <f t="shared" ca="1" si="17"/>
        <v/>
      </c>
      <c r="H135" s="38" t="str">
        <f ca="1">IF(COUNTIF($W$2:W1120,A135)=1,VLOOKUP(A135,S:T,2), IF(COUNTIF($W$2:W1120,A135)=0,$D$9,""))</f>
        <v/>
      </c>
      <c r="I135" s="39" t="str">
        <f ca="1">IF(COUNTIF($X$2:X1120,INT(A135))=1,VLOOKUP(INT(A135),X:Y,2), IF(ISERROR(H135-2),"",I134*(1-$D$8*(H135-H134)*0.0001)))</f>
        <v/>
      </c>
      <c r="J135" s="39" t="str">
        <f t="shared" ca="1" si="18"/>
        <v/>
      </c>
      <c r="K135" s="41" t="str">
        <f t="shared" ca="1" si="19"/>
        <v/>
      </c>
      <c r="L135" s="41" t="str">
        <f ca="1">IF($A135="","",IF(COUNTIFS(Dividends!$G:$G,"&gt;"&amp;INT($A134),Dividends!$G:$G,"&lt;="&amp;INT($A135))=0,"",$H$2*SUMIFS(Dividends!$H:$H,Dividends!$G:$G,"&gt;"&amp;INT($A134),Dividends!$G:$G,"&lt;="&amp;INT($A135))))</f>
        <v/>
      </c>
      <c r="M135" s="42" t="str">
        <f ca="1">IF(ISERROR(B135-2),"",C135+D135-F135-G135-K135+SUM($L$14:L135))</f>
        <v/>
      </c>
      <c r="U135" s="3" t="str">
        <f t="shared" si="20"/>
        <v/>
      </c>
      <c r="V135" s="3" t="str">
        <f t="shared" si="21"/>
        <v/>
      </c>
      <c r="Z135" s="3">
        <v>45967</v>
      </c>
      <c r="AA135" s="4">
        <v>244.75219999999999</v>
      </c>
      <c r="AB135" s="74">
        <v>45967</v>
      </c>
      <c r="AC135" s="4">
        <v>268.62700000000001</v>
      </c>
      <c r="AD135" s="6">
        <f t="shared" si="22"/>
        <v>45967</v>
      </c>
    </row>
    <row r="136" spans="1:30" x14ac:dyDescent="0.25">
      <c r="A136" s="37" t="str">
        <f t="shared" ca="1" si="13"/>
        <v/>
      </c>
      <c r="B136" s="38" t="str">
        <f ca="1">IF(COUNTIF($W$2:W1121,A136)=1,VLOOKUP(A136,O:P,2), IF(COUNTIF($W$2:W1121,A136)=0,$B$9,""))</f>
        <v/>
      </c>
      <c r="C136" s="2" t="str">
        <f t="shared" ca="1" si="14"/>
        <v/>
      </c>
      <c r="D136" s="41" t="str">
        <f t="shared" ca="1" si="15"/>
        <v/>
      </c>
      <c r="E136" s="38" t="str">
        <f ca="1">IF(COUNTIF($W$2:W1121,A136)=1,VLOOKUP(A136,Q:R,2), IF(COUNTIF($W$2:W1121,A136)=0,$C$9,""))</f>
        <v/>
      </c>
      <c r="F136" s="2" t="str">
        <f t="shared" ca="1" si="16"/>
        <v/>
      </c>
      <c r="G136" s="41" t="str">
        <f t="shared" ca="1" si="17"/>
        <v/>
      </c>
      <c r="H136" s="38" t="str">
        <f ca="1">IF(COUNTIF($W$2:W1121,A136)=1,VLOOKUP(A136,S:T,2), IF(COUNTIF($W$2:W1121,A136)=0,$D$9,""))</f>
        <v/>
      </c>
      <c r="I136" s="39" t="str">
        <f ca="1">IF(COUNTIF($X$2:X1121,INT(A136))=1,VLOOKUP(INT(A136),X:Y,2), IF(ISERROR(H136-2),"",I135*(1-$D$8*(H136-H135)*0.0001)))</f>
        <v/>
      </c>
      <c r="J136" s="39" t="str">
        <f t="shared" ca="1" si="18"/>
        <v/>
      </c>
      <c r="K136" s="41" t="str">
        <f t="shared" ca="1" si="19"/>
        <v/>
      </c>
      <c r="L136" s="41" t="str">
        <f ca="1">IF($A136="","",IF(COUNTIFS(Dividends!$G:$G,"&gt;"&amp;INT($A135),Dividends!$G:$G,"&lt;="&amp;INT($A136))=0,"",$H$2*SUMIFS(Dividends!$H:$H,Dividends!$G:$G,"&gt;"&amp;INT($A135),Dividends!$G:$G,"&lt;="&amp;INT($A136))))</f>
        <v/>
      </c>
      <c r="M136" s="42" t="str">
        <f ca="1">IF(ISERROR(B136-2),"",C136+D136-F136-G136-K136+SUM($L$14:L136))</f>
        <v/>
      </c>
      <c r="U136" s="3" t="str">
        <f t="shared" si="20"/>
        <v/>
      </c>
      <c r="V136" s="3" t="str">
        <f t="shared" si="21"/>
        <v/>
      </c>
      <c r="Z136" s="3">
        <v>45968</v>
      </c>
      <c r="AA136" s="4">
        <v>244.27430000000001</v>
      </c>
      <c r="AB136" s="74">
        <v>45968</v>
      </c>
      <c r="AC136" s="4">
        <v>272.18799999999999</v>
      </c>
      <c r="AD136" s="6">
        <f t="shared" si="22"/>
        <v>45968</v>
      </c>
    </row>
    <row r="137" spans="1:30" x14ac:dyDescent="0.25">
      <c r="A137" s="37" t="str">
        <f t="shared" ca="1" si="13"/>
        <v/>
      </c>
      <c r="B137" s="38" t="str">
        <f ca="1">IF(COUNTIF($W$2:W1122,A137)=1,VLOOKUP(A137,O:P,2), IF(COUNTIF($W$2:W1122,A137)=0,$B$9,""))</f>
        <v/>
      </c>
      <c r="C137" s="2" t="str">
        <f t="shared" ca="1" si="14"/>
        <v/>
      </c>
      <c r="D137" s="41" t="str">
        <f t="shared" ca="1" si="15"/>
        <v/>
      </c>
      <c r="E137" s="38" t="str">
        <f ca="1">IF(COUNTIF($W$2:W1122,A137)=1,VLOOKUP(A137,Q:R,2), IF(COUNTIF($W$2:W1122,A137)=0,$C$9,""))</f>
        <v/>
      </c>
      <c r="F137" s="2" t="str">
        <f t="shared" ca="1" si="16"/>
        <v/>
      </c>
      <c r="G137" s="41" t="str">
        <f t="shared" ca="1" si="17"/>
        <v/>
      </c>
      <c r="H137" s="38" t="str">
        <f ca="1">IF(COUNTIF($W$2:W1122,A137)=1,VLOOKUP(A137,S:T,2), IF(COUNTIF($W$2:W1122,A137)=0,$D$9,""))</f>
        <v/>
      </c>
      <c r="I137" s="39" t="str">
        <f ca="1">IF(COUNTIF($X$2:X1122,INT(A137))=1,VLOOKUP(INT(A137),X:Y,2), IF(ISERROR(H137-2),"",I136*(1-$D$8*(H137-H136)*0.0001)))</f>
        <v/>
      </c>
      <c r="J137" s="39" t="str">
        <f t="shared" ca="1" si="18"/>
        <v/>
      </c>
      <c r="K137" s="41" t="str">
        <f t="shared" ca="1" si="19"/>
        <v/>
      </c>
      <c r="L137" s="41" t="str">
        <f ca="1">IF($A137="","",IF(COUNTIFS(Dividends!$G:$G,"&gt;"&amp;INT($A136),Dividends!$G:$G,"&lt;="&amp;INT($A137))=0,"",$H$2*SUMIFS(Dividends!$H:$H,Dividends!$G:$G,"&gt;"&amp;INT($A136),Dividends!$G:$G,"&lt;="&amp;INT($A137))))</f>
        <v/>
      </c>
      <c r="M137" s="42" t="str">
        <f ca="1">IF(ISERROR(B137-2),"",C137+D137-F137-G137-K137+SUM($L$14:L137))</f>
        <v/>
      </c>
      <c r="U137" s="3" t="str">
        <f t="shared" si="20"/>
        <v/>
      </c>
      <c r="V137" s="3" t="str">
        <f t="shared" si="21"/>
        <v/>
      </c>
      <c r="Z137" s="3">
        <v>45971</v>
      </c>
      <c r="AA137" s="4">
        <v>245.4716</v>
      </c>
      <c r="AB137" s="74">
        <v>45971</v>
      </c>
      <c r="AC137" s="4">
        <v>261.46800000000002</v>
      </c>
      <c r="AD137" s="6">
        <f t="shared" si="22"/>
        <v>45971</v>
      </c>
    </row>
    <row r="138" spans="1:30" x14ac:dyDescent="0.25">
      <c r="A138" s="37" t="str">
        <f t="shared" ca="1" si="13"/>
        <v/>
      </c>
      <c r="B138" s="38" t="str">
        <f ca="1">IF(COUNTIF($W$2:W1123,A138)=1,VLOOKUP(A138,O:P,2), IF(COUNTIF($W$2:W1123,A138)=0,$B$9,""))</f>
        <v/>
      </c>
      <c r="C138" s="2" t="str">
        <f t="shared" ca="1" si="14"/>
        <v/>
      </c>
      <c r="D138" s="41" t="str">
        <f t="shared" ca="1" si="15"/>
        <v/>
      </c>
      <c r="E138" s="38" t="str">
        <f ca="1">IF(COUNTIF($W$2:W1123,A138)=1,VLOOKUP(A138,Q:R,2), IF(COUNTIF($W$2:W1123,A138)=0,$C$9,""))</f>
        <v/>
      </c>
      <c r="F138" s="2" t="str">
        <f t="shared" ca="1" si="16"/>
        <v/>
      </c>
      <c r="G138" s="41" t="str">
        <f t="shared" ca="1" si="17"/>
        <v/>
      </c>
      <c r="H138" s="38" t="str">
        <f ca="1">IF(COUNTIF($W$2:W1123,A138)=1,VLOOKUP(A138,S:T,2), IF(COUNTIF($W$2:W1123,A138)=0,$D$9,""))</f>
        <v/>
      </c>
      <c r="I138" s="39" t="str">
        <f ca="1">IF(COUNTIF($X$2:X1123,INT(A138))=1,VLOOKUP(INT(A138),X:Y,2), IF(ISERROR(H138-2),"",I137*(1-$D$8*(H138-H137)*0.0001)))</f>
        <v/>
      </c>
      <c r="J138" s="39" t="str">
        <f t="shared" ca="1" si="18"/>
        <v/>
      </c>
      <c r="K138" s="41" t="str">
        <f t="shared" ca="1" si="19"/>
        <v/>
      </c>
      <c r="L138" s="41" t="str">
        <f ca="1">IF($A138="","",IF(COUNTIFS(Dividends!$G:$G,"&gt;"&amp;INT($A137),Dividends!$G:$G,"&lt;="&amp;INT($A138))=0,"",$H$2*SUMIFS(Dividends!$H:$H,Dividends!$G:$G,"&gt;"&amp;INT($A137),Dividends!$G:$G,"&lt;="&amp;INT($A138))))</f>
        <v/>
      </c>
      <c r="M138" s="42" t="str">
        <f ca="1">IF(ISERROR(B138-2),"",C138+D138-F138-G138-K138+SUM($L$14:L138))</f>
        <v/>
      </c>
      <c r="U138" s="3" t="str">
        <f t="shared" si="20"/>
        <v/>
      </c>
      <c r="V138" s="3" t="str">
        <f t="shared" si="21"/>
        <v/>
      </c>
      <c r="Z138" s="3">
        <v>45972</v>
      </c>
      <c r="AA138" s="4">
        <v>245.6224</v>
      </c>
      <c r="AB138" s="74">
        <v>45972</v>
      </c>
      <c r="AC138" s="4">
        <v>260.42200000000003</v>
      </c>
      <c r="AD138" s="6">
        <f t="shared" si="22"/>
        <v>45972</v>
      </c>
    </row>
    <row r="139" spans="1:30" x14ac:dyDescent="0.25">
      <c r="A139" s="37" t="str">
        <f t="shared" ca="1" si="13"/>
        <v/>
      </c>
      <c r="B139" s="38" t="str">
        <f ca="1">IF(COUNTIF($W$2:W1124,A139)=1,VLOOKUP(A139,O:P,2), IF(COUNTIF($W$2:W1124,A139)=0,$B$9,""))</f>
        <v/>
      </c>
      <c r="C139" s="2" t="str">
        <f t="shared" ca="1" si="14"/>
        <v/>
      </c>
      <c r="D139" s="41" t="str">
        <f t="shared" ca="1" si="15"/>
        <v/>
      </c>
      <c r="E139" s="38" t="str">
        <f ca="1">IF(COUNTIF($W$2:W1124,A139)=1,VLOOKUP(A139,Q:R,2), IF(COUNTIF($W$2:W1124,A139)=0,$C$9,""))</f>
        <v/>
      </c>
      <c r="F139" s="2" t="str">
        <f t="shared" ca="1" si="16"/>
        <v/>
      </c>
      <c r="G139" s="41" t="str">
        <f t="shared" ca="1" si="17"/>
        <v/>
      </c>
      <c r="H139" s="38" t="str">
        <f ca="1">IF(COUNTIF($W$2:W1124,A139)=1,VLOOKUP(A139,S:T,2), IF(COUNTIF($W$2:W1124,A139)=0,$D$9,""))</f>
        <v/>
      </c>
      <c r="I139" s="39" t="str">
        <f ca="1">IF(COUNTIF($X$2:X1124,INT(A139))=1,VLOOKUP(INT(A139),X:Y,2), IF(ISERROR(H139-2),"",I138*(1-$D$8*(H139-H138)*0.0001)))</f>
        <v/>
      </c>
      <c r="J139" s="39" t="str">
        <f t="shared" ca="1" si="18"/>
        <v/>
      </c>
      <c r="K139" s="41" t="str">
        <f t="shared" ca="1" si="19"/>
        <v/>
      </c>
      <c r="L139" s="41" t="str">
        <f ca="1">IF($A139="","",IF(COUNTIFS(Dividends!$G:$G,"&gt;"&amp;INT($A138),Dividends!$G:$G,"&lt;="&amp;INT($A139))=0,"",$H$2*SUMIFS(Dividends!$H:$H,Dividends!$G:$G,"&gt;"&amp;INT($A138),Dividends!$G:$G,"&lt;="&amp;INT($A139))))</f>
        <v/>
      </c>
      <c r="M139" s="42" t="str">
        <f ca="1">IF(ISERROR(B139-2),"",C139+D139-F139-G139-K139+SUM($L$14:L139))</f>
        <v/>
      </c>
      <c r="U139" s="3" t="str">
        <f t="shared" si="20"/>
        <v/>
      </c>
      <c r="V139" s="3" t="str">
        <f t="shared" si="21"/>
        <v/>
      </c>
      <c r="Z139" s="3">
        <v>45973</v>
      </c>
      <c r="AA139" s="4">
        <v>245.78739999999999</v>
      </c>
      <c r="AB139" s="74">
        <v>45973</v>
      </c>
      <c r="AC139" s="4">
        <v>259.49700000000001</v>
      </c>
      <c r="AD139" s="6">
        <f t="shared" si="22"/>
        <v>45973</v>
      </c>
    </row>
    <row r="140" spans="1:30" x14ac:dyDescent="0.25">
      <c r="A140" s="37" t="str">
        <f t="shared" ca="1" si="13"/>
        <v/>
      </c>
      <c r="B140" s="38" t="str">
        <f ca="1">IF(COUNTIF($W$2:W1125,A140)=1,VLOOKUP(A140,O:P,2), IF(COUNTIF($W$2:W1125,A140)=0,$B$9,""))</f>
        <v/>
      </c>
      <c r="C140" s="2" t="str">
        <f t="shared" ca="1" si="14"/>
        <v/>
      </c>
      <c r="D140" s="41" t="str">
        <f t="shared" ca="1" si="15"/>
        <v/>
      </c>
      <c r="E140" s="38" t="str">
        <f ca="1">IF(COUNTIF($W$2:W1125,A140)=1,VLOOKUP(A140,Q:R,2), IF(COUNTIF($W$2:W1125,A140)=0,$C$9,""))</f>
        <v/>
      </c>
      <c r="F140" s="2" t="str">
        <f t="shared" ca="1" si="16"/>
        <v/>
      </c>
      <c r="G140" s="41" t="str">
        <f t="shared" ca="1" si="17"/>
        <v/>
      </c>
      <c r="H140" s="38" t="str">
        <f ca="1">IF(COUNTIF($W$2:W1125,A140)=1,VLOOKUP(A140,S:T,2), IF(COUNTIF($W$2:W1125,A140)=0,$D$9,""))</f>
        <v/>
      </c>
      <c r="I140" s="39" t="str">
        <f ca="1">IF(COUNTIF($X$2:X1125,INT(A140))=1,VLOOKUP(INT(A140),X:Y,2), IF(ISERROR(H140-2),"",I139*(1-$D$8*(H140-H139)*0.0001)))</f>
        <v/>
      </c>
      <c r="J140" s="39" t="str">
        <f t="shared" ca="1" si="18"/>
        <v/>
      </c>
      <c r="K140" s="41" t="str">
        <f t="shared" ca="1" si="19"/>
        <v/>
      </c>
      <c r="L140" s="41" t="str">
        <f ca="1">IF($A140="","",IF(COUNTIFS(Dividends!$G:$G,"&gt;"&amp;INT($A139),Dividends!$G:$G,"&lt;="&amp;INT($A140))=0,"",$H$2*SUMIFS(Dividends!$H:$H,Dividends!$G:$G,"&gt;"&amp;INT($A139),Dividends!$G:$G,"&lt;="&amp;INT($A140))))</f>
        <v/>
      </c>
      <c r="M140" s="42" t="str">
        <f ca="1">IF(ISERROR(B140-2),"",C140+D140-F140-G140-K140+SUM($L$14:L140))</f>
        <v/>
      </c>
      <c r="U140" s="3" t="str">
        <f t="shared" si="20"/>
        <v/>
      </c>
      <c r="V140" s="3" t="str">
        <f t="shared" si="21"/>
        <v/>
      </c>
      <c r="Z140" s="3">
        <v>45974</v>
      </c>
      <c r="AA140" s="4">
        <v>245.34219999999999</v>
      </c>
      <c r="AB140" s="74">
        <v>45974</v>
      </c>
      <c r="AC140" s="4">
        <v>263.71800000000002</v>
      </c>
      <c r="AD140" s="6">
        <f t="shared" si="22"/>
        <v>45974</v>
      </c>
    </row>
    <row r="141" spans="1:30" x14ac:dyDescent="0.25">
      <c r="A141" s="37" t="str">
        <f t="shared" ca="1" si="13"/>
        <v/>
      </c>
      <c r="B141" s="38" t="str">
        <f ca="1">IF(COUNTIF($W$2:W1126,A141)=1,VLOOKUP(A141,O:P,2), IF(COUNTIF($W$2:W1126,A141)=0,$B$9,""))</f>
        <v/>
      </c>
      <c r="C141" s="2" t="str">
        <f t="shared" ca="1" si="14"/>
        <v/>
      </c>
      <c r="D141" s="41" t="str">
        <f t="shared" ca="1" si="15"/>
        <v/>
      </c>
      <c r="E141" s="38" t="str">
        <f ca="1">IF(COUNTIF($W$2:W1126,A141)=1,VLOOKUP(A141,Q:R,2), IF(COUNTIF($W$2:W1126,A141)=0,$C$9,""))</f>
        <v/>
      </c>
      <c r="F141" s="2" t="str">
        <f t="shared" ca="1" si="16"/>
        <v/>
      </c>
      <c r="G141" s="41" t="str">
        <f t="shared" ca="1" si="17"/>
        <v/>
      </c>
      <c r="H141" s="38" t="str">
        <f ca="1">IF(COUNTIF($W$2:W1126,A141)=1,VLOOKUP(A141,S:T,2), IF(COUNTIF($W$2:W1126,A141)=0,$D$9,""))</f>
        <v/>
      </c>
      <c r="I141" s="39" t="str">
        <f ca="1">IF(COUNTIF($X$2:X1126,INT(A141))=1,VLOOKUP(INT(A141),X:Y,2), IF(ISERROR(H141-2),"",I140*(1-$D$8*(H141-H140)*0.0001)))</f>
        <v/>
      </c>
      <c r="J141" s="39" t="str">
        <f t="shared" ca="1" si="18"/>
        <v/>
      </c>
      <c r="K141" s="41" t="str">
        <f t="shared" ca="1" si="19"/>
        <v/>
      </c>
      <c r="L141" s="41" t="str">
        <f ca="1">IF($A141="","",IF(COUNTIFS(Dividends!$G:$G,"&gt;"&amp;INT($A140),Dividends!$G:$G,"&lt;="&amp;INT($A141))=0,"",$H$2*SUMIFS(Dividends!$H:$H,Dividends!$G:$G,"&gt;"&amp;INT($A140),Dividends!$G:$G,"&lt;="&amp;INT($A141))))</f>
        <v/>
      </c>
      <c r="M141" s="42" t="str">
        <f ca="1">IF(ISERROR(B141-2),"",C141+D141-F141-G141-K141+SUM($L$14:L141))</f>
        <v/>
      </c>
      <c r="U141" s="3" t="str">
        <f t="shared" si="20"/>
        <v/>
      </c>
      <c r="V141" s="3" t="str">
        <f t="shared" si="21"/>
        <v/>
      </c>
      <c r="Z141" s="3">
        <v>45975</v>
      </c>
      <c r="AA141" s="4">
        <v>245.24520000000001</v>
      </c>
      <c r="AB141" s="74">
        <v>45975</v>
      </c>
      <c r="AC141" s="4">
        <v>263.74200000000002</v>
      </c>
      <c r="AD141" s="6">
        <f t="shared" si="22"/>
        <v>45975</v>
      </c>
    </row>
    <row r="142" spans="1:30" x14ac:dyDescent="0.25">
      <c r="A142" s="37" t="str">
        <f t="shared" ca="1" si="13"/>
        <v/>
      </c>
      <c r="B142" s="38" t="str">
        <f ca="1">IF(COUNTIF($W$2:W1127,A142)=1,VLOOKUP(A142,O:P,2), IF(COUNTIF($W$2:W1127,A142)=0,$B$9,""))</f>
        <v/>
      </c>
      <c r="C142" s="2" t="str">
        <f t="shared" ca="1" si="14"/>
        <v/>
      </c>
      <c r="D142" s="41" t="str">
        <f t="shared" ca="1" si="15"/>
        <v/>
      </c>
      <c r="E142" s="38" t="str">
        <f ca="1">IF(COUNTIF($W$2:W1127,A142)=1,VLOOKUP(A142,Q:R,2), IF(COUNTIF($W$2:W1127,A142)=0,$C$9,""))</f>
        <v/>
      </c>
      <c r="F142" s="2" t="str">
        <f t="shared" ca="1" si="16"/>
        <v/>
      </c>
      <c r="G142" s="41" t="str">
        <f t="shared" ca="1" si="17"/>
        <v/>
      </c>
      <c r="H142" s="38" t="str">
        <f ca="1">IF(COUNTIF($W$2:W1127,A142)=1,VLOOKUP(A142,S:T,2), IF(COUNTIF($W$2:W1127,A142)=0,$D$9,""))</f>
        <v/>
      </c>
      <c r="I142" s="39" t="str">
        <f ca="1">IF(COUNTIF($X$2:X1127,INT(A142))=1,VLOOKUP(INT(A142),X:Y,2), IF(ISERROR(H142-2),"",I141*(1-$D$8*(H142-H141)*0.0001)))</f>
        <v/>
      </c>
      <c r="J142" s="39" t="str">
        <f t="shared" ca="1" si="18"/>
        <v/>
      </c>
      <c r="K142" s="41" t="str">
        <f t="shared" ca="1" si="19"/>
        <v/>
      </c>
      <c r="L142" s="41" t="str">
        <f ca="1">IF($A142="","",IF(COUNTIFS(Dividends!$G:$G,"&gt;"&amp;INT($A141),Dividends!$G:$G,"&lt;="&amp;INT($A142))=0,"",$H$2*SUMIFS(Dividends!$H:$H,Dividends!$G:$G,"&gt;"&amp;INT($A141),Dividends!$G:$G,"&lt;="&amp;INT($A142))))</f>
        <v/>
      </c>
      <c r="M142" s="42" t="str">
        <f ca="1">IF(ISERROR(B142-2),"",C142+D142-F142-G142-K142+SUM($L$14:L142))</f>
        <v/>
      </c>
      <c r="U142" s="3" t="str">
        <f t="shared" si="20"/>
        <v/>
      </c>
      <c r="V142" s="3" t="str">
        <f t="shared" si="21"/>
        <v/>
      </c>
      <c r="Z142" s="3">
        <v>45978</v>
      </c>
      <c r="AA142" s="4">
        <v>244.98150000000001</v>
      </c>
      <c r="AB142" s="74">
        <v>45978</v>
      </c>
      <c r="AC142" s="4">
        <v>266.43900000000002</v>
      </c>
      <c r="AD142" s="6">
        <f t="shared" si="22"/>
        <v>45978</v>
      </c>
    </row>
    <row r="143" spans="1:30" x14ac:dyDescent="0.25">
      <c r="A143" s="37" t="str">
        <f t="shared" ref="A143:A204" ca="1" si="23">IF(AND(ISBLANK(W132), A142 = $W$1),NOW(),IF(ISBLANK(W132),"",W132))</f>
        <v/>
      </c>
      <c r="B143" s="38" t="str">
        <f ca="1">IF(COUNTIF($W$2:W1128,A143)=1,VLOOKUP(A143,O:P,2), IF(COUNTIF($W$2:W1128,A143)=0,$B$9,""))</f>
        <v/>
      </c>
      <c r="C143" s="2" t="str">
        <f t="shared" ca="1" si="14"/>
        <v/>
      </c>
      <c r="D143" s="41" t="str">
        <f t="shared" ca="1" si="15"/>
        <v/>
      </c>
      <c r="E143" s="38" t="str">
        <f ca="1">IF(COUNTIF($W$2:W1128,A143)=1,VLOOKUP(A143,Q:R,2), IF(COUNTIF($W$2:W1128,A143)=0,$C$9,""))</f>
        <v/>
      </c>
      <c r="F143" s="2" t="str">
        <f t="shared" ca="1" si="16"/>
        <v/>
      </c>
      <c r="G143" s="41" t="str">
        <f t="shared" ca="1" si="17"/>
        <v/>
      </c>
      <c r="H143" s="38" t="str">
        <f ca="1">IF(COUNTIF($W$2:W1128,A143)=1,VLOOKUP(A143,S:T,2), IF(COUNTIF($W$2:W1128,A143)=0,$D$9,""))</f>
        <v/>
      </c>
      <c r="I143" s="39" t="str">
        <f ca="1">IF(COUNTIF($X$2:X1128,INT(A143))=1,VLOOKUP(INT(A143),X:Y,2), IF(ISERROR(H143-2),"",I142*(1-$D$8*(H143-H142)*0.0001)))</f>
        <v/>
      </c>
      <c r="J143" s="39" t="str">
        <f t="shared" ca="1" si="18"/>
        <v/>
      </c>
      <c r="K143" s="41" t="str">
        <f t="shared" ca="1" si="19"/>
        <v/>
      </c>
      <c r="L143" s="41" t="str">
        <f ca="1">IF($A143="","",IF(COUNTIFS(Dividends!$G:$G,"&gt;"&amp;INT($A142),Dividends!$G:$G,"&lt;="&amp;INT($A143))=0,"",$H$2*SUMIFS(Dividends!$H:$H,Dividends!$G:$G,"&gt;"&amp;INT($A142),Dividends!$G:$G,"&lt;="&amp;INT($A143))))</f>
        <v/>
      </c>
      <c r="M143" s="42" t="str">
        <f ca="1">IF(ISERROR(B143-2),"",C143+D143-F143-G143-K143+SUM($L$14:L143))</f>
        <v/>
      </c>
      <c r="U143" s="3" t="str">
        <f t="shared" si="20"/>
        <v/>
      </c>
      <c r="V143" s="3" t="str">
        <f t="shared" si="21"/>
        <v/>
      </c>
      <c r="Z143" s="3">
        <v>45979</v>
      </c>
      <c r="AA143" s="4">
        <v>244.39429999999999</v>
      </c>
      <c r="AB143" s="74">
        <v>45979</v>
      </c>
      <c r="AC143" s="4">
        <v>272.28399999999999</v>
      </c>
      <c r="AD143" s="6">
        <f t="shared" si="22"/>
        <v>45979</v>
      </c>
    </row>
    <row r="144" spans="1:30" x14ac:dyDescent="0.25">
      <c r="A144" s="37" t="str">
        <f t="shared" ca="1" si="23"/>
        <v/>
      </c>
      <c r="B144" s="38" t="str">
        <f ca="1">IF(COUNTIF($W$2:W1129,A144)=1,VLOOKUP(A144,O:P,2), IF(COUNTIF($W$2:W1129,A144)=0,$B$9,""))</f>
        <v/>
      </c>
      <c r="C144" s="2" t="str">
        <f t="shared" ref="C144:C204" ca="1" si="24">IF(ISERROR(B144-2),"",(B144/$B$14-1)*$B$5)</f>
        <v/>
      </c>
      <c r="D144" s="41" t="str">
        <f t="shared" ref="D144:D204" ca="1" si="25">IF(ISERROR(B144-2),"",-1*(INT(A144)-INT($A$14))/360*$B$7*$B$5)</f>
        <v/>
      </c>
      <c r="E144" s="38" t="str">
        <f ca="1">IF(COUNTIF($W$2:W1129,A144)=1,VLOOKUP(A144,Q:R,2), IF(COUNTIF($W$2:W1129,A144)=0,$C$9,""))</f>
        <v/>
      </c>
      <c r="F144" s="2" t="str">
        <f t="shared" ref="F144:F204" ca="1" si="26">IF(ISERROR(B144-2),"",(E144-$E$14)/100*$C$5)</f>
        <v/>
      </c>
      <c r="G144" s="41" t="str">
        <f t="shared" ref="G144:G204" ca="1" si="27">IF(ISERROR(B144-2),"",(INT(A144)-INT($A$14))/360*$C$6*$C$5-(INT(A144)-INT($A$14))/360*$C$7*$C$5*$E$14/100)</f>
        <v/>
      </c>
      <c r="H144" s="38" t="str">
        <f ca="1">IF(COUNTIF($W$2:W1129,A144)=1,VLOOKUP(A144,S:T,2), IF(COUNTIF($W$2:W1129,A144)=0,$D$9,""))</f>
        <v/>
      </c>
      <c r="I144" s="39" t="str">
        <f ca="1">IF(COUNTIF($X$2:X1129,INT(A144))=1,VLOOKUP(INT(A144),X:Y,2), IF(ISERROR(H144-2),"",I143*(1-$D$8*(H144-H143)*0.0001)))</f>
        <v/>
      </c>
      <c r="J144" s="39" t="str">
        <f t="shared" ref="J144:J204" ca="1" si="28">IF(ISERROR(H144-2),"",I144)</f>
        <v/>
      </c>
      <c r="K144" s="41" t="str">
        <f t="shared" ref="K144:K204" ca="1" si="29">IF(ISERROR(H144-2),"",(J144/$J$14-1)*$D$5)</f>
        <v/>
      </c>
      <c r="L144" s="41" t="str">
        <f ca="1">IF($A144="","",IF(COUNTIFS(Dividends!$G:$G,"&gt;"&amp;INT($A143),Dividends!$G:$G,"&lt;="&amp;INT($A144))=0,"",$H$2*SUMIFS(Dividends!$H:$H,Dividends!$G:$G,"&gt;"&amp;INT($A143),Dividends!$G:$G,"&lt;="&amp;INT($A144))))</f>
        <v/>
      </c>
      <c r="M144" s="42" t="str">
        <f ca="1">IF(ISERROR(B144-2),"",C144+D144-F144-G144-K144+SUM($L$14:L144))</f>
        <v/>
      </c>
      <c r="U144" s="3" t="str">
        <f t="shared" si="20"/>
        <v/>
      </c>
      <c r="V144" s="3" t="str">
        <f t="shared" si="21"/>
        <v/>
      </c>
      <c r="Z144" s="3">
        <v>45980</v>
      </c>
      <c r="AA144" s="4">
        <v>244.95580000000001</v>
      </c>
      <c r="AB144" s="74">
        <v>45980</v>
      </c>
      <c r="AC144" s="4">
        <v>267.14499999999998</v>
      </c>
      <c r="AD144" s="6">
        <f t="shared" si="22"/>
        <v>45980</v>
      </c>
    </row>
    <row r="145" spans="1:30" x14ac:dyDescent="0.25">
      <c r="A145" s="37" t="str">
        <f t="shared" ca="1" si="23"/>
        <v/>
      </c>
      <c r="B145" s="38" t="str">
        <f ca="1">IF(COUNTIF($W$2:W1130,A145)=1,VLOOKUP(A145,O:P,2), IF(COUNTIF($W$2:W1130,A145)=0,$B$9,""))</f>
        <v/>
      </c>
      <c r="C145" s="2" t="str">
        <f t="shared" ca="1" si="24"/>
        <v/>
      </c>
      <c r="D145" s="41" t="str">
        <f t="shared" ca="1" si="25"/>
        <v/>
      </c>
      <c r="E145" s="38" t="str">
        <f ca="1">IF(COUNTIF($W$2:W1130,A145)=1,VLOOKUP(A145,Q:R,2), IF(COUNTIF($W$2:W1130,A145)=0,$C$9,""))</f>
        <v/>
      </c>
      <c r="F145" s="2" t="str">
        <f t="shared" ca="1" si="26"/>
        <v/>
      </c>
      <c r="G145" s="41" t="str">
        <f t="shared" ca="1" si="27"/>
        <v/>
      </c>
      <c r="H145" s="38" t="str">
        <f ca="1">IF(COUNTIF($W$2:W1130,A145)=1,VLOOKUP(A145,S:T,2), IF(COUNTIF($W$2:W1130,A145)=0,$D$9,""))</f>
        <v/>
      </c>
      <c r="I145" s="39" t="str">
        <f ca="1">IF(COUNTIF($X$2:X1130,INT(A145))=1,VLOOKUP(INT(A145),X:Y,2), IF(ISERROR(H145-2),"",I144*(1-$D$8*(H145-H144)*0.0001)))</f>
        <v/>
      </c>
      <c r="J145" s="39" t="str">
        <f t="shared" ca="1" si="28"/>
        <v/>
      </c>
      <c r="K145" s="41" t="str">
        <f t="shared" ca="1" si="29"/>
        <v/>
      </c>
      <c r="L145" s="41" t="str">
        <f ca="1">IF($A145="","",IF(COUNTIFS(Dividends!$G:$G,"&gt;"&amp;INT($A144),Dividends!$G:$G,"&lt;="&amp;INT($A145))=0,"",$H$2*SUMIFS(Dividends!$H:$H,Dividends!$G:$G,"&gt;"&amp;INT($A144),Dividends!$G:$G,"&lt;="&amp;INT($A145))))</f>
        <v/>
      </c>
      <c r="M145" s="42" t="str">
        <f ca="1">IF(ISERROR(B145-2),"",C145+D145-F145-G145-K145+SUM($L$14:L145))</f>
        <v/>
      </c>
      <c r="U145" s="3" t="str">
        <f t="shared" si="20"/>
        <v/>
      </c>
      <c r="V145" s="3" t="str">
        <f t="shared" si="21"/>
        <v/>
      </c>
      <c r="Z145" s="3">
        <v>45981</v>
      </c>
      <c r="AA145" s="4">
        <v>245.47790000000001</v>
      </c>
      <c r="AB145" s="74">
        <v>45981</v>
      </c>
      <c r="AC145" s="4">
        <v>265.76900000000001</v>
      </c>
      <c r="AD145" s="6">
        <f t="shared" si="22"/>
        <v>45981</v>
      </c>
    </row>
    <row r="146" spans="1:30" x14ac:dyDescent="0.25">
      <c r="A146" s="37" t="str">
        <f t="shared" ca="1" si="23"/>
        <v/>
      </c>
      <c r="B146" s="38" t="str">
        <f ca="1">IF(COUNTIF($W$2:W1131,A146)=1,VLOOKUP(A146,O:P,2), IF(COUNTIF($W$2:W1131,A146)=0,$B$9,""))</f>
        <v/>
      </c>
      <c r="C146" s="2" t="str">
        <f t="shared" ca="1" si="24"/>
        <v/>
      </c>
      <c r="D146" s="41" t="str">
        <f t="shared" ca="1" si="25"/>
        <v/>
      </c>
      <c r="E146" s="38" t="str">
        <f ca="1">IF(COUNTIF($W$2:W1131,A146)=1,VLOOKUP(A146,Q:R,2), IF(COUNTIF($W$2:W1131,A146)=0,$C$9,""))</f>
        <v/>
      </c>
      <c r="F146" s="2" t="str">
        <f t="shared" ca="1" si="26"/>
        <v/>
      </c>
      <c r="G146" s="41" t="str">
        <f t="shared" ca="1" si="27"/>
        <v/>
      </c>
      <c r="H146" s="38" t="str">
        <f ca="1">IF(COUNTIF($W$2:W1131,A146)=1,VLOOKUP(A146,S:T,2), IF(COUNTIF($W$2:W1131,A146)=0,$D$9,""))</f>
        <v/>
      </c>
      <c r="I146" s="39" t="str">
        <f ca="1">IF(COUNTIF($X$2:X1131,INT(A146))=1,VLOOKUP(INT(A146),X:Y,2), IF(ISERROR(H146-2),"",I145*(1-$D$8*(H146-H145)*0.0001)))</f>
        <v/>
      </c>
      <c r="J146" s="39" t="str">
        <f t="shared" ca="1" si="28"/>
        <v/>
      </c>
      <c r="K146" s="41" t="str">
        <f t="shared" ca="1" si="29"/>
        <v/>
      </c>
      <c r="L146" s="41" t="str">
        <f ca="1">IF($A146="","",IF(COUNTIFS(Dividends!$G:$G,"&gt;"&amp;INT($A145),Dividends!$G:$G,"&lt;="&amp;INT($A146))=0,"",$H$2*SUMIFS(Dividends!$H:$H,Dividends!$G:$G,"&gt;"&amp;INT($A145),Dividends!$G:$G,"&lt;="&amp;INT($A146))))</f>
        <v/>
      </c>
      <c r="M146" s="42" t="str">
        <f ca="1">IF(ISERROR(B146-2),"",C146+D146-F146-G146-K146+SUM($L$14:L146))</f>
        <v/>
      </c>
      <c r="U146" s="3" t="str">
        <f t="shared" si="20"/>
        <v/>
      </c>
      <c r="V146" s="3" t="str">
        <f t="shared" si="21"/>
        <v/>
      </c>
      <c r="Z146" s="3">
        <v>45982</v>
      </c>
      <c r="AA146" s="4">
        <v>244.55760000000001</v>
      </c>
      <c r="AB146" s="74">
        <v>45982</v>
      </c>
      <c r="AC146" s="4">
        <v>267.34800000000001</v>
      </c>
      <c r="AD146" s="6">
        <f t="shared" si="22"/>
        <v>45982</v>
      </c>
    </row>
    <row r="147" spans="1:30" x14ac:dyDescent="0.25">
      <c r="A147" s="37" t="str">
        <f t="shared" ca="1" si="23"/>
        <v/>
      </c>
      <c r="B147" s="38" t="str">
        <f ca="1">IF(COUNTIF($W$2:W1132,A147)=1,VLOOKUP(A147,O:P,2), IF(COUNTIF($W$2:W1132,A147)=0,$B$9,""))</f>
        <v/>
      </c>
      <c r="C147" s="2" t="str">
        <f t="shared" ca="1" si="24"/>
        <v/>
      </c>
      <c r="D147" s="41" t="str">
        <f t="shared" ca="1" si="25"/>
        <v/>
      </c>
      <c r="E147" s="38" t="str">
        <f ca="1">IF(COUNTIF($W$2:W1132,A147)=1,VLOOKUP(A147,Q:R,2), IF(COUNTIF($W$2:W1132,A147)=0,$C$9,""))</f>
        <v/>
      </c>
      <c r="F147" s="2" t="str">
        <f t="shared" ca="1" si="26"/>
        <v/>
      </c>
      <c r="G147" s="41" t="str">
        <f t="shared" ca="1" si="27"/>
        <v/>
      </c>
      <c r="H147" s="38" t="str">
        <f ca="1">IF(COUNTIF($W$2:W1132,A147)=1,VLOOKUP(A147,S:T,2), IF(COUNTIF($W$2:W1132,A147)=0,$D$9,""))</f>
        <v/>
      </c>
      <c r="I147" s="39" t="str">
        <f ca="1">IF(COUNTIF($X$2:X1132,INT(A147))=1,VLOOKUP(INT(A147),X:Y,2), IF(ISERROR(H147-2),"",I146*(1-$D$8*(H147-H146)*0.0001)))</f>
        <v/>
      </c>
      <c r="J147" s="39" t="str">
        <f t="shared" ca="1" si="28"/>
        <v/>
      </c>
      <c r="K147" s="41" t="str">
        <f t="shared" ca="1" si="29"/>
        <v/>
      </c>
      <c r="L147" s="41" t="str">
        <f ca="1">IF($A147="","",IF(COUNTIFS(Dividends!$G:$G,"&gt;"&amp;INT($A146),Dividends!$G:$G,"&lt;="&amp;INT($A147))=0,"",$H$2*SUMIFS(Dividends!$H:$H,Dividends!$G:$G,"&gt;"&amp;INT($A146),Dividends!$G:$G,"&lt;="&amp;INT($A147))))</f>
        <v/>
      </c>
      <c r="M147" s="42" t="str">
        <f ca="1">IF(ISERROR(B147-2),"",C147+D147-F147-G147-K147+SUM($L$14:L147))</f>
        <v/>
      </c>
      <c r="U147" s="3" t="str">
        <f t="shared" si="20"/>
        <v/>
      </c>
      <c r="V147" s="3" t="str">
        <f t="shared" si="21"/>
        <v/>
      </c>
      <c r="Z147" s="3">
        <v>45985</v>
      </c>
      <c r="AA147" s="4">
        <v>245.57339999999999</v>
      </c>
      <c r="AB147" s="74">
        <v>45985</v>
      </c>
      <c r="AC147" s="4">
        <v>264.28199999999998</v>
      </c>
      <c r="AD147" s="6">
        <f t="shared" si="22"/>
        <v>45985</v>
      </c>
    </row>
    <row r="148" spans="1:30" x14ac:dyDescent="0.25">
      <c r="A148" s="37" t="str">
        <f t="shared" ca="1" si="23"/>
        <v/>
      </c>
      <c r="B148" s="38" t="str">
        <f ca="1">IF(COUNTIF($W$2:W1133,A148)=1,VLOOKUP(A148,O:P,2), IF(COUNTIF($W$2:W1133,A148)=0,$B$9,""))</f>
        <v/>
      </c>
      <c r="C148" s="2" t="str">
        <f t="shared" ca="1" si="24"/>
        <v/>
      </c>
      <c r="D148" s="41" t="str">
        <f t="shared" ca="1" si="25"/>
        <v/>
      </c>
      <c r="E148" s="38" t="str">
        <f ca="1">IF(COUNTIF($W$2:W1133,A148)=1,VLOOKUP(A148,Q:R,2), IF(COUNTIF($W$2:W1133,A148)=0,$C$9,""))</f>
        <v/>
      </c>
      <c r="F148" s="2" t="str">
        <f t="shared" ca="1" si="26"/>
        <v/>
      </c>
      <c r="G148" s="41" t="str">
        <f t="shared" ca="1" si="27"/>
        <v/>
      </c>
      <c r="H148" s="38" t="str">
        <f ca="1">IF(COUNTIF($W$2:W1133,A148)=1,VLOOKUP(A148,S:T,2), IF(COUNTIF($W$2:W1133,A148)=0,$D$9,""))</f>
        <v/>
      </c>
      <c r="I148" s="39" t="str">
        <f ca="1">IF(COUNTIF($X$2:X1133,INT(A148))=1,VLOOKUP(INT(A148),X:Y,2), IF(ISERROR(H148-2),"",I147*(1-$D$8*(H148-H147)*0.0001)))</f>
        <v/>
      </c>
      <c r="J148" s="39" t="str">
        <f t="shared" ca="1" si="28"/>
        <v/>
      </c>
      <c r="K148" s="41" t="str">
        <f t="shared" ca="1" si="29"/>
        <v/>
      </c>
      <c r="L148" s="41" t="str">
        <f ca="1">IF($A148="","",IF(COUNTIFS(Dividends!$G:$G,"&gt;"&amp;INT($A147),Dividends!$G:$G,"&lt;="&amp;INT($A148))=0,"",$H$2*SUMIFS(Dividends!$H:$H,Dividends!$G:$G,"&gt;"&amp;INT($A147),Dividends!$G:$G,"&lt;="&amp;INT($A148))))</f>
        <v/>
      </c>
      <c r="M148" s="42" t="str">
        <f ca="1">IF(ISERROR(B148-2),"",C148+D148-F148-G148-K148+SUM($L$14:L148))</f>
        <v/>
      </c>
      <c r="U148" s="3" t="str">
        <f t="shared" si="20"/>
        <v/>
      </c>
      <c r="V148" s="3" t="str">
        <f t="shared" si="21"/>
        <v/>
      </c>
      <c r="Z148" s="3">
        <v>45986</v>
      </c>
      <c r="AA148" s="4">
        <v>245.78149999999999</v>
      </c>
      <c r="AB148" s="74">
        <v>45986</v>
      </c>
      <c r="AC148" s="4">
        <v>260.93599999999998</v>
      </c>
      <c r="AD148" s="6">
        <f t="shared" si="22"/>
        <v>45986</v>
      </c>
    </row>
    <row r="149" spans="1:30" x14ac:dyDescent="0.25">
      <c r="A149" s="37" t="str">
        <f t="shared" ca="1" si="23"/>
        <v/>
      </c>
      <c r="B149" s="38" t="str">
        <f ca="1">IF(COUNTIF($W$2:W1134,A149)=1,VLOOKUP(A149,O:P,2), IF(COUNTIF($W$2:W1134,A149)=0,$B$9,""))</f>
        <v/>
      </c>
      <c r="C149" s="2" t="str">
        <f t="shared" ca="1" si="24"/>
        <v/>
      </c>
      <c r="D149" s="41" t="str">
        <f t="shared" ca="1" si="25"/>
        <v/>
      </c>
      <c r="E149" s="38" t="str">
        <f ca="1">IF(COUNTIF($W$2:W1134,A149)=1,VLOOKUP(A149,Q:R,2), IF(COUNTIF($W$2:W1134,A149)=0,$C$9,""))</f>
        <v/>
      </c>
      <c r="F149" s="2" t="str">
        <f t="shared" ca="1" si="26"/>
        <v/>
      </c>
      <c r="G149" s="41" t="str">
        <f t="shared" ca="1" si="27"/>
        <v/>
      </c>
      <c r="H149" s="38" t="str">
        <f ca="1">IF(COUNTIF($W$2:W1134,A149)=1,VLOOKUP(A149,S:T,2), IF(COUNTIF($W$2:W1134,A149)=0,$D$9,""))</f>
        <v/>
      </c>
      <c r="I149" s="39" t="str">
        <f ca="1">IF(COUNTIF($X$2:X1134,INT(A149))=1,VLOOKUP(INT(A149),X:Y,2), IF(ISERROR(H149-2),"",I148*(1-$D$8*(H149-H148)*0.0001)))</f>
        <v/>
      </c>
      <c r="J149" s="39" t="str">
        <f t="shared" ca="1" si="28"/>
        <v/>
      </c>
      <c r="K149" s="41" t="str">
        <f t="shared" ca="1" si="29"/>
        <v/>
      </c>
      <c r="L149" s="41" t="str">
        <f ca="1">IF($A149="","",IF(COUNTIFS(Dividends!$G:$G,"&gt;"&amp;INT($A148),Dividends!$G:$G,"&lt;="&amp;INT($A149))=0,"",$H$2*SUMIFS(Dividends!$H:$H,Dividends!$G:$G,"&gt;"&amp;INT($A148),Dividends!$G:$G,"&lt;="&amp;INT($A149))))</f>
        <v/>
      </c>
      <c r="M149" s="42" t="str">
        <f ca="1">IF(ISERROR(B149-2),"",C149+D149-F149-G149-K149+SUM($L$14:L149))</f>
        <v/>
      </c>
      <c r="U149" s="3" t="str">
        <f t="shared" si="20"/>
        <v/>
      </c>
      <c r="V149" s="3" t="str">
        <f t="shared" si="21"/>
        <v/>
      </c>
      <c r="Z149" s="3">
        <v>45987</v>
      </c>
      <c r="AA149" s="4">
        <v>246.1097</v>
      </c>
      <c r="AB149" s="74">
        <v>45987</v>
      </c>
      <c r="AC149" s="4">
        <v>258.24200000000002</v>
      </c>
      <c r="AD149" s="6">
        <f t="shared" si="22"/>
        <v>45987</v>
      </c>
    </row>
    <row r="150" spans="1:30" x14ac:dyDescent="0.25">
      <c r="A150" s="37" t="str">
        <f t="shared" ca="1" si="23"/>
        <v/>
      </c>
      <c r="B150" s="38" t="str">
        <f ca="1">IF(COUNTIF($W$2:W1135,A150)=1,VLOOKUP(A150,O:P,2), IF(COUNTIF($W$2:W1135,A150)=0,$B$9,""))</f>
        <v/>
      </c>
      <c r="C150" s="2" t="str">
        <f t="shared" ca="1" si="24"/>
        <v/>
      </c>
      <c r="D150" s="41" t="str">
        <f t="shared" ca="1" si="25"/>
        <v/>
      </c>
      <c r="E150" s="38" t="str">
        <f ca="1">IF(COUNTIF($W$2:W1135,A150)=1,VLOOKUP(A150,Q:R,2), IF(COUNTIF($W$2:W1135,A150)=0,$C$9,""))</f>
        <v/>
      </c>
      <c r="F150" s="2" t="str">
        <f t="shared" ca="1" si="26"/>
        <v/>
      </c>
      <c r="G150" s="41" t="str">
        <f t="shared" ca="1" si="27"/>
        <v/>
      </c>
      <c r="H150" s="38" t="str">
        <f ca="1">IF(COUNTIF($W$2:W1135,A150)=1,VLOOKUP(A150,S:T,2), IF(COUNTIF($W$2:W1135,A150)=0,$D$9,""))</f>
        <v/>
      </c>
      <c r="I150" s="39" t="str">
        <f ca="1">IF(COUNTIF($X$2:X1135,INT(A150))=1,VLOOKUP(INT(A150),X:Y,2), IF(ISERROR(H150-2),"",I149*(1-$D$8*(H150-H149)*0.0001)))</f>
        <v/>
      </c>
      <c r="J150" s="39" t="str">
        <f t="shared" ca="1" si="28"/>
        <v/>
      </c>
      <c r="K150" s="41" t="str">
        <f t="shared" ca="1" si="29"/>
        <v/>
      </c>
      <c r="L150" s="41" t="str">
        <f ca="1">IF($A150="","",IF(COUNTIFS(Dividends!$G:$G,"&gt;"&amp;INT($A149),Dividends!$G:$G,"&lt;="&amp;INT($A150))=0,"",$H$2*SUMIFS(Dividends!$H:$H,Dividends!$G:$G,"&gt;"&amp;INT($A149),Dividends!$G:$G,"&lt;="&amp;INT($A150))))</f>
        <v/>
      </c>
      <c r="M150" s="42" t="str">
        <f ca="1">IF(ISERROR(B150-2),"",C150+D150-F150-G150-K150+SUM($L$14:L150))</f>
        <v/>
      </c>
      <c r="U150" s="3" t="str">
        <f t="shared" si="20"/>
        <v/>
      </c>
      <c r="V150" s="3" t="str">
        <f t="shared" si="21"/>
        <v/>
      </c>
      <c r="Z150" s="3">
        <v>45988</v>
      </c>
      <c r="AA150" s="4">
        <v>246.30340000000001</v>
      </c>
      <c r="AB150" s="74">
        <v>45988</v>
      </c>
      <c r="AC150" s="4">
        <v>257.72500000000002</v>
      </c>
      <c r="AD150" s="6">
        <f t="shared" si="22"/>
        <v>45988</v>
      </c>
    </row>
    <row r="151" spans="1:30" x14ac:dyDescent="0.25">
      <c r="A151" s="37" t="str">
        <f t="shared" ca="1" si="23"/>
        <v/>
      </c>
      <c r="B151" s="38" t="str">
        <f ca="1">IF(COUNTIF($W$2:W1136,A151)=1,VLOOKUP(A151,O:P,2), IF(COUNTIF($W$2:W1136,A151)=0,$B$9,""))</f>
        <v/>
      </c>
      <c r="C151" s="2" t="str">
        <f t="shared" ca="1" si="24"/>
        <v/>
      </c>
      <c r="D151" s="41" t="str">
        <f t="shared" ca="1" si="25"/>
        <v/>
      </c>
      <c r="E151" s="38" t="str">
        <f ca="1">IF(COUNTIF($W$2:W1136,A151)=1,VLOOKUP(A151,Q:R,2), IF(COUNTIF($W$2:W1136,A151)=0,$C$9,""))</f>
        <v/>
      </c>
      <c r="F151" s="2" t="str">
        <f t="shared" ca="1" si="26"/>
        <v/>
      </c>
      <c r="G151" s="41" t="str">
        <f t="shared" ca="1" si="27"/>
        <v/>
      </c>
      <c r="H151" s="38" t="str">
        <f ca="1">IF(COUNTIF($W$2:W1136,A151)=1,VLOOKUP(A151,S:T,2), IF(COUNTIF($W$2:W1136,A151)=0,$D$9,""))</f>
        <v/>
      </c>
      <c r="I151" s="39" t="str">
        <f ca="1">IF(COUNTIF($X$2:X1136,INT(A151))=1,VLOOKUP(INT(A151),X:Y,2), IF(ISERROR(H151-2),"",I150*(1-$D$8*(H151-H150)*0.0001)))</f>
        <v/>
      </c>
      <c r="J151" s="39" t="str">
        <f t="shared" ca="1" si="28"/>
        <v/>
      </c>
      <c r="K151" s="41" t="str">
        <f t="shared" ca="1" si="29"/>
        <v/>
      </c>
      <c r="L151" s="41" t="str">
        <f ca="1">IF($A151="","",IF(COUNTIFS(Dividends!$G:$G,"&gt;"&amp;INT($A150),Dividends!$G:$G,"&lt;="&amp;INT($A151))=0,"",$H$2*SUMIFS(Dividends!$H:$H,Dividends!$G:$G,"&gt;"&amp;INT($A150),Dividends!$G:$G,"&lt;="&amp;INT($A151))))</f>
        <v/>
      </c>
      <c r="M151" s="42" t="str">
        <f ca="1">IF(ISERROR(B151-2),"",C151+D151-F151-G151-K151+SUM($L$14:L151))</f>
        <v/>
      </c>
      <c r="U151" s="3" t="str">
        <f t="shared" si="20"/>
        <v/>
      </c>
      <c r="V151" s="3" t="str">
        <f t="shared" si="21"/>
        <v/>
      </c>
      <c r="Z151" s="3">
        <v>45989</v>
      </c>
      <c r="AA151" s="4">
        <v>246.51609999999999</v>
      </c>
      <c r="AB151" s="74">
        <v>45989</v>
      </c>
      <c r="AC151" s="4">
        <v>255.52199999999999</v>
      </c>
      <c r="AD151" s="6">
        <f t="shared" si="22"/>
        <v>45989</v>
      </c>
    </row>
    <row r="152" spans="1:30" x14ac:dyDescent="0.25">
      <c r="A152" s="37" t="str">
        <f t="shared" ca="1" si="23"/>
        <v/>
      </c>
      <c r="B152" s="38" t="str">
        <f ca="1">IF(COUNTIF($W$2:W1137,A152)=1,VLOOKUP(A152,O:P,2), IF(COUNTIF($W$2:W1137,A152)=0,$B$9,""))</f>
        <v/>
      </c>
      <c r="C152" s="2" t="str">
        <f t="shared" ca="1" si="24"/>
        <v/>
      </c>
      <c r="D152" s="41" t="str">
        <f t="shared" ca="1" si="25"/>
        <v/>
      </c>
      <c r="E152" s="38" t="str">
        <f ca="1">IF(COUNTIF($W$2:W1137,A152)=1,VLOOKUP(A152,Q:R,2), IF(COUNTIF($W$2:W1137,A152)=0,$C$9,""))</f>
        <v/>
      </c>
      <c r="F152" s="2" t="str">
        <f t="shared" ca="1" si="26"/>
        <v/>
      </c>
      <c r="G152" s="41" t="str">
        <f t="shared" ca="1" si="27"/>
        <v/>
      </c>
      <c r="H152" s="38" t="str">
        <f ca="1">IF(COUNTIF($W$2:W1137,A152)=1,VLOOKUP(A152,S:T,2), IF(COUNTIF($W$2:W1137,A152)=0,$D$9,""))</f>
        <v/>
      </c>
      <c r="I152" s="39" t="str">
        <f ca="1">IF(COUNTIF($X$2:X1137,INT(A152))=1,VLOOKUP(INT(A152),X:Y,2), IF(ISERROR(H152-2),"",I151*(1-$D$8*(H152-H151)*0.0001)))</f>
        <v/>
      </c>
      <c r="J152" s="39" t="str">
        <f t="shared" ca="1" si="28"/>
        <v/>
      </c>
      <c r="K152" s="41" t="str">
        <f t="shared" ca="1" si="29"/>
        <v/>
      </c>
      <c r="L152" s="41" t="str">
        <f ca="1">IF($A152="","",IF(COUNTIFS(Dividends!$G:$G,"&gt;"&amp;INT($A151),Dividends!$G:$G,"&lt;="&amp;INT($A152))=0,"",$H$2*SUMIFS(Dividends!$H:$H,Dividends!$G:$G,"&gt;"&amp;INT($A151),Dividends!$G:$G,"&lt;="&amp;INT($A152))))</f>
        <v/>
      </c>
      <c r="M152" s="42" t="str">
        <f ca="1">IF(ISERROR(B152-2),"",C152+D152-F152-G152-K152+SUM($L$14:L152))</f>
        <v/>
      </c>
      <c r="U152" s="3" t="str">
        <f t="shared" si="20"/>
        <v/>
      </c>
      <c r="V152" s="3" t="str">
        <f t="shared" si="21"/>
        <v/>
      </c>
      <c r="Z152" s="3">
        <v>45992</v>
      </c>
      <c r="AA152" s="4">
        <v>246.52199999999999</v>
      </c>
      <c r="AB152" s="74">
        <v>45992</v>
      </c>
      <c r="AC152" s="4">
        <v>256.12799999999999</v>
      </c>
      <c r="AD152" s="6">
        <f t="shared" si="22"/>
        <v>45992</v>
      </c>
    </row>
    <row r="153" spans="1:30" x14ac:dyDescent="0.25">
      <c r="A153" s="37" t="str">
        <f t="shared" ca="1" si="23"/>
        <v/>
      </c>
      <c r="B153" s="38" t="str">
        <f ca="1">IF(COUNTIF($W$2:W1138,A153)=1,VLOOKUP(A153,O:P,2), IF(COUNTIF($W$2:W1138,A153)=0,$B$9,""))</f>
        <v/>
      </c>
      <c r="C153" s="2" t="str">
        <f t="shared" ca="1" si="24"/>
        <v/>
      </c>
      <c r="D153" s="41" t="str">
        <f t="shared" ca="1" si="25"/>
        <v/>
      </c>
      <c r="E153" s="38" t="str">
        <f ca="1">IF(COUNTIF($W$2:W1138,A153)=1,VLOOKUP(A153,Q:R,2), IF(COUNTIF($W$2:W1138,A153)=0,$C$9,""))</f>
        <v/>
      </c>
      <c r="F153" s="2" t="str">
        <f t="shared" ca="1" si="26"/>
        <v/>
      </c>
      <c r="G153" s="41" t="str">
        <f t="shared" ca="1" si="27"/>
        <v/>
      </c>
      <c r="H153" s="38" t="str">
        <f ca="1">IF(COUNTIF($W$2:W1138,A153)=1,VLOOKUP(A153,S:T,2), IF(COUNTIF($W$2:W1138,A153)=0,$D$9,""))</f>
        <v/>
      </c>
      <c r="I153" s="39" t="str">
        <f ca="1">IF(COUNTIF($X$2:X1138,INT(A153))=1,VLOOKUP(INT(A153),X:Y,2), IF(ISERROR(H153-2),"",I152*(1-$D$8*(H153-H152)*0.0001)))</f>
        <v/>
      </c>
      <c r="J153" s="39" t="str">
        <f t="shared" ca="1" si="28"/>
        <v/>
      </c>
      <c r="K153" s="41" t="str">
        <f t="shared" ca="1" si="29"/>
        <v/>
      </c>
      <c r="L153" s="41" t="str">
        <f ca="1">IF($A153="","",IF(COUNTIFS(Dividends!$G:$G,"&gt;"&amp;INT($A152),Dividends!$G:$G,"&lt;="&amp;INT($A153))=0,"",$H$2*SUMIFS(Dividends!$H:$H,Dividends!$G:$G,"&gt;"&amp;INT($A152),Dividends!$G:$G,"&lt;="&amp;INT($A153))))</f>
        <v/>
      </c>
      <c r="M153" s="42" t="str">
        <f ca="1">IF(ISERROR(B153-2),"",C153+D153-F153-G153-K153+SUM($L$14:L153))</f>
        <v/>
      </c>
      <c r="U153" s="3" t="str">
        <f t="shared" si="20"/>
        <v/>
      </c>
      <c r="V153" s="3" t="str">
        <f t="shared" si="21"/>
        <v/>
      </c>
      <c r="Z153" s="3">
        <v>45993</v>
      </c>
      <c r="AA153" s="4">
        <v>246.64009999999999</v>
      </c>
      <c r="AB153" s="74">
        <v>45993</v>
      </c>
      <c r="AC153" s="4">
        <v>255.16499999999999</v>
      </c>
      <c r="AD153" s="6">
        <f t="shared" si="22"/>
        <v>45993</v>
      </c>
    </row>
    <row r="154" spans="1:30" x14ac:dyDescent="0.25">
      <c r="A154" s="37" t="str">
        <f t="shared" ca="1" si="23"/>
        <v/>
      </c>
      <c r="B154" s="38" t="str">
        <f ca="1">IF(COUNTIF($W$2:W1139,A154)=1,VLOOKUP(A154,O:P,2), IF(COUNTIF($W$2:W1139,A154)=0,$B$9,""))</f>
        <v/>
      </c>
      <c r="C154" s="2" t="str">
        <f t="shared" ca="1" si="24"/>
        <v/>
      </c>
      <c r="D154" s="41" t="str">
        <f t="shared" ca="1" si="25"/>
        <v/>
      </c>
      <c r="E154" s="38" t="str">
        <f ca="1">IF(COUNTIF($W$2:W1139,A154)=1,VLOOKUP(A154,Q:R,2), IF(COUNTIF($W$2:W1139,A154)=0,$C$9,""))</f>
        <v/>
      </c>
      <c r="F154" s="2" t="str">
        <f t="shared" ca="1" si="26"/>
        <v/>
      </c>
      <c r="G154" s="41" t="str">
        <f t="shared" ca="1" si="27"/>
        <v/>
      </c>
      <c r="H154" s="38" t="str">
        <f ca="1">IF(COUNTIF($W$2:W1139,A154)=1,VLOOKUP(A154,S:T,2), IF(COUNTIF($W$2:W1139,A154)=0,$D$9,""))</f>
        <v/>
      </c>
      <c r="I154" s="39" t="str">
        <f ca="1">IF(COUNTIF($X$2:X1139,INT(A154))=1,VLOOKUP(INT(A154),X:Y,2), IF(ISERROR(H154-2),"",I153*(1-$D$8*(H154-H153)*0.0001)))</f>
        <v/>
      </c>
      <c r="J154" s="39" t="str">
        <f t="shared" ca="1" si="28"/>
        <v/>
      </c>
      <c r="K154" s="41" t="str">
        <f t="shared" ca="1" si="29"/>
        <v/>
      </c>
      <c r="L154" s="41" t="str">
        <f ca="1">IF($A154="","",IF(COUNTIFS(Dividends!$G:$G,"&gt;"&amp;INT($A153),Dividends!$G:$G,"&lt;="&amp;INT($A154))=0,"",$H$2*SUMIFS(Dividends!$H:$H,Dividends!$G:$G,"&gt;"&amp;INT($A153),Dividends!$G:$G,"&lt;="&amp;INT($A154))))</f>
        <v/>
      </c>
      <c r="M154" s="42" t="str">
        <f ca="1">IF(ISERROR(B154-2),"",C154+D154-F154-G154-K154+SUM($L$14:L154))</f>
        <v/>
      </c>
      <c r="U154" s="3" t="str">
        <f t="shared" si="20"/>
        <v/>
      </c>
      <c r="V154" s="3" t="str">
        <f t="shared" si="21"/>
        <v/>
      </c>
      <c r="Z154" s="3">
        <v>45994</v>
      </c>
      <c r="AA154" s="4">
        <v>246.69659999999999</v>
      </c>
      <c r="AB154" s="74">
        <v>45994</v>
      </c>
      <c r="AC154" s="4">
        <v>254.90700000000001</v>
      </c>
      <c r="AD154" s="6">
        <f t="shared" si="22"/>
        <v>45994</v>
      </c>
    </row>
    <row r="155" spans="1:30" x14ac:dyDescent="0.25">
      <c r="A155" s="37" t="str">
        <f t="shared" ca="1" si="23"/>
        <v/>
      </c>
      <c r="B155" s="38" t="str">
        <f ca="1">IF(COUNTIF($W$2:W1140,A155)=1,VLOOKUP(A155,O:P,2), IF(COUNTIF($W$2:W1140,A155)=0,$B$9,""))</f>
        <v/>
      </c>
      <c r="C155" s="2" t="str">
        <f t="shared" ca="1" si="24"/>
        <v/>
      </c>
      <c r="D155" s="41" t="str">
        <f t="shared" ca="1" si="25"/>
        <v/>
      </c>
      <c r="E155" s="38" t="str">
        <f ca="1">IF(COUNTIF($W$2:W1140,A155)=1,VLOOKUP(A155,Q:R,2), IF(COUNTIF($W$2:W1140,A155)=0,$C$9,""))</f>
        <v/>
      </c>
      <c r="F155" s="2" t="str">
        <f t="shared" ca="1" si="26"/>
        <v/>
      </c>
      <c r="G155" s="41" t="str">
        <f t="shared" ca="1" si="27"/>
        <v/>
      </c>
      <c r="H155" s="38" t="str">
        <f ca="1">IF(COUNTIF($W$2:W1140,A155)=1,VLOOKUP(A155,S:T,2), IF(COUNTIF($W$2:W1140,A155)=0,$D$9,""))</f>
        <v/>
      </c>
      <c r="I155" s="39" t="str">
        <f ca="1">IF(COUNTIF($X$2:X1140,INT(A155))=1,VLOOKUP(INT(A155),X:Y,2), IF(ISERROR(H155-2),"",I154*(1-$D$8*(H155-H154)*0.0001)))</f>
        <v/>
      </c>
      <c r="J155" s="39" t="str">
        <f t="shared" ca="1" si="28"/>
        <v/>
      </c>
      <c r="K155" s="41" t="str">
        <f t="shared" ca="1" si="29"/>
        <v/>
      </c>
      <c r="L155" s="41" t="str">
        <f ca="1">IF($A155="","",IF(COUNTIFS(Dividends!$G:$G,"&gt;"&amp;INT($A154),Dividends!$G:$G,"&lt;="&amp;INT($A155))=0,"",$H$2*SUMIFS(Dividends!$H:$H,Dividends!$G:$G,"&gt;"&amp;INT($A154),Dividends!$G:$G,"&lt;="&amp;INT($A155))))</f>
        <v/>
      </c>
      <c r="M155" s="42" t="str">
        <f ca="1">IF(ISERROR(B155-2),"",C155+D155-F155-G155-K155+SUM($L$14:L155))</f>
        <v/>
      </c>
      <c r="U155" s="3" t="str">
        <f t="shared" si="20"/>
        <v/>
      </c>
      <c r="V155" s="3" t="str">
        <f t="shared" si="21"/>
        <v/>
      </c>
      <c r="Z155" s="3">
        <v>45995</v>
      </c>
      <c r="AA155" s="4">
        <v>246.7276</v>
      </c>
      <c r="AB155" s="74">
        <v>45995</v>
      </c>
      <c r="AC155" s="4">
        <v>254.619</v>
      </c>
      <c r="AD155" s="6">
        <f t="shared" si="22"/>
        <v>45995</v>
      </c>
    </row>
    <row r="156" spans="1:30" x14ac:dyDescent="0.25">
      <c r="A156" s="37" t="str">
        <f t="shared" ca="1" si="23"/>
        <v/>
      </c>
      <c r="B156" s="38" t="str">
        <f ca="1">IF(COUNTIF($W$2:W1141,A156)=1,VLOOKUP(A156,O:P,2), IF(COUNTIF($W$2:W1141,A156)=0,$B$9,""))</f>
        <v/>
      </c>
      <c r="C156" s="2" t="str">
        <f t="shared" ca="1" si="24"/>
        <v/>
      </c>
      <c r="D156" s="41" t="str">
        <f t="shared" ca="1" si="25"/>
        <v/>
      </c>
      <c r="E156" s="38" t="str">
        <f ca="1">IF(COUNTIF($W$2:W1141,A156)=1,VLOOKUP(A156,Q:R,2), IF(COUNTIF($W$2:W1141,A156)=0,$C$9,""))</f>
        <v/>
      </c>
      <c r="F156" s="2" t="str">
        <f t="shared" ca="1" si="26"/>
        <v/>
      </c>
      <c r="G156" s="41" t="str">
        <f t="shared" ca="1" si="27"/>
        <v/>
      </c>
      <c r="H156" s="38" t="str">
        <f ca="1">IF(COUNTIF($W$2:W1141,A156)=1,VLOOKUP(A156,S:T,2), IF(COUNTIF($W$2:W1141,A156)=0,$D$9,""))</f>
        <v/>
      </c>
      <c r="I156" s="39" t="str">
        <f ca="1">IF(COUNTIF($X$2:X1141,INT(A156))=1,VLOOKUP(INT(A156),X:Y,2), IF(ISERROR(H156-2),"",I155*(1-$D$8*(H156-H155)*0.0001)))</f>
        <v/>
      </c>
      <c r="J156" s="39" t="str">
        <f t="shared" ca="1" si="28"/>
        <v/>
      </c>
      <c r="K156" s="41" t="str">
        <f t="shared" ca="1" si="29"/>
        <v/>
      </c>
      <c r="L156" s="41" t="str">
        <f ca="1">IF($A156="","",IF(COUNTIFS(Dividends!$G:$G,"&gt;"&amp;INT($A155),Dividends!$G:$G,"&lt;="&amp;INT($A156))=0,"",$H$2*SUMIFS(Dividends!$H:$H,Dividends!$G:$G,"&gt;"&amp;INT($A155),Dividends!$G:$G,"&lt;="&amp;INT($A156))))</f>
        <v/>
      </c>
      <c r="M156" s="42" t="str">
        <f ca="1">IF(ISERROR(B156-2),"",C156+D156-F156-G156-K156+SUM($L$14:L156))</f>
        <v/>
      </c>
      <c r="U156" s="3" t="str">
        <f t="shared" si="20"/>
        <v/>
      </c>
      <c r="V156" s="3" t="str">
        <f t="shared" si="21"/>
        <v/>
      </c>
      <c r="Z156" s="3">
        <v>45996</v>
      </c>
      <c r="AA156" s="4">
        <v>246.92910000000001</v>
      </c>
      <c r="AB156" s="74">
        <v>45996</v>
      </c>
      <c r="AC156" s="4">
        <v>252.95500000000001</v>
      </c>
      <c r="AD156" s="6">
        <f t="shared" si="22"/>
        <v>45996</v>
      </c>
    </row>
    <row r="157" spans="1:30" x14ac:dyDescent="0.25">
      <c r="A157" s="37" t="str">
        <f t="shared" ca="1" si="23"/>
        <v/>
      </c>
      <c r="B157" s="38" t="str">
        <f ca="1">IF(COUNTIF($W$2:W1142,A157)=1,VLOOKUP(A157,O:P,2), IF(COUNTIF($W$2:W1142,A157)=0,$B$9,""))</f>
        <v/>
      </c>
      <c r="C157" s="2" t="str">
        <f t="shared" ca="1" si="24"/>
        <v/>
      </c>
      <c r="D157" s="41" t="str">
        <f t="shared" ca="1" si="25"/>
        <v/>
      </c>
      <c r="E157" s="38" t="str">
        <f ca="1">IF(COUNTIF($W$2:W1142,A157)=1,VLOOKUP(A157,Q:R,2), IF(COUNTIF($W$2:W1142,A157)=0,$C$9,""))</f>
        <v/>
      </c>
      <c r="F157" s="2" t="str">
        <f t="shared" ca="1" si="26"/>
        <v/>
      </c>
      <c r="G157" s="41" t="str">
        <f t="shared" ca="1" si="27"/>
        <v/>
      </c>
      <c r="H157" s="38" t="str">
        <f ca="1">IF(COUNTIF($W$2:W1142,A157)=1,VLOOKUP(A157,S:T,2), IF(COUNTIF($W$2:W1142,A157)=0,$D$9,""))</f>
        <v/>
      </c>
      <c r="I157" s="39" t="str">
        <f ca="1">IF(COUNTIF($X$2:X1142,INT(A157))=1,VLOOKUP(INT(A157),X:Y,2), IF(ISERROR(H157-2),"",I156*(1-$D$8*(H157-H156)*0.0001)))</f>
        <v/>
      </c>
      <c r="J157" s="39" t="str">
        <f t="shared" ca="1" si="28"/>
        <v/>
      </c>
      <c r="K157" s="41" t="str">
        <f t="shared" ca="1" si="29"/>
        <v/>
      </c>
      <c r="L157" s="41" t="str">
        <f ca="1">IF($A157="","",IF(COUNTIFS(Dividends!$G:$G,"&gt;"&amp;INT($A156),Dividends!$G:$G,"&lt;="&amp;INT($A157))=0,"",$H$2*SUMIFS(Dividends!$H:$H,Dividends!$G:$G,"&gt;"&amp;INT($A156),Dividends!$G:$G,"&lt;="&amp;INT($A157))))</f>
        <v/>
      </c>
      <c r="M157" s="42" t="str">
        <f ca="1">IF(ISERROR(B157-2),"",C157+D157-F157-G157-K157+SUM($L$14:L157))</f>
        <v/>
      </c>
      <c r="U157" s="3" t="str">
        <f t="shared" si="20"/>
        <v/>
      </c>
      <c r="V157" s="3" t="str">
        <f t="shared" si="21"/>
        <v/>
      </c>
      <c r="Z157" s="3">
        <v>45999</v>
      </c>
      <c r="AA157" s="4">
        <v>246.71809999999999</v>
      </c>
      <c r="AB157" s="74">
        <v>45999</v>
      </c>
      <c r="AC157" s="4">
        <v>256.38</v>
      </c>
      <c r="AD157" s="6">
        <f t="shared" si="22"/>
        <v>45999</v>
      </c>
    </row>
    <row r="158" spans="1:30" x14ac:dyDescent="0.25">
      <c r="A158" s="37" t="str">
        <f t="shared" ca="1" si="23"/>
        <v/>
      </c>
      <c r="B158" s="38" t="str">
        <f ca="1">IF(COUNTIF($W$2:W1143,A158)=1,VLOOKUP(A158,O:P,2), IF(COUNTIF($W$2:W1143,A158)=0,$B$9,""))</f>
        <v/>
      </c>
      <c r="C158" s="2" t="str">
        <f t="shared" ca="1" si="24"/>
        <v/>
      </c>
      <c r="D158" s="41" t="str">
        <f t="shared" ca="1" si="25"/>
        <v/>
      </c>
      <c r="E158" s="38" t="str">
        <f ca="1">IF(COUNTIF($W$2:W1143,A158)=1,VLOOKUP(A158,Q:R,2), IF(COUNTIF($W$2:W1143,A158)=0,$C$9,""))</f>
        <v/>
      </c>
      <c r="F158" s="2" t="str">
        <f t="shared" ca="1" si="26"/>
        <v/>
      </c>
      <c r="G158" s="41" t="str">
        <f t="shared" ca="1" si="27"/>
        <v/>
      </c>
      <c r="H158" s="38" t="str">
        <f ca="1">IF(COUNTIF($W$2:W1143,A158)=1,VLOOKUP(A158,S:T,2), IF(COUNTIF($W$2:W1143,A158)=0,$D$9,""))</f>
        <v/>
      </c>
      <c r="I158" s="39" t="str">
        <f ca="1">IF(COUNTIF($X$2:X1143,INT(A158))=1,VLOOKUP(INT(A158),X:Y,2), IF(ISERROR(H158-2),"",I157*(1-$D$8*(H158-H157)*0.0001)))</f>
        <v/>
      </c>
      <c r="J158" s="39" t="str">
        <f t="shared" ca="1" si="28"/>
        <v/>
      </c>
      <c r="K158" s="41" t="str">
        <f t="shared" ca="1" si="29"/>
        <v/>
      </c>
      <c r="L158" s="41" t="str">
        <f ca="1">IF($A158="","",IF(COUNTIFS(Dividends!$G:$G,"&gt;"&amp;INT($A157),Dividends!$G:$G,"&lt;="&amp;INT($A158))=0,"",$H$2*SUMIFS(Dividends!$H:$H,Dividends!$G:$G,"&gt;"&amp;INT($A157),Dividends!$G:$G,"&lt;="&amp;INT($A158))))</f>
        <v/>
      </c>
      <c r="M158" s="42" t="str">
        <f ca="1">IF(ISERROR(B158-2),"",C158+D158-F158-G158-K158+SUM($L$14:L158))</f>
        <v/>
      </c>
      <c r="U158" s="3" t="str">
        <f t="shared" si="20"/>
        <v/>
      </c>
      <c r="V158" s="3" t="str">
        <f t="shared" si="21"/>
        <v/>
      </c>
      <c r="Z158" s="3">
        <v>46000</v>
      </c>
      <c r="AA158" s="4">
        <v>246.76429999999999</v>
      </c>
      <c r="AB158" s="74">
        <v>46000</v>
      </c>
      <c r="AC158" s="4">
        <v>254.755</v>
      </c>
      <c r="AD158" s="6">
        <f t="shared" si="22"/>
        <v>46000</v>
      </c>
    </row>
    <row r="159" spans="1:30" x14ac:dyDescent="0.25">
      <c r="A159" s="37" t="str">
        <f t="shared" ca="1" si="23"/>
        <v/>
      </c>
      <c r="B159" s="38" t="str">
        <f ca="1">IF(COUNTIF($W$2:W1144,A159)=1,VLOOKUP(A159,O:P,2), IF(COUNTIF($W$2:W1144,A159)=0,$B$9,""))</f>
        <v/>
      </c>
      <c r="C159" s="2" t="str">
        <f t="shared" ca="1" si="24"/>
        <v/>
      </c>
      <c r="D159" s="41" t="str">
        <f t="shared" ca="1" si="25"/>
        <v/>
      </c>
      <c r="E159" s="38" t="str">
        <f ca="1">IF(COUNTIF($W$2:W1144,A159)=1,VLOOKUP(A159,Q:R,2), IF(COUNTIF($W$2:W1144,A159)=0,$C$9,""))</f>
        <v/>
      </c>
      <c r="F159" s="2" t="str">
        <f t="shared" ca="1" si="26"/>
        <v/>
      </c>
      <c r="G159" s="41" t="str">
        <f t="shared" ca="1" si="27"/>
        <v/>
      </c>
      <c r="H159" s="38" t="str">
        <f ca="1">IF(COUNTIF($W$2:W1144,A159)=1,VLOOKUP(A159,S:T,2), IF(COUNTIF($W$2:W1144,A159)=0,$D$9,""))</f>
        <v/>
      </c>
      <c r="I159" s="39" t="str">
        <f ca="1">IF(COUNTIF($X$2:X1144,INT(A159))=1,VLOOKUP(INT(A159),X:Y,2), IF(ISERROR(H159-2),"",I158*(1-$D$8*(H159-H158)*0.0001)))</f>
        <v/>
      </c>
      <c r="J159" s="39" t="str">
        <f t="shared" ca="1" si="28"/>
        <v/>
      </c>
      <c r="K159" s="41" t="str">
        <f t="shared" ca="1" si="29"/>
        <v/>
      </c>
      <c r="L159" s="41" t="str">
        <f ca="1">IF($A159="","",IF(COUNTIFS(Dividends!$G:$G,"&gt;"&amp;INT($A158),Dividends!$G:$G,"&lt;="&amp;INT($A159))=0,"",$H$2*SUMIFS(Dividends!$H:$H,Dividends!$G:$G,"&gt;"&amp;INT($A158),Dividends!$G:$G,"&lt;="&amp;INT($A159))))</f>
        <v/>
      </c>
      <c r="M159" s="42" t="str">
        <f ca="1">IF(ISERROR(B159-2),"",C159+D159-F159-G159-K159+SUM($L$14:L159))</f>
        <v/>
      </c>
      <c r="U159" s="3" t="str">
        <f t="shared" si="20"/>
        <v/>
      </c>
      <c r="V159" s="3" t="str">
        <f t="shared" si="21"/>
        <v/>
      </c>
      <c r="Z159" s="3">
        <v>46001</v>
      </c>
      <c r="AA159" s="4">
        <v>246.89660000000001</v>
      </c>
      <c r="AB159" s="74">
        <v>46001</v>
      </c>
      <c r="AC159" s="4">
        <v>253.602</v>
      </c>
      <c r="AD159" s="6">
        <f t="shared" si="22"/>
        <v>46001</v>
      </c>
    </row>
    <row r="160" spans="1:30" x14ac:dyDescent="0.25">
      <c r="A160" s="37" t="str">
        <f t="shared" ca="1" si="23"/>
        <v/>
      </c>
      <c r="B160" s="38" t="str">
        <f ca="1">IF(COUNTIF($W$2:W1145,A160)=1,VLOOKUP(A160,O:P,2), IF(COUNTIF($W$2:W1145,A160)=0,$B$9,""))</f>
        <v/>
      </c>
      <c r="C160" s="2" t="str">
        <f t="shared" ca="1" si="24"/>
        <v/>
      </c>
      <c r="D160" s="41" t="str">
        <f t="shared" ca="1" si="25"/>
        <v/>
      </c>
      <c r="E160" s="38" t="str">
        <f ca="1">IF(COUNTIF($W$2:W1145,A160)=1,VLOOKUP(A160,Q:R,2), IF(COUNTIF($W$2:W1145,A160)=0,$C$9,""))</f>
        <v/>
      </c>
      <c r="F160" s="2" t="str">
        <f t="shared" ca="1" si="26"/>
        <v/>
      </c>
      <c r="G160" s="41" t="str">
        <f t="shared" ca="1" si="27"/>
        <v/>
      </c>
      <c r="H160" s="38" t="str">
        <f ca="1">IF(COUNTIF($W$2:W1145,A160)=1,VLOOKUP(A160,S:T,2), IF(COUNTIF($W$2:W1145,A160)=0,$D$9,""))</f>
        <v/>
      </c>
      <c r="I160" s="39" t="str">
        <f ca="1">IF(COUNTIF($X$2:X1145,INT(A160))=1,VLOOKUP(INT(A160),X:Y,2), IF(ISERROR(H160-2),"",I159*(1-$D$8*(H160-H159)*0.0001)))</f>
        <v/>
      </c>
      <c r="J160" s="39" t="str">
        <f t="shared" ca="1" si="28"/>
        <v/>
      </c>
      <c r="K160" s="41" t="str">
        <f t="shared" ca="1" si="29"/>
        <v/>
      </c>
      <c r="L160" s="41" t="str">
        <f ca="1">IF($A160="","",IF(COUNTIFS(Dividends!$G:$G,"&gt;"&amp;INT($A159),Dividends!$G:$G,"&lt;="&amp;INT($A160))=0,"",$H$2*SUMIFS(Dividends!$H:$H,Dividends!$G:$G,"&gt;"&amp;INT($A159),Dividends!$G:$G,"&lt;="&amp;INT($A160))))</f>
        <v/>
      </c>
      <c r="M160" s="42" t="str">
        <f ca="1">IF(ISERROR(B160-2),"",C160+D160-F160-G160-K160+SUM($L$14:L160))</f>
        <v/>
      </c>
      <c r="U160" s="3" t="str">
        <f t="shared" si="20"/>
        <v/>
      </c>
      <c r="V160" s="3" t="str">
        <f t="shared" si="21"/>
        <v/>
      </c>
      <c r="Z160" s="3">
        <v>46002</v>
      </c>
      <c r="AA160" s="4">
        <v>247.6378</v>
      </c>
      <c r="AB160" s="74">
        <v>46002</v>
      </c>
      <c r="AC160" s="4">
        <v>247.48400000000001</v>
      </c>
      <c r="AD160" s="6">
        <f t="shared" si="22"/>
        <v>46002</v>
      </c>
    </row>
    <row r="161" spans="1:30" x14ac:dyDescent="0.25">
      <c r="A161" s="37" t="str">
        <f t="shared" ca="1" si="23"/>
        <v/>
      </c>
      <c r="B161" s="38" t="str">
        <f ca="1">IF(COUNTIF($W$2:W1146,A161)=1,VLOOKUP(A161,O:P,2), IF(COUNTIF($W$2:W1146,A161)=0,$B$9,""))</f>
        <v/>
      </c>
      <c r="C161" s="2" t="str">
        <f t="shared" ca="1" si="24"/>
        <v/>
      </c>
      <c r="D161" s="41" t="str">
        <f t="shared" ca="1" si="25"/>
        <v/>
      </c>
      <c r="E161" s="38" t="str">
        <f ca="1">IF(COUNTIF($W$2:W1146,A161)=1,VLOOKUP(A161,Q:R,2), IF(COUNTIF($W$2:W1146,A161)=0,$C$9,""))</f>
        <v/>
      </c>
      <c r="F161" s="2" t="str">
        <f t="shared" ca="1" si="26"/>
        <v/>
      </c>
      <c r="G161" s="41" t="str">
        <f t="shared" ca="1" si="27"/>
        <v/>
      </c>
      <c r="H161" s="38" t="str">
        <f ca="1">IF(COUNTIF($W$2:W1146,A161)=1,VLOOKUP(A161,S:T,2), IF(COUNTIF($W$2:W1146,A161)=0,$D$9,""))</f>
        <v/>
      </c>
      <c r="I161" s="39" t="str">
        <f ca="1">IF(COUNTIF($X$2:X1146,INT(A161))=1,VLOOKUP(INT(A161),X:Y,2), IF(ISERROR(H161-2),"",I160*(1-$D$8*(H161-H160)*0.0001)))</f>
        <v/>
      </c>
      <c r="J161" s="39" t="str">
        <f t="shared" ca="1" si="28"/>
        <v/>
      </c>
      <c r="K161" s="41" t="str">
        <f t="shared" ca="1" si="29"/>
        <v/>
      </c>
      <c r="L161" s="41" t="str">
        <f ca="1">IF($A161="","",IF(COUNTIFS(Dividends!$G:$G,"&gt;"&amp;INT($A160),Dividends!$G:$G,"&lt;="&amp;INT($A161))=0,"",$H$2*SUMIFS(Dividends!$H:$H,Dividends!$G:$G,"&gt;"&amp;INT($A160),Dividends!$G:$G,"&lt;="&amp;INT($A161))))</f>
        <v/>
      </c>
      <c r="M161" s="42" t="str">
        <f ca="1">IF(ISERROR(B161-2),"",C161+D161-F161-G161-K161+SUM($L$14:L161))</f>
        <v/>
      </c>
      <c r="U161" s="3" t="str">
        <f t="shared" si="20"/>
        <v/>
      </c>
      <c r="V161" s="3" t="str">
        <f t="shared" si="21"/>
        <v/>
      </c>
      <c r="Z161" s="3">
        <v>46003</v>
      </c>
      <c r="AA161" s="4">
        <v>247.29140000000001</v>
      </c>
      <c r="AB161" s="74">
        <v>46003</v>
      </c>
      <c r="AC161" s="4">
        <v>251.251</v>
      </c>
      <c r="AD161" s="6">
        <f t="shared" si="22"/>
        <v>46003</v>
      </c>
    </row>
    <row r="162" spans="1:30" x14ac:dyDescent="0.25">
      <c r="A162" s="37" t="str">
        <f t="shared" ca="1" si="23"/>
        <v/>
      </c>
      <c r="B162" s="38" t="str">
        <f ca="1">IF(COUNTIF($W$2:W1147,A162)=1,VLOOKUP(A162,O:P,2), IF(COUNTIF($W$2:W1147,A162)=0,$B$9,""))</f>
        <v/>
      </c>
      <c r="C162" s="2" t="str">
        <f t="shared" ca="1" si="24"/>
        <v/>
      </c>
      <c r="D162" s="41" t="str">
        <f t="shared" ca="1" si="25"/>
        <v/>
      </c>
      <c r="E162" s="38" t="str">
        <f ca="1">IF(COUNTIF($W$2:W1147,A162)=1,VLOOKUP(A162,Q:R,2), IF(COUNTIF($W$2:W1147,A162)=0,$C$9,""))</f>
        <v/>
      </c>
      <c r="F162" s="2" t="str">
        <f t="shared" ca="1" si="26"/>
        <v/>
      </c>
      <c r="G162" s="41" t="str">
        <f t="shared" ca="1" si="27"/>
        <v/>
      </c>
      <c r="H162" s="38" t="str">
        <f ca="1">IF(COUNTIF($W$2:W1147,A162)=1,VLOOKUP(A162,S:T,2), IF(COUNTIF($W$2:W1147,A162)=0,$D$9,""))</f>
        <v/>
      </c>
      <c r="I162" s="39" t="str">
        <f ca="1">IF(COUNTIF($X$2:X1147,INT(A162))=1,VLOOKUP(INT(A162),X:Y,2), IF(ISERROR(H162-2),"",I161*(1-$D$8*(H162-H161)*0.0001)))</f>
        <v/>
      </c>
      <c r="J162" s="39" t="str">
        <f t="shared" ca="1" si="28"/>
        <v/>
      </c>
      <c r="K162" s="41" t="str">
        <f t="shared" ca="1" si="29"/>
        <v/>
      </c>
      <c r="L162" s="41" t="str">
        <f ca="1">IF($A162="","",IF(COUNTIFS(Dividends!$G:$G,"&gt;"&amp;INT($A161),Dividends!$G:$G,"&lt;="&amp;INT($A162))=0,"",$H$2*SUMIFS(Dividends!$H:$H,Dividends!$G:$G,"&gt;"&amp;INT($A161),Dividends!$G:$G,"&lt;="&amp;INT($A162))))</f>
        <v/>
      </c>
      <c r="M162" s="42" t="str">
        <f ca="1">IF(ISERROR(B162-2),"",C162+D162-F162-G162-K162+SUM($L$14:L162))</f>
        <v/>
      </c>
      <c r="U162" s="3" t="str">
        <f t="shared" si="20"/>
        <v/>
      </c>
      <c r="V162" s="3" t="str">
        <f t="shared" si="21"/>
        <v/>
      </c>
      <c r="Z162" s="3">
        <v>46006</v>
      </c>
      <c r="AA162" s="4">
        <v>247.6292</v>
      </c>
      <c r="AB162" s="74">
        <v>46006</v>
      </c>
      <c r="AC162" s="4">
        <v>248.71100000000001</v>
      </c>
      <c r="AD162" s="6">
        <f t="shared" si="22"/>
        <v>46006</v>
      </c>
    </row>
    <row r="163" spans="1:30" x14ac:dyDescent="0.25">
      <c r="A163" s="37" t="str">
        <f t="shared" ca="1" si="23"/>
        <v/>
      </c>
      <c r="B163" s="38" t="str">
        <f ca="1">IF(COUNTIF($W$2:W1148,A163)=1,VLOOKUP(A163,O:P,2), IF(COUNTIF($W$2:W1148,A163)=0,$B$9,""))</f>
        <v/>
      </c>
      <c r="C163" s="2" t="str">
        <f t="shared" ca="1" si="24"/>
        <v/>
      </c>
      <c r="D163" s="41" t="str">
        <f t="shared" ca="1" si="25"/>
        <v/>
      </c>
      <c r="E163" s="38" t="str">
        <f ca="1">IF(COUNTIF($W$2:W1148,A163)=1,VLOOKUP(A163,Q:R,2), IF(COUNTIF($W$2:W1148,A163)=0,$C$9,""))</f>
        <v/>
      </c>
      <c r="F163" s="2" t="str">
        <f t="shared" ca="1" si="26"/>
        <v/>
      </c>
      <c r="G163" s="41" t="str">
        <f t="shared" ca="1" si="27"/>
        <v/>
      </c>
      <c r="H163" s="38" t="str">
        <f ca="1">IF(COUNTIF($W$2:W1148,A163)=1,VLOOKUP(A163,S:T,2), IF(COUNTIF($W$2:W1148,A163)=0,$D$9,""))</f>
        <v/>
      </c>
      <c r="I163" s="39" t="str">
        <f ca="1">IF(COUNTIF($X$2:X1148,INT(A163))=1,VLOOKUP(INT(A163),X:Y,2), IF(ISERROR(H163-2),"",I162*(1-$D$8*(H163-H162)*0.0001)))</f>
        <v/>
      </c>
      <c r="J163" s="39" t="str">
        <f t="shared" ca="1" si="28"/>
        <v/>
      </c>
      <c r="K163" s="41" t="str">
        <f t="shared" ca="1" si="29"/>
        <v/>
      </c>
      <c r="L163" s="41" t="str">
        <f ca="1">IF($A163="","",IF(COUNTIFS(Dividends!$G:$G,"&gt;"&amp;INT($A162),Dividends!$G:$G,"&lt;="&amp;INT($A163))=0,"",$H$2*SUMIFS(Dividends!$H:$H,Dividends!$G:$G,"&gt;"&amp;INT($A162),Dividends!$G:$G,"&lt;="&amp;INT($A163))))</f>
        <v/>
      </c>
      <c r="M163" s="42" t="str">
        <f ca="1">IF(ISERROR(B163-2),"",C163+D163-F163-G163-K163+SUM($L$14:L163))</f>
        <v/>
      </c>
      <c r="U163" s="3" t="str">
        <f t="shared" si="20"/>
        <v/>
      </c>
      <c r="V163" s="3" t="str">
        <f t="shared" si="21"/>
        <v/>
      </c>
      <c r="Z163" s="3">
        <v>46007</v>
      </c>
      <c r="AA163" s="4">
        <v>247.4761</v>
      </c>
      <c r="AB163" s="74">
        <v>46007</v>
      </c>
      <c r="AC163" s="4">
        <v>250.40600000000001</v>
      </c>
      <c r="AD163" s="6">
        <f t="shared" si="22"/>
        <v>46007</v>
      </c>
    </row>
    <row r="164" spans="1:30" x14ac:dyDescent="0.25">
      <c r="A164" s="37" t="str">
        <f t="shared" ca="1" si="23"/>
        <v/>
      </c>
      <c r="B164" s="38" t="str">
        <f ca="1">IF(COUNTIF($W$2:W1149,A164)=1,VLOOKUP(A164,O:P,2), IF(COUNTIF($W$2:W1149,A164)=0,$B$9,""))</f>
        <v/>
      </c>
      <c r="C164" s="2" t="str">
        <f t="shared" ca="1" si="24"/>
        <v/>
      </c>
      <c r="D164" s="41" t="str">
        <f t="shared" ca="1" si="25"/>
        <v/>
      </c>
      <c r="E164" s="38" t="str">
        <f ca="1">IF(COUNTIF($W$2:W1149,A164)=1,VLOOKUP(A164,Q:R,2), IF(COUNTIF($W$2:W1149,A164)=0,$C$9,""))</f>
        <v/>
      </c>
      <c r="F164" s="2" t="str">
        <f t="shared" ca="1" si="26"/>
        <v/>
      </c>
      <c r="G164" s="41" t="str">
        <f t="shared" ca="1" si="27"/>
        <v/>
      </c>
      <c r="H164" s="38" t="str">
        <f ca="1">IF(COUNTIF($W$2:W1149,A164)=1,VLOOKUP(A164,S:T,2), IF(COUNTIF($W$2:W1149,A164)=0,$D$9,""))</f>
        <v/>
      </c>
      <c r="I164" s="39" t="str">
        <f ca="1">IF(COUNTIF($X$2:X1149,INT(A164))=1,VLOOKUP(INT(A164),X:Y,2), IF(ISERROR(H164-2),"",I163*(1-$D$8*(H164-H163)*0.0001)))</f>
        <v/>
      </c>
      <c r="J164" s="39" t="str">
        <f t="shared" ca="1" si="28"/>
        <v/>
      </c>
      <c r="K164" s="41" t="str">
        <f t="shared" ca="1" si="29"/>
        <v/>
      </c>
      <c r="L164" s="41" t="str">
        <f ca="1">IF($A164="","",IF(COUNTIFS(Dividends!$G:$G,"&gt;"&amp;INT($A163),Dividends!$G:$G,"&lt;="&amp;INT($A164))=0,"",$H$2*SUMIFS(Dividends!$H:$H,Dividends!$G:$G,"&gt;"&amp;INT($A163),Dividends!$G:$G,"&lt;="&amp;INT($A164))))</f>
        <v/>
      </c>
      <c r="M164" s="42" t="str">
        <f ca="1">IF(ISERROR(B164-2),"",C164+D164-F164-G164-K164+SUM($L$14:L164))</f>
        <v/>
      </c>
      <c r="U164" s="3" t="str">
        <f t="shared" si="20"/>
        <v/>
      </c>
      <c r="V164" s="3" t="str">
        <f t="shared" si="21"/>
        <v/>
      </c>
      <c r="Z164" s="3">
        <v>46008</v>
      </c>
      <c r="AA164" s="4">
        <v>247.34719999999999</v>
      </c>
      <c r="AB164" s="74">
        <v>46008</v>
      </c>
      <c r="AC164" s="4">
        <v>251.99100000000001</v>
      </c>
      <c r="AD164" s="6">
        <f t="shared" si="22"/>
        <v>46008</v>
      </c>
    </row>
    <row r="165" spans="1:30" x14ac:dyDescent="0.25">
      <c r="A165" s="37" t="str">
        <f t="shared" ca="1" si="23"/>
        <v/>
      </c>
      <c r="B165" s="38" t="str">
        <f ca="1">IF(COUNTIF($W$2:W1150,A165)=1,VLOOKUP(A165,O:P,2), IF(COUNTIF($W$2:W1150,A165)=0,$B$9,""))</f>
        <v/>
      </c>
      <c r="C165" s="2" t="str">
        <f t="shared" ca="1" si="24"/>
        <v/>
      </c>
      <c r="D165" s="41" t="str">
        <f t="shared" ca="1" si="25"/>
        <v/>
      </c>
      <c r="E165" s="38" t="str">
        <f ca="1">IF(COUNTIF($W$2:W1150,A165)=1,VLOOKUP(A165,Q:R,2), IF(COUNTIF($W$2:W1150,A165)=0,$C$9,""))</f>
        <v/>
      </c>
      <c r="F165" s="2" t="str">
        <f t="shared" ca="1" si="26"/>
        <v/>
      </c>
      <c r="G165" s="41" t="str">
        <f t="shared" ca="1" si="27"/>
        <v/>
      </c>
      <c r="H165" s="38" t="str">
        <f ca="1">IF(COUNTIF($W$2:W1150,A165)=1,VLOOKUP(A165,S:T,2), IF(COUNTIF($W$2:W1150,A165)=0,$D$9,""))</f>
        <v/>
      </c>
      <c r="I165" s="39" t="str">
        <f ca="1">IF(COUNTIF($X$2:X1150,INT(A165))=1,VLOOKUP(INT(A165),X:Y,2), IF(ISERROR(H165-2),"",I164*(1-$D$8*(H165-H164)*0.0001)))</f>
        <v/>
      </c>
      <c r="J165" s="39" t="str">
        <f t="shared" ca="1" si="28"/>
        <v/>
      </c>
      <c r="K165" s="41" t="str">
        <f t="shared" ca="1" si="29"/>
        <v/>
      </c>
      <c r="L165" s="41" t="str">
        <f ca="1">IF($A165="","",IF(COUNTIFS(Dividends!$G:$G,"&gt;"&amp;INT($A164),Dividends!$G:$G,"&lt;="&amp;INT($A165))=0,"",$H$2*SUMIFS(Dividends!$H:$H,Dividends!$G:$G,"&gt;"&amp;INT($A164),Dividends!$G:$G,"&lt;="&amp;INT($A165))))</f>
        <v/>
      </c>
      <c r="M165" s="42" t="str">
        <f ca="1">IF(ISERROR(B165-2),"",C165+D165-F165-G165-K165+SUM($L$14:L165))</f>
        <v/>
      </c>
      <c r="U165" s="3" t="str">
        <f t="shared" si="20"/>
        <v/>
      </c>
      <c r="V165" s="3" t="str">
        <f t="shared" si="21"/>
        <v/>
      </c>
      <c r="Z165" s="3">
        <v>46009</v>
      </c>
      <c r="AA165" s="4">
        <v>248.1044</v>
      </c>
      <c r="AB165" s="74">
        <v>46009</v>
      </c>
      <c r="AC165" s="4">
        <v>245.59399999999999</v>
      </c>
      <c r="AD165" s="6">
        <f t="shared" si="22"/>
        <v>46009</v>
      </c>
    </row>
    <row r="166" spans="1:30" x14ac:dyDescent="0.25">
      <c r="A166" s="37" t="str">
        <f t="shared" ca="1" si="23"/>
        <v/>
      </c>
      <c r="B166" s="38" t="str">
        <f ca="1">IF(COUNTIF($W$2:W1151,A166)=1,VLOOKUP(A166,O:P,2), IF(COUNTIF($W$2:W1151,A166)=0,$B$9,""))</f>
        <v/>
      </c>
      <c r="C166" s="2" t="str">
        <f t="shared" ca="1" si="24"/>
        <v/>
      </c>
      <c r="D166" s="41" t="str">
        <f t="shared" ca="1" si="25"/>
        <v/>
      </c>
      <c r="E166" s="38" t="str">
        <f ca="1">IF(COUNTIF($W$2:W1151,A166)=1,VLOOKUP(A166,Q:R,2), IF(COUNTIF($W$2:W1151,A166)=0,$C$9,""))</f>
        <v/>
      </c>
      <c r="F166" s="2" t="str">
        <f t="shared" ca="1" si="26"/>
        <v/>
      </c>
      <c r="G166" s="41" t="str">
        <f t="shared" ca="1" si="27"/>
        <v/>
      </c>
      <c r="H166" s="38" t="str">
        <f ca="1">IF(COUNTIF($W$2:W1151,A166)=1,VLOOKUP(A166,S:T,2), IF(COUNTIF($W$2:W1151,A166)=0,$D$9,""))</f>
        <v/>
      </c>
      <c r="I166" s="39" t="str">
        <f ca="1">IF(COUNTIF($X$2:X1151,INT(A166))=1,VLOOKUP(INT(A166),X:Y,2), IF(ISERROR(H166-2),"",I165*(1-$D$8*(H166-H165)*0.0001)))</f>
        <v/>
      </c>
      <c r="J166" s="39" t="str">
        <f t="shared" ca="1" si="28"/>
        <v/>
      </c>
      <c r="K166" s="41" t="str">
        <f t="shared" ca="1" si="29"/>
        <v/>
      </c>
      <c r="L166" s="41" t="str">
        <f ca="1">IF($A166="","",IF(COUNTIFS(Dividends!$G:$G,"&gt;"&amp;INT($A165),Dividends!$G:$G,"&lt;="&amp;INT($A166))=0,"",$H$2*SUMIFS(Dividends!$H:$H,Dividends!$G:$G,"&gt;"&amp;INT($A165),Dividends!$G:$G,"&lt;="&amp;INT($A166))))</f>
        <v/>
      </c>
      <c r="M166" s="42" t="str">
        <f ca="1">IF(ISERROR(B166-2),"",C166+D166-F166-G166-K166+SUM($L$14:L166))</f>
        <v/>
      </c>
      <c r="U166" s="3" t="str">
        <f t="shared" si="20"/>
        <v/>
      </c>
      <c r="V166" s="3" t="str">
        <f t="shared" si="21"/>
        <v/>
      </c>
      <c r="Z166" s="3">
        <v>46010</v>
      </c>
      <c r="AA166" s="4">
        <v>248.1113</v>
      </c>
      <c r="AB166" s="74">
        <v>46010</v>
      </c>
      <c r="AC166" s="4">
        <v>245.69</v>
      </c>
      <c r="AD166" s="6">
        <f t="shared" si="22"/>
        <v>46010</v>
      </c>
    </row>
    <row r="167" spans="1:30" x14ac:dyDescent="0.25">
      <c r="A167" s="37" t="str">
        <f t="shared" ca="1" si="23"/>
        <v/>
      </c>
      <c r="B167" s="38" t="str">
        <f ca="1">IF(COUNTIF($W$2:W1152,A167)=1,VLOOKUP(A167,O:P,2), IF(COUNTIF($W$2:W1152,A167)=0,$B$9,""))</f>
        <v/>
      </c>
      <c r="C167" s="2" t="str">
        <f t="shared" ca="1" si="24"/>
        <v/>
      </c>
      <c r="D167" s="41" t="str">
        <f t="shared" ca="1" si="25"/>
        <v/>
      </c>
      <c r="E167" s="38" t="str">
        <f ca="1">IF(COUNTIF($W$2:W1152,A167)=1,VLOOKUP(A167,Q:R,2), IF(COUNTIF($W$2:W1152,A167)=0,$C$9,""))</f>
        <v/>
      </c>
      <c r="F167" s="2" t="str">
        <f t="shared" ca="1" si="26"/>
        <v/>
      </c>
      <c r="G167" s="41" t="str">
        <f t="shared" ca="1" si="27"/>
        <v/>
      </c>
      <c r="H167" s="38" t="str">
        <f ca="1">IF(COUNTIF($W$2:W1152,A167)=1,VLOOKUP(A167,S:T,2), IF(COUNTIF($W$2:W1152,A167)=0,$D$9,""))</f>
        <v/>
      </c>
      <c r="I167" s="39" t="str">
        <f ca="1">IF(COUNTIF($X$2:X1152,INT(A167))=1,VLOOKUP(INT(A167),X:Y,2), IF(ISERROR(H167-2),"",I166*(1-$D$8*(H167-H166)*0.0001)))</f>
        <v/>
      </c>
      <c r="J167" s="39" t="str">
        <f t="shared" ca="1" si="28"/>
        <v/>
      </c>
      <c r="K167" s="41" t="str">
        <f t="shared" ca="1" si="29"/>
        <v/>
      </c>
      <c r="L167" s="41" t="str">
        <f ca="1">IF($A167="","",IF(COUNTIFS(Dividends!$G:$G,"&gt;"&amp;INT($A166),Dividends!$G:$G,"&lt;="&amp;INT($A167))=0,"",$H$2*SUMIFS(Dividends!$H:$H,Dividends!$G:$G,"&gt;"&amp;INT($A166),Dividends!$G:$G,"&lt;="&amp;INT($A167))))</f>
        <v/>
      </c>
      <c r="M167" s="42" t="str">
        <f ca="1">IF(ISERROR(B167-2),"",C167+D167-F167-G167-K167+SUM($L$14:L167))</f>
        <v/>
      </c>
      <c r="U167" s="3" t="str">
        <f t="shared" si="20"/>
        <v/>
      </c>
      <c r="V167" s="3" t="str">
        <f t="shared" si="21"/>
        <v/>
      </c>
      <c r="Z167" s="3">
        <v>46013</v>
      </c>
      <c r="AA167" s="4">
        <v>248.3845</v>
      </c>
      <c r="AB167" s="74">
        <v>46013</v>
      </c>
      <c r="AC167" s="4">
        <v>244.00800000000001</v>
      </c>
      <c r="AD167" s="6">
        <f t="shared" si="22"/>
        <v>46013</v>
      </c>
    </row>
    <row r="168" spans="1:30" x14ac:dyDescent="0.25">
      <c r="A168" s="37" t="str">
        <f t="shared" ca="1" si="23"/>
        <v/>
      </c>
      <c r="B168" s="38" t="str">
        <f ca="1">IF(COUNTIF($W$2:W1153,A168)=1,VLOOKUP(A168,O:P,2), IF(COUNTIF($W$2:W1153,A168)=0,$B$9,""))</f>
        <v/>
      </c>
      <c r="C168" s="2" t="str">
        <f t="shared" ca="1" si="24"/>
        <v/>
      </c>
      <c r="D168" s="41" t="str">
        <f t="shared" ca="1" si="25"/>
        <v/>
      </c>
      <c r="E168" s="38" t="str">
        <f ca="1">IF(COUNTIF($W$2:W1153,A168)=1,VLOOKUP(A168,Q:R,2), IF(COUNTIF($W$2:W1153,A168)=0,$C$9,""))</f>
        <v/>
      </c>
      <c r="F168" s="2" t="str">
        <f t="shared" ca="1" si="26"/>
        <v/>
      </c>
      <c r="G168" s="41" t="str">
        <f t="shared" ca="1" si="27"/>
        <v/>
      </c>
      <c r="H168" s="38" t="str">
        <f ca="1">IF(COUNTIF($W$2:W1153,A168)=1,VLOOKUP(A168,S:T,2), IF(COUNTIF($W$2:W1153,A168)=0,$D$9,""))</f>
        <v/>
      </c>
      <c r="I168" s="39" t="str">
        <f ca="1">IF(COUNTIF($X$2:X1153,INT(A168))=1,VLOOKUP(INT(A168),X:Y,2), IF(ISERROR(H168-2),"",I167*(1-$D$8*(H168-H167)*0.0001)))</f>
        <v/>
      </c>
      <c r="J168" s="39" t="str">
        <f t="shared" ca="1" si="28"/>
        <v/>
      </c>
      <c r="K168" s="41" t="str">
        <f t="shared" ca="1" si="29"/>
        <v/>
      </c>
      <c r="L168" s="41" t="str">
        <f ca="1">IF($A168="","",IF(COUNTIFS(Dividends!$G:$G,"&gt;"&amp;INT($A167),Dividends!$G:$G,"&lt;="&amp;INT($A168))=0,"",$H$2*SUMIFS(Dividends!$H:$H,Dividends!$G:$G,"&gt;"&amp;INT($A167),Dividends!$G:$G,"&lt;="&amp;INT($A168))))</f>
        <v/>
      </c>
      <c r="M168" s="42" t="str">
        <f ca="1">IF(ISERROR(B168-2),"",C168+D168-F168-G168-K168+SUM($L$14:L168))</f>
        <v/>
      </c>
      <c r="U168" s="3" t="str">
        <f t="shared" si="20"/>
        <v/>
      </c>
      <c r="V168" s="3" t="str">
        <f t="shared" si="21"/>
        <v/>
      </c>
      <c r="Z168" s="3">
        <v>46014</v>
      </c>
      <c r="AA168" s="4">
        <v>248.27979999999999</v>
      </c>
      <c r="AB168" s="74">
        <v>46014</v>
      </c>
      <c r="AC168" s="4">
        <v>244.649</v>
      </c>
      <c r="AD168" s="6">
        <f t="shared" si="22"/>
        <v>46014</v>
      </c>
    </row>
    <row r="169" spans="1:30" x14ac:dyDescent="0.25">
      <c r="A169" s="37" t="str">
        <f t="shared" ca="1" si="23"/>
        <v/>
      </c>
      <c r="B169" s="38" t="str">
        <f ca="1">IF(COUNTIF($W$2:W1154,A169)=1,VLOOKUP(A169,O:P,2), IF(COUNTIF($W$2:W1154,A169)=0,$B$9,""))</f>
        <v/>
      </c>
      <c r="C169" s="2" t="str">
        <f t="shared" ca="1" si="24"/>
        <v/>
      </c>
      <c r="D169" s="41" t="str">
        <f t="shared" ca="1" si="25"/>
        <v/>
      </c>
      <c r="E169" s="38" t="str">
        <f ca="1">IF(COUNTIF($W$2:W1154,A169)=1,VLOOKUP(A169,Q:R,2), IF(COUNTIF($W$2:W1154,A169)=0,$C$9,""))</f>
        <v/>
      </c>
      <c r="F169" s="2" t="str">
        <f t="shared" ca="1" si="26"/>
        <v/>
      </c>
      <c r="G169" s="41" t="str">
        <f t="shared" ca="1" si="27"/>
        <v/>
      </c>
      <c r="H169" s="38" t="str">
        <f ca="1">IF(COUNTIF($W$2:W1154,A169)=1,VLOOKUP(A169,S:T,2), IF(COUNTIF($W$2:W1154,A169)=0,$D$9,""))</f>
        <v/>
      </c>
      <c r="I169" s="39" t="str">
        <f ca="1">IF(COUNTIF($X$2:X1154,INT(A169))=1,VLOOKUP(INT(A169),X:Y,2), IF(ISERROR(H169-2),"",I168*(1-$D$8*(H169-H168)*0.0001)))</f>
        <v/>
      </c>
      <c r="J169" s="39" t="str">
        <f t="shared" ca="1" si="28"/>
        <v/>
      </c>
      <c r="K169" s="41" t="str">
        <f t="shared" ca="1" si="29"/>
        <v/>
      </c>
      <c r="L169" s="41" t="str">
        <f ca="1">IF($A169="","",IF(COUNTIFS(Dividends!$G:$G,"&gt;"&amp;INT($A168),Dividends!$G:$G,"&lt;="&amp;INT($A169))=0,"",$H$2*SUMIFS(Dividends!$H:$H,Dividends!$G:$G,"&gt;"&amp;INT($A168),Dividends!$G:$G,"&lt;="&amp;INT($A169))))</f>
        <v/>
      </c>
      <c r="M169" s="42" t="str">
        <f ca="1">IF(ISERROR(B169-2),"",C169+D169-F169-G169-K169+SUM($L$14:L169))</f>
        <v/>
      </c>
      <c r="U169" s="3" t="str">
        <f t="shared" si="20"/>
        <v/>
      </c>
      <c r="V169" s="3" t="str">
        <f t="shared" si="21"/>
        <v/>
      </c>
      <c r="Z169" s="3">
        <v>46015</v>
      </c>
      <c r="AA169" s="4">
        <v>248.3295</v>
      </c>
      <c r="AB169" s="74">
        <v>46015</v>
      </c>
      <c r="AC169" s="4">
        <v>244.44200000000001</v>
      </c>
      <c r="AD169" s="6">
        <f t="shared" si="22"/>
        <v>46015</v>
      </c>
    </row>
    <row r="170" spans="1:30" x14ac:dyDescent="0.25">
      <c r="A170" s="37" t="str">
        <f t="shared" ca="1" si="23"/>
        <v/>
      </c>
      <c r="B170" s="38" t="str">
        <f ca="1">IF(COUNTIF($W$2:W1155,A170)=1,VLOOKUP(A170,O:P,2), IF(COUNTIF($W$2:W1155,A170)=0,$B$9,""))</f>
        <v/>
      </c>
      <c r="C170" s="2" t="str">
        <f t="shared" ca="1" si="24"/>
        <v/>
      </c>
      <c r="D170" s="41" t="str">
        <f t="shared" ca="1" si="25"/>
        <v/>
      </c>
      <c r="E170" s="38" t="str">
        <f ca="1">IF(COUNTIF($W$2:W1155,A170)=1,VLOOKUP(A170,Q:R,2), IF(COUNTIF($W$2:W1155,A170)=0,$C$9,""))</f>
        <v/>
      </c>
      <c r="F170" s="2" t="str">
        <f t="shared" ca="1" si="26"/>
        <v/>
      </c>
      <c r="G170" s="41" t="str">
        <f t="shared" ca="1" si="27"/>
        <v/>
      </c>
      <c r="H170" s="38" t="str">
        <f ca="1">IF(COUNTIF($W$2:W1155,A170)=1,VLOOKUP(A170,S:T,2), IF(COUNTIF($W$2:W1155,A170)=0,$D$9,""))</f>
        <v/>
      </c>
      <c r="I170" s="39" t="str">
        <f ca="1">IF(COUNTIF($X$2:X1155,INT(A170))=1,VLOOKUP(INT(A170),X:Y,2), IF(ISERROR(H170-2),"",I169*(1-$D$8*(H170-H169)*0.0001)))</f>
        <v/>
      </c>
      <c r="J170" s="39" t="str">
        <f t="shared" ca="1" si="28"/>
        <v/>
      </c>
      <c r="K170" s="41" t="str">
        <f t="shared" ca="1" si="29"/>
        <v/>
      </c>
      <c r="L170" s="41" t="str">
        <f ca="1">IF($A170="","",IF(COUNTIFS(Dividends!$G:$G,"&gt;"&amp;INT($A169),Dividends!$G:$G,"&lt;="&amp;INT($A170))=0,"",$H$2*SUMIFS(Dividends!$H:$H,Dividends!$G:$G,"&gt;"&amp;INT($A169),Dividends!$G:$G,"&lt;="&amp;INT($A170))))</f>
        <v/>
      </c>
      <c r="M170" s="42" t="str">
        <f ca="1">IF(ISERROR(B170-2),"",C170+D170-F170-G170-K170+SUM($L$14:L170))</f>
        <v/>
      </c>
      <c r="U170" s="3" t="str">
        <f t="shared" si="20"/>
        <v/>
      </c>
      <c r="V170" s="3" t="str">
        <f t="shared" si="21"/>
        <v/>
      </c>
      <c r="Z170" s="3">
        <v>46020</v>
      </c>
      <c r="AA170" s="4">
        <v>248.321</v>
      </c>
      <c r="AB170" s="74">
        <v>46020</v>
      </c>
      <c r="AC170" s="4">
        <v>245.09</v>
      </c>
      <c r="AD170" s="6">
        <f t="shared" si="22"/>
        <v>46020</v>
      </c>
    </row>
    <row r="171" spans="1:30" x14ac:dyDescent="0.25">
      <c r="A171" s="37" t="str">
        <f t="shared" ca="1" si="23"/>
        <v/>
      </c>
      <c r="B171" s="38" t="str">
        <f ca="1">IF(COUNTIF($W$2:W1156,A171)=1,VLOOKUP(A171,O:P,2), IF(COUNTIF($W$2:W1156,A171)=0,$B$9,""))</f>
        <v/>
      </c>
      <c r="C171" s="2" t="str">
        <f t="shared" ca="1" si="24"/>
        <v/>
      </c>
      <c r="D171" s="41" t="str">
        <f t="shared" ca="1" si="25"/>
        <v/>
      </c>
      <c r="E171" s="38" t="str">
        <f ca="1">IF(COUNTIF($W$2:W1156,A171)=1,VLOOKUP(A171,Q:R,2), IF(COUNTIF($W$2:W1156,A171)=0,$C$9,""))</f>
        <v/>
      </c>
      <c r="F171" s="2" t="str">
        <f t="shared" ca="1" si="26"/>
        <v/>
      </c>
      <c r="G171" s="41" t="str">
        <f t="shared" ca="1" si="27"/>
        <v/>
      </c>
      <c r="H171" s="38" t="str">
        <f ca="1">IF(COUNTIF($W$2:W1156,A171)=1,VLOOKUP(A171,S:T,2), IF(COUNTIF($W$2:W1156,A171)=0,$D$9,""))</f>
        <v/>
      </c>
      <c r="I171" s="39" t="str">
        <f ca="1">IF(COUNTIF($X$2:X1156,INT(A171))=1,VLOOKUP(INT(A171),X:Y,2), IF(ISERROR(H171-2),"",I170*(1-$D$8*(H171-H170)*0.0001)))</f>
        <v/>
      </c>
      <c r="J171" s="39" t="str">
        <f t="shared" ca="1" si="28"/>
        <v/>
      </c>
      <c r="K171" s="41" t="str">
        <f t="shared" ca="1" si="29"/>
        <v/>
      </c>
      <c r="L171" s="41" t="str">
        <f ca="1">IF($A171="","",IF(COUNTIFS(Dividends!$G:$G,"&gt;"&amp;INT($A170),Dividends!$G:$G,"&lt;="&amp;INT($A171))=0,"",$H$2*SUMIFS(Dividends!$H:$H,Dividends!$G:$G,"&gt;"&amp;INT($A170),Dividends!$G:$G,"&lt;="&amp;INT($A171))))</f>
        <v/>
      </c>
      <c r="M171" s="42" t="str">
        <f ca="1">IF(ISERROR(B171-2),"",C171+D171-F171-G171-K171+SUM($L$14:L171))</f>
        <v/>
      </c>
      <c r="U171" s="3" t="str">
        <f t="shared" si="20"/>
        <v/>
      </c>
      <c r="V171" s="3" t="str">
        <f t="shared" si="21"/>
        <v/>
      </c>
      <c r="Z171" s="3">
        <v>46021</v>
      </c>
      <c r="AA171" s="4">
        <v>248.6404</v>
      </c>
      <c r="AB171" s="74">
        <v>46021</v>
      </c>
      <c r="AC171" s="4">
        <v>244.19900000000001</v>
      </c>
      <c r="AD171" s="6">
        <f t="shared" si="22"/>
        <v>46021</v>
      </c>
    </row>
    <row r="172" spans="1:30" x14ac:dyDescent="0.25">
      <c r="A172" s="37" t="str">
        <f t="shared" ca="1" si="23"/>
        <v/>
      </c>
      <c r="B172" s="38" t="str">
        <f ca="1">IF(COUNTIF($W$2:W1157,A172)=1,VLOOKUP(A172,O:P,2), IF(COUNTIF($W$2:W1157,A172)=0,$B$9,""))</f>
        <v/>
      </c>
      <c r="C172" s="2" t="str">
        <f t="shared" ca="1" si="24"/>
        <v/>
      </c>
      <c r="D172" s="41" t="str">
        <f t="shared" ca="1" si="25"/>
        <v/>
      </c>
      <c r="E172" s="38" t="str">
        <f ca="1">IF(COUNTIF($W$2:W1157,A172)=1,VLOOKUP(A172,Q:R,2), IF(COUNTIF($W$2:W1157,A172)=0,$C$9,""))</f>
        <v/>
      </c>
      <c r="F172" s="2" t="str">
        <f t="shared" ca="1" si="26"/>
        <v/>
      </c>
      <c r="G172" s="41" t="str">
        <f t="shared" ca="1" si="27"/>
        <v/>
      </c>
      <c r="H172" s="38" t="str">
        <f ca="1">IF(COUNTIF($W$2:W1157,A172)=1,VLOOKUP(A172,S:T,2), IF(COUNTIF($W$2:W1157,A172)=0,$D$9,""))</f>
        <v/>
      </c>
      <c r="I172" s="39" t="str">
        <f ca="1">IF(COUNTIF($X$2:X1157,INT(A172))=1,VLOOKUP(INT(A172),X:Y,2), IF(ISERROR(H172-2),"",I171*(1-$D$8*(H172-H171)*0.0001)))</f>
        <v/>
      </c>
      <c r="J172" s="39" t="str">
        <f t="shared" ca="1" si="28"/>
        <v/>
      </c>
      <c r="K172" s="41" t="str">
        <f t="shared" ca="1" si="29"/>
        <v/>
      </c>
      <c r="L172" s="41" t="str">
        <f ca="1">IF($A172="","",IF(COUNTIFS(Dividends!$G:$G,"&gt;"&amp;INT($A171),Dividends!$G:$G,"&lt;="&amp;INT($A172))=0,"",$H$2*SUMIFS(Dividends!$H:$H,Dividends!$G:$G,"&gt;"&amp;INT($A171),Dividends!$G:$G,"&lt;="&amp;INT($A172))))</f>
        <v/>
      </c>
      <c r="M172" s="42" t="str">
        <f ca="1">IF(ISERROR(B172-2),"",C172+D172-F172-G172-K172+SUM($L$14:L172))</f>
        <v/>
      </c>
      <c r="U172" s="3" t="str">
        <f t="shared" si="20"/>
        <v/>
      </c>
      <c r="V172" s="3" t="str">
        <f t="shared" si="21"/>
        <v/>
      </c>
      <c r="Z172" s="3">
        <v>46022</v>
      </c>
      <c r="AA172" s="4">
        <v>248.5951</v>
      </c>
      <c r="AB172" s="74">
        <v>46022</v>
      </c>
      <c r="AC172" s="4">
        <v>244.239</v>
      </c>
      <c r="AD172" s="6">
        <f t="shared" si="22"/>
        <v>46022</v>
      </c>
    </row>
    <row r="173" spans="1:30" x14ac:dyDescent="0.25">
      <c r="A173" s="37" t="str">
        <f t="shared" ca="1" si="23"/>
        <v/>
      </c>
      <c r="B173" s="38" t="str">
        <f ca="1">IF(COUNTIF($W$2:W1158,A173)=1,VLOOKUP(A173,O:P,2), IF(COUNTIF($W$2:W1158,A173)=0,$B$9,""))</f>
        <v/>
      </c>
      <c r="C173" s="2" t="str">
        <f t="shared" ca="1" si="24"/>
        <v/>
      </c>
      <c r="D173" s="41" t="str">
        <f t="shared" ca="1" si="25"/>
        <v/>
      </c>
      <c r="E173" s="38" t="str">
        <f ca="1">IF(COUNTIF($W$2:W1158,A173)=1,VLOOKUP(A173,Q:R,2), IF(COUNTIF($W$2:W1158,A173)=0,$C$9,""))</f>
        <v/>
      </c>
      <c r="F173" s="2" t="str">
        <f t="shared" ca="1" si="26"/>
        <v/>
      </c>
      <c r="G173" s="41" t="str">
        <f t="shared" ca="1" si="27"/>
        <v/>
      </c>
      <c r="H173" s="38" t="str">
        <f ca="1">IF(COUNTIF($W$2:W1158,A173)=1,VLOOKUP(A173,S:T,2), IF(COUNTIF($W$2:W1158,A173)=0,$D$9,""))</f>
        <v/>
      </c>
      <c r="I173" s="39" t="str">
        <f ca="1">IF(COUNTIF($X$2:X1158,INT(A173))=1,VLOOKUP(INT(A173),X:Y,2), IF(ISERROR(H173-2),"",I172*(1-$D$8*(H173-H172)*0.0001)))</f>
        <v/>
      </c>
      <c r="J173" s="39" t="str">
        <f t="shared" ca="1" si="28"/>
        <v/>
      </c>
      <c r="K173" s="41" t="str">
        <f t="shared" ca="1" si="29"/>
        <v/>
      </c>
      <c r="L173" s="41" t="str">
        <f ca="1">IF($A173="","",IF(COUNTIFS(Dividends!$G:$G,"&gt;"&amp;INT($A172),Dividends!$G:$G,"&lt;="&amp;INT($A173))=0,"",$H$2*SUMIFS(Dividends!$H:$H,Dividends!$G:$G,"&gt;"&amp;INT($A172),Dividends!$G:$G,"&lt;="&amp;INT($A173))))</f>
        <v/>
      </c>
      <c r="M173" s="42" t="str">
        <f ca="1">IF(ISERROR(B173-2),"",C173+D173-F173-G173-K173+SUM($L$14:L173))</f>
        <v/>
      </c>
      <c r="U173" s="3" t="str">
        <f t="shared" si="20"/>
        <v/>
      </c>
      <c r="V173" s="3" t="str">
        <f t="shared" si="21"/>
        <v/>
      </c>
      <c r="Z173" s="3">
        <v>46024</v>
      </c>
      <c r="AA173" s="4">
        <v>248.6541</v>
      </c>
      <c r="AB173" s="74">
        <v>46024</v>
      </c>
      <c r="AC173" s="4">
        <v>243.732</v>
      </c>
      <c r="AD173" s="6">
        <f t="shared" si="22"/>
        <v>46024</v>
      </c>
    </row>
    <row r="174" spans="1:30" x14ac:dyDescent="0.25">
      <c r="A174" s="37" t="str">
        <f t="shared" ca="1" si="23"/>
        <v/>
      </c>
      <c r="B174" s="38" t="str">
        <f ca="1">IF(COUNTIF($W$2:W1159,A174)=1,VLOOKUP(A174,O:P,2), IF(COUNTIF($W$2:W1159,A174)=0,$B$9,""))</f>
        <v/>
      </c>
      <c r="C174" s="2" t="str">
        <f t="shared" ca="1" si="24"/>
        <v/>
      </c>
      <c r="D174" s="41" t="str">
        <f t="shared" ca="1" si="25"/>
        <v/>
      </c>
      <c r="E174" s="38" t="str">
        <f ca="1">IF(COUNTIF($W$2:W1159,A174)=1,VLOOKUP(A174,Q:R,2), IF(COUNTIF($W$2:W1159,A174)=0,$C$9,""))</f>
        <v/>
      </c>
      <c r="F174" s="2" t="str">
        <f t="shared" ca="1" si="26"/>
        <v/>
      </c>
      <c r="G174" s="41" t="str">
        <f t="shared" ca="1" si="27"/>
        <v/>
      </c>
      <c r="H174" s="38" t="str">
        <f ca="1">IF(COUNTIF($W$2:W1159,A174)=1,VLOOKUP(A174,S:T,2), IF(COUNTIF($W$2:W1159,A174)=0,$D$9,""))</f>
        <v/>
      </c>
      <c r="I174" s="39" t="str">
        <f ca="1">IF(COUNTIF($X$2:X1159,INT(A174))=1,VLOOKUP(INT(A174),X:Y,2), IF(ISERROR(H174-2),"",I173*(1-$D$8*(H174-H173)*0.0001)))</f>
        <v/>
      </c>
      <c r="J174" s="39" t="str">
        <f t="shared" ca="1" si="28"/>
        <v/>
      </c>
      <c r="K174" s="41" t="str">
        <f t="shared" ca="1" si="29"/>
        <v/>
      </c>
      <c r="L174" s="41" t="str">
        <f ca="1">IF($A174="","",IF(COUNTIFS(Dividends!$G:$G,"&gt;"&amp;INT($A173),Dividends!$G:$G,"&lt;="&amp;INT($A174))=0,"",$H$2*SUMIFS(Dividends!$H:$H,Dividends!$G:$G,"&gt;"&amp;INT($A173),Dividends!$G:$G,"&lt;="&amp;INT($A174))))</f>
        <v/>
      </c>
      <c r="M174" s="42" t="str">
        <f ca="1">IF(ISERROR(B174-2),"",C174+D174-F174-G174-K174+SUM($L$14:L174))</f>
        <v/>
      </c>
      <c r="U174" s="3" t="str">
        <f t="shared" si="20"/>
        <v/>
      </c>
      <c r="V174" s="3" t="str">
        <f t="shared" si="21"/>
        <v/>
      </c>
      <c r="Z174" s="3">
        <v>46027</v>
      </c>
      <c r="AA174" s="4">
        <v>248.83519999999999</v>
      </c>
      <c r="AB174" s="74">
        <v>46027</v>
      </c>
      <c r="AC174" s="4">
        <v>242.14599999999999</v>
      </c>
      <c r="AD174" s="6">
        <f t="shared" si="22"/>
        <v>46027</v>
      </c>
    </row>
    <row r="175" spans="1:30" x14ac:dyDescent="0.25">
      <c r="A175" s="37" t="str">
        <f t="shared" ca="1" si="23"/>
        <v/>
      </c>
      <c r="B175" s="38" t="str">
        <f ca="1">IF(COUNTIF($W$2:W1160,A175)=1,VLOOKUP(A175,O:P,2), IF(COUNTIF($W$2:W1160,A175)=0,$B$9,""))</f>
        <v/>
      </c>
      <c r="C175" s="2" t="str">
        <f t="shared" ca="1" si="24"/>
        <v/>
      </c>
      <c r="D175" s="41" t="str">
        <f t="shared" ca="1" si="25"/>
        <v/>
      </c>
      <c r="E175" s="38" t="str">
        <f ca="1">IF(COUNTIF($W$2:W1160,A175)=1,VLOOKUP(A175,Q:R,2), IF(COUNTIF($W$2:W1160,A175)=0,$C$9,""))</f>
        <v/>
      </c>
      <c r="F175" s="2" t="str">
        <f t="shared" ca="1" si="26"/>
        <v/>
      </c>
      <c r="G175" s="41" t="str">
        <f t="shared" ca="1" si="27"/>
        <v/>
      </c>
      <c r="H175" s="38" t="str">
        <f ca="1">IF(COUNTIF($W$2:W1160,A175)=1,VLOOKUP(A175,S:T,2), IF(COUNTIF($W$2:W1160,A175)=0,$D$9,""))</f>
        <v/>
      </c>
      <c r="I175" s="39" t="str">
        <f ca="1">IF(COUNTIF($X$2:X1160,INT(A175))=1,VLOOKUP(INT(A175),X:Y,2), IF(ISERROR(H175-2),"",I174*(1-$D$8*(H175-H174)*0.0001)))</f>
        <v/>
      </c>
      <c r="J175" s="39" t="str">
        <f t="shared" ca="1" si="28"/>
        <v/>
      </c>
      <c r="K175" s="41" t="str">
        <f t="shared" ca="1" si="29"/>
        <v/>
      </c>
      <c r="L175" s="41" t="str">
        <f ca="1">IF($A175="","",IF(COUNTIFS(Dividends!$G:$G,"&gt;"&amp;INT($A174),Dividends!$G:$G,"&lt;="&amp;INT($A175))=0,"",$H$2*SUMIFS(Dividends!$H:$H,Dividends!$G:$G,"&gt;"&amp;INT($A174),Dividends!$G:$G,"&lt;="&amp;INT($A175))))</f>
        <v/>
      </c>
      <c r="M175" s="42" t="str">
        <f ca="1">IF(ISERROR(B175-2),"",C175+D175-F175-G175-K175+SUM($L$14:L175))</f>
        <v/>
      </c>
      <c r="U175" s="3" t="str">
        <f t="shared" si="20"/>
        <v/>
      </c>
      <c r="V175" s="3" t="str">
        <f t="shared" si="21"/>
        <v/>
      </c>
      <c r="Z175" s="3">
        <v>46028</v>
      </c>
      <c r="AA175" s="4">
        <v>248.91249999999999</v>
      </c>
      <c r="AB175" s="74">
        <v>46028</v>
      </c>
      <c r="AC175" s="4">
        <v>242.20400000000001</v>
      </c>
      <c r="AD175" s="6">
        <f t="shared" si="22"/>
        <v>46028</v>
      </c>
    </row>
    <row r="176" spans="1:30" x14ac:dyDescent="0.25">
      <c r="A176" s="37" t="str">
        <f t="shared" ca="1" si="23"/>
        <v/>
      </c>
      <c r="B176" s="38" t="str">
        <f ca="1">IF(COUNTIF($W$2:W1161,A176)=1,VLOOKUP(A176,O:P,2), IF(COUNTIF($W$2:W1161,A176)=0,$B$9,""))</f>
        <v/>
      </c>
      <c r="C176" s="2" t="str">
        <f t="shared" ca="1" si="24"/>
        <v/>
      </c>
      <c r="D176" s="41" t="str">
        <f t="shared" ca="1" si="25"/>
        <v/>
      </c>
      <c r="E176" s="38" t="str">
        <f ca="1">IF(COUNTIF($W$2:W1161,A176)=1,VLOOKUP(A176,Q:R,2), IF(COUNTIF($W$2:W1161,A176)=0,$C$9,""))</f>
        <v/>
      </c>
      <c r="F176" s="2" t="str">
        <f t="shared" ca="1" si="26"/>
        <v/>
      </c>
      <c r="G176" s="41" t="str">
        <f t="shared" ca="1" si="27"/>
        <v/>
      </c>
      <c r="H176" s="38" t="str">
        <f ca="1">IF(COUNTIF($W$2:W1161,A176)=1,VLOOKUP(A176,S:T,2), IF(COUNTIF($W$2:W1161,A176)=0,$D$9,""))</f>
        <v/>
      </c>
      <c r="I176" s="39" t="str">
        <f ca="1">IF(COUNTIF($X$2:X1161,INT(A176))=1,VLOOKUP(INT(A176),X:Y,2), IF(ISERROR(H176-2),"",I175*(1-$D$8*(H176-H175)*0.0001)))</f>
        <v/>
      </c>
      <c r="J176" s="39" t="str">
        <f t="shared" ca="1" si="28"/>
        <v/>
      </c>
      <c r="K176" s="41" t="str">
        <f t="shared" ca="1" si="29"/>
        <v/>
      </c>
      <c r="L176" s="41" t="str">
        <f ca="1">IF($A176="","",IF(COUNTIFS(Dividends!$G:$G,"&gt;"&amp;INT($A175),Dividends!$G:$G,"&lt;="&amp;INT($A176))=0,"",$H$2*SUMIFS(Dividends!$H:$H,Dividends!$G:$G,"&gt;"&amp;INT($A175),Dividends!$G:$G,"&lt;="&amp;INT($A176))))</f>
        <v/>
      </c>
      <c r="M176" s="42" t="str">
        <f ca="1">IF(ISERROR(B176-2),"",C176+D176-F176-G176-K176+SUM($L$14:L176))</f>
        <v/>
      </c>
      <c r="U176" s="3" t="str">
        <f t="shared" si="20"/>
        <v/>
      </c>
      <c r="V176" s="3" t="str">
        <f t="shared" si="21"/>
        <v/>
      </c>
      <c r="Z176" s="3">
        <v>46029</v>
      </c>
      <c r="AA176" s="4">
        <v>248.8612</v>
      </c>
      <c r="AB176" s="74">
        <v>46029</v>
      </c>
      <c r="AC176" s="4">
        <v>242.517</v>
      </c>
      <c r="AD176" s="6">
        <f t="shared" si="22"/>
        <v>46029</v>
      </c>
    </row>
    <row r="177" spans="1:30" x14ac:dyDescent="0.25">
      <c r="A177" s="37" t="str">
        <f t="shared" ca="1" si="23"/>
        <v/>
      </c>
      <c r="B177" s="38" t="str">
        <f ca="1">IF(COUNTIF($W$2:W1162,A177)=1,VLOOKUP(A177,O:P,2), IF(COUNTIF($W$2:W1162,A177)=0,$B$9,""))</f>
        <v/>
      </c>
      <c r="C177" s="2" t="str">
        <f t="shared" ca="1" si="24"/>
        <v/>
      </c>
      <c r="D177" s="41" t="str">
        <f t="shared" ca="1" si="25"/>
        <v/>
      </c>
      <c r="E177" s="38" t="str">
        <f ca="1">IF(COUNTIF($W$2:W1162,A177)=1,VLOOKUP(A177,Q:R,2), IF(COUNTIF($W$2:W1162,A177)=0,$C$9,""))</f>
        <v/>
      </c>
      <c r="F177" s="2" t="str">
        <f t="shared" ca="1" si="26"/>
        <v/>
      </c>
      <c r="G177" s="41" t="str">
        <f t="shared" ca="1" si="27"/>
        <v/>
      </c>
      <c r="H177" s="38" t="str">
        <f ca="1">IF(COUNTIF($W$2:W1162,A177)=1,VLOOKUP(A177,S:T,2), IF(COUNTIF($W$2:W1162,A177)=0,$D$9,""))</f>
        <v/>
      </c>
      <c r="I177" s="39" t="str">
        <f ca="1">IF(COUNTIF($X$2:X1162,INT(A177))=1,VLOOKUP(INT(A177),X:Y,2), IF(ISERROR(H177-2),"",I176*(1-$D$8*(H177-H176)*0.0001)))</f>
        <v/>
      </c>
      <c r="J177" s="39" t="str">
        <f t="shared" ca="1" si="28"/>
        <v/>
      </c>
      <c r="K177" s="41" t="str">
        <f t="shared" ca="1" si="29"/>
        <v/>
      </c>
      <c r="L177" s="41" t="str">
        <f ca="1">IF($A177="","",IF(COUNTIFS(Dividends!$G:$G,"&gt;"&amp;INT($A176),Dividends!$G:$G,"&lt;="&amp;INT($A177))=0,"",$H$2*SUMIFS(Dividends!$H:$H,Dividends!$G:$G,"&gt;"&amp;INT($A176),Dividends!$G:$G,"&lt;="&amp;INT($A177))))</f>
        <v/>
      </c>
      <c r="M177" s="42" t="str">
        <f ca="1">IF(ISERROR(B177-2),"",C177+D177-F177-G177-K177+SUM($L$14:L177))</f>
        <v/>
      </c>
      <c r="U177" s="3" t="str">
        <f t="shared" si="20"/>
        <v/>
      </c>
      <c r="V177" s="3" t="str">
        <f t="shared" si="21"/>
        <v/>
      </c>
      <c r="Z177" s="3">
        <v>46030</v>
      </c>
      <c r="AA177" s="4">
        <v>248.84979999999999</v>
      </c>
      <c r="AB177" s="74">
        <v>46030</v>
      </c>
      <c r="AC177" s="4">
        <v>242.678</v>
      </c>
      <c r="AD177" s="6">
        <f t="shared" si="22"/>
        <v>46030</v>
      </c>
    </row>
    <row r="178" spans="1:30" x14ac:dyDescent="0.25">
      <c r="A178" s="37" t="str">
        <f t="shared" ca="1" si="23"/>
        <v/>
      </c>
      <c r="B178" s="38" t="str">
        <f ca="1">IF(COUNTIF($W$2:W1163,A178)=1,VLOOKUP(A178,O:P,2), IF(COUNTIF($W$2:W1163,A178)=0,$B$9,""))</f>
        <v/>
      </c>
      <c r="C178" s="2" t="str">
        <f t="shared" ca="1" si="24"/>
        <v/>
      </c>
      <c r="D178" s="41" t="str">
        <f t="shared" ca="1" si="25"/>
        <v/>
      </c>
      <c r="E178" s="38" t="str">
        <f ca="1">IF(COUNTIF($W$2:W1163,A178)=1,VLOOKUP(A178,Q:R,2), IF(COUNTIF($W$2:W1163,A178)=0,$C$9,""))</f>
        <v/>
      </c>
      <c r="F178" s="2" t="str">
        <f t="shared" ca="1" si="26"/>
        <v/>
      </c>
      <c r="G178" s="41" t="str">
        <f t="shared" ca="1" si="27"/>
        <v/>
      </c>
      <c r="H178" s="38" t="str">
        <f ca="1">IF(COUNTIF($W$2:W1163,A178)=1,VLOOKUP(A178,S:T,2), IF(COUNTIF($W$2:W1163,A178)=0,$D$9,""))</f>
        <v/>
      </c>
      <c r="I178" s="39" t="str">
        <f ca="1">IF(COUNTIF($X$2:X1163,INT(A178))=1,VLOOKUP(INT(A178),X:Y,2), IF(ISERROR(H178-2),"",I177*(1-$D$8*(H178-H177)*0.0001)))</f>
        <v/>
      </c>
      <c r="J178" s="39" t="str">
        <f t="shared" ca="1" si="28"/>
        <v/>
      </c>
      <c r="K178" s="41" t="str">
        <f t="shared" ca="1" si="29"/>
        <v/>
      </c>
      <c r="L178" s="41" t="str">
        <f ca="1">IF($A178="","",IF(COUNTIFS(Dividends!$G:$G,"&gt;"&amp;INT($A177),Dividends!$G:$G,"&lt;="&amp;INT($A178))=0,"",$H$2*SUMIFS(Dividends!$H:$H,Dividends!$G:$G,"&gt;"&amp;INT($A177),Dividends!$G:$G,"&lt;="&amp;INT($A178))))</f>
        <v/>
      </c>
      <c r="M178" s="42" t="str">
        <f ca="1">IF(ISERROR(B178-2),"",C178+D178-F178-G178-K178+SUM($L$14:L178))</f>
        <v/>
      </c>
      <c r="U178" s="3" t="str">
        <f t="shared" si="20"/>
        <v/>
      </c>
      <c r="V178" s="3" t="str">
        <f t="shared" si="21"/>
        <v/>
      </c>
      <c r="Z178" s="3">
        <v>46031</v>
      </c>
      <c r="AA178" s="4">
        <v>249.13050000000001</v>
      </c>
      <c r="AB178" s="74">
        <v>46031</v>
      </c>
      <c r="AC178" s="4">
        <v>240.93600000000001</v>
      </c>
      <c r="AD178" s="6">
        <f t="shared" si="22"/>
        <v>46031</v>
      </c>
    </row>
    <row r="179" spans="1:30" x14ac:dyDescent="0.25">
      <c r="A179" s="37" t="str">
        <f t="shared" ca="1" si="23"/>
        <v/>
      </c>
      <c r="B179" s="38" t="str">
        <f ca="1">IF(COUNTIF($W$2:W1164,A179)=1,VLOOKUP(A179,O:P,2), IF(COUNTIF($W$2:W1164,A179)=0,$B$9,""))</f>
        <v/>
      </c>
      <c r="C179" s="2" t="str">
        <f t="shared" ca="1" si="24"/>
        <v/>
      </c>
      <c r="D179" s="41" t="str">
        <f t="shared" ca="1" si="25"/>
        <v/>
      </c>
      <c r="E179" s="38" t="str">
        <f ca="1">IF(COUNTIF($W$2:W1164,A179)=1,VLOOKUP(A179,Q:R,2), IF(COUNTIF($W$2:W1164,A179)=0,$C$9,""))</f>
        <v/>
      </c>
      <c r="F179" s="2" t="str">
        <f t="shared" ca="1" si="26"/>
        <v/>
      </c>
      <c r="G179" s="41" t="str">
        <f t="shared" ca="1" si="27"/>
        <v/>
      </c>
      <c r="H179" s="38" t="str">
        <f ca="1">IF(COUNTIF($W$2:W1164,A179)=1,VLOOKUP(A179,S:T,2), IF(COUNTIF($W$2:W1164,A179)=0,$D$9,""))</f>
        <v/>
      </c>
      <c r="I179" s="39" t="str">
        <f ca="1">IF(COUNTIF($X$2:X1164,INT(A179))=1,VLOOKUP(INT(A179),X:Y,2), IF(ISERROR(H179-2),"",I178*(1-$D$8*(H179-H178)*0.0001)))</f>
        <v/>
      </c>
      <c r="J179" s="39" t="str">
        <f t="shared" ca="1" si="28"/>
        <v/>
      </c>
      <c r="K179" s="41" t="str">
        <f t="shared" ca="1" si="29"/>
        <v/>
      </c>
      <c r="L179" s="41" t="str">
        <f ca="1">IF($A179="","",IF(COUNTIFS(Dividends!$G:$G,"&gt;"&amp;INT($A178),Dividends!$G:$G,"&lt;="&amp;INT($A179))=0,"",$H$2*SUMIFS(Dividends!$H:$H,Dividends!$G:$G,"&gt;"&amp;INT($A178),Dividends!$G:$G,"&lt;="&amp;INT($A179))))</f>
        <v/>
      </c>
      <c r="M179" s="42" t="str">
        <f ca="1">IF(ISERROR(B179-2),"",C179+D179-F179-G179-K179+SUM($L$14:L179))</f>
        <v/>
      </c>
      <c r="U179" s="3" t="str">
        <f t="shared" si="20"/>
        <v/>
      </c>
      <c r="V179" s="3" t="str">
        <f t="shared" si="21"/>
        <v/>
      </c>
      <c r="Z179" s="3">
        <v>46034</v>
      </c>
      <c r="AA179" s="4">
        <v>249.25470000000001</v>
      </c>
      <c r="AB179" s="74">
        <v>46034</v>
      </c>
      <c r="AC179" s="4">
        <v>240.25800000000001</v>
      </c>
      <c r="AD179" s="6">
        <f t="shared" si="22"/>
        <v>46034</v>
      </c>
    </row>
    <row r="180" spans="1:30" x14ac:dyDescent="0.25">
      <c r="A180" s="37" t="str">
        <f t="shared" ca="1" si="23"/>
        <v/>
      </c>
      <c r="B180" s="38" t="str">
        <f ca="1">IF(COUNTIF($W$2:W1165,A180)=1,VLOOKUP(A180,O:P,2), IF(COUNTIF($W$2:W1165,A180)=0,$B$9,""))</f>
        <v/>
      </c>
      <c r="C180" s="2" t="str">
        <f t="shared" ca="1" si="24"/>
        <v/>
      </c>
      <c r="D180" s="41" t="str">
        <f t="shared" ca="1" si="25"/>
        <v/>
      </c>
      <c r="E180" s="38" t="str">
        <f ca="1">IF(COUNTIF($W$2:W1165,A180)=1,VLOOKUP(A180,Q:R,2), IF(COUNTIF($W$2:W1165,A180)=0,$C$9,""))</f>
        <v/>
      </c>
      <c r="F180" s="2" t="str">
        <f t="shared" ca="1" si="26"/>
        <v/>
      </c>
      <c r="G180" s="41" t="str">
        <f t="shared" ca="1" si="27"/>
        <v/>
      </c>
      <c r="H180" s="38" t="str">
        <f ca="1">IF(COUNTIF($W$2:W1165,A180)=1,VLOOKUP(A180,S:T,2), IF(COUNTIF($W$2:W1165,A180)=0,$D$9,""))</f>
        <v/>
      </c>
      <c r="I180" s="39" t="str">
        <f ca="1">IF(COUNTIF($X$2:X1165,INT(A180))=1,VLOOKUP(INT(A180),X:Y,2), IF(ISERROR(H180-2),"",I179*(1-$D$8*(H180-H179)*0.0001)))</f>
        <v/>
      </c>
      <c r="J180" s="39" t="str">
        <f t="shared" ca="1" si="28"/>
        <v/>
      </c>
      <c r="K180" s="41" t="str">
        <f t="shared" ca="1" si="29"/>
        <v/>
      </c>
      <c r="L180" s="41" t="str">
        <f ca="1">IF($A180="","",IF(COUNTIFS(Dividends!$G:$G,"&gt;"&amp;INT($A179),Dividends!$G:$G,"&lt;="&amp;INT($A180))=0,"",$H$2*SUMIFS(Dividends!$H:$H,Dividends!$G:$G,"&gt;"&amp;INT($A179),Dividends!$G:$G,"&lt;="&amp;INT($A180))))</f>
        <v/>
      </c>
      <c r="M180" s="42" t="str">
        <f ca="1">IF(ISERROR(B180-2),"",C180+D180-F180-G180-K180+SUM($L$14:L180))</f>
        <v/>
      </c>
      <c r="U180" s="3" t="str">
        <f t="shared" si="20"/>
        <v/>
      </c>
      <c r="V180" s="3" t="str">
        <f t="shared" si="21"/>
        <v/>
      </c>
      <c r="Z180" s="3">
        <v>46035</v>
      </c>
      <c r="AA180" s="4">
        <v>249.17660000000001</v>
      </c>
      <c r="AB180" s="74">
        <v>46035</v>
      </c>
      <c r="AC180" s="4">
        <v>240.88900000000001</v>
      </c>
      <c r="AD180" s="6">
        <f t="shared" si="22"/>
        <v>46035</v>
      </c>
    </row>
    <row r="181" spans="1:30" x14ac:dyDescent="0.25">
      <c r="A181" s="37" t="str">
        <f t="shared" ca="1" si="23"/>
        <v/>
      </c>
      <c r="B181" s="38" t="str">
        <f ca="1">IF(COUNTIF($W$2:W1166,A181)=1,VLOOKUP(A181,O:P,2), IF(COUNTIF($W$2:W1166,A181)=0,$B$9,""))</f>
        <v/>
      </c>
      <c r="C181" s="2" t="str">
        <f t="shared" ca="1" si="24"/>
        <v/>
      </c>
      <c r="D181" s="41" t="str">
        <f t="shared" ca="1" si="25"/>
        <v/>
      </c>
      <c r="E181" s="38" t="str">
        <f ca="1">IF(COUNTIF($W$2:W1166,A181)=1,VLOOKUP(A181,Q:R,2), IF(COUNTIF($W$2:W1166,A181)=0,$C$9,""))</f>
        <v/>
      </c>
      <c r="F181" s="2" t="str">
        <f t="shared" ca="1" si="26"/>
        <v/>
      </c>
      <c r="G181" s="41" t="str">
        <f t="shared" ca="1" si="27"/>
        <v/>
      </c>
      <c r="H181" s="38" t="str">
        <f ca="1">IF(COUNTIF($W$2:W1166,A181)=1,VLOOKUP(A181,S:T,2), IF(COUNTIF($W$2:W1166,A181)=0,$D$9,""))</f>
        <v/>
      </c>
      <c r="I181" s="39" t="str">
        <f ca="1">IF(COUNTIF($X$2:X1166,INT(A181))=1,VLOOKUP(INT(A181),X:Y,2), IF(ISERROR(H181-2),"",I180*(1-$D$8*(H181-H180)*0.0001)))</f>
        <v/>
      </c>
      <c r="J181" s="39" t="str">
        <f t="shared" ca="1" si="28"/>
        <v/>
      </c>
      <c r="K181" s="41" t="str">
        <f t="shared" ca="1" si="29"/>
        <v/>
      </c>
      <c r="L181" s="41" t="str">
        <f ca="1">IF($A181="","",IF(COUNTIFS(Dividends!$G:$G,"&gt;"&amp;INT($A180),Dividends!$G:$G,"&lt;="&amp;INT($A181))=0,"",$H$2*SUMIFS(Dividends!$H:$H,Dividends!$G:$G,"&gt;"&amp;INT($A180),Dividends!$G:$G,"&lt;="&amp;INT($A181))))</f>
        <v/>
      </c>
      <c r="M181" s="42" t="str">
        <f ca="1">IF(ISERROR(B181-2),"",C181+D181-F181-G181-K181+SUM($L$14:L181))</f>
        <v/>
      </c>
      <c r="U181" s="3" t="str">
        <f t="shared" si="20"/>
        <v/>
      </c>
      <c r="V181" s="3" t="str">
        <f t="shared" si="21"/>
        <v/>
      </c>
      <c r="Z181" s="3">
        <v>46036</v>
      </c>
      <c r="AA181" s="4">
        <v>248.81209999999999</v>
      </c>
      <c r="AB181" s="74">
        <v>46036</v>
      </c>
      <c r="AC181" s="4">
        <v>244.88200000000001</v>
      </c>
      <c r="AD181" s="6">
        <f t="shared" si="22"/>
        <v>46036</v>
      </c>
    </row>
    <row r="182" spans="1:30" x14ac:dyDescent="0.25">
      <c r="A182" s="37" t="str">
        <f t="shared" ca="1" si="23"/>
        <v/>
      </c>
      <c r="B182" s="38" t="str">
        <f ca="1">IF(COUNTIF($W$2:W1167,A182)=1,VLOOKUP(A182,O:P,2), IF(COUNTIF($W$2:W1167,A182)=0,$B$9,""))</f>
        <v/>
      </c>
      <c r="C182" s="2" t="str">
        <f t="shared" ca="1" si="24"/>
        <v/>
      </c>
      <c r="D182" s="41" t="str">
        <f t="shared" ca="1" si="25"/>
        <v/>
      </c>
      <c r="E182" s="38" t="str">
        <f ca="1">IF(COUNTIF($W$2:W1167,A182)=1,VLOOKUP(A182,Q:R,2), IF(COUNTIF($W$2:W1167,A182)=0,$C$9,""))</f>
        <v/>
      </c>
      <c r="F182" s="2" t="str">
        <f t="shared" ca="1" si="26"/>
        <v/>
      </c>
      <c r="G182" s="41" t="str">
        <f t="shared" ca="1" si="27"/>
        <v/>
      </c>
      <c r="H182" s="38" t="str">
        <f ca="1">IF(COUNTIF($W$2:W1167,A182)=1,VLOOKUP(A182,S:T,2), IF(COUNTIF($W$2:W1167,A182)=0,$D$9,""))</f>
        <v/>
      </c>
      <c r="I182" s="39" t="str">
        <f ca="1">IF(COUNTIF($X$2:X1167,INT(A182))=1,VLOOKUP(INT(A182),X:Y,2), IF(ISERROR(H182-2),"",I181*(1-$D$8*(H182-H181)*0.0001)))</f>
        <v/>
      </c>
      <c r="J182" s="39" t="str">
        <f t="shared" ca="1" si="28"/>
        <v/>
      </c>
      <c r="K182" s="41" t="str">
        <f t="shared" ca="1" si="29"/>
        <v/>
      </c>
      <c r="L182" s="41" t="str">
        <f ca="1">IF($A182="","",IF(COUNTIFS(Dividends!$G:$G,"&gt;"&amp;INT($A181),Dividends!$G:$G,"&lt;="&amp;INT($A182))=0,"",$H$2*SUMIFS(Dividends!$H:$H,Dividends!$G:$G,"&gt;"&amp;INT($A181),Dividends!$G:$G,"&lt;="&amp;INT($A182))))</f>
        <v/>
      </c>
      <c r="M182" s="42" t="str">
        <f ca="1">IF(ISERROR(B182-2),"",C182+D182-F182-G182-K182+SUM($L$14:L182))</f>
        <v/>
      </c>
      <c r="U182" s="3" t="str">
        <f t="shared" si="20"/>
        <v/>
      </c>
      <c r="V182" s="3" t="str">
        <f t="shared" si="21"/>
        <v/>
      </c>
      <c r="Z182" s="3">
        <v>46037</v>
      </c>
      <c r="AA182" s="4">
        <v>249.15880000000001</v>
      </c>
      <c r="AB182" s="74">
        <v>46037</v>
      </c>
      <c r="AC182" s="4">
        <v>241.666</v>
      </c>
      <c r="AD182" s="6">
        <f t="shared" si="22"/>
        <v>46037</v>
      </c>
    </row>
    <row r="183" spans="1:30" x14ac:dyDescent="0.25">
      <c r="A183" s="37" t="str">
        <f t="shared" ca="1" si="23"/>
        <v/>
      </c>
      <c r="B183" s="38" t="str">
        <f ca="1">IF(COUNTIF($W$2:W1168,A183)=1,VLOOKUP(A183,O:P,2), IF(COUNTIF($W$2:W1168,A183)=0,$B$9,""))</f>
        <v/>
      </c>
      <c r="C183" s="2" t="str">
        <f t="shared" ca="1" si="24"/>
        <v/>
      </c>
      <c r="D183" s="41" t="str">
        <f t="shared" ca="1" si="25"/>
        <v/>
      </c>
      <c r="E183" s="38" t="str">
        <f ca="1">IF(COUNTIF($W$2:W1168,A183)=1,VLOOKUP(A183,Q:R,2), IF(COUNTIF($W$2:W1168,A183)=0,$C$9,""))</f>
        <v/>
      </c>
      <c r="F183" s="2" t="str">
        <f t="shared" ca="1" si="26"/>
        <v/>
      </c>
      <c r="G183" s="41" t="str">
        <f t="shared" ca="1" si="27"/>
        <v/>
      </c>
      <c r="H183" s="38" t="str">
        <f ca="1">IF(COUNTIF($W$2:W1168,A183)=1,VLOOKUP(A183,S:T,2), IF(COUNTIF($W$2:W1168,A183)=0,$D$9,""))</f>
        <v/>
      </c>
      <c r="I183" s="39" t="str">
        <f ca="1">IF(COUNTIF($X$2:X1168,INT(A183))=1,VLOOKUP(INT(A183),X:Y,2), IF(ISERROR(H183-2),"",I182*(1-$D$8*(H183-H182)*0.0001)))</f>
        <v/>
      </c>
      <c r="J183" s="39" t="str">
        <f t="shared" ca="1" si="28"/>
        <v/>
      </c>
      <c r="K183" s="41" t="str">
        <f t="shared" ca="1" si="29"/>
        <v/>
      </c>
      <c r="L183" s="41" t="str">
        <f ca="1">IF($A183="","",IF(COUNTIFS(Dividends!$G:$G,"&gt;"&amp;INT($A182),Dividends!$G:$G,"&lt;="&amp;INT($A183))=0,"",$H$2*SUMIFS(Dividends!$H:$H,Dividends!$G:$G,"&gt;"&amp;INT($A182),Dividends!$G:$G,"&lt;="&amp;INT($A183))))</f>
        <v/>
      </c>
      <c r="M183" s="42" t="str">
        <f ca="1">IF(ISERROR(B183-2),"",C183+D183-F183-G183-K183+SUM($L$14:L183))</f>
        <v/>
      </c>
      <c r="U183" s="3" t="str">
        <f t="shared" si="20"/>
        <v/>
      </c>
      <c r="V183" s="3" t="str">
        <f t="shared" si="21"/>
        <v/>
      </c>
      <c r="Z183" s="3">
        <v>46038</v>
      </c>
      <c r="AA183" s="4">
        <v>249.01169999999999</v>
      </c>
      <c r="AB183" s="74">
        <v>46038</v>
      </c>
      <c r="AC183" s="4">
        <v>243.13399999999999</v>
      </c>
      <c r="AD183" s="6">
        <f t="shared" si="22"/>
        <v>46038</v>
      </c>
    </row>
    <row r="184" spans="1:30" x14ac:dyDescent="0.25">
      <c r="A184" s="37" t="str">
        <f t="shared" ca="1" si="23"/>
        <v/>
      </c>
      <c r="B184" s="38" t="str">
        <f ca="1">IF(COUNTIF($W$2:W1169,A184)=1,VLOOKUP(A184,O:P,2), IF(COUNTIF($W$2:W1169,A184)=0,$B$9,""))</f>
        <v/>
      </c>
      <c r="C184" s="2" t="str">
        <f t="shared" ca="1" si="24"/>
        <v/>
      </c>
      <c r="D184" s="41" t="str">
        <f t="shared" ca="1" si="25"/>
        <v/>
      </c>
      <c r="E184" s="38" t="str">
        <f ca="1">IF(COUNTIF($W$2:W1169,A184)=1,VLOOKUP(A184,Q:R,2), IF(COUNTIF($W$2:W1169,A184)=0,$C$9,""))</f>
        <v/>
      </c>
      <c r="F184" s="2" t="str">
        <f t="shared" ca="1" si="26"/>
        <v/>
      </c>
      <c r="G184" s="41" t="str">
        <f t="shared" ca="1" si="27"/>
        <v/>
      </c>
      <c r="H184" s="38" t="str">
        <f ca="1">IF(COUNTIF($W$2:W1169,A184)=1,VLOOKUP(A184,S:T,2), IF(COUNTIF($W$2:W1169,A184)=0,$D$9,""))</f>
        <v/>
      </c>
      <c r="I184" s="39" t="str">
        <f ca="1">IF(COUNTIF($X$2:X1169,INT(A184))=1,VLOOKUP(INT(A184),X:Y,2), IF(ISERROR(H184-2),"",I183*(1-$D$8*(H184-H183)*0.0001)))</f>
        <v/>
      </c>
      <c r="J184" s="39" t="str">
        <f t="shared" ca="1" si="28"/>
        <v/>
      </c>
      <c r="K184" s="41" t="str">
        <f t="shared" ca="1" si="29"/>
        <v/>
      </c>
      <c r="L184" s="41" t="str">
        <f ca="1">IF($A184="","",IF(COUNTIFS(Dividends!$G:$G,"&gt;"&amp;INT($A183),Dividends!$G:$G,"&lt;="&amp;INT($A184))=0,"",$H$2*SUMIFS(Dividends!$H:$H,Dividends!$G:$G,"&gt;"&amp;INT($A183),Dividends!$G:$G,"&lt;="&amp;INT($A184))))</f>
        <v/>
      </c>
      <c r="M184" s="42" t="str">
        <f ca="1">IF(ISERROR(B184-2),"",C184+D184-F184-G184-K184+SUM($L$14:L184))</f>
        <v/>
      </c>
      <c r="U184" s="3" t="str">
        <f t="shared" si="20"/>
        <v/>
      </c>
      <c r="V184" s="3" t="str">
        <f t="shared" si="21"/>
        <v/>
      </c>
      <c r="Z184" s="3">
        <v>46041</v>
      </c>
      <c r="AA184" s="4">
        <v>248.35810000000001</v>
      </c>
      <c r="AB184" s="74">
        <v>46041</v>
      </c>
      <c r="AC184" s="4">
        <v>250.24199999999999</v>
      </c>
      <c r="AD184" s="6">
        <f t="shared" si="22"/>
        <v>46041</v>
      </c>
    </row>
    <row r="185" spans="1:30" x14ac:dyDescent="0.25">
      <c r="A185" s="37" t="str">
        <f t="shared" ca="1" si="23"/>
        <v/>
      </c>
      <c r="B185" s="38" t="str">
        <f ca="1">IF(COUNTIF($W$2:W1170,A185)=1,VLOOKUP(A185,O:P,2), IF(COUNTIF($W$2:W1170,A185)=0,$B$9,""))</f>
        <v/>
      </c>
      <c r="C185" s="2" t="str">
        <f t="shared" ca="1" si="24"/>
        <v/>
      </c>
      <c r="D185" s="41" t="str">
        <f t="shared" ca="1" si="25"/>
        <v/>
      </c>
      <c r="E185" s="38" t="str">
        <f ca="1">IF(COUNTIF($W$2:W1170,A185)=1,VLOOKUP(A185,Q:R,2), IF(COUNTIF($W$2:W1170,A185)=0,$C$9,""))</f>
        <v/>
      </c>
      <c r="F185" s="2" t="str">
        <f t="shared" ca="1" si="26"/>
        <v/>
      </c>
      <c r="G185" s="41" t="str">
        <f t="shared" ca="1" si="27"/>
        <v/>
      </c>
      <c r="H185" s="38" t="str">
        <f ca="1">IF(COUNTIF($W$2:W1170,A185)=1,VLOOKUP(A185,S:T,2), IF(COUNTIF($W$2:W1170,A185)=0,$D$9,""))</f>
        <v/>
      </c>
      <c r="I185" s="39" t="str">
        <f ca="1">IF(COUNTIF($X$2:X1170,INT(A185))=1,VLOOKUP(INT(A185),X:Y,2), IF(ISERROR(H185-2),"",I184*(1-$D$8*(H185-H184)*0.0001)))</f>
        <v/>
      </c>
      <c r="J185" s="39" t="str">
        <f t="shared" ca="1" si="28"/>
        <v/>
      </c>
      <c r="K185" s="41" t="str">
        <f t="shared" ca="1" si="29"/>
        <v/>
      </c>
      <c r="L185" s="41" t="str">
        <f ca="1">IF($A185="","",IF(COUNTIFS(Dividends!$G:$G,"&gt;"&amp;INT($A184),Dividends!$G:$G,"&lt;="&amp;INT($A185))=0,"",$H$2*SUMIFS(Dividends!$H:$H,Dividends!$G:$G,"&gt;"&amp;INT($A184),Dividends!$G:$G,"&lt;="&amp;INT($A185))))</f>
        <v/>
      </c>
      <c r="M185" s="42" t="str">
        <f ca="1">IF(ISERROR(B185-2),"",C185+D185-F185-G185-K185+SUM($L$14:L185))</f>
        <v/>
      </c>
      <c r="U185" s="3" t="str">
        <f t="shared" si="20"/>
        <v/>
      </c>
      <c r="V185" s="3" t="str">
        <f t="shared" si="21"/>
        <v/>
      </c>
      <c r="Z185" s="3">
        <v>46042</v>
      </c>
      <c r="AA185" s="4">
        <v>248.08500000000001</v>
      </c>
      <c r="AB185" s="74">
        <v>46042</v>
      </c>
      <c r="AC185" s="4">
        <v>252.017</v>
      </c>
      <c r="AD185" s="6">
        <f t="shared" si="22"/>
        <v>46042</v>
      </c>
    </row>
    <row r="186" spans="1:30" x14ac:dyDescent="0.25">
      <c r="A186" s="37" t="str">
        <f t="shared" ca="1" si="23"/>
        <v/>
      </c>
      <c r="B186" s="38" t="str">
        <f ca="1">IF(COUNTIF($W$2:W1171,A186)=1,VLOOKUP(A186,O:P,2), IF(COUNTIF($W$2:W1171,A186)=0,$B$9,""))</f>
        <v/>
      </c>
      <c r="C186" s="2" t="str">
        <f t="shared" ca="1" si="24"/>
        <v/>
      </c>
      <c r="D186" s="41" t="str">
        <f t="shared" ca="1" si="25"/>
        <v/>
      </c>
      <c r="E186" s="38" t="str">
        <f ca="1">IF(COUNTIF($W$2:W1171,A186)=1,VLOOKUP(A186,Q:R,2), IF(COUNTIF($W$2:W1171,A186)=0,$C$9,""))</f>
        <v/>
      </c>
      <c r="F186" s="2" t="str">
        <f t="shared" ca="1" si="26"/>
        <v/>
      </c>
      <c r="G186" s="41" t="str">
        <f t="shared" ca="1" si="27"/>
        <v/>
      </c>
      <c r="H186" s="38" t="str">
        <f ca="1">IF(COUNTIF($W$2:W1171,A186)=1,VLOOKUP(A186,S:T,2), IF(COUNTIF($W$2:W1171,A186)=0,$D$9,""))</f>
        <v/>
      </c>
      <c r="I186" s="39" t="str">
        <f ca="1">IF(COUNTIF($X$2:X1171,INT(A186))=1,VLOOKUP(INT(A186),X:Y,2), IF(ISERROR(H186-2),"",I185*(1-$D$8*(H186-H185)*0.0001)))</f>
        <v/>
      </c>
      <c r="J186" s="39" t="str">
        <f t="shared" ca="1" si="28"/>
        <v/>
      </c>
      <c r="K186" s="41" t="str">
        <f t="shared" ca="1" si="29"/>
        <v/>
      </c>
      <c r="L186" s="41" t="str">
        <f ca="1">IF($A186="","",IF(COUNTIFS(Dividends!$G:$G,"&gt;"&amp;INT($A185),Dividends!$G:$G,"&lt;="&amp;INT($A186))=0,"",$H$2*SUMIFS(Dividends!$H:$H,Dividends!$G:$G,"&gt;"&amp;INT($A185),Dividends!$G:$G,"&lt;="&amp;INT($A186))))</f>
        <v/>
      </c>
      <c r="M186" s="42" t="str">
        <f ca="1">IF(ISERROR(B186-2),"",C186+D186-F186-G186-K186+SUM($L$14:L186))</f>
        <v/>
      </c>
      <c r="U186" s="3" t="str">
        <f t="shared" si="20"/>
        <v/>
      </c>
      <c r="V186" s="3" t="str">
        <f t="shared" si="21"/>
        <v/>
      </c>
      <c r="Z186" s="3">
        <v>46043</v>
      </c>
      <c r="AA186" s="4">
        <v>248.64510000000001</v>
      </c>
      <c r="AB186" s="74">
        <v>46043</v>
      </c>
      <c r="AC186" s="4">
        <v>248.50399999999999</v>
      </c>
      <c r="AD186" s="6">
        <f t="shared" si="22"/>
        <v>46043</v>
      </c>
    </row>
    <row r="187" spans="1:30" x14ac:dyDescent="0.25">
      <c r="A187" s="37" t="str">
        <f t="shared" ca="1" si="23"/>
        <v/>
      </c>
      <c r="B187" s="38" t="str">
        <f ca="1">IF(COUNTIF($W$2:W1172,A187)=1,VLOOKUP(A187,O:P,2), IF(COUNTIF($W$2:W1172,A187)=0,$B$9,""))</f>
        <v/>
      </c>
      <c r="C187" s="2" t="str">
        <f t="shared" ca="1" si="24"/>
        <v/>
      </c>
      <c r="D187" s="41" t="str">
        <f t="shared" ca="1" si="25"/>
        <v/>
      </c>
      <c r="E187" s="38" t="str">
        <f ca="1">IF(COUNTIF($W$2:W1172,A187)=1,VLOOKUP(A187,Q:R,2), IF(COUNTIF($W$2:W1172,A187)=0,$C$9,""))</f>
        <v/>
      </c>
      <c r="F187" s="2" t="str">
        <f t="shared" ca="1" si="26"/>
        <v/>
      </c>
      <c r="G187" s="41" t="str">
        <f t="shared" ca="1" si="27"/>
        <v/>
      </c>
      <c r="H187" s="38" t="str">
        <f ca="1">IF(COUNTIF($W$2:W1172,A187)=1,VLOOKUP(A187,S:T,2), IF(COUNTIF($W$2:W1172,A187)=0,$D$9,""))</f>
        <v/>
      </c>
      <c r="I187" s="39" t="str">
        <f ca="1">IF(COUNTIF($X$2:X1172,INT(A187))=1,VLOOKUP(INT(A187),X:Y,2), IF(ISERROR(H187-2),"",I186*(1-$D$8*(H187-H186)*0.0001)))</f>
        <v/>
      </c>
      <c r="J187" s="39" t="str">
        <f t="shared" ca="1" si="28"/>
        <v/>
      </c>
      <c r="K187" s="41" t="str">
        <f t="shared" ca="1" si="29"/>
        <v/>
      </c>
      <c r="L187" s="41" t="str">
        <f ca="1">IF($A187="","",IF(COUNTIFS(Dividends!$G:$G,"&gt;"&amp;INT($A186),Dividends!$G:$G,"&lt;="&amp;INT($A187))=0,"",$H$2*SUMIFS(Dividends!$H:$H,Dividends!$G:$G,"&gt;"&amp;INT($A186),Dividends!$G:$G,"&lt;="&amp;INT($A187))))</f>
        <v/>
      </c>
      <c r="M187" s="42" t="str">
        <f ca="1">IF(ISERROR(B187-2),"",C187+D187-F187-G187-K187+SUM($L$14:L187))</f>
        <v/>
      </c>
      <c r="U187" s="3" t="str">
        <f t="shared" si="20"/>
        <v/>
      </c>
      <c r="V187" s="3" t="str">
        <f t="shared" si="21"/>
        <v/>
      </c>
      <c r="Z187" s="3">
        <v>46044</v>
      </c>
      <c r="AA187" s="4">
        <v>249.4425</v>
      </c>
      <c r="AB187" s="74">
        <v>46044</v>
      </c>
      <c r="AC187" s="4">
        <v>240.483</v>
      </c>
      <c r="AD187" s="6">
        <f t="shared" si="22"/>
        <v>46044</v>
      </c>
    </row>
    <row r="188" spans="1:30" x14ac:dyDescent="0.25">
      <c r="A188" s="37" t="str">
        <f t="shared" ca="1" si="23"/>
        <v/>
      </c>
      <c r="B188" s="38" t="str">
        <f ca="1">IF(COUNTIF($W$2:W1173,A188)=1,VLOOKUP(A188,O:P,2), IF(COUNTIF($W$2:W1173,A188)=0,$B$9,""))</f>
        <v/>
      </c>
      <c r="C188" s="2" t="str">
        <f t="shared" ca="1" si="24"/>
        <v/>
      </c>
      <c r="D188" s="41" t="str">
        <f t="shared" ca="1" si="25"/>
        <v/>
      </c>
      <c r="E188" s="38" t="str">
        <f ca="1">IF(COUNTIF($W$2:W1173,A188)=1,VLOOKUP(A188,Q:R,2), IF(COUNTIF($W$2:W1173,A188)=0,$C$9,""))</f>
        <v/>
      </c>
      <c r="F188" s="2" t="str">
        <f t="shared" ca="1" si="26"/>
        <v/>
      </c>
      <c r="G188" s="41" t="str">
        <f t="shared" ca="1" si="27"/>
        <v/>
      </c>
      <c r="H188" s="38" t="str">
        <f ca="1">IF(COUNTIF($W$2:W1173,A188)=1,VLOOKUP(A188,S:T,2), IF(COUNTIF($W$2:W1173,A188)=0,$D$9,""))</f>
        <v/>
      </c>
      <c r="I188" s="39" t="str">
        <f ca="1">IF(COUNTIF($X$2:X1173,INT(A188))=1,VLOOKUP(INT(A188),X:Y,2), IF(ISERROR(H188-2),"",I187*(1-$D$8*(H188-H187)*0.0001)))</f>
        <v/>
      </c>
      <c r="J188" s="39" t="str">
        <f t="shared" ca="1" si="28"/>
        <v/>
      </c>
      <c r="K188" s="41" t="str">
        <f t="shared" ca="1" si="29"/>
        <v/>
      </c>
      <c r="L188" s="41" t="str">
        <f ca="1">IF($A188="","",IF(COUNTIFS(Dividends!$G:$G,"&gt;"&amp;INT($A187),Dividends!$G:$G,"&lt;="&amp;INT($A188))=0,"",$H$2*SUMIFS(Dividends!$H:$H,Dividends!$G:$G,"&gt;"&amp;INT($A187),Dividends!$G:$G,"&lt;="&amp;INT($A188))))</f>
        <v/>
      </c>
      <c r="M188" s="42" t="str">
        <f ca="1">IF(ISERROR(B188-2),"",C188+D188-F188-G188-K188+SUM($L$14:L188))</f>
        <v/>
      </c>
      <c r="U188" s="3" t="str">
        <f t="shared" si="20"/>
        <v/>
      </c>
      <c r="V188" s="3" t="str">
        <f t="shared" si="21"/>
        <v/>
      </c>
      <c r="Z188" s="3">
        <v>46045</v>
      </c>
      <c r="AA188" s="4">
        <v>249.2397</v>
      </c>
      <c r="AB188" s="74">
        <v>46045</v>
      </c>
      <c r="AC188" s="4">
        <v>242.67099999999999</v>
      </c>
      <c r="AD188" s="6">
        <f t="shared" si="22"/>
        <v>46045</v>
      </c>
    </row>
    <row r="189" spans="1:30" x14ac:dyDescent="0.25">
      <c r="A189" s="37" t="str">
        <f t="shared" ca="1" si="23"/>
        <v/>
      </c>
      <c r="B189" s="38" t="str">
        <f ca="1">IF(COUNTIF($W$2:W1174,A189)=1,VLOOKUP(A189,O:P,2), IF(COUNTIF($W$2:W1174,A189)=0,$B$9,""))</f>
        <v/>
      </c>
      <c r="C189" s="2" t="str">
        <f t="shared" ca="1" si="24"/>
        <v/>
      </c>
      <c r="D189" s="41" t="str">
        <f t="shared" ca="1" si="25"/>
        <v/>
      </c>
      <c r="E189" s="38" t="str">
        <f ca="1">IF(COUNTIF($W$2:W1174,A189)=1,VLOOKUP(A189,Q:R,2), IF(COUNTIF($W$2:W1174,A189)=0,$C$9,""))</f>
        <v/>
      </c>
      <c r="F189" s="2" t="str">
        <f t="shared" ca="1" si="26"/>
        <v/>
      </c>
      <c r="G189" s="41" t="str">
        <f t="shared" ca="1" si="27"/>
        <v/>
      </c>
      <c r="H189" s="38" t="str">
        <f ca="1">IF(COUNTIF($W$2:W1174,A189)=1,VLOOKUP(A189,S:T,2), IF(COUNTIF($W$2:W1174,A189)=0,$D$9,""))</f>
        <v/>
      </c>
      <c r="I189" s="39" t="str">
        <f ca="1">IF(COUNTIF($X$2:X1174,INT(A189))=1,VLOOKUP(INT(A189),X:Y,2), IF(ISERROR(H189-2),"",I188*(1-$D$8*(H189-H188)*0.0001)))</f>
        <v/>
      </c>
      <c r="J189" s="39" t="str">
        <f t="shared" ca="1" si="28"/>
        <v/>
      </c>
      <c r="K189" s="41" t="str">
        <f t="shared" ca="1" si="29"/>
        <v/>
      </c>
      <c r="L189" s="41" t="str">
        <f ca="1">IF($A189="","",IF(COUNTIFS(Dividends!$G:$G,"&gt;"&amp;INT($A188),Dividends!$G:$G,"&lt;="&amp;INT($A189))=0,"",$H$2*SUMIFS(Dividends!$H:$H,Dividends!$G:$G,"&gt;"&amp;INT($A188),Dividends!$G:$G,"&lt;="&amp;INT($A189))))</f>
        <v/>
      </c>
      <c r="M189" s="42" t="str">
        <f ca="1">IF(ISERROR(B189-2),"",C189+D189-F189-G189-K189+SUM($L$14:L189))</f>
        <v/>
      </c>
      <c r="U189" s="3" t="str">
        <f t="shared" si="20"/>
        <v/>
      </c>
      <c r="V189" s="3" t="str">
        <f t="shared" si="21"/>
        <v/>
      </c>
      <c r="Z189" s="3">
        <v>46048</v>
      </c>
      <c r="AA189" s="4">
        <v>249.3184</v>
      </c>
      <c r="AB189" s="74">
        <v>46048</v>
      </c>
      <c r="AC189" s="4">
        <v>242.38300000000001</v>
      </c>
      <c r="AD189" s="6">
        <f t="shared" si="22"/>
        <v>46048</v>
      </c>
    </row>
    <row r="190" spans="1:30" x14ac:dyDescent="0.25">
      <c r="A190" s="37" t="str">
        <f t="shared" ca="1" si="23"/>
        <v/>
      </c>
      <c r="B190" s="38" t="str">
        <f ca="1">IF(COUNTIF($W$2:W1175,A190)=1,VLOOKUP(A190,O:P,2), IF(COUNTIF($W$2:W1175,A190)=0,$B$9,""))</f>
        <v/>
      </c>
      <c r="C190" s="2" t="str">
        <f t="shared" ca="1" si="24"/>
        <v/>
      </c>
      <c r="D190" s="41" t="str">
        <f t="shared" ca="1" si="25"/>
        <v/>
      </c>
      <c r="E190" s="38" t="str">
        <f ca="1">IF(COUNTIF($W$2:W1175,A190)=1,VLOOKUP(A190,Q:R,2), IF(COUNTIF($W$2:W1175,A190)=0,$C$9,""))</f>
        <v/>
      </c>
      <c r="F190" s="2" t="str">
        <f t="shared" ca="1" si="26"/>
        <v/>
      </c>
      <c r="G190" s="41" t="str">
        <f t="shared" ca="1" si="27"/>
        <v/>
      </c>
      <c r="H190" s="38" t="str">
        <f ca="1">IF(COUNTIF($W$2:W1175,A190)=1,VLOOKUP(A190,S:T,2), IF(COUNTIF($W$2:W1175,A190)=0,$D$9,""))</f>
        <v/>
      </c>
      <c r="I190" s="39" t="str">
        <f ca="1">IF(COUNTIF($X$2:X1175,INT(A190))=1,VLOOKUP(INT(A190),X:Y,2), IF(ISERROR(H190-2),"",I189*(1-$D$8*(H190-H189)*0.0001)))</f>
        <v/>
      </c>
      <c r="J190" s="39" t="str">
        <f t="shared" ca="1" si="28"/>
        <v/>
      </c>
      <c r="K190" s="41" t="str">
        <f t="shared" ca="1" si="29"/>
        <v/>
      </c>
      <c r="L190" s="41" t="str">
        <f ca="1">IF($A190="","",IF(COUNTIFS(Dividends!$G:$G,"&gt;"&amp;INT($A189),Dividends!$G:$G,"&lt;="&amp;INT($A190))=0,"",$H$2*SUMIFS(Dividends!$H:$H,Dividends!$G:$G,"&gt;"&amp;INT($A189),Dividends!$G:$G,"&lt;="&amp;INT($A190))))</f>
        <v/>
      </c>
      <c r="M190" s="42" t="str">
        <f ca="1">IF(ISERROR(B190-2),"",C190+D190-F190-G190-K190+SUM($L$14:L190))</f>
        <v/>
      </c>
      <c r="U190" s="3" t="str">
        <f t="shared" si="20"/>
        <v/>
      </c>
      <c r="V190" s="3" t="str">
        <f t="shared" si="21"/>
        <v/>
      </c>
      <c r="Z190" s="3">
        <v>46049</v>
      </c>
      <c r="AA190" s="4">
        <v>249.45769999999999</v>
      </c>
      <c r="AB190" s="74">
        <v>46049</v>
      </c>
      <c r="AC190" s="4">
        <v>241.536</v>
      </c>
      <c r="AD190" s="6">
        <f t="shared" si="22"/>
        <v>46049</v>
      </c>
    </row>
    <row r="191" spans="1:30" x14ac:dyDescent="0.25">
      <c r="A191" s="37" t="str">
        <f t="shared" ca="1" si="23"/>
        <v/>
      </c>
      <c r="B191" s="38" t="str">
        <f ca="1">IF(COUNTIF($W$2:W1176,A191)=1,VLOOKUP(A191,O:P,2), IF(COUNTIF($W$2:W1176,A191)=0,$B$9,""))</f>
        <v/>
      </c>
      <c r="C191" s="2" t="str">
        <f t="shared" ca="1" si="24"/>
        <v/>
      </c>
      <c r="D191" s="41" t="str">
        <f t="shared" ca="1" si="25"/>
        <v/>
      </c>
      <c r="E191" s="38" t="str">
        <f ca="1">IF(COUNTIF($W$2:W1176,A191)=1,VLOOKUP(A191,Q:R,2), IF(COUNTIF($W$2:W1176,A191)=0,$C$9,""))</f>
        <v/>
      </c>
      <c r="F191" s="2" t="str">
        <f t="shared" ca="1" si="26"/>
        <v/>
      </c>
      <c r="G191" s="41" t="str">
        <f t="shared" ca="1" si="27"/>
        <v/>
      </c>
      <c r="H191" s="38" t="str">
        <f ca="1">IF(COUNTIF($W$2:W1176,A191)=1,VLOOKUP(A191,S:T,2), IF(COUNTIF($W$2:W1176,A191)=0,$D$9,""))</f>
        <v/>
      </c>
      <c r="I191" s="39" t="str">
        <f ca="1">IF(COUNTIF($X$2:X1176,INT(A191))=1,VLOOKUP(INT(A191),X:Y,2), IF(ISERROR(H191-2),"",I190*(1-$D$8*(H191-H190)*0.0001)))</f>
        <v/>
      </c>
      <c r="J191" s="39" t="str">
        <f t="shared" ca="1" si="28"/>
        <v/>
      </c>
      <c r="K191" s="41" t="str">
        <f t="shared" ca="1" si="29"/>
        <v/>
      </c>
      <c r="L191" s="41" t="str">
        <f ca="1">IF($A191="","",IF(COUNTIFS(Dividends!$G:$G,"&gt;"&amp;INT($A190),Dividends!$G:$G,"&lt;="&amp;INT($A191))=0,"",$H$2*SUMIFS(Dividends!$H:$H,Dividends!$G:$G,"&gt;"&amp;INT($A190),Dividends!$G:$G,"&lt;="&amp;INT($A191))))</f>
        <v/>
      </c>
      <c r="M191" s="42" t="str">
        <f ca="1">IF(ISERROR(B191-2),"",C191+D191-F191-G191-K191+SUM($L$14:L191))</f>
        <v/>
      </c>
      <c r="U191" s="3" t="str">
        <f t="shared" si="20"/>
        <v/>
      </c>
      <c r="V191" s="3" t="str">
        <f t="shared" si="21"/>
        <v/>
      </c>
      <c r="Z191" s="3">
        <v>46050</v>
      </c>
      <c r="AA191" s="4">
        <v>249.07820000000001</v>
      </c>
      <c r="AB191" s="74">
        <v>46050</v>
      </c>
      <c r="AC191" s="4">
        <v>245.107</v>
      </c>
      <c r="AD191" s="6">
        <f t="shared" si="22"/>
        <v>46050</v>
      </c>
    </row>
    <row r="192" spans="1:30" x14ac:dyDescent="0.25">
      <c r="A192" s="37" t="str">
        <f t="shared" ca="1" si="23"/>
        <v/>
      </c>
      <c r="B192" s="38" t="str">
        <f ca="1">IF(COUNTIF($W$2:W1177,A192)=1,VLOOKUP(A192,O:P,2), IF(COUNTIF($W$2:W1177,A192)=0,$B$9,""))</f>
        <v/>
      </c>
      <c r="C192" s="2" t="str">
        <f t="shared" ca="1" si="24"/>
        <v/>
      </c>
      <c r="D192" s="41" t="str">
        <f t="shared" ca="1" si="25"/>
        <v/>
      </c>
      <c r="E192" s="38" t="str">
        <f ca="1">IF(COUNTIF($W$2:W1177,A192)=1,VLOOKUP(A192,Q:R,2), IF(COUNTIF($W$2:W1177,A192)=0,$C$9,""))</f>
        <v/>
      </c>
      <c r="F192" s="2" t="str">
        <f t="shared" ca="1" si="26"/>
        <v/>
      </c>
      <c r="G192" s="41" t="str">
        <f t="shared" ca="1" si="27"/>
        <v/>
      </c>
      <c r="H192" s="38" t="str">
        <f ca="1">IF(COUNTIF($W$2:W1177,A192)=1,VLOOKUP(A192,S:T,2), IF(COUNTIF($W$2:W1177,A192)=0,$D$9,""))</f>
        <v/>
      </c>
      <c r="I192" s="39" t="str">
        <f ca="1">IF(COUNTIF($X$2:X1177,INT(A192))=1,VLOOKUP(INT(A192),X:Y,2), IF(ISERROR(H192-2),"",I191*(1-$D$8*(H192-H191)*0.0001)))</f>
        <v/>
      </c>
      <c r="J192" s="39" t="str">
        <f t="shared" ca="1" si="28"/>
        <v/>
      </c>
      <c r="K192" s="41" t="str">
        <f t="shared" ca="1" si="29"/>
        <v/>
      </c>
      <c r="L192" s="41" t="str">
        <f ca="1">IF($A192="","",IF(COUNTIFS(Dividends!$G:$G,"&gt;"&amp;INT($A191),Dividends!$G:$G,"&lt;="&amp;INT($A192))=0,"",$H$2*SUMIFS(Dividends!$H:$H,Dividends!$G:$G,"&gt;"&amp;INT($A191),Dividends!$G:$G,"&lt;="&amp;INT($A192))))</f>
        <v/>
      </c>
      <c r="M192" s="42" t="str">
        <f ca="1">IF(ISERROR(B192-2),"",C192+D192-F192-G192-K192+SUM($L$14:L192))</f>
        <v/>
      </c>
      <c r="U192" s="3" t="str">
        <f t="shared" si="20"/>
        <v/>
      </c>
      <c r="V192" s="3" t="str">
        <f t="shared" si="21"/>
        <v/>
      </c>
      <c r="Z192" s="3">
        <v>46051</v>
      </c>
      <c r="AA192" s="4">
        <v>248.7859</v>
      </c>
      <c r="AB192" s="74">
        <v>46051</v>
      </c>
      <c r="AC192" s="4">
        <v>247.57400000000001</v>
      </c>
      <c r="AD192" s="6">
        <f t="shared" si="22"/>
        <v>46051</v>
      </c>
    </row>
    <row r="193" spans="1:30" x14ac:dyDescent="0.25">
      <c r="A193" s="37" t="str">
        <f t="shared" ca="1" si="23"/>
        <v/>
      </c>
      <c r="B193" s="38" t="str">
        <f ca="1">IF(COUNTIF($W$2:W1178,A193)=1,VLOOKUP(A193,O:P,2), IF(COUNTIF($W$2:W1178,A193)=0,$B$9,""))</f>
        <v/>
      </c>
      <c r="C193" s="2" t="str">
        <f t="shared" ca="1" si="24"/>
        <v/>
      </c>
      <c r="D193" s="41" t="str">
        <f t="shared" ca="1" si="25"/>
        <v/>
      </c>
      <c r="E193" s="38" t="str">
        <f ca="1">IF(COUNTIF($W$2:W1178,A193)=1,VLOOKUP(A193,Q:R,2), IF(COUNTIF($W$2:W1178,A193)=0,$C$9,""))</f>
        <v/>
      </c>
      <c r="F193" s="2" t="str">
        <f t="shared" ca="1" si="26"/>
        <v/>
      </c>
      <c r="G193" s="41" t="str">
        <f t="shared" ca="1" si="27"/>
        <v/>
      </c>
      <c r="H193" s="38" t="str">
        <f ca="1">IF(COUNTIF($W$2:W1178,A193)=1,VLOOKUP(A193,S:T,2), IF(COUNTIF($W$2:W1178,A193)=0,$D$9,""))</f>
        <v/>
      </c>
      <c r="I193" s="39" t="str">
        <f ca="1">IF(COUNTIF($X$2:X1178,INT(A193))=1,VLOOKUP(INT(A193),X:Y,2), IF(ISERROR(H193-2),"",I192*(1-$D$8*(H193-H192)*0.0001)))</f>
        <v/>
      </c>
      <c r="J193" s="39" t="str">
        <f t="shared" ca="1" si="28"/>
        <v/>
      </c>
      <c r="K193" s="41" t="str">
        <f t="shared" ca="1" si="29"/>
        <v/>
      </c>
      <c r="L193" s="41" t="str">
        <f ca="1">IF($A193="","",IF(COUNTIFS(Dividends!$G:$G,"&gt;"&amp;INT($A192),Dividends!$G:$G,"&lt;="&amp;INT($A193))=0,"",$H$2*SUMIFS(Dividends!$H:$H,Dividends!$G:$G,"&gt;"&amp;INT($A192),Dividends!$G:$G,"&lt;="&amp;INT($A193))))</f>
        <v/>
      </c>
      <c r="M193" s="42" t="str">
        <f ca="1">IF(ISERROR(B193-2),"",C193+D193-F193-G193-K193+SUM($L$14:L193))</f>
        <v/>
      </c>
      <c r="U193" s="3" t="str">
        <f t="shared" si="20"/>
        <v/>
      </c>
      <c r="V193" s="3" t="str">
        <f t="shared" si="21"/>
        <v/>
      </c>
      <c r="Z193" s="3">
        <v>46052</v>
      </c>
      <c r="AA193" s="4">
        <v>248.92789999999999</v>
      </c>
      <c r="AB193" s="74">
        <v>46052</v>
      </c>
      <c r="AC193" s="4">
        <v>247.31899999999999</v>
      </c>
      <c r="AD193" s="6">
        <f t="shared" si="22"/>
        <v>46052</v>
      </c>
    </row>
    <row r="194" spans="1:30" x14ac:dyDescent="0.25">
      <c r="A194" s="37" t="str">
        <f t="shared" ca="1" si="23"/>
        <v/>
      </c>
      <c r="B194" s="38" t="str">
        <f ca="1">IF(COUNTIF($W$2:W1179,A194)=1,VLOOKUP(A194,O:P,2), IF(COUNTIF($W$2:W1179,A194)=0,$B$9,""))</f>
        <v/>
      </c>
      <c r="C194" s="2" t="str">
        <f t="shared" ca="1" si="24"/>
        <v/>
      </c>
      <c r="D194" s="41" t="str">
        <f t="shared" ca="1" si="25"/>
        <v/>
      </c>
      <c r="E194" s="38" t="str">
        <f ca="1">IF(COUNTIF($W$2:W1179,A194)=1,VLOOKUP(A194,Q:R,2), IF(COUNTIF($W$2:W1179,A194)=0,$C$9,""))</f>
        <v/>
      </c>
      <c r="F194" s="2" t="str">
        <f t="shared" ca="1" si="26"/>
        <v/>
      </c>
      <c r="G194" s="41" t="str">
        <f t="shared" ca="1" si="27"/>
        <v/>
      </c>
      <c r="H194" s="38" t="str">
        <f ca="1">IF(COUNTIF($W$2:W1179,A194)=1,VLOOKUP(A194,S:T,2), IF(COUNTIF($W$2:W1179,A194)=0,$D$9,""))</f>
        <v/>
      </c>
      <c r="I194" s="39" t="str">
        <f ca="1">IF(COUNTIF($X$2:X1179,INT(A194))=1,VLOOKUP(INT(A194),X:Y,2), IF(ISERROR(H194-2),"",I193*(1-$D$8*(H194-H193)*0.0001)))</f>
        <v/>
      </c>
      <c r="J194" s="39" t="str">
        <f t="shared" ca="1" si="28"/>
        <v/>
      </c>
      <c r="K194" s="41" t="str">
        <f t="shared" ca="1" si="29"/>
        <v/>
      </c>
      <c r="L194" s="41" t="str">
        <f ca="1">IF($A194="","",IF(COUNTIFS(Dividends!$G:$G,"&gt;"&amp;INT($A193),Dividends!$G:$G,"&lt;="&amp;INT($A194))=0,"",$H$2*SUMIFS(Dividends!$H:$H,Dividends!$G:$G,"&gt;"&amp;INT($A193),Dividends!$G:$G,"&lt;="&amp;INT($A194))))</f>
        <v/>
      </c>
      <c r="M194" s="42" t="str">
        <f ca="1">IF(ISERROR(B194-2),"",C194+D194-F194-G194-K194+SUM($L$14:L194))</f>
        <v/>
      </c>
      <c r="U194" s="3" t="str">
        <f t="shared" si="20"/>
        <v/>
      </c>
      <c r="V194" s="3" t="str">
        <f t="shared" si="21"/>
        <v/>
      </c>
      <c r="Z194" s="3">
        <v>46055</v>
      </c>
      <c r="AA194" s="4">
        <v>249.41380000000001</v>
      </c>
      <c r="AB194" s="74">
        <v>46055</v>
      </c>
      <c r="AC194" s="4">
        <v>242.94800000000001</v>
      </c>
      <c r="AD194" s="6">
        <f t="shared" si="22"/>
        <v>46055</v>
      </c>
    </row>
    <row r="195" spans="1:30" x14ac:dyDescent="0.25">
      <c r="A195" s="37" t="str">
        <f t="shared" ca="1" si="23"/>
        <v/>
      </c>
      <c r="B195" s="38" t="str">
        <f ca="1">IF(COUNTIF($W$2:W1180,A195)=1,VLOOKUP(A195,O:P,2), IF(COUNTIF($W$2:W1180,A195)=0,$B$9,""))</f>
        <v/>
      </c>
      <c r="C195" s="2" t="str">
        <f t="shared" ca="1" si="24"/>
        <v/>
      </c>
      <c r="D195" s="41" t="str">
        <f t="shared" ca="1" si="25"/>
        <v/>
      </c>
      <c r="E195" s="38" t="str">
        <f ca="1">IF(COUNTIF($W$2:W1180,A195)=1,VLOOKUP(A195,Q:R,2), IF(COUNTIF($W$2:W1180,A195)=0,$C$9,""))</f>
        <v/>
      </c>
      <c r="F195" s="2" t="str">
        <f t="shared" ca="1" si="26"/>
        <v/>
      </c>
      <c r="G195" s="41" t="str">
        <f t="shared" ca="1" si="27"/>
        <v/>
      </c>
      <c r="H195" s="38" t="str">
        <f ca="1">IF(COUNTIF($W$2:W1180,A195)=1,VLOOKUP(A195,S:T,2), IF(COUNTIF($W$2:W1180,A195)=0,$D$9,""))</f>
        <v/>
      </c>
      <c r="I195" s="39" t="str">
        <f ca="1">IF(COUNTIF($X$2:X1180,INT(A195))=1,VLOOKUP(INT(A195),X:Y,2), IF(ISERROR(H195-2),"",I194*(1-$D$8*(H195-H194)*0.0001)))</f>
        <v/>
      </c>
      <c r="J195" s="39" t="str">
        <f t="shared" ca="1" si="28"/>
        <v/>
      </c>
      <c r="K195" s="41" t="str">
        <f t="shared" ca="1" si="29"/>
        <v/>
      </c>
      <c r="L195" s="41" t="str">
        <f ca="1">IF($A195="","",IF(COUNTIFS(Dividends!$G:$G,"&gt;"&amp;INT($A194),Dividends!$G:$G,"&lt;="&amp;INT($A195))=0,"",$H$2*SUMIFS(Dividends!$H:$H,Dividends!$G:$G,"&gt;"&amp;INT($A194),Dividends!$G:$G,"&lt;="&amp;INT($A195))))</f>
        <v/>
      </c>
      <c r="M195" s="42" t="str">
        <f ca="1">IF(ISERROR(B195-2),"",C195+D195-F195-G195-K195+SUM($L$14:L195))</f>
        <v/>
      </c>
      <c r="U195" s="3" t="str">
        <f t="shared" si="20"/>
        <v/>
      </c>
      <c r="V195" s="3" t="str">
        <f t="shared" si="21"/>
        <v/>
      </c>
      <c r="Z195" s="3">
        <v>46056</v>
      </c>
      <c r="AA195" s="4">
        <v>249.29150000000001</v>
      </c>
      <c r="AB195" s="74">
        <v>46056</v>
      </c>
      <c r="AC195" s="4">
        <v>244.75399999999999</v>
      </c>
      <c r="AD195" s="6">
        <f t="shared" si="22"/>
        <v>46056</v>
      </c>
    </row>
    <row r="196" spans="1:30" x14ac:dyDescent="0.25">
      <c r="A196" s="37" t="str">
        <f t="shared" ca="1" si="23"/>
        <v/>
      </c>
      <c r="B196" s="38" t="str">
        <f ca="1">IF(COUNTIF($W$2:W1181,A196)=1,VLOOKUP(A196,O:P,2), IF(COUNTIF($W$2:W1181,A196)=0,$B$9,""))</f>
        <v/>
      </c>
      <c r="C196" s="2" t="str">
        <f t="shared" ca="1" si="24"/>
        <v/>
      </c>
      <c r="D196" s="41" t="str">
        <f t="shared" ca="1" si="25"/>
        <v/>
      </c>
      <c r="E196" s="38" t="str">
        <f ca="1">IF(COUNTIF($W$2:W1181,A196)=1,VLOOKUP(A196,Q:R,2), IF(COUNTIF($W$2:W1181,A196)=0,$C$9,""))</f>
        <v/>
      </c>
      <c r="F196" s="2" t="str">
        <f t="shared" ca="1" si="26"/>
        <v/>
      </c>
      <c r="G196" s="41" t="str">
        <f t="shared" ca="1" si="27"/>
        <v/>
      </c>
      <c r="H196" s="38" t="str">
        <f ca="1">IF(COUNTIF($W$2:W1181,A196)=1,VLOOKUP(A196,S:T,2), IF(COUNTIF($W$2:W1181,A196)=0,$D$9,""))</f>
        <v/>
      </c>
      <c r="I196" s="39" t="str">
        <f ca="1">IF(COUNTIF($X$2:X1181,INT(A196))=1,VLOOKUP(INT(A196),X:Y,2), IF(ISERROR(H196-2),"",I195*(1-$D$8*(H196-H195)*0.0001)))</f>
        <v/>
      </c>
      <c r="J196" s="39" t="str">
        <f t="shared" ca="1" si="28"/>
        <v/>
      </c>
      <c r="K196" s="41" t="str">
        <f t="shared" ca="1" si="29"/>
        <v/>
      </c>
      <c r="L196" s="41" t="str">
        <f ca="1">IF($A196="","",IF(COUNTIFS(Dividends!$G:$G,"&gt;"&amp;INT($A195),Dividends!$G:$G,"&lt;="&amp;INT($A196))=0,"",$H$2*SUMIFS(Dividends!$H:$H,Dividends!$G:$G,"&gt;"&amp;INT($A195),Dividends!$G:$G,"&lt;="&amp;INT($A196))))</f>
        <v/>
      </c>
      <c r="M196" s="42" t="str">
        <f ca="1">IF(ISERROR(B196-2),"",C196+D196-F196-G196-K196+SUM($L$14:L196))</f>
        <v/>
      </c>
      <c r="U196" s="3" t="str">
        <f t="shared" ref="U196:U259" si="30">IF(COUNTIF(Q:Q,O196)*COUNTIF(S:S,O196),O196,"")</f>
        <v/>
      </c>
      <c r="V196" s="3" t="str">
        <f t="shared" ref="V196:V259" si="31">IF(U196&gt;$A$14,U196,"")</f>
        <v/>
      </c>
      <c r="Z196" s="3">
        <v>46057</v>
      </c>
      <c r="AA196" s="4">
        <v>249.12110000000001</v>
      </c>
      <c r="AB196" s="74">
        <v>46057</v>
      </c>
      <c r="AC196" s="4">
        <v>246.44200000000001</v>
      </c>
      <c r="AD196" s="6">
        <f t="shared" ref="AD196:AD259" si="32">IF(COUNTIF(AB:AB,Z196),Z196,"")</f>
        <v>46057</v>
      </c>
    </row>
    <row r="197" spans="1:30" x14ac:dyDescent="0.25">
      <c r="A197" s="37" t="str">
        <f t="shared" ca="1" si="23"/>
        <v/>
      </c>
      <c r="B197" s="38" t="str">
        <f ca="1">IF(COUNTIF($W$2:W1182,A197)=1,VLOOKUP(A197,O:P,2), IF(COUNTIF($W$2:W1182,A197)=0,$B$9,""))</f>
        <v/>
      </c>
      <c r="C197" s="2" t="str">
        <f t="shared" ca="1" si="24"/>
        <v/>
      </c>
      <c r="D197" s="41" t="str">
        <f t="shared" ca="1" si="25"/>
        <v/>
      </c>
      <c r="E197" s="38" t="str">
        <f ca="1">IF(COUNTIF($W$2:W1182,A197)=1,VLOOKUP(A197,Q:R,2), IF(COUNTIF($W$2:W1182,A197)=0,$C$9,""))</f>
        <v/>
      </c>
      <c r="F197" s="2" t="str">
        <f t="shared" ca="1" si="26"/>
        <v/>
      </c>
      <c r="G197" s="41" t="str">
        <f t="shared" ca="1" si="27"/>
        <v/>
      </c>
      <c r="H197" s="38" t="str">
        <f ca="1">IF(COUNTIF($W$2:W1182,A197)=1,VLOOKUP(A197,S:T,2), IF(COUNTIF($W$2:W1182,A197)=0,$D$9,""))</f>
        <v/>
      </c>
      <c r="I197" s="39" t="str">
        <f ca="1">IF(COUNTIF($X$2:X1182,INT(A197))=1,VLOOKUP(INT(A197),X:Y,2), IF(ISERROR(H197-2),"",I196*(1-$D$8*(H197-H196)*0.0001)))</f>
        <v/>
      </c>
      <c r="J197" s="39" t="str">
        <f t="shared" ca="1" si="28"/>
        <v/>
      </c>
      <c r="K197" s="41" t="str">
        <f t="shared" ca="1" si="29"/>
        <v/>
      </c>
      <c r="L197" s="41" t="str">
        <f ca="1">IF($A197="","",IF(COUNTIFS(Dividends!$G:$G,"&gt;"&amp;INT($A196),Dividends!$G:$G,"&lt;="&amp;INT($A197))=0,"",$H$2*SUMIFS(Dividends!$H:$H,Dividends!$G:$G,"&gt;"&amp;INT($A196),Dividends!$G:$G,"&lt;="&amp;INT($A197))))</f>
        <v/>
      </c>
      <c r="M197" s="42" t="str">
        <f ca="1">IF(ISERROR(B197-2),"",C197+D197-F197-G197-K197+SUM($L$14:L197))</f>
        <v/>
      </c>
      <c r="U197" s="3" t="str">
        <f t="shared" si="30"/>
        <v/>
      </c>
      <c r="V197" s="3" t="str">
        <f t="shared" si="31"/>
        <v/>
      </c>
      <c r="Z197" s="3">
        <v>46058</v>
      </c>
      <c r="AA197" s="4">
        <v>248.86420000000001</v>
      </c>
      <c r="AB197" s="74">
        <v>46058</v>
      </c>
      <c r="AC197" s="4">
        <v>247.72399999999999</v>
      </c>
      <c r="AD197" s="6">
        <f t="shared" si="32"/>
        <v>46058</v>
      </c>
    </row>
    <row r="198" spans="1:30" x14ac:dyDescent="0.25">
      <c r="A198" s="37" t="str">
        <f t="shared" ca="1" si="23"/>
        <v/>
      </c>
      <c r="B198" s="38" t="str">
        <f ca="1">IF(COUNTIF($W$2:W1183,A198)=1,VLOOKUP(A198,O:P,2), IF(COUNTIF($W$2:W1183,A198)=0,$B$9,""))</f>
        <v/>
      </c>
      <c r="C198" s="2" t="str">
        <f t="shared" ca="1" si="24"/>
        <v/>
      </c>
      <c r="D198" s="41" t="str">
        <f t="shared" ca="1" si="25"/>
        <v/>
      </c>
      <c r="E198" s="38" t="str">
        <f ca="1">IF(COUNTIF($W$2:W1183,A198)=1,VLOOKUP(A198,Q:R,2), IF(COUNTIF($W$2:W1183,A198)=0,$C$9,""))</f>
        <v/>
      </c>
      <c r="F198" s="2" t="str">
        <f t="shared" ca="1" si="26"/>
        <v/>
      </c>
      <c r="G198" s="41" t="str">
        <f t="shared" ca="1" si="27"/>
        <v/>
      </c>
      <c r="H198" s="38" t="str">
        <f ca="1">IF(COUNTIF($W$2:W1183,A198)=1,VLOOKUP(A198,S:T,2), IF(COUNTIF($W$2:W1183,A198)=0,$D$9,""))</f>
        <v/>
      </c>
      <c r="I198" s="39" t="str">
        <f ca="1">IF(COUNTIF($X$2:X1183,INT(A198))=1,VLOOKUP(INT(A198),X:Y,2), IF(ISERROR(H198-2),"",I197*(1-$D$8*(H198-H197)*0.0001)))</f>
        <v/>
      </c>
      <c r="J198" s="39" t="str">
        <f t="shared" ca="1" si="28"/>
        <v/>
      </c>
      <c r="K198" s="41" t="str">
        <f t="shared" ca="1" si="29"/>
        <v/>
      </c>
      <c r="L198" s="41" t="str">
        <f ca="1">IF($A198="","",IF(COUNTIFS(Dividends!$G:$G,"&gt;"&amp;INT($A197),Dividends!$G:$G,"&lt;="&amp;INT($A198))=0,"",$H$2*SUMIFS(Dividends!$H:$H,Dividends!$G:$G,"&gt;"&amp;INT($A197),Dividends!$G:$G,"&lt;="&amp;INT($A198))))</f>
        <v/>
      </c>
      <c r="M198" s="42" t="str">
        <f ca="1">IF(ISERROR(B198-2),"",C198+D198-F198-G198-K198+SUM($L$14:L198))</f>
        <v/>
      </c>
      <c r="U198" s="3" t="str">
        <f t="shared" si="30"/>
        <v/>
      </c>
      <c r="V198" s="3" t="str">
        <f t="shared" si="31"/>
        <v/>
      </c>
      <c r="Z198" s="3">
        <v>46059</v>
      </c>
      <c r="AA198" s="4">
        <v>249.4572</v>
      </c>
      <c r="AB198" s="74">
        <v>46059</v>
      </c>
      <c r="AC198" s="4">
        <v>243.90799999999999</v>
      </c>
      <c r="AD198" s="6">
        <f t="shared" si="32"/>
        <v>46059</v>
      </c>
    </row>
    <row r="199" spans="1:30" x14ac:dyDescent="0.25">
      <c r="A199" s="37" t="str">
        <f t="shared" ca="1" si="23"/>
        <v/>
      </c>
      <c r="B199" s="38" t="str">
        <f ca="1">IF(COUNTIF($W$2:W1184,A199)=1,VLOOKUP(A199,O:P,2), IF(COUNTIF($W$2:W1184,A199)=0,$B$9,""))</f>
        <v/>
      </c>
      <c r="C199" s="2" t="str">
        <f t="shared" ca="1" si="24"/>
        <v/>
      </c>
      <c r="D199" s="41" t="str">
        <f t="shared" ca="1" si="25"/>
        <v/>
      </c>
      <c r="E199" s="38" t="str">
        <f ca="1">IF(COUNTIF($W$2:W1184,A199)=1,VLOOKUP(A199,Q:R,2), IF(COUNTIF($W$2:W1184,A199)=0,$C$9,""))</f>
        <v/>
      </c>
      <c r="F199" s="2" t="str">
        <f t="shared" ca="1" si="26"/>
        <v/>
      </c>
      <c r="G199" s="41" t="str">
        <f t="shared" ca="1" si="27"/>
        <v/>
      </c>
      <c r="H199" s="38" t="str">
        <f ca="1">IF(COUNTIF($W$2:W1184,A199)=1,VLOOKUP(A199,S:T,2), IF(COUNTIF($W$2:W1184,A199)=0,$D$9,""))</f>
        <v/>
      </c>
      <c r="I199" s="39" t="str">
        <f ca="1">IF(COUNTIF($X$2:X1184,INT(A199))=1,VLOOKUP(INT(A199),X:Y,2), IF(ISERROR(H199-2),"",I198*(1-$D$8*(H199-H198)*0.0001)))</f>
        <v/>
      </c>
      <c r="J199" s="39" t="str">
        <f t="shared" ca="1" si="28"/>
        <v/>
      </c>
      <c r="K199" s="41" t="str">
        <f t="shared" ca="1" si="29"/>
        <v/>
      </c>
      <c r="L199" s="41" t="str">
        <f ca="1">IF($A199="","",IF(COUNTIFS(Dividends!$G:$G,"&gt;"&amp;INT($A198),Dividends!$G:$G,"&lt;="&amp;INT($A199))=0,"",$H$2*SUMIFS(Dividends!$H:$H,Dividends!$G:$G,"&gt;"&amp;INT($A198),Dividends!$G:$G,"&lt;="&amp;INT($A199))))</f>
        <v/>
      </c>
      <c r="M199" s="42" t="str">
        <f ca="1">IF(ISERROR(B199-2),"",C199+D199-F199-G199-K199+SUM($L$14:L199))</f>
        <v/>
      </c>
      <c r="U199" s="3" t="str">
        <f t="shared" si="30"/>
        <v/>
      </c>
      <c r="V199" s="3" t="str">
        <f t="shared" si="31"/>
        <v/>
      </c>
      <c r="Z199" s="3">
        <v>46062</v>
      </c>
      <c r="AA199" s="4">
        <v>249.82130000000001</v>
      </c>
      <c r="AB199" s="74">
        <v>46062</v>
      </c>
      <c r="AC199" s="4">
        <v>240.52</v>
      </c>
      <c r="AD199" s="6">
        <f t="shared" si="32"/>
        <v>46062</v>
      </c>
    </row>
    <row r="200" spans="1:30" x14ac:dyDescent="0.25">
      <c r="A200" s="37" t="str">
        <f t="shared" ca="1" si="23"/>
        <v/>
      </c>
      <c r="B200" s="38" t="str">
        <f ca="1">IF(COUNTIF($W$2:W1185,A200)=1,VLOOKUP(A200,O:P,2), IF(COUNTIF($W$2:W1185,A200)=0,$B$9,""))</f>
        <v/>
      </c>
      <c r="C200" s="2" t="str">
        <f t="shared" ca="1" si="24"/>
        <v/>
      </c>
      <c r="D200" s="41" t="str">
        <f t="shared" ca="1" si="25"/>
        <v/>
      </c>
      <c r="E200" s="38" t="str">
        <f ca="1">IF(COUNTIF($W$2:W1185,A200)=1,VLOOKUP(A200,Q:R,2), IF(COUNTIF($W$2:W1185,A200)=0,$C$9,""))</f>
        <v/>
      </c>
      <c r="F200" s="2" t="str">
        <f t="shared" ca="1" si="26"/>
        <v/>
      </c>
      <c r="G200" s="41" t="str">
        <f t="shared" ca="1" si="27"/>
        <v/>
      </c>
      <c r="H200" s="38" t="str">
        <f ca="1">IF(COUNTIF($W$2:W1185,A200)=1,VLOOKUP(A200,S:T,2), IF(COUNTIF($W$2:W1185,A200)=0,$D$9,""))</f>
        <v/>
      </c>
      <c r="I200" s="39" t="str">
        <f ca="1">IF(COUNTIF($X$2:X1185,INT(A200))=1,VLOOKUP(INT(A200),X:Y,2), IF(ISERROR(H200-2),"",I199*(1-$D$8*(H200-H199)*0.0001)))</f>
        <v/>
      </c>
      <c r="J200" s="39" t="str">
        <f t="shared" ca="1" si="28"/>
        <v/>
      </c>
      <c r="K200" s="41" t="str">
        <f t="shared" ca="1" si="29"/>
        <v/>
      </c>
      <c r="L200" s="41" t="str">
        <f ca="1">IF($A200="","",IF(COUNTIFS(Dividends!$G:$G,"&gt;"&amp;INT($A199),Dividends!$G:$G,"&lt;="&amp;INT($A200))=0,"",$H$2*SUMIFS(Dividends!$H:$H,Dividends!$G:$G,"&gt;"&amp;INT($A199),Dividends!$G:$G,"&lt;="&amp;INT($A200))))</f>
        <v/>
      </c>
      <c r="M200" s="42" t="str">
        <f ca="1">IF(ISERROR(B200-2),"",C200+D200-F200-G200-K200+SUM($L$14:L200))</f>
        <v/>
      </c>
      <c r="U200" s="3" t="str">
        <f t="shared" si="30"/>
        <v/>
      </c>
      <c r="V200" s="3" t="str">
        <f t="shared" si="31"/>
        <v/>
      </c>
      <c r="Z200" s="3">
        <v>46063</v>
      </c>
      <c r="AA200" s="4">
        <v>249.73419999999999</v>
      </c>
      <c r="AB200" s="74">
        <v>46063</v>
      </c>
      <c r="AC200" s="4">
        <v>241.834</v>
      </c>
      <c r="AD200" s="6">
        <f t="shared" si="32"/>
        <v>46063</v>
      </c>
    </row>
    <row r="201" spans="1:30" x14ac:dyDescent="0.25">
      <c r="A201" s="37" t="str">
        <f t="shared" ca="1" si="23"/>
        <v/>
      </c>
      <c r="B201" s="38" t="str">
        <f ca="1">IF(COUNTIF($W$2:W1186,A201)=1,VLOOKUP(A201,O:P,2), IF(COUNTIF($W$2:W1186,A201)=0,$B$9,""))</f>
        <v/>
      </c>
      <c r="C201" s="2" t="str">
        <f t="shared" ca="1" si="24"/>
        <v/>
      </c>
      <c r="D201" s="41" t="str">
        <f t="shared" ca="1" si="25"/>
        <v/>
      </c>
      <c r="E201" s="38" t="str">
        <f ca="1">IF(COUNTIF($W$2:W1186,A201)=1,VLOOKUP(A201,Q:R,2), IF(COUNTIF($W$2:W1186,A201)=0,$C$9,""))</f>
        <v/>
      </c>
      <c r="F201" s="2" t="str">
        <f t="shared" ca="1" si="26"/>
        <v/>
      </c>
      <c r="G201" s="41" t="str">
        <f t="shared" ca="1" si="27"/>
        <v/>
      </c>
      <c r="H201" s="38" t="str">
        <f ca="1">IF(COUNTIF($W$2:W1186,A201)=1,VLOOKUP(A201,S:T,2), IF(COUNTIF($W$2:W1186,A201)=0,$D$9,""))</f>
        <v/>
      </c>
      <c r="I201" s="39" t="str">
        <f ca="1">IF(COUNTIF($X$2:X1186,INT(A201))=1,VLOOKUP(INT(A201),X:Y,2), IF(ISERROR(H201-2),"",I200*(1-$D$8*(H201-H200)*0.0001)))</f>
        <v/>
      </c>
      <c r="J201" s="39" t="str">
        <f t="shared" ca="1" si="28"/>
        <v/>
      </c>
      <c r="K201" s="41" t="str">
        <f t="shared" ca="1" si="29"/>
        <v/>
      </c>
      <c r="L201" s="41" t="str">
        <f ca="1">IF($A201="","",IF(COUNTIFS(Dividends!$G:$G,"&gt;"&amp;INT($A200),Dividends!$G:$G,"&lt;="&amp;INT($A201))=0,"",$H$2*SUMIFS(Dividends!$H:$H,Dividends!$G:$G,"&gt;"&amp;INT($A200),Dividends!$G:$G,"&lt;="&amp;INT($A201))))</f>
        <v/>
      </c>
      <c r="M201" s="42" t="str">
        <f ca="1">IF(ISERROR(B201-2),"",C201+D201-F201-G201-K201+SUM($L$14:L201))</f>
        <v/>
      </c>
      <c r="U201" s="3" t="str">
        <f t="shared" si="30"/>
        <v/>
      </c>
      <c r="V201" s="3" t="str">
        <f t="shared" si="31"/>
        <v/>
      </c>
      <c r="Z201" s="3">
        <v>46064</v>
      </c>
      <c r="AA201" s="4">
        <v>249.6275</v>
      </c>
      <c r="AB201" s="74">
        <v>46064</v>
      </c>
      <c r="AC201" s="4">
        <v>243.429</v>
      </c>
      <c r="AD201" s="6">
        <f t="shared" si="32"/>
        <v>46064</v>
      </c>
    </row>
    <row r="202" spans="1:30" x14ac:dyDescent="0.25">
      <c r="A202" s="37" t="str">
        <f t="shared" ca="1" si="23"/>
        <v/>
      </c>
      <c r="B202" s="38" t="str">
        <f ca="1">IF(COUNTIF($W$2:W1187,A202)=1,VLOOKUP(A202,O:P,2), IF(COUNTIF($W$2:W1187,A202)=0,$B$9,""))</f>
        <v/>
      </c>
      <c r="C202" s="2" t="str">
        <f t="shared" ca="1" si="24"/>
        <v/>
      </c>
      <c r="D202" s="41" t="str">
        <f t="shared" ca="1" si="25"/>
        <v/>
      </c>
      <c r="E202" s="38" t="str">
        <f ca="1">IF(COUNTIF($W$2:W1187,A202)=1,VLOOKUP(A202,Q:R,2), IF(COUNTIF($W$2:W1187,A202)=0,$C$9,""))</f>
        <v/>
      </c>
      <c r="F202" s="2" t="str">
        <f t="shared" ca="1" si="26"/>
        <v/>
      </c>
      <c r="G202" s="41" t="str">
        <f t="shared" ca="1" si="27"/>
        <v/>
      </c>
      <c r="H202" s="38" t="str">
        <f ca="1">IF(COUNTIF($W$2:W1187,A202)=1,VLOOKUP(A202,S:T,2), IF(COUNTIF($W$2:W1187,A202)=0,$D$9,""))</f>
        <v/>
      </c>
      <c r="I202" s="39" t="str">
        <f ca="1">IF(COUNTIF($X$2:X1187,INT(A202))=1,VLOOKUP(INT(A202),X:Y,2), IF(ISERROR(H202-2),"",I201*(1-$D$8*(H202-H201)*0.0001)))</f>
        <v/>
      </c>
      <c r="J202" s="39" t="str">
        <f t="shared" ca="1" si="28"/>
        <v/>
      </c>
      <c r="K202" s="41" t="str">
        <f t="shared" ca="1" si="29"/>
        <v/>
      </c>
      <c r="L202" s="41" t="str">
        <f ca="1">IF($A202="","",IF(COUNTIFS(Dividends!$G:$G,"&gt;"&amp;INT($A201),Dividends!$G:$G,"&lt;="&amp;INT($A202))=0,"",$H$2*SUMIFS(Dividends!$H:$H,Dividends!$G:$G,"&gt;"&amp;INT($A201),Dividends!$G:$G,"&lt;="&amp;INT($A202))))</f>
        <v/>
      </c>
      <c r="M202" s="42" t="str">
        <f ca="1">IF(ISERROR(B202-2),"",C202+D202-F202-G202-K202+SUM($L$14:L202))</f>
        <v/>
      </c>
      <c r="U202" s="3" t="str">
        <f t="shared" si="30"/>
        <v/>
      </c>
      <c r="V202" s="3" t="str">
        <f t="shared" si="31"/>
        <v/>
      </c>
      <c r="Z202" s="3">
        <v>46065</v>
      </c>
      <c r="AA202" s="4">
        <v>249.3349</v>
      </c>
      <c r="AB202" s="74">
        <v>46065</v>
      </c>
      <c r="AC202" s="4">
        <v>246.203</v>
      </c>
      <c r="AD202" s="6">
        <f t="shared" si="32"/>
        <v>46065</v>
      </c>
    </row>
    <row r="203" spans="1:30" x14ac:dyDescent="0.25">
      <c r="A203" s="37" t="str">
        <f t="shared" ca="1" si="23"/>
        <v/>
      </c>
      <c r="B203" s="38" t="str">
        <f ca="1">IF(COUNTIF($W$2:W1188,A203)=1,VLOOKUP(A203,O:P,2), IF(COUNTIF($W$2:W1188,A203)=0,$B$9,""))</f>
        <v/>
      </c>
      <c r="C203" s="2" t="str">
        <f t="shared" ca="1" si="24"/>
        <v/>
      </c>
      <c r="D203" s="41" t="str">
        <f t="shared" ca="1" si="25"/>
        <v/>
      </c>
      <c r="E203" s="38" t="str">
        <f ca="1">IF(COUNTIF($W$2:W1188,A203)=1,VLOOKUP(A203,Q:R,2), IF(COUNTIF($W$2:W1188,A203)=0,$C$9,""))</f>
        <v/>
      </c>
      <c r="F203" s="2" t="str">
        <f t="shared" ca="1" si="26"/>
        <v/>
      </c>
      <c r="G203" s="41" t="str">
        <f t="shared" ca="1" si="27"/>
        <v/>
      </c>
      <c r="H203" s="38" t="str">
        <f ca="1">IF(COUNTIF($W$2:W1188,A203)=1,VLOOKUP(A203,S:T,2), IF(COUNTIF($W$2:W1188,A203)=0,$D$9,""))</f>
        <v/>
      </c>
      <c r="I203" s="39" t="str">
        <f ca="1">IF(COUNTIF($X$2:X1188,INT(A203))=1,VLOOKUP(INT(A203),X:Y,2), IF(ISERROR(H203-2),"",I202*(1-$D$8*(H203-H202)*0.0001)))</f>
        <v/>
      </c>
      <c r="J203" s="39" t="str">
        <f t="shared" ca="1" si="28"/>
        <v/>
      </c>
      <c r="K203" s="41" t="str">
        <f t="shared" ca="1" si="29"/>
        <v/>
      </c>
      <c r="L203" s="41" t="str">
        <f ca="1">IF($A203="","",IF(COUNTIFS(Dividends!$G:$G,"&gt;"&amp;INT($A202),Dividends!$G:$G,"&lt;="&amp;INT($A203))=0,"",$H$2*SUMIFS(Dividends!$H:$H,Dividends!$G:$G,"&gt;"&amp;INT($A202),Dividends!$G:$G,"&lt;="&amp;INT($A203))))</f>
        <v/>
      </c>
      <c r="M203" s="42" t="str">
        <f ca="1">IF(ISERROR(B203-2),"",C203+D203-F203-G203-K203+SUM($L$14:L203))</f>
        <v/>
      </c>
      <c r="U203" s="3" t="str">
        <f t="shared" si="30"/>
        <v/>
      </c>
      <c r="V203" s="3" t="str">
        <f t="shared" si="31"/>
        <v/>
      </c>
      <c r="Z203" s="3">
        <v>46066</v>
      </c>
      <c r="AA203" s="4">
        <v>249.1874</v>
      </c>
      <c r="AB203" s="74">
        <v>46066</v>
      </c>
      <c r="AC203" s="4">
        <v>247.685</v>
      </c>
      <c r="AD203" s="6">
        <f t="shared" si="32"/>
        <v>46066</v>
      </c>
    </row>
    <row r="204" spans="1:30" x14ac:dyDescent="0.25">
      <c r="A204" s="37" t="str">
        <f t="shared" ca="1" si="23"/>
        <v/>
      </c>
      <c r="B204" s="38" t="str">
        <f ca="1">IF(COUNTIF($W$2:W1189,A204)=1,VLOOKUP(A204,O:P,2), IF(COUNTIF($W$2:W1189,A204)=0,$B$9,""))</f>
        <v/>
      </c>
      <c r="C204" s="2" t="str">
        <f t="shared" ca="1" si="24"/>
        <v/>
      </c>
      <c r="D204" s="41" t="str">
        <f t="shared" ca="1" si="25"/>
        <v/>
      </c>
      <c r="E204" s="38" t="str">
        <f ca="1">IF(COUNTIF($W$2:W1189,A204)=1,VLOOKUP(A204,Q:R,2), IF(COUNTIF($W$2:W1189,A204)=0,$C$9,""))</f>
        <v/>
      </c>
      <c r="F204" s="2" t="str">
        <f t="shared" ca="1" si="26"/>
        <v/>
      </c>
      <c r="G204" s="41" t="str">
        <f t="shared" ca="1" si="27"/>
        <v/>
      </c>
      <c r="H204" s="38" t="str">
        <f ca="1">IF(COUNTIF($W$2:W1189,A204)=1,VLOOKUP(A204,S:T,2), IF(COUNTIF($W$2:W1189,A204)=0,$D$9,""))</f>
        <v/>
      </c>
      <c r="I204" s="39" t="str">
        <f ca="1">IF(COUNTIF($X$2:X1189,INT(A204))=1,VLOOKUP(INT(A204),X:Y,2), IF(ISERROR(H204-2),"",I203*(1-$D$8*(H204-H203)*0.0001)))</f>
        <v/>
      </c>
      <c r="J204" s="39" t="str">
        <f t="shared" ca="1" si="28"/>
        <v/>
      </c>
      <c r="K204" s="41" t="str">
        <f t="shared" ca="1" si="29"/>
        <v/>
      </c>
      <c r="L204" s="41" t="str">
        <f ca="1">IF($A204="","",IF(COUNTIFS(Dividends!$G:$G,"&gt;"&amp;INT($A203),Dividends!$G:$G,"&lt;="&amp;INT($A204))=0,"",$H$2*SUMIFS(Dividends!$H:$H,Dividends!$G:$G,"&gt;"&amp;INT($A203),Dividends!$G:$G,"&lt;="&amp;INT($A204))))</f>
        <v/>
      </c>
      <c r="M204" s="42" t="str">
        <f ca="1">IF(ISERROR(B204-2),"",C204+D204-F204-G204-K204+SUM($L$14:L204))</f>
        <v/>
      </c>
      <c r="U204" s="3" t="str">
        <f t="shared" si="30"/>
        <v/>
      </c>
      <c r="V204" s="3" t="str">
        <f t="shared" si="31"/>
        <v/>
      </c>
      <c r="Z204" s="3">
        <v>46069</v>
      </c>
      <c r="AA204" s="4">
        <v>249.0668</v>
      </c>
      <c r="AB204" s="74">
        <v>46069</v>
      </c>
      <c r="AC204" s="4">
        <v>249.32300000000001</v>
      </c>
      <c r="AD204" s="6">
        <f t="shared" si="32"/>
        <v>46069</v>
      </c>
    </row>
    <row r="205" spans="1:30" x14ac:dyDescent="0.25">
      <c r="A205" s="37"/>
      <c r="B205" s="38"/>
      <c r="C205" s="2"/>
      <c r="D205" s="41"/>
      <c r="E205" s="38"/>
      <c r="F205" s="2"/>
      <c r="G205" s="41"/>
      <c r="H205" s="38"/>
      <c r="I205" s="39"/>
      <c r="J205" s="39"/>
      <c r="K205" s="41"/>
      <c r="L205" s="41"/>
      <c r="M205" s="42"/>
      <c r="U205" s="3" t="str">
        <f t="shared" si="30"/>
        <v/>
      </c>
      <c r="V205" s="3" t="str">
        <f t="shared" si="31"/>
        <v/>
      </c>
      <c r="Z205" s="3">
        <v>46070</v>
      </c>
      <c r="AA205" s="4">
        <v>248.9178</v>
      </c>
      <c r="AB205" s="74">
        <v>46070</v>
      </c>
      <c r="AC205" s="4">
        <v>250.65299999999999</v>
      </c>
      <c r="AD205" s="6">
        <f t="shared" si="32"/>
        <v>46070</v>
      </c>
    </row>
    <row r="206" spans="1:30" x14ac:dyDescent="0.25">
      <c r="A206" s="37"/>
      <c r="B206" s="38"/>
      <c r="C206" s="2"/>
      <c r="D206" s="41"/>
      <c r="E206" s="38"/>
      <c r="F206" s="2"/>
      <c r="G206" s="41"/>
      <c r="H206" s="38"/>
      <c r="I206" s="39"/>
      <c r="J206" s="39"/>
      <c r="K206" s="41"/>
      <c r="L206" s="41"/>
      <c r="M206" s="42"/>
      <c r="U206" s="3" t="str">
        <f t="shared" si="30"/>
        <v/>
      </c>
      <c r="V206" s="3" t="str">
        <f t="shared" si="31"/>
        <v/>
      </c>
      <c r="Z206" s="3">
        <v>46071</v>
      </c>
      <c r="AA206" s="4">
        <v>249.54349999999999</v>
      </c>
      <c r="AB206" s="74">
        <v>46071</v>
      </c>
      <c r="AC206" s="4">
        <v>245.28100000000001</v>
      </c>
      <c r="AD206" s="6">
        <f t="shared" si="32"/>
        <v>46071</v>
      </c>
    </row>
    <row r="207" spans="1:30" x14ac:dyDescent="0.25">
      <c r="A207" s="37"/>
      <c r="B207" s="38"/>
      <c r="C207" s="2"/>
      <c r="D207" s="41"/>
      <c r="E207" s="38"/>
      <c r="F207" s="2"/>
      <c r="G207" s="41"/>
      <c r="H207" s="38"/>
      <c r="I207" s="39"/>
      <c r="J207" s="39"/>
      <c r="K207" s="41"/>
      <c r="L207" s="41"/>
      <c r="M207" s="42"/>
      <c r="U207" s="3" t="str">
        <f t="shared" si="30"/>
        <v/>
      </c>
      <c r="V207" s="3" t="str">
        <f t="shared" si="31"/>
        <v/>
      </c>
      <c r="Z207" s="3">
        <v>46072</v>
      </c>
      <c r="AA207" s="4">
        <v>249.05619999999999</v>
      </c>
      <c r="AB207" s="74">
        <v>46072</v>
      </c>
      <c r="AC207" s="4">
        <v>249.80099999999999</v>
      </c>
      <c r="AD207" s="6">
        <f t="shared" si="32"/>
        <v>46072</v>
      </c>
    </row>
    <row r="208" spans="1:30" x14ac:dyDescent="0.25">
      <c r="A208" s="37"/>
      <c r="B208" s="38"/>
      <c r="C208" s="2"/>
      <c r="D208" s="41"/>
      <c r="E208" s="38"/>
      <c r="F208" s="2"/>
      <c r="G208" s="41"/>
      <c r="H208" s="38"/>
      <c r="I208" s="39"/>
      <c r="J208" s="39"/>
      <c r="K208" s="41"/>
      <c r="L208" s="41"/>
      <c r="M208" s="42"/>
      <c r="U208" s="3" t="str">
        <f t="shared" si="30"/>
        <v/>
      </c>
      <c r="V208" s="3" t="str">
        <f t="shared" si="31"/>
        <v/>
      </c>
      <c r="Z208" s="3">
        <v>46073</v>
      </c>
      <c r="AA208" s="4">
        <v>249.35589999999999</v>
      </c>
      <c r="AB208" s="74">
        <v>46073</v>
      </c>
      <c r="AC208" s="4">
        <v>247.39400000000001</v>
      </c>
      <c r="AD208" s="6">
        <f t="shared" si="32"/>
        <v>46073</v>
      </c>
    </row>
    <row r="209" spans="1:30" x14ac:dyDescent="0.25">
      <c r="A209" s="37"/>
      <c r="B209" s="38"/>
      <c r="C209" s="2"/>
      <c r="D209" s="41"/>
      <c r="E209" s="38"/>
      <c r="F209" s="2"/>
      <c r="G209" s="41"/>
      <c r="H209" s="38"/>
      <c r="I209" s="39"/>
      <c r="J209" s="39"/>
      <c r="K209" s="41"/>
      <c r="L209" s="41"/>
      <c r="M209" s="42"/>
      <c r="U209" s="3" t="str">
        <f t="shared" si="30"/>
        <v/>
      </c>
      <c r="V209" s="3" t="str">
        <f t="shared" si="31"/>
        <v/>
      </c>
      <c r="Z209" s="3">
        <v>46076</v>
      </c>
      <c r="AA209" s="4">
        <v>249.17140000000001</v>
      </c>
      <c r="AB209" s="74">
        <v>46076</v>
      </c>
      <c r="AC209" s="4">
        <v>249.6</v>
      </c>
      <c r="AD209" s="6">
        <f t="shared" si="32"/>
        <v>46076</v>
      </c>
    </row>
    <row r="210" spans="1:30" x14ac:dyDescent="0.25">
      <c r="A210" s="37"/>
      <c r="B210" s="38"/>
      <c r="C210" s="2"/>
      <c r="D210" s="41"/>
      <c r="E210" s="38"/>
      <c r="F210" s="2"/>
      <c r="G210" s="41"/>
      <c r="H210" s="38"/>
      <c r="I210" s="39"/>
      <c r="J210" s="39"/>
      <c r="K210" s="41"/>
      <c r="L210" s="41"/>
      <c r="M210" s="42"/>
      <c r="U210" s="3" t="str">
        <f t="shared" si="30"/>
        <v/>
      </c>
      <c r="V210" s="3" t="str">
        <f t="shared" si="31"/>
        <v/>
      </c>
      <c r="Z210" s="3">
        <v>46077</v>
      </c>
      <c r="AA210" s="4">
        <v>248.90289999999999</v>
      </c>
      <c r="AB210" s="74">
        <v>46077</v>
      </c>
      <c r="AC210" s="4">
        <v>251.95099999999999</v>
      </c>
      <c r="AD210" s="6">
        <f t="shared" si="32"/>
        <v>46077</v>
      </c>
    </row>
    <row r="211" spans="1:30" x14ac:dyDescent="0.25">
      <c r="A211" s="37"/>
      <c r="B211" s="38"/>
      <c r="C211" s="2"/>
      <c r="D211" s="41"/>
      <c r="E211" s="38"/>
      <c r="F211" s="2"/>
      <c r="G211" s="41"/>
      <c r="H211" s="38"/>
      <c r="I211" s="39"/>
      <c r="J211" s="39"/>
      <c r="K211" s="41"/>
      <c r="L211" s="41"/>
      <c r="M211" s="42"/>
      <c r="U211" s="3" t="str">
        <f t="shared" si="30"/>
        <v/>
      </c>
      <c r="V211" s="3" t="str">
        <f t="shared" si="31"/>
        <v/>
      </c>
      <c r="Z211" s="3">
        <v>46078</v>
      </c>
      <c r="AA211" s="4">
        <v>249.0966</v>
      </c>
      <c r="AB211" s="74">
        <v>46078</v>
      </c>
      <c r="AC211" s="4">
        <v>250.364</v>
      </c>
      <c r="AD211" s="6">
        <f t="shared" si="32"/>
        <v>46078</v>
      </c>
    </row>
    <row r="212" spans="1:30" x14ac:dyDescent="0.25">
      <c r="A212" s="37"/>
      <c r="B212" s="38"/>
      <c r="C212" s="2"/>
      <c r="D212" s="41"/>
      <c r="E212" s="38"/>
      <c r="F212" s="2"/>
      <c r="G212" s="41"/>
      <c r="H212" s="38"/>
      <c r="I212" s="39"/>
      <c r="J212" s="39"/>
      <c r="K212" s="41"/>
      <c r="L212" s="41"/>
      <c r="M212" s="42"/>
      <c r="U212" s="3" t="str">
        <f t="shared" si="30"/>
        <v/>
      </c>
      <c r="V212" s="3" t="str">
        <f t="shared" si="31"/>
        <v/>
      </c>
      <c r="Z212" s="3">
        <v>46079</v>
      </c>
      <c r="AA212" s="4">
        <v>248.75470000000001</v>
      </c>
      <c r="AB212" s="74">
        <v>46079</v>
      </c>
      <c r="AC212" s="4">
        <v>255.23400000000001</v>
      </c>
      <c r="AD212" s="6">
        <f t="shared" si="32"/>
        <v>46079</v>
      </c>
    </row>
    <row r="213" spans="1:30" x14ac:dyDescent="0.25">
      <c r="A213" s="37"/>
      <c r="B213" s="38"/>
      <c r="C213" s="2"/>
      <c r="D213" s="41"/>
      <c r="E213" s="38"/>
      <c r="F213" s="2"/>
      <c r="G213" s="41"/>
      <c r="H213" s="38"/>
      <c r="I213" s="39"/>
      <c r="J213" s="39"/>
      <c r="K213" s="41"/>
      <c r="L213" s="41"/>
      <c r="M213" s="42"/>
      <c r="U213" s="3" t="str">
        <f t="shared" si="30"/>
        <v/>
      </c>
      <c r="V213" s="3" t="str">
        <f t="shared" si="31"/>
        <v/>
      </c>
      <c r="Z213" s="3">
        <v>46080</v>
      </c>
      <c r="AA213" s="4">
        <v>248.09289999999999</v>
      </c>
      <c r="AB213" s="74">
        <v>46080</v>
      </c>
      <c r="AC213" s="4">
        <v>260.47699999999998</v>
      </c>
      <c r="AD213" s="6">
        <f t="shared" si="32"/>
        <v>46080</v>
      </c>
    </row>
    <row r="214" spans="1:30" x14ac:dyDescent="0.25">
      <c r="A214" s="37"/>
      <c r="B214" s="38"/>
      <c r="C214" s="2"/>
      <c r="D214" s="41"/>
      <c r="E214" s="38"/>
      <c r="F214" s="2"/>
      <c r="G214" s="41"/>
      <c r="H214" s="38"/>
      <c r="I214" s="39"/>
      <c r="J214" s="39"/>
      <c r="K214" s="41"/>
      <c r="L214" s="41"/>
      <c r="M214" s="42"/>
      <c r="U214" s="3" t="str">
        <f t="shared" si="30"/>
        <v/>
      </c>
      <c r="V214" s="3" t="str">
        <f t="shared" si="31"/>
        <v/>
      </c>
      <c r="Z214" s="3">
        <v>46083</v>
      </c>
      <c r="AA214" s="4">
        <v>247.5763</v>
      </c>
      <c r="AB214" s="74">
        <v>46083</v>
      </c>
      <c r="AC214" s="4">
        <v>263.697</v>
      </c>
      <c r="AD214" s="6">
        <f t="shared" si="32"/>
        <v>46083</v>
      </c>
    </row>
    <row r="215" spans="1:30" x14ac:dyDescent="0.25">
      <c r="A215" s="37"/>
      <c r="B215" s="38"/>
      <c r="C215" s="2"/>
      <c r="D215" s="41"/>
      <c r="E215" s="38"/>
      <c r="F215" s="2"/>
      <c r="G215" s="41"/>
      <c r="H215" s="38"/>
      <c r="I215" s="39"/>
      <c r="J215" s="39"/>
      <c r="K215" s="41"/>
      <c r="L215" s="41"/>
      <c r="M215" s="42"/>
      <c r="U215" s="3" t="str">
        <f t="shared" si="30"/>
        <v/>
      </c>
      <c r="V215" s="3" t="str">
        <f t="shared" si="31"/>
        <v/>
      </c>
      <c r="Z215" s="3">
        <v>46084</v>
      </c>
      <c r="AA215" s="4">
        <v>246.2878</v>
      </c>
      <c r="AB215" s="74">
        <v>46084</v>
      </c>
      <c r="AC215" s="4">
        <v>274.05799999999999</v>
      </c>
      <c r="AD215" s="6">
        <f t="shared" si="32"/>
        <v>46084</v>
      </c>
    </row>
    <row r="216" spans="1:30" x14ac:dyDescent="0.25">
      <c r="A216" s="37"/>
      <c r="B216" s="38"/>
      <c r="C216" s="2"/>
      <c r="D216" s="41"/>
      <c r="E216" s="38"/>
      <c r="F216" s="2"/>
      <c r="G216" s="41"/>
      <c r="H216" s="38"/>
      <c r="I216" s="39"/>
      <c r="J216" s="39"/>
      <c r="K216" s="41"/>
      <c r="L216" s="41"/>
      <c r="M216" s="42"/>
      <c r="U216" s="3" t="str">
        <f t="shared" si="30"/>
        <v/>
      </c>
      <c r="V216" s="3" t="str">
        <f t="shared" si="31"/>
        <v/>
      </c>
      <c r="Z216" s="3">
        <v>46085</v>
      </c>
      <c r="AA216" s="4">
        <v>247.53190000000001</v>
      </c>
      <c r="AB216" s="74">
        <v>46085</v>
      </c>
      <c r="AC216" s="4">
        <v>264.47800000000001</v>
      </c>
      <c r="AD216" s="6">
        <f t="shared" si="32"/>
        <v>46085</v>
      </c>
    </row>
    <row r="217" spans="1:30" x14ac:dyDescent="0.25">
      <c r="A217" s="37"/>
      <c r="B217" s="38"/>
      <c r="C217" s="2"/>
      <c r="D217" s="41"/>
      <c r="E217" s="38"/>
      <c r="F217" s="2"/>
      <c r="G217" s="41"/>
      <c r="H217" s="38"/>
      <c r="I217" s="39"/>
      <c r="J217" s="39"/>
      <c r="K217" s="41"/>
      <c r="L217" s="41"/>
      <c r="M217" s="42"/>
      <c r="U217" s="3" t="str">
        <f t="shared" si="30"/>
        <v/>
      </c>
      <c r="V217" s="3" t="str">
        <f t="shared" si="31"/>
        <v/>
      </c>
      <c r="Z217" s="3">
        <v>46086</v>
      </c>
      <c r="AA217" s="4">
        <v>246.4889</v>
      </c>
      <c r="AB217" s="74">
        <v>46086</v>
      </c>
      <c r="AC217" s="4">
        <v>273.99700000000001</v>
      </c>
      <c r="AD217" s="6">
        <f t="shared" si="32"/>
        <v>46086</v>
      </c>
    </row>
    <row r="218" spans="1:30" x14ac:dyDescent="0.25">
      <c r="A218" s="37"/>
      <c r="B218" s="38"/>
      <c r="C218" s="2"/>
      <c r="D218" s="41"/>
      <c r="E218" s="38"/>
      <c r="F218" s="2"/>
      <c r="G218" s="41"/>
      <c r="H218" s="38"/>
      <c r="I218" s="39"/>
      <c r="J218" s="39"/>
      <c r="K218" s="41"/>
      <c r="L218" s="41"/>
      <c r="M218" s="42"/>
      <c r="U218" s="3" t="str">
        <f t="shared" si="30"/>
        <v/>
      </c>
      <c r="V218" s="3" t="str">
        <f t="shared" si="31"/>
        <v/>
      </c>
      <c r="Z218" s="3">
        <v>46087</v>
      </c>
      <c r="AA218" s="4">
        <v>244.8614</v>
      </c>
      <c r="AB218" s="74">
        <v>46087</v>
      </c>
      <c r="AC218" s="4">
        <v>288.99400000000003</v>
      </c>
      <c r="AD218" s="6">
        <f t="shared" si="32"/>
        <v>46087</v>
      </c>
    </row>
    <row r="219" spans="1:30" x14ac:dyDescent="0.25">
      <c r="A219" s="37"/>
      <c r="B219" s="38"/>
      <c r="C219" s="2"/>
      <c r="D219" s="41"/>
      <c r="E219" s="38"/>
      <c r="F219" s="2"/>
      <c r="G219" s="41"/>
      <c r="H219" s="38"/>
      <c r="I219" s="39"/>
      <c r="J219" s="39"/>
      <c r="K219" s="41"/>
      <c r="L219" s="41"/>
      <c r="M219" s="42"/>
      <c r="U219" s="3" t="str">
        <f t="shared" si="30"/>
        <v/>
      </c>
      <c r="V219" s="3" t="str">
        <f t="shared" si="31"/>
        <v/>
      </c>
      <c r="Z219" s="3">
        <v>46090</v>
      </c>
      <c r="AA219" s="4">
        <v>244.64580000000001</v>
      </c>
      <c r="AB219" s="74">
        <v>46090</v>
      </c>
      <c r="AC219" s="4">
        <v>291.28300000000002</v>
      </c>
      <c r="AD219" s="6">
        <f t="shared" si="32"/>
        <v>46090</v>
      </c>
    </row>
    <row r="220" spans="1:30" x14ac:dyDescent="0.25">
      <c r="A220" s="37"/>
      <c r="B220" s="38"/>
      <c r="C220" s="2"/>
      <c r="D220" s="41"/>
      <c r="E220" s="38"/>
      <c r="F220" s="2"/>
      <c r="G220" s="41"/>
      <c r="H220" s="38"/>
      <c r="I220" s="39"/>
      <c r="J220" s="39"/>
      <c r="K220" s="41"/>
      <c r="L220" s="41"/>
      <c r="M220" s="42"/>
      <c r="U220" s="3" t="str">
        <f t="shared" si="30"/>
        <v/>
      </c>
      <c r="V220" s="3" t="str">
        <f t="shared" si="31"/>
        <v/>
      </c>
      <c r="Z220" s="3">
        <v>46091</v>
      </c>
      <c r="AA220" s="4">
        <v>246.5496</v>
      </c>
      <c r="AB220" s="74">
        <v>46091</v>
      </c>
      <c r="AC220" s="4">
        <v>273.73200000000003</v>
      </c>
      <c r="AD220" s="6">
        <f t="shared" si="32"/>
        <v>46091</v>
      </c>
    </row>
    <row r="221" spans="1:30" x14ac:dyDescent="0.25">
      <c r="A221" s="37"/>
      <c r="B221" s="38"/>
      <c r="C221" s="2"/>
      <c r="D221" s="41"/>
      <c r="E221" s="38"/>
      <c r="F221" s="2"/>
      <c r="G221" s="41"/>
      <c r="H221" s="38"/>
      <c r="I221" s="39"/>
      <c r="J221" s="39"/>
      <c r="K221" s="41"/>
      <c r="L221" s="41"/>
      <c r="M221" s="42"/>
      <c r="U221" s="3" t="str">
        <f t="shared" si="30"/>
        <v/>
      </c>
      <c r="V221" s="3" t="str">
        <f t="shared" si="31"/>
        <v/>
      </c>
      <c r="Z221" s="3">
        <v>46092</v>
      </c>
      <c r="AA221" s="4">
        <v>245.137</v>
      </c>
      <c r="AB221" s="74">
        <v>46092</v>
      </c>
      <c r="AC221" s="4">
        <v>286.94400000000002</v>
      </c>
      <c r="AD221" s="6">
        <f t="shared" si="32"/>
        <v>46092</v>
      </c>
    </row>
    <row r="222" spans="1:30" x14ac:dyDescent="0.25">
      <c r="A222" s="37"/>
      <c r="B222" s="38"/>
      <c r="C222" s="2"/>
      <c r="D222" s="41"/>
      <c r="E222" s="38"/>
      <c r="F222" s="2"/>
      <c r="G222" s="41"/>
      <c r="H222" s="38"/>
      <c r="I222" s="39"/>
      <c r="J222" s="39"/>
      <c r="K222" s="41"/>
      <c r="L222" s="41"/>
      <c r="M222" s="42"/>
      <c r="U222" s="3" t="str">
        <f t="shared" si="30"/>
        <v/>
      </c>
      <c r="V222" s="3" t="str">
        <f t="shared" si="31"/>
        <v/>
      </c>
      <c r="Z222" s="3">
        <v>46093</v>
      </c>
      <c r="AA222" s="4">
        <v>244.11789999999999</v>
      </c>
      <c r="AB222" s="74">
        <v>46093</v>
      </c>
      <c r="AC222" s="4">
        <v>296.94900000000001</v>
      </c>
      <c r="AD222" s="6">
        <f t="shared" si="32"/>
        <v>46093</v>
      </c>
    </row>
    <row r="223" spans="1:30" x14ac:dyDescent="0.25">
      <c r="A223" s="37"/>
      <c r="B223" s="38"/>
      <c r="C223" s="2"/>
      <c r="D223" s="41"/>
      <c r="E223" s="38"/>
      <c r="F223" s="2"/>
      <c r="G223" s="41"/>
      <c r="H223" s="38"/>
      <c r="I223" s="39"/>
      <c r="J223" s="39"/>
      <c r="K223" s="41"/>
      <c r="L223" s="41"/>
      <c r="M223" s="42"/>
      <c r="U223" s="3" t="str">
        <f t="shared" si="30"/>
        <v/>
      </c>
      <c r="V223" s="3" t="str">
        <f t="shared" si="31"/>
        <v/>
      </c>
      <c r="Z223" s="3">
        <v>46094</v>
      </c>
      <c r="AA223" s="4">
        <v>243.1234</v>
      </c>
      <c r="AB223" s="74">
        <v>46094</v>
      </c>
      <c r="AC223" s="4">
        <v>306.91699999999997</v>
      </c>
      <c r="AD223" s="6">
        <f t="shared" si="32"/>
        <v>46094</v>
      </c>
    </row>
    <row r="224" spans="1:30" x14ac:dyDescent="0.25">
      <c r="A224" s="37"/>
      <c r="B224" s="38"/>
      <c r="C224" s="2"/>
      <c r="D224" s="41"/>
      <c r="E224" s="38"/>
      <c r="F224" s="2"/>
      <c r="G224" s="41"/>
      <c r="H224" s="38"/>
      <c r="I224" s="39"/>
      <c r="J224" s="39"/>
      <c r="K224" s="41"/>
      <c r="L224" s="41"/>
      <c r="M224" s="42"/>
      <c r="U224" s="3" t="str">
        <f t="shared" si="30"/>
        <v/>
      </c>
      <c r="V224" s="3" t="str">
        <f t="shared" si="31"/>
        <v/>
      </c>
      <c r="Z224" s="3">
        <v>46097</v>
      </c>
      <c r="AA224" s="4">
        <v>243.46899999999999</v>
      </c>
      <c r="AB224" s="74">
        <v>46097</v>
      </c>
      <c r="AC224" s="4">
        <v>303.91500000000002</v>
      </c>
      <c r="AD224" s="6">
        <f t="shared" si="32"/>
        <v>46097</v>
      </c>
    </row>
    <row r="225" spans="1:30" x14ac:dyDescent="0.25">
      <c r="A225" s="37"/>
      <c r="B225" s="38"/>
      <c r="C225" s="2"/>
      <c r="D225" s="41"/>
      <c r="E225" s="38"/>
      <c r="F225" s="2"/>
      <c r="G225" s="41"/>
      <c r="H225" s="38"/>
      <c r="I225" s="39"/>
      <c r="J225" s="39"/>
      <c r="K225" s="41"/>
      <c r="L225" s="41"/>
      <c r="M225" s="42"/>
      <c r="U225" s="3" t="str">
        <f t="shared" si="30"/>
        <v/>
      </c>
      <c r="V225" s="3" t="str">
        <f t="shared" si="31"/>
        <v/>
      </c>
      <c r="Z225" s="3">
        <v>46098</v>
      </c>
      <c r="AA225" s="4">
        <v>244.42140000000001</v>
      </c>
      <c r="AB225" s="74">
        <v>46098</v>
      </c>
      <c r="AC225" s="4">
        <v>294.67</v>
      </c>
      <c r="AD225" s="6">
        <f t="shared" si="32"/>
        <v>46098</v>
      </c>
    </row>
    <row r="226" spans="1:30" x14ac:dyDescent="0.25">
      <c r="A226" s="37"/>
      <c r="B226" s="38"/>
      <c r="C226" s="2"/>
      <c r="D226" s="41"/>
      <c r="E226" s="38"/>
      <c r="F226" s="2"/>
      <c r="G226" s="41"/>
      <c r="H226" s="38"/>
      <c r="I226" s="39"/>
      <c r="J226" s="39"/>
      <c r="K226" s="41"/>
      <c r="L226" s="41"/>
      <c r="M226" s="42"/>
      <c r="U226" s="3" t="str">
        <f t="shared" si="30"/>
        <v/>
      </c>
      <c r="V226" s="3" t="str">
        <f t="shared" si="31"/>
        <v/>
      </c>
      <c r="Z226" s="3">
        <v>46099</v>
      </c>
      <c r="AA226" s="4">
        <v>244.00810000000001</v>
      </c>
      <c r="AB226" s="74">
        <v>46099</v>
      </c>
      <c r="AC226" s="4">
        <v>298.87400000000002</v>
      </c>
      <c r="AD226" s="6">
        <f t="shared" si="32"/>
        <v>46099</v>
      </c>
    </row>
    <row r="227" spans="1:30" x14ac:dyDescent="0.25">
      <c r="A227" s="37"/>
      <c r="B227" s="38"/>
      <c r="C227" s="2"/>
      <c r="D227" s="41"/>
      <c r="E227" s="38"/>
      <c r="F227" s="2"/>
      <c r="G227" s="41"/>
      <c r="H227" s="38"/>
      <c r="I227" s="39"/>
      <c r="J227" s="39"/>
      <c r="K227" s="41"/>
      <c r="L227" s="41"/>
      <c r="M227" s="42"/>
      <c r="U227" s="3" t="str">
        <f t="shared" si="30"/>
        <v/>
      </c>
      <c r="V227" s="3" t="str">
        <f t="shared" si="31"/>
        <v/>
      </c>
      <c r="Z227" s="3">
        <v>46100</v>
      </c>
      <c r="AA227" s="4">
        <v>242.7533</v>
      </c>
      <c r="AB227" s="74">
        <v>46100</v>
      </c>
      <c r="AC227" s="4">
        <v>310.92399999999998</v>
      </c>
      <c r="AD227" s="6">
        <f t="shared" si="32"/>
        <v>46100</v>
      </c>
    </row>
    <row r="228" spans="1:30" x14ac:dyDescent="0.25">
      <c r="A228" s="37"/>
      <c r="B228" s="38"/>
      <c r="C228" s="2"/>
      <c r="D228" s="41"/>
      <c r="E228" s="38"/>
      <c r="F228" s="2"/>
      <c r="G228" s="41"/>
      <c r="H228" s="38"/>
      <c r="I228" s="39"/>
      <c r="J228" s="39"/>
      <c r="K228" s="41"/>
      <c r="L228" s="41"/>
      <c r="M228" s="42"/>
      <c r="U228" s="3" t="str">
        <f t="shared" si="30"/>
        <v/>
      </c>
      <c r="V228" s="3" t="str">
        <f t="shared" si="31"/>
        <v/>
      </c>
      <c r="Z228" s="3">
        <v>46101</v>
      </c>
      <c r="AA228" s="4">
        <v>241.26779999999999</v>
      </c>
      <c r="AB228" s="74">
        <v>46101</v>
      </c>
      <c r="AC228" s="4">
        <v>349.96800000000002</v>
      </c>
      <c r="AD228" s="6">
        <f t="shared" si="32"/>
        <v>46101</v>
      </c>
    </row>
    <row r="229" spans="1:30" x14ac:dyDescent="0.25">
      <c r="A229" s="37"/>
      <c r="B229" s="38"/>
      <c r="C229" s="2"/>
      <c r="D229" s="41"/>
      <c r="E229" s="38"/>
      <c r="F229" s="2"/>
      <c r="G229" s="41"/>
      <c r="H229" s="38"/>
      <c r="I229" s="39"/>
      <c r="J229" s="39"/>
      <c r="K229" s="41"/>
      <c r="L229" s="41"/>
      <c r="M229" s="42"/>
      <c r="U229" s="3" t="str">
        <f t="shared" si="30"/>
        <v/>
      </c>
      <c r="V229" s="3" t="str">
        <f t="shared" si="31"/>
        <v/>
      </c>
      <c r="Z229" s="3">
        <v>46104</v>
      </c>
      <c r="AA229" s="4">
        <v>242.08969999999999</v>
      </c>
      <c r="AB229" s="74">
        <v>46104</v>
      </c>
      <c r="AC229" s="4">
        <v>341.77300000000002</v>
      </c>
      <c r="AD229" s="6">
        <f t="shared" si="32"/>
        <v>46104</v>
      </c>
    </row>
    <row r="230" spans="1:30" x14ac:dyDescent="0.25">
      <c r="A230" s="37"/>
      <c r="B230" s="38"/>
      <c r="C230" s="2"/>
      <c r="D230" s="41"/>
      <c r="E230" s="38"/>
      <c r="F230" s="2"/>
      <c r="G230" s="41"/>
      <c r="H230" s="38"/>
      <c r="I230" s="39"/>
      <c r="J230" s="39"/>
      <c r="K230" s="41"/>
      <c r="L230" s="41"/>
      <c r="M230" s="42"/>
      <c r="U230" s="3" t="str">
        <f t="shared" si="30"/>
        <v/>
      </c>
      <c r="V230" s="3" t="str">
        <f t="shared" si="31"/>
        <v/>
      </c>
      <c r="Z230" s="3">
        <v>46105</v>
      </c>
      <c r="AA230" s="4">
        <v>242.32900000000001</v>
      </c>
      <c r="AB230" s="74">
        <v>46105</v>
      </c>
      <c r="AC230" s="4">
        <v>342.03300000000002</v>
      </c>
      <c r="AD230" s="6">
        <f t="shared" si="32"/>
        <v>46105</v>
      </c>
    </row>
    <row r="231" spans="1:30" x14ac:dyDescent="0.25">
      <c r="A231" s="37"/>
      <c r="B231" s="38"/>
      <c r="C231" s="2"/>
      <c r="D231" s="41"/>
      <c r="E231" s="38"/>
      <c r="F231" s="2"/>
      <c r="G231" s="41"/>
      <c r="H231" s="38"/>
      <c r="I231" s="39"/>
      <c r="J231" s="39"/>
      <c r="K231" s="41"/>
      <c r="L231" s="41"/>
      <c r="M231" s="42"/>
      <c r="U231" s="3" t="str">
        <f t="shared" si="30"/>
        <v/>
      </c>
      <c r="V231" s="3" t="str">
        <f t="shared" si="31"/>
        <v/>
      </c>
      <c r="Z231" s="3">
        <v>46106</v>
      </c>
      <c r="AA231" s="4">
        <v>243.4736</v>
      </c>
      <c r="AB231" s="74">
        <v>46106</v>
      </c>
      <c r="AC231" s="4">
        <v>330.851</v>
      </c>
      <c r="AD231" s="6">
        <f t="shared" si="32"/>
        <v>46106</v>
      </c>
    </row>
    <row r="232" spans="1:30" x14ac:dyDescent="0.25">
      <c r="A232" s="37"/>
      <c r="B232" s="38"/>
      <c r="C232" s="2"/>
      <c r="D232" s="41"/>
      <c r="E232" s="38"/>
      <c r="F232" s="2"/>
      <c r="G232" s="41"/>
      <c r="H232" s="38"/>
      <c r="I232" s="39"/>
      <c r="J232" s="39"/>
      <c r="K232" s="41"/>
      <c r="L232" s="41"/>
      <c r="M232" s="42"/>
      <c r="U232" s="3" t="str">
        <f t="shared" si="30"/>
        <v/>
      </c>
      <c r="V232" s="3" t="str">
        <f t="shared" si="31"/>
        <v/>
      </c>
      <c r="Z232" s="3">
        <v>46107</v>
      </c>
      <c r="AA232" s="4">
        <v>241.38650000000001</v>
      </c>
      <c r="AB232" s="74">
        <v>46107</v>
      </c>
      <c r="AC232" s="4">
        <v>351.12799999999999</v>
      </c>
      <c r="AD232" s="6">
        <f t="shared" si="32"/>
        <v>46107</v>
      </c>
    </row>
    <row r="233" spans="1:30" x14ac:dyDescent="0.25">
      <c r="A233" s="37"/>
      <c r="B233" s="38"/>
      <c r="C233" s="2"/>
      <c r="D233" s="41"/>
      <c r="E233" s="38"/>
      <c r="F233" s="2"/>
      <c r="G233" s="41"/>
      <c r="H233" s="38"/>
      <c r="I233" s="39"/>
      <c r="J233" s="39"/>
      <c r="K233" s="41"/>
      <c r="L233" s="41"/>
      <c r="M233" s="42"/>
      <c r="U233" s="3" t="str">
        <f t="shared" si="30"/>
        <v/>
      </c>
      <c r="V233" s="3" t="str">
        <f t="shared" si="31"/>
        <v/>
      </c>
      <c r="Z233" s="3">
        <v>46108</v>
      </c>
      <c r="AA233" s="4">
        <v>240.04679999999999</v>
      </c>
      <c r="AB233" s="74">
        <v>46108</v>
      </c>
      <c r="AC233" s="4">
        <v>361.84800000000001</v>
      </c>
      <c r="AD233" s="6">
        <f t="shared" si="32"/>
        <v>46108</v>
      </c>
    </row>
    <row r="234" spans="1:30" x14ac:dyDescent="0.25">
      <c r="A234" s="37"/>
      <c r="B234" s="38"/>
      <c r="C234" s="2"/>
      <c r="D234" s="41"/>
      <c r="E234" s="38"/>
      <c r="F234" s="2"/>
      <c r="G234" s="41"/>
      <c r="H234" s="38"/>
      <c r="I234" s="39"/>
      <c r="J234" s="39"/>
      <c r="K234" s="41"/>
      <c r="L234" s="41"/>
      <c r="M234" s="42"/>
      <c r="U234" s="3" t="str">
        <f t="shared" si="30"/>
        <v/>
      </c>
      <c r="V234" s="3" t="str">
        <f t="shared" si="31"/>
        <v/>
      </c>
      <c r="Z234" s="3">
        <v>46111</v>
      </c>
      <c r="AA234" s="4">
        <v>240.15790000000001</v>
      </c>
      <c r="AB234" s="74">
        <v>46111</v>
      </c>
      <c r="AC234" s="4">
        <v>361.5</v>
      </c>
      <c r="AD234" s="6">
        <f t="shared" si="32"/>
        <v>46111</v>
      </c>
    </row>
    <row r="235" spans="1:30" x14ac:dyDescent="0.25">
      <c r="A235" s="37"/>
      <c r="B235" s="38"/>
      <c r="C235" s="2"/>
      <c r="D235" s="41"/>
      <c r="E235" s="38"/>
      <c r="F235" s="2"/>
      <c r="G235" s="41"/>
      <c r="H235" s="38"/>
      <c r="I235" s="39"/>
      <c r="J235" s="39"/>
      <c r="K235" s="41"/>
      <c r="L235" s="41"/>
      <c r="M235" s="42"/>
      <c r="U235" s="3" t="str">
        <f t="shared" si="30"/>
        <v/>
      </c>
      <c r="V235" s="3" t="str">
        <f t="shared" si="31"/>
        <v/>
      </c>
      <c r="Z235" s="3">
        <v>46112</v>
      </c>
      <c r="AA235" s="4">
        <v>241.21780000000001</v>
      </c>
      <c r="AB235" s="74">
        <v>46112</v>
      </c>
      <c r="AC235" s="4">
        <v>353.01900000000001</v>
      </c>
      <c r="AD235" s="6">
        <f t="shared" si="32"/>
        <v>46112</v>
      </c>
    </row>
    <row r="236" spans="1:30" x14ac:dyDescent="0.25">
      <c r="A236" s="37"/>
      <c r="B236" s="38"/>
      <c r="C236" s="2"/>
      <c r="D236" s="41"/>
      <c r="E236" s="38"/>
      <c r="F236" s="2"/>
      <c r="G236" s="41"/>
      <c r="H236" s="38"/>
      <c r="I236" s="39"/>
      <c r="J236" s="39"/>
      <c r="K236" s="41"/>
      <c r="L236" s="41"/>
      <c r="M236" s="42"/>
      <c r="U236" s="3" t="str">
        <f t="shared" si="30"/>
        <v/>
      </c>
      <c r="V236" s="3" t="str">
        <f t="shared" si="31"/>
        <v/>
      </c>
      <c r="Z236" s="3">
        <v>46113</v>
      </c>
      <c r="AA236" s="4">
        <v>244.02869999999999</v>
      </c>
      <c r="AB236" s="74">
        <v>46113</v>
      </c>
      <c r="AC236" s="4">
        <v>327.18900000000002</v>
      </c>
      <c r="AD236" s="6">
        <f t="shared" si="32"/>
        <v>46113</v>
      </c>
    </row>
    <row r="237" spans="1:30" x14ac:dyDescent="0.25">
      <c r="A237" s="37"/>
      <c r="B237" s="38"/>
      <c r="C237" s="2"/>
      <c r="D237" s="41"/>
      <c r="E237" s="38"/>
      <c r="F237" s="2"/>
      <c r="G237" s="41"/>
      <c r="H237" s="38"/>
      <c r="I237" s="39"/>
      <c r="J237" s="39"/>
      <c r="K237" s="41"/>
      <c r="L237" s="41"/>
      <c r="M237" s="42"/>
      <c r="U237" s="3" t="str">
        <f t="shared" si="30"/>
        <v/>
      </c>
      <c r="V237" s="3" t="str">
        <f t="shared" si="31"/>
        <v/>
      </c>
      <c r="Z237" s="3">
        <v>46114</v>
      </c>
      <c r="AA237" s="4">
        <v>244.23920000000001</v>
      </c>
      <c r="AB237" s="74">
        <v>46114</v>
      </c>
      <c r="AC237" s="4">
        <v>325.447</v>
      </c>
      <c r="AD237" s="6">
        <f t="shared" si="32"/>
        <v>46114</v>
      </c>
    </row>
    <row r="238" spans="1:30" x14ac:dyDescent="0.25">
      <c r="A238" s="37"/>
      <c r="B238" s="38"/>
      <c r="C238" s="2"/>
      <c r="D238" s="41"/>
      <c r="E238" s="38"/>
      <c r="F238" s="2"/>
      <c r="G238" s="41"/>
      <c r="H238" s="38"/>
      <c r="I238" s="39"/>
      <c r="J238" s="39"/>
      <c r="K238" s="41"/>
      <c r="L238" s="41"/>
      <c r="M238" s="42"/>
      <c r="U238" s="3" t="str">
        <f t="shared" si="30"/>
        <v/>
      </c>
      <c r="V238" s="3" t="str">
        <f t="shared" si="31"/>
        <v/>
      </c>
      <c r="Z238" s="3">
        <v>46119</v>
      </c>
      <c r="AA238" s="4">
        <v>243.34200000000001</v>
      </c>
      <c r="AB238" s="74">
        <v>46119</v>
      </c>
      <c r="AC238" s="4">
        <v>335.255</v>
      </c>
      <c r="AD238" s="6">
        <f t="shared" si="32"/>
        <v>46119</v>
      </c>
    </row>
    <row r="239" spans="1:30" x14ac:dyDescent="0.25">
      <c r="A239" s="37"/>
      <c r="B239" s="38"/>
      <c r="C239" s="2"/>
      <c r="D239" s="41"/>
      <c r="E239" s="38"/>
      <c r="F239" s="2"/>
      <c r="G239" s="41"/>
      <c r="H239" s="38"/>
      <c r="I239" s="39"/>
      <c r="J239" s="39"/>
      <c r="K239" s="41"/>
      <c r="L239" s="41"/>
      <c r="M239" s="42"/>
      <c r="U239" s="3" t="str">
        <f t="shared" si="30"/>
        <v/>
      </c>
      <c r="V239" s="3" t="str">
        <f t="shared" si="31"/>
        <v/>
      </c>
      <c r="Z239" s="3">
        <v>46120</v>
      </c>
      <c r="AA239" s="4">
        <v>247.41990000000001</v>
      </c>
      <c r="AB239" s="74">
        <v>46120</v>
      </c>
      <c r="AC239" s="4">
        <v>297.39699999999999</v>
      </c>
      <c r="AD239" s="6">
        <f t="shared" si="32"/>
        <v>46120</v>
      </c>
    </row>
    <row r="240" spans="1:30" x14ac:dyDescent="0.25">
      <c r="A240" s="37"/>
      <c r="B240" s="38"/>
      <c r="C240" s="2"/>
      <c r="D240" s="41"/>
      <c r="E240" s="38"/>
      <c r="F240" s="2"/>
      <c r="G240" s="41"/>
      <c r="H240" s="38"/>
      <c r="I240" s="39"/>
      <c r="J240" s="39"/>
      <c r="K240" s="41"/>
      <c r="L240" s="41"/>
      <c r="M240" s="42"/>
      <c r="U240" s="3" t="str">
        <f t="shared" si="30"/>
        <v/>
      </c>
      <c r="V240" s="3" t="str">
        <f t="shared" si="31"/>
        <v/>
      </c>
      <c r="Z240" s="3">
        <v>46121</v>
      </c>
      <c r="AA240" s="4">
        <v>248.24930000000001</v>
      </c>
      <c r="AB240" s="74">
        <v>46121</v>
      </c>
      <c r="AC240" s="4">
        <v>290.79300000000001</v>
      </c>
      <c r="AD240" s="6">
        <f t="shared" si="32"/>
        <v>46121</v>
      </c>
    </row>
    <row r="241" spans="1:30" x14ac:dyDescent="0.25">
      <c r="A241" s="37"/>
      <c r="B241" s="38"/>
      <c r="C241" s="2"/>
      <c r="D241" s="41"/>
      <c r="E241" s="38"/>
      <c r="F241" s="2"/>
      <c r="G241" s="41"/>
      <c r="H241" s="38"/>
      <c r="I241" s="39"/>
      <c r="J241" s="39"/>
      <c r="K241" s="41"/>
      <c r="L241" s="41"/>
      <c r="M241" s="42"/>
      <c r="U241" s="3" t="str">
        <f t="shared" si="30"/>
        <v/>
      </c>
      <c r="V241" s="3" t="str">
        <f t="shared" si="31"/>
        <v/>
      </c>
      <c r="Z241" s="3">
        <v>46122</v>
      </c>
      <c r="AA241" s="4">
        <v>248.2782</v>
      </c>
      <c r="AB241" s="74">
        <v>46122</v>
      </c>
      <c r="AC241" s="4">
        <v>294.03300000000002</v>
      </c>
      <c r="AD241" s="6">
        <f t="shared" si="32"/>
        <v>46122</v>
      </c>
    </row>
    <row r="242" spans="1:30" x14ac:dyDescent="0.25">
      <c r="A242" s="37"/>
      <c r="B242" s="38"/>
      <c r="C242" s="2"/>
      <c r="D242" s="41"/>
      <c r="E242" s="38"/>
      <c r="F242" s="2"/>
      <c r="G242" s="41"/>
      <c r="H242" s="38"/>
      <c r="I242" s="39"/>
      <c r="J242" s="39"/>
      <c r="K242" s="41"/>
      <c r="L242" s="41"/>
      <c r="M242" s="42"/>
      <c r="U242" s="3" t="str">
        <f t="shared" si="30"/>
        <v/>
      </c>
      <c r="V242" s="3" t="str">
        <f t="shared" si="31"/>
        <v/>
      </c>
      <c r="Z242" s="3">
        <v>46125</v>
      </c>
      <c r="AA242" s="4">
        <v>248.03890000000001</v>
      </c>
      <c r="AB242" s="74">
        <v>46125</v>
      </c>
      <c r="AC242" s="4">
        <v>295.34500000000003</v>
      </c>
      <c r="AD242" s="6">
        <f t="shared" si="32"/>
        <v>46125</v>
      </c>
    </row>
    <row r="243" spans="1:30" x14ac:dyDescent="0.25">
      <c r="A243" s="37"/>
      <c r="B243" s="38"/>
      <c r="C243" s="2"/>
      <c r="D243" s="41"/>
      <c r="E243" s="38"/>
      <c r="F243" s="2"/>
      <c r="G243" s="41"/>
      <c r="H243" s="38"/>
      <c r="I243" s="39"/>
      <c r="J243" s="39"/>
      <c r="K243" s="41"/>
      <c r="L243" s="41"/>
      <c r="M243" s="42"/>
      <c r="U243" s="3" t="str">
        <f t="shared" si="30"/>
        <v/>
      </c>
      <c r="V243" s="3" t="str">
        <f t="shared" si="31"/>
        <v/>
      </c>
      <c r="Z243" s="3">
        <v>46126</v>
      </c>
      <c r="AA243" s="4">
        <v>249.5992</v>
      </c>
      <c r="AB243" s="74">
        <v>46126</v>
      </c>
      <c r="AC243" s="4">
        <v>281.303</v>
      </c>
      <c r="AD243" s="6">
        <f t="shared" si="32"/>
        <v>46126</v>
      </c>
    </row>
    <row r="244" spans="1:30" x14ac:dyDescent="0.25">
      <c r="A244" s="37"/>
      <c r="B244" s="38"/>
      <c r="C244" s="2"/>
      <c r="D244" s="41"/>
      <c r="E244" s="38"/>
      <c r="F244" s="2"/>
      <c r="G244" s="41"/>
      <c r="H244" s="38"/>
      <c r="I244" s="39"/>
      <c r="J244" s="39"/>
      <c r="K244" s="41"/>
      <c r="L244" s="41"/>
      <c r="M244" s="42"/>
      <c r="U244" s="3" t="str">
        <f t="shared" si="30"/>
        <v/>
      </c>
      <c r="V244" s="3" t="str">
        <f t="shared" si="31"/>
        <v/>
      </c>
      <c r="Z244" s="3">
        <v>46127</v>
      </c>
      <c r="AA244" s="4">
        <v>249.53909999999999</v>
      </c>
      <c r="AB244" s="74">
        <v>46127</v>
      </c>
      <c r="AC244" s="4">
        <v>283.45699999999999</v>
      </c>
      <c r="AD244" s="6">
        <f t="shared" si="32"/>
        <v>46127</v>
      </c>
    </row>
    <row r="245" spans="1:30" x14ac:dyDescent="0.25">
      <c r="A245" s="37"/>
      <c r="B245" s="38"/>
      <c r="C245" s="2"/>
      <c r="D245" s="41"/>
      <c r="E245" s="38"/>
      <c r="F245" s="2"/>
      <c r="G245" s="41"/>
      <c r="H245" s="38"/>
      <c r="I245" s="39"/>
      <c r="J245" s="39"/>
      <c r="K245" s="41"/>
      <c r="L245" s="41"/>
      <c r="M245" s="42"/>
      <c r="U245" s="3" t="str">
        <f t="shared" si="30"/>
        <v/>
      </c>
      <c r="V245" s="3" t="str">
        <f t="shared" si="31"/>
        <v/>
      </c>
      <c r="Z245" s="3">
        <v>46128</v>
      </c>
      <c r="AA245" s="4">
        <v>249.1765</v>
      </c>
      <c r="AB245" s="74">
        <v>46128</v>
      </c>
      <c r="AC245" s="4">
        <v>287.08800000000002</v>
      </c>
      <c r="AD245" s="6">
        <f t="shared" si="32"/>
        <v>46128</v>
      </c>
    </row>
    <row r="246" spans="1:30" x14ac:dyDescent="0.25">
      <c r="A246" s="37"/>
      <c r="B246" s="38"/>
      <c r="C246" s="2"/>
      <c r="D246" s="41"/>
      <c r="E246" s="38"/>
      <c r="F246" s="2"/>
      <c r="G246" s="41"/>
      <c r="H246" s="38"/>
      <c r="I246" s="39"/>
      <c r="J246" s="39"/>
      <c r="K246" s="41"/>
      <c r="L246" s="41"/>
      <c r="M246" s="42"/>
      <c r="U246" s="3" t="str">
        <f t="shared" si="30"/>
        <v/>
      </c>
      <c r="V246" s="3" t="str">
        <f t="shared" si="31"/>
        <v/>
      </c>
      <c r="Z246" s="3">
        <v>46129</v>
      </c>
      <c r="AA246" s="4">
        <v>250.45760000000001</v>
      </c>
      <c r="AB246" s="74">
        <v>46129</v>
      </c>
      <c r="AC246" s="4">
        <v>275.86700000000002</v>
      </c>
      <c r="AD246" s="6">
        <f t="shared" si="32"/>
        <v>46129</v>
      </c>
    </row>
    <row r="247" spans="1:30" x14ac:dyDescent="0.25">
      <c r="A247" s="37"/>
      <c r="B247" s="38"/>
      <c r="C247" s="2"/>
      <c r="D247" s="41"/>
      <c r="E247" s="38"/>
      <c r="F247" s="2"/>
      <c r="G247" s="41"/>
      <c r="H247" s="38"/>
      <c r="I247" s="39"/>
      <c r="J247" s="39"/>
      <c r="K247" s="41"/>
      <c r="L247" s="41"/>
      <c r="M247" s="42"/>
      <c r="U247" s="3" t="str">
        <f t="shared" si="30"/>
        <v/>
      </c>
      <c r="V247" s="3" t="str">
        <f t="shared" si="31"/>
        <v/>
      </c>
      <c r="Z247" s="3">
        <v>46132</v>
      </c>
      <c r="AA247" s="4">
        <v>250.11789999999999</v>
      </c>
      <c r="AB247" s="74">
        <v>46132</v>
      </c>
      <c r="AC247" s="4">
        <v>279.73</v>
      </c>
      <c r="AD247" s="6">
        <f t="shared" si="32"/>
        <v>46132</v>
      </c>
    </row>
    <row r="248" spans="1:30" x14ac:dyDescent="0.25">
      <c r="A248" s="37"/>
      <c r="B248" s="38"/>
      <c r="C248" s="2"/>
      <c r="D248" s="41"/>
      <c r="E248" s="38"/>
      <c r="F248" s="2"/>
      <c r="G248" s="41"/>
      <c r="H248" s="38"/>
      <c r="I248" s="39"/>
      <c r="J248" s="39"/>
      <c r="K248" s="41"/>
      <c r="L248" s="41"/>
      <c r="M248" s="42"/>
      <c r="U248" s="3" t="str">
        <f t="shared" si="30"/>
        <v/>
      </c>
      <c r="V248" s="3" t="str">
        <f t="shared" si="31"/>
        <v/>
      </c>
      <c r="Z248" s="3">
        <v>46133</v>
      </c>
      <c r="AA248" s="4">
        <v>249.51689999999999</v>
      </c>
      <c r="AB248" s="74">
        <v>46133</v>
      </c>
      <c r="AC248" s="4">
        <v>285.02300000000002</v>
      </c>
      <c r="AD248" s="6">
        <f t="shared" si="32"/>
        <v>46133</v>
      </c>
    </row>
    <row r="249" spans="1:30" x14ac:dyDescent="0.25">
      <c r="A249" s="37"/>
      <c r="B249" s="38"/>
      <c r="C249" s="2"/>
      <c r="D249" s="41"/>
      <c r="E249" s="38"/>
      <c r="F249" s="2"/>
      <c r="G249" s="41"/>
      <c r="H249" s="38"/>
      <c r="I249" s="39"/>
      <c r="J249" s="39"/>
      <c r="K249" s="41"/>
      <c r="L249" s="41"/>
      <c r="M249" s="42"/>
      <c r="U249" s="3" t="str">
        <f t="shared" si="30"/>
        <v/>
      </c>
      <c r="V249" s="3" t="str">
        <f t="shared" si="31"/>
        <v/>
      </c>
      <c r="Z249" s="3">
        <v>46134</v>
      </c>
      <c r="AA249" s="4">
        <v>249.46960000000001</v>
      </c>
      <c r="AB249" s="74">
        <v>46134</v>
      </c>
      <c r="AC249" s="4">
        <v>285.94499999999999</v>
      </c>
      <c r="AD249" s="6">
        <f t="shared" si="32"/>
        <v>46134</v>
      </c>
    </row>
    <row r="250" spans="1:30" x14ac:dyDescent="0.25">
      <c r="A250" s="37"/>
      <c r="B250" s="38"/>
      <c r="C250" s="2"/>
      <c r="D250" s="41"/>
      <c r="E250" s="38"/>
      <c r="F250" s="2"/>
      <c r="G250" s="41"/>
      <c r="H250" s="38"/>
      <c r="I250" s="39"/>
      <c r="J250" s="39"/>
      <c r="K250" s="41"/>
      <c r="L250" s="41"/>
      <c r="M250" s="42"/>
      <c r="U250" s="3" t="str">
        <f t="shared" si="30"/>
        <v/>
      </c>
      <c r="V250" s="3" t="str">
        <f t="shared" si="31"/>
        <v/>
      </c>
      <c r="Z250" s="3">
        <v>46135</v>
      </c>
      <c r="AA250" s="4">
        <v>249.30770000000001</v>
      </c>
      <c r="AB250" s="74">
        <v>46135</v>
      </c>
      <c r="AC250" s="4">
        <v>288.49599999999998</v>
      </c>
      <c r="AD250" s="6">
        <f t="shared" si="32"/>
        <v>46135</v>
      </c>
    </row>
    <row r="251" spans="1:30" x14ac:dyDescent="0.25">
      <c r="A251" s="37"/>
      <c r="B251" s="38"/>
      <c r="C251" s="2"/>
      <c r="D251" s="41"/>
      <c r="E251" s="38"/>
      <c r="F251" s="2"/>
      <c r="G251" s="41"/>
      <c r="H251" s="38"/>
      <c r="I251" s="39"/>
      <c r="J251" s="39"/>
      <c r="K251" s="41"/>
      <c r="L251" s="41"/>
      <c r="M251" s="42"/>
      <c r="U251" s="3" t="str">
        <f t="shared" si="30"/>
        <v/>
      </c>
      <c r="V251" s="3" t="str">
        <f t="shared" si="31"/>
        <v/>
      </c>
      <c r="Z251" s="3">
        <v>46136</v>
      </c>
      <c r="AA251" s="4">
        <v>249.20050000000001</v>
      </c>
      <c r="AB251" s="74">
        <v>46136</v>
      </c>
      <c r="AC251" s="4">
        <v>287.25799999999998</v>
      </c>
      <c r="AD251" s="6">
        <f t="shared" si="32"/>
        <v>46136</v>
      </c>
    </row>
    <row r="252" spans="1:30" x14ac:dyDescent="0.25">
      <c r="A252" s="37"/>
      <c r="B252" s="38"/>
      <c r="C252" s="2"/>
      <c r="D252" s="41"/>
      <c r="E252" s="38"/>
      <c r="F252" s="2"/>
      <c r="G252" s="41"/>
      <c r="H252" s="38"/>
      <c r="I252" s="39"/>
      <c r="J252" s="39"/>
      <c r="K252" s="41"/>
      <c r="L252" s="41"/>
      <c r="M252" s="42"/>
      <c r="U252" s="3" t="str">
        <f t="shared" si="30"/>
        <v/>
      </c>
      <c r="V252" s="3" t="str">
        <f t="shared" si="31"/>
        <v/>
      </c>
      <c r="Z252" s="3">
        <v>46139</v>
      </c>
      <c r="AA252" s="4">
        <v>249.10599999999999</v>
      </c>
      <c r="AB252" s="74">
        <v>46139</v>
      </c>
      <c r="AC252" s="4">
        <v>288.53300000000002</v>
      </c>
      <c r="AD252" s="6">
        <f t="shared" si="32"/>
        <v>46139</v>
      </c>
    </row>
    <row r="253" spans="1:30" x14ac:dyDescent="0.25">
      <c r="A253" s="37"/>
      <c r="B253" s="38"/>
      <c r="C253" s="2"/>
      <c r="D253" s="41"/>
      <c r="E253" s="38"/>
      <c r="F253" s="2"/>
      <c r="G253" s="41"/>
      <c r="H253" s="38"/>
      <c r="I253" s="39"/>
      <c r="J253" s="39"/>
      <c r="K253" s="41"/>
      <c r="L253" s="41"/>
      <c r="M253" s="42"/>
      <c r="U253" s="3" t="str">
        <f t="shared" si="30"/>
        <v/>
      </c>
      <c r="V253" s="3" t="str">
        <f t="shared" si="31"/>
        <v/>
      </c>
      <c r="Z253" s="3">
        <v>46140</v>
      </c>
      <c r="AA253" s="4">
        <v>248.827</v>
      </c>
      <c r="AB253" s="74">
        <v>46140</v>
      </c>
      <c r="AC253" s="4">
        <v>292.154</v>
      </c>
      <c r="AD253" s="6">
        <f t="shared" si="32"/>
        <v>46140</v>
      </c>
    </row>
    <row r="254" spans="1:30" x14ac:dyDescent="0.25">
      <c r="A254" s="37"/>
      <c r="B254" s="38"/>
      <c r="C254" s="2"/>
      <c r="D254" s="41"/>
      <c r="E254" s="38"/>
      <c r="F254" s="2"/>
      <c r="G254" s="41"/>
      <c r="H254" s="38"/>
      <c r="I254" s="39"/>
      <c r="J254" s="39"/>
      <c r="K254" s="41"/>
      <c r="L254" s="41"/>
      <c r="M254" s="42"/>
      <c r="U254" s="3" t="str">
        <f t="shared" si="30"/>
        <v/>
      </c>
      <c r="V254" s="3" t="str">
        <f t="shared" si="31"/>
        <v/>
      </c>
      <c r="Z254" s="3">
        <v>46141</v>
      </c>
      <c r="AA254" s="4">
        <v>248.28469999999999</v>
      </c>
      <c r="AB254" s="74">
        <v>46141</v>
      </c>
      <c r="AC254" s="4">
        <v>297.69</v>
      </c>
      <c r="AD254" s="6">
        <f t="shared" si="32"/>
        <v>46141</v>
      </c>
    </row>
    <row r="255" spans="1:30" x14ac:dyDescent="0.25">
      <c r="A255" s="37"/>
      <c r="B255" s="38"/>
      <c r="C255" s="2"/>
      <c r="D255" s="41"/>
      <c r="E255" s="38"/>
      <c r="F255" s="2"/>
      <c r="G255" s="41"/>
      <c r="H255" s="38"/>
      <c r="I255" s="39"/>
      <c r="J255" s="39"/>
      <c r="K255" s="41"/>
      <c r="L255" s="41"/>
      <c r="M255" s="42"/>
      <c r="U255" s="3" t="str">
        <f t="shared" si="30"/>
        <v/>
      </c>
      <c r="V255" s="3" t="str">
        <f t="shared" si="31"/>
        <v/>
      </c>
      <c r="Z255" s="3">
        <v>46142</v>
      </c>
      <c r="AA255" s="4">
        <v>248.685</v>
      </c>
      <c r="AB255" s="74">
        <v>46142</v>
      </c>
      <c r="AC255" s="4">
        <v>292.53100000000001</v>
      </c>
      <c r="AD255" s="6">
        <f t="shared" si="32"/>
        <v>46142</v>
      </c>
    </row>
    <row r="256" spans="1:30" x14ac:dyDescent="0.25">
      <c r="A256" s="37"/>
      <c r="B256" s="38"/>
      <c r="C256" s="2"/>
      <c r="D256" s="41"/>
      <c r="E256" s="38"/>
      <c r="F256" s="2"/>
      <c r="G256" s="41"/>
      <c r="H256" s="38"/>
      <c r="I256" s="39"/>
      <c r="J256" s="39"/>
      <c r="K256" s="41"/>
      <c r="L256" s="41"/>
      <c r="M256" s="42"/>
      <c r="U256" s="3" t="str">
        <f t="shared" si="30"/>
        <v/>
      </c>
      <c r="V256" s="3" t="str">
        <f t="shared" si="31"/>
        <v/>
      </c>
      <c r="Z256" s="3">
        <v>46143</v>
      </c>
      <c r="AA256" s="4">
        <v>249.75620000000001</v>
      </c>
      <c r="AB256" s="74">
        <v>46143</v>
      </c>
      <c r="AC256" s="4">
        <v>284.60300000000001</v>
      </c>
      <c r="AD256" s="6">
        <f t="shared" si="32"/>
        <v>46143</v>
      </c>
    </row>
    <row r="257" spans="1:30" x14ac:dyDescent="0.25">
      <c r="A257" s="37"/>
      <c r="B257" s="38"/>
      <c r="C257" s="2"/>
      <c r="D257" s="41"/>
      <c r="E257" s="38"/>
      <c r="F257" s="2"/>
      <c r="G257" s="41"/>
      <c r="H257" s="38"/>
      <c r="I257" s="39"/>
      <c r="J257" s="39"/>
      <c r="K257" s="41"/>
      <c r="L257" s="41"/>
      <c r="M257" s="42"/>
      <c r="U257" s="3" t="str">
        <f t="shared" si="30"/>
        <v/>
      </c>
      <c r="V257" s="3" t="str">
        <f t="shared" si="31"/>
        <v/>
      </c>
      <c r="Z257" s="3">
        <v>46147</v>
      </c>
      <c r="AA257" s="4">
        <v>249.4753</v>
      </c>
      <c r="AB257" s="74">
        <v>46147</v>
      </c>
      <c r="AC257" s="4">
        <v>287.411</v>
      </c>
      <c r="AD257" s="6">
        <f t="shared" si="32"/>
        <v>46147</v>
      </c>
    </row>
    <row r="258" spans="1:30" x14ac:dyDescent="0.25">
      <c r="A258" s="37"/>
      <c r="B258" s="38"/>
      <c r="C258" s="2"/>
      <c r="D258" s="41"/>
      <c r="E258" s="38"/>
      <c r="F258" s="2"/>
      <c r="G258" s="41"/>
      <c r="H258" s="38"/>
      <c r="I258" s="39"/>
      <c r="J258" s="39"/>
      <c r="K258" s="41"/>
      <c r="L258" s="41"/>
      <c r="M258" s="42"/>
      <c r="U258" s="3" t="str">
        <f t="shared" si="30"/>
        <v/>
      </c>
      <c r="V258" s="3" t="str">
        <f t="shared" si="31"/>
        <v/>
      </c>
      <c r="Z258" s="3">
        <v>46148</v>
      </c>
      <c r="AA258" s="4">
        <v>250.94749999999999</v>
      </c>
      <c r="AB258" s="74">
        <v>46148</v>
      </c>
      <c r="AC258" s="4">
        <v>275.23200000000003</v>
      </c>
      <c r="AD258" s="6">
        <f t="shared" si="32"/>
        <v>46148</v>
      </c>
    </row>
    <row r="259" spans="1:30" x14ac:dyDescent="0.25">
      <c r="A259" s="37"/>
      <c r="B259" s="38"/>
      <c r="C259" s="2"/>
      <c r="D259" s="41"/>
      <c r="E259" s="38"/>
      <c r="F259" s="2"/>
      <c r="G259" s="41"/>
      <c r="H259" s="38"/>
      <c r="I259" s="39"/>
      <c r="J259" s="39"/>
      <c r="K259" s="41"/>
      <c r="L259" s="41"/>
      <c r="M259" s="42"/>
      <c r="U259" s="3" t="str">
        <f t="shared" si="30"/>
        <v/>
      </c>
      <c r="V259" s="3" t="str">
        <f t="shared" si="31"/>
        <v/>
      </c>
      <c r="Z259" s="3">
        <v>46149</v>
      </c>
      <c r="AA259" s="4">
        <v>250.63929999999999</v>
      </c>
      <c r="AB259" s="74">
        <v>46149</v>
      </c>
      <c r="AC259" s="4">
        <v>278.976</v>
      </c>
      <c r="AD259" s="6">
        <f t="shared" si="32"/>
        <v>46149</v>
      </c>
    </row>
    <row r="260" spans="1:30" x14ac:dyDescent="0.25">
      <c r="A260" s="37"/>
      <c r="B260" s="38"/>
      <c r="C260" s="2"/>
      <c r="D260" s="41"/>
      <c r="E260" s="38"/>
      <c r="F260" s="2"/>
      <c r="G260" s="41"/>
      <c r="H260" s="38"/>
      <c r="I260" s="39"/>
      <c r="J260" s="39"/>
      <c r="K260" s="41"/>
      <c r="L260" s="41"/>
      <c r="M260" s="42"/>
      <c r="U260" s="3" t="str">
        <f t="shared" ref="U260:U323" si="33">IF(COUNTIF(Q:Q,O260)*COUNTIF(S:S,O260),O260,"")</f>
        <v/>
      </c>
      <c r="V260" s="3" t="str">
        <f t="shared" ref="V260:V323" si="34">IF(U260&gt;$A$14,U260,"")</f>
        <v/>
      </c>
      <c r="Z260" s="3">
        <v>46150</v>
      </c>
      <c r="AA260" s="4">
        <v>250.6848</v>
      </c>
      <c r="AB260" s="74">
        <v>46150</v>
      </c>
      <c r="AC260" s="4">
        <v>277.91800000000001</v>
      </c>
      <c r="AD260" s="6">
        <f t="shared" ref="AD260:AD323" si="35">IF(COUNTIF(AB:AB,Z260),Z260,"")</f>
        <v>46150</v>
      </c>
    </row>
    <row r="261" spans="1:30" x14ac:dyDescent="0.25">
      <c r="A261" s="37"/>
      <c r="B261" s="38"/>
      <c r="C261" s="2"/>
      <c r="D261" s="41"/>
      <c r="E261" s="38"/>
      <c r="F261" s="2"/>
      <c r="G261" s="41"/>
      <c r="H261" s="38"/>
      <c r="I261" s="39"/>
      <c r="J261" s="39"/>
      <c r="K261" s="41"/>
      <c r="L261" s="41"/>
      <c r="M261" s="42"/>
      <c r="U261" s="3" t="str">
        <f t="shared" si="33"/>
        <v/>
      </c>
      <c r="V261" s="3" t="str">
        <f t="shared" si="34"/>
        <v/>
      </c>
      <c r="Z261" s="3">
        <v>46153</v>
      </c>
      <c r="AA261" s="4">
        <v>250.97389999999999</v>
      </c>
      <c r="AB261" s="74">
        <v>46153</v>
      </c>
      <c r="AC261" s="4">
        <v>276.47399999999999</v>
      </c>
      <c r="AD261" s="6">
        <f t="shared" si="35"/>
        <v>46153</v>
      </c>
    </row>
    <row r="262" spans="1:30" x14ac:dyDescent="0.25">
      <c r="A262" s="37"/>
      <c r="B262" s="38"/>
      <c r="C262" s="2"/>
      <c r="D262" s="41"/>
      <c r="E262" s="38"/>
      <c r="F262" s="2"/>
      <c r="G262" s="41"/>
      <c r="H262" s="38"/>
      <c r="I262" s="39"/>
      <c r="J262" s="39"/>
      <c r="K262" s="41"/>
      <c r="L262" s="41"/>
      <c r="M262" s="42"/>
      <c r="U262" s="3" t="str">
        <f t="shared" si="33"/>
        <v/>
      </c>
      <c r="V262" s="3" t="str">
        <f t="shared" si="34"/>
        <v/>
      </c>
      <c r="Z262" s="3">
        <v>46154</v>
      </c>
      <c r="AA262" s="4">
        <v>250.0761</v>
      </c>
      <c r="AB262" s="74">
        <v>46154</v>
      </c>
      <c r="AC262" s="4">
        <v>284.12599999999998</v>
      </c>
      <c r="AD262" s="6">
        <f t="shared" si="35"/>
        <v>46154</v>
      </c>
    </row>
    <row r="263" spans="1:30" x14ac:dyDescent="0.25">
      <c r="A263" s="37"/>
      <c r="B263" s="38"/>
      <c r="C263" s="2"/>
      <c r="D263" s="41"/>
      <c r="E263" s="38"/>
      <c r="F263" s="2"/>
      <c r="G263" s="41"/>
      <c r="H263" s="38"/>
      <c r="I263" s="39"/>
      <c r="J263" s="39"/>
      <c r="K263" s="41"/>
      <c r="L263" s="41"/>
      <c r="M263" s="42"/>
      <c r="U263" s="3" t="str">
        <f t="shared" si="33"/>
        <v/>
      </c>
      <c r="V263" s="3" t="str">
        <f t="shared" si="34"/>
        <v/>
      </c>
      <c r="Z263" s="3">
        <v>46155</v>
      </c>
      <c r="AA263" s="4">
        <v>250.61799999999999</v>
      </c>
      <c r="AB263" s="74">
        <v>46155</v>
      </c>
      <c r="AC263" s="4">
        <v>278.68400000000003</v>
      </c>
      <c r="AD263" s="6">
        <f t="shared" si="35"/>
        <v>46155</v>
      </c>
    </row>
    <row r="264" spans="1:30" x14ac:dyDescent="0.25">
      <c r="A264" s="37"/>
      <c r="B264" s="38"/>
      <c r="C264" s="2"/>
      <c r="D264" s="41"/>
      <c r="E264" s="38"/>
      <c r="F264" s="2"/>
      <c r="G264" s="41"/>
      <c r="H264" s="38"/>
      <c r="I264" s="39"/>
      <c r="J264" s="39"/>
      <c r="K264" s="41"/>
      <c r="L264" s="41"/>
      <c r="M264" s="42"/>
      <c r="U264" s="3" t="str">
        <f t="shared" si="33"/>
        <v/>
      </c>
      <c r="V264" s="3" t="str">
        <f t="shared" si="34"/>
        <v/>
      </c>
      <c r="Z264" s="3">
        <v>46156</v>
      </c>
      <c r="AA264" s="4">
        <v>251.22890000000001</v>
      </c>
      <c r="AB264" s="74">
        <v>46156</v>
      </c>
      <c r="AC264" s="4">
        <v>273.61</v>
      </c>
      <c r="AD264" s="6">
        <f t="shared" si="35"/>
        <v>46156</v>
      </c>
    </row>
    <row r="265" spans="1:30" x14ac:dyDescent="0.25">
      <c r="A265" s="37"/>
      <c r="B265" s="38"/>
      <c r="C265" s="2"/>
      <c r="D265" s="41"/>
      <c r="E265" s="38"/>
      <c r="F265" s="2"/>
      <c r="G265" s="41"/>
      <c r="H265" s="38"/>
      <c r="I265" s="39"/>
      <c r="J265" s="39"/>
      <c r="K265" s="41"/>
      <c r="L265" s="41"/>
      <c r="M265" s="42"/>
      <c r="U265" s="3" t="str">
        <f t="shared" si="33"/>
        <v/>
      </c>
      <c r="V265" s="3" t="str">
        <f t="shared" si="34"/>
        <v/>
      </c>
      <c r="Z265" s="3">
        <v>46157</v>
      </c>
      <c r="AA265" s="4">
        <v>250.38300000000001</v>
      </c>
      <c r="AB265" s="74">
        <v>46157</v>
      </c>
      <c r="AC265" s="4">
        <v>282.07</v>
      </c>
      <c r="AD265" s="6">
        <f t="shared" si="35"/>
        <v>46157</v>
      </c>
    </row>
    <row r="266" spans="1:30" x14ac:dyDescent="0.25">
      <c r="A266" s="37"/>
      <c r="B266" s="38"/>
      <c r="C266" s="2"/>
      <c r="D266" s="41"/>
      <c r="E266" s="38"/>
      <c r="F266" s="2"/>
      <c r="G266" s="41"/>
      <c r="H266" s="38"/>
      <c r="I266" s="39"/>
      <c r="J266" s="39"/>
      <c r="K266" s="41"/>
      <c r="L266" s="41"/>
      <c r="M266" s="42"/>
      <c r="U266" s="3" t="str">
        <f t="shared" si="33"/>
        <v/>
      </c>
      <c r="V266" s="3" t="str">
        <f t="shared" si="34"/>
        <v/>
      </c>
      <c r="Z266" s="3">
        <v>46160</v>
      </c>
      <c r="AA266" s="4">
        <v>250.5284</v>
      </c>
      <c r="AB266" s="74">
        <v>46160</v>
      </c>
      <c r="AC266" s="4">
        <v>280.35000000000002</v>
      </c>
      <c r="AD266" s="6">
        <f t="shared" si="35"/>
        <v>46160</v>
      </c>
    </row>
    <row r="267" spans="1:30" x14ac:dyDescent="0.25">
      <c r="A267" s="37"/>
      <c r="B267" s="38"/>
      <c r="C267" s="2"/>
      <c r="D267" s="41"/>
      <c r="E267" s="38"/>
      <c r="F267" s="2"/>
      <c r="G267" s="41"/>
      <c r="H267" s="38"/>
      <c r="I267" s="39"/>
      <c r="J267" s="39"/>
      <c r="K267" s="41"/>
      <c r="L267" s="41"/>
      <c r="M267" s="42"/>
      <c r="U267" s="3" t="str">
        <f t="shared" si="33"/>
        <v/>
      </c>
      <c r="V267" s="3" t="str">
        <f t="shared" si="34"/>
        <v/>
      </c>
      <c r="Z267" s="3">
        <v>46161</v>
      </c>
      <c r="AA267" s="4">
        <v>249.98050000000001</v>
      </c>
      <c r="AB267" s="74">
        <v>46161</v>
      </c>
      <c r="AC267" s="4">
        <v>285.892</v>
      </c>
      <c r="AD267" s="6">
        <f t="shared" si="35"/>
        <v>46161</v>
      </c>
    </row>
    <row r="268" spans="1:30" x14ac:dyDescent="0.25">
      <c r="A268" s="37"/>
      <c r="B268" s="38"/>
      <c r="C268" s="2"/>
      <c r="D268" s="41"/>
      <c r="E268" s="38"/>
      <c r="F268" s="2"/>
      <c r="G268" s="41"/>
      <c r="H268" s="38"/>
      <c r="I268" s="39"/>
      <c r="J268" s="39"/>
      <c r="K268" s="41"/>
      <c r="L268" s="41"/>
      <c r="M268" s="42"/>
      <c r="U268" s="3" t="str">
        <f t="shared" si="33"/>
        <v/>
      </c>
      <c r="V268" s="3" t="str">
        <f t="shared" si="34"/>
        <v/>
      </c>
      <c r="Z268" s="3">
        <v>46162</v>
      </c>
      <c r="AA268" s="4">
        <v>251.0129</v>
      </c>
      <c r="AB268" s="74">
        <v>46162</v>
      </c>
      <c r="AC268" s="4">
        <v>276.52</v>
      </c>
      <c r="AD268" s="6">
        <f t="shared" si="35"/>
        <v>46162</v>
      </c>
    </row>
    <row r="269" spans="1:30" x14ac:dyDescent="0.25">
      <c r="A269" s="37"/>
      <c r="B269" s="38"/>
      <c r="C269" s="2"/>
      <c r="D269" s="41"/>
      <c r="E269" s="38"/>
      <c r="F269" s="2"/>
      <c r="G269" s="41"/>
      <c r="H269" s="38"/>
      <c r="I269" s="39"/>
      <c r="J269" s="39"/>
      <c r="K269" s="41"/>
      <c r="L269" s="41"/>
      <c r="M269" s="42"/>
      <c r="U269" s="3" t="str">
        <f t="shared" si="33"/>
        <v/>
      </c>
      <c r="V269" s="3" t="str">
        <f t="shared" si="34"/>
        <v/>
      </c>
      <c r="Z269" s="3">
        <v>46163</v>
      </c>
      <c r="AA269" s="4">
        <v>250.6669</v>
      </c>
      <c r="AB269" s="74">
        <v>46163</v>
      </c>
      <c r="AC269" s="4">
        <v>279.66300000000001</v>
      </c>
      <c r="AD269" s="6">
        <f t="shared" si="35"/>
        <v>46163</v>
      </c>
    </row>
    <row r="270" spans="1:30" x14ac:dyDescent="0.25">
      <c r="A270" s="37"/>
      <c r="B270" s="38"/>
      <c r="C270" s="2"/>
      <c r="D270" s="41"/>
      <c r="E270" s="38"/>
      <c r="F270" s="2"/>
      <c r="G270" s="41"/>
      <c r="H270" s="38"/>
      <c r="I270" s="39"/>
      <c r="J270" s="39"/>
      <c r="K270" s="41"/>
      <c r="L270" s="41"/>
      <c r="M270" s="42"/>
      <c r="U270" s="3" t="str">
        <f t="shared" si="33"/>
        <v/>
      </c>
      <c r="V270" s="3" t="str">
        <f t="shared" si="34"/>
        <v/>
      </c>
      <c r="Z270" s="3">
        <v>46164</v>
      </c>
      <c r="AA270" s="4">
        <v>251.4649</v>
      </c>
      <c r="AB270" s="74">
        <v>46164</v>
      </c>
      <c r="AC270" s="4">
        <v>273.38799999999998</v>
      </c>
      <c r="AD270" s="6">
        <f t="shared" si="35"/>
        <v>46164</v>
      </c>
    </row>
    <row r="271" spans="1:30" x14ac:dyDescent="0.25">
      <c r="A271" s="37"/>
      <c r="B271" s="38"/>
      <c r="C271" s="2"/>
      <c r="D271" s="41"/>
      <c r="E271" s="38"/>
      <c r="F271" s="2"/>
      <c r="G271" s="41"/>
      <c r="H271" s="38"/>
      <c r="I271" s="39"/>
      <c r="J271" s="39"/>
      <c r="K271" s="41"/>
      <c r="L271" s="41"/>
      <c r="M271" s="42"/>
      <c r="U271" s="3" t="str">
        <f t="shared" si="33"/>
        <v/>
      </c>
      <c r="V271" s="3" t="str">
        <f t="shared" si="34"/>
        <v/>
      </c>
      <c r="Z271" s="3">
        <v>46168</v>
      </c>
      <c r="AA271" s="4">
        <v>252.1686</v>
      </c>
      <c r="AB271" s="74">
        <v>46168</v>
      </c>
      <c r="AC271" s="4">
        <v>269.02600000000001</v>
      </c>
      <c r="AD271" s="6">
        <f t="shared" si="35"/>
        <v>46168</v>
      </c>
    </row>
    <row r="272" spans="1:30" x14ac:dyDescent="0.25">
      <c r="A272" s="37"/>
      <c r="B272" s="38"/>
      <c r="C272" s="2"/>
      <c r="D272" s="41"/>
      <c r="E272" s="38"/>
      <c r="F272" s="2"/>
      <c r="G272" s="41"/>
      <c r="H272" s="38"/>
      <c r="I272" s="39"/>
      <c r="J272" s="39"/>
      <c r="K272" s="41"/>
      <c r="L272" s="41"/>
      <c r="M272" s="42"/>
      <c r="U272" s="3" t="str">
        <f t="shared" si="33"/>
        <v/>
      </c>
      <c r="V272" s="3" t="str">
        <f t="shared" si="34"/>
        <v/>
      </c>
      <c r="Z272" s="3">
        <v>46169</v>
      </c>
      <c r="AA272" s="4">
        <v>252.41059999999999</v>
      </c>
      <c r="AB272" s="74">
        <v>46169</v>
      </c>
      <c r="AC272" s="4">
        <v>267.50200000000001</v>
      </c>
      <c r="AD272" s="6">
        <f t="shared" si="35"/>
        <v>46169</v>
      </c>
    </row>
    <row r="273" spans="1:30" x14ac:dyDescent="0.25">
      <c r="A273" s="37"/>
      <c r="B273" s="38"/>
      <c r="C273" s="2"/>
      <c r="D273" s="41"/>
      <c r="E273" s="38"/>
      <c r="F273" s="2"/>
      <c r="G273" s="41"/>
      <c r="H273" s="38"/>
      <c r="I273" s="39"/>
      <c r="J273" s="39"/>
      <c r="K273" s="41"/>
      <c r="L273" s="41"/>
      <c r="M273" s="42"/>
      <c r="U273" s="3" t="str">
        <f t="shared" si="33"/>
        <v/>
      </c>
      <c r="V273" s="3" t="str">
        <f t="shared" si="34"/>
        <v/>
      </c>
      <c r="Z273" s="3">
        <v>46170</v>
      </c>
      <c r="AA273" s="4">
        <v>252.9316</v>
      </c>
      <c r="AB273" s="74">
        <v>46170</v>
      </c>
      <c r="AC273" s="4">
        <v>263.03699999999998</v>
      </c>
      <c r="AD273" s="6">
        <f t="shared" si="35"/>
        <v>46170</v>
      </c>
    </row>
    <row r="274" spans="1:30" x14ac:dyDescent="0.25">
      <c r="A274" s="37"/>
      <c r="B274" s="38"/>
      <c r="C274" s="2"/>
      <c r="D274" s="41"/>
      <c r="E274" s="38"/>
      <c r="F274" s="2"/>
      <c r="G274" s="41"/>
      <c r="H274" s="38"/>
      <c r="I274" s="39"/>
      <c r="J274" s="39"/>
      <c r="K274" s="41"/>
      <c r="L274" s="41"/>
      <c r="M274" s="42"/>
      <c r="U274" s="3" t="str">
        <f t="shared" si="33"/>
        <v/>
      </c>
      <c r="V274" s="3" t="str">
        <f t="shared" si="34"/>
        <v/>
      </c>
      <c r="Z274" s="3">
        <v>46171</v>
      </c>
      <c r="AA274" s="4">
        <v>253.4469</v>
      </c>
      <c r="AB274" s="74">
        <v>46171</v>
      </c>
      <c r="AC274" s="4">
        <v>258.964</v>
      </c>
      <c r="AD274" s="6">
        <f t="shared" si="35"/>
        <v>46171</v>
      </c>
    </row>
    <row r="275" spans="1:30" x14ac:dyDescent="0.25">
      <c r="A275" s="37"/>
      <c r="B275" s="38"/>
      <c r="C275" s="2"/>
      <c r="D275" s="41"/>
      <c r="E275" s="38"/>
      <c r="F275" s="2"/>
      <c r="G275" s="41"/>
      <c r="H275" s="38"/>
      <c r="I275" s="39"/>
      <c r="J275" s="39"/>
      <c r="K275" s="41"/>
      <c r="L275" s="41"/>
      <c r="M275" s="42"/>
      <c r="U275" s="3" t="str">
        <f t="shared" si="33"/>
        <v/>
      </c>
      <c r="V275" s="3" t="str">
        <f t="shared" si="34"/>
        <v/>
      </c>
      <c r="Z275" s="3">
        <v>46174</v>
      </c>
      <c r="AA275" s="4">
        <v>253.10400000000001</v>
      </c>
      <c r="AB275" s="74">
        <v>46174</v>
      </c>
      <c r="AC275" s="4">
        <v>262.60300000000001</v>
      </c>
      <c r="AD275" s="6">
        <f t="shared" si="35"/>
        <v>46174</v>
      </c>
    </row>
    <row r="276" spans="1:30" x14ac:dyDescent="0.25">
      <c r="A276" s="37"/>
      <c r="B276" s="38"/>
      <c r="C276" s="2"/>
      <c r="D276" s="41"/>
      <c r="E276" s="38"/>
      <c r="F276" s="2"/>
      <c r="G276" s="41"/>
      <c r="H276" s="38"/>
      <c r="I276" s="39"/>
      <c r="J276" s="39"/>
      <c r="K276" s="41"/>
      <c r="L276" s="41"/>
      <c r="M276" s="42"/>
      <c r="U276" s="3" t="str">
        <f t="shared" si="33"/>
        <v/>
      </c>
      <c r="V276" s="3" t="str">
        <f t="shared" si="34"/>
        <v/>
      </c>
      <c r="Z276" s="3">
        <v>46175</v>
      </c>
      <c r="AA276" s="4">
        <v>253.5762</v>
      </c>
      <c r="AB276" s="74">
        <v>46175</v>
      </c>
      <c r="AC276" s="4">
        <v>258.23399999999998</v>
      </c>
      <c r="AD276" s="6">
        <f t="shared" si="35"/>
        <v>46175</v>
      </c>
    </row>
    <row r="277" spans="1:30" x14ac:dyDescent="0.25">
      <c r="A277" s="37"/>
      <c r="B277" s="38"/>
      <c r="C277" s="2"/>
      <c r="D277" s="41"/>
      <c r="E277" s="38"/>
      <c r="F277" s="2"/>
      <c r="G277" s="41"/>
      <c r="H277" s="38"/>
      <c r="I277" s="39"/>
      <c r="J277" s="39"/>
      <c r="K277" s="41"/>
      <c r="L277" s="41"/>
      <c r="M277" s="42"/>
      <c r="U277" s="3" t="str">
        <f t="shared" si="33"/>
        <v/>
      </c>
      <c r="V277" s="3" t="str">
        <f t="shared" si="34"/>
        <v/>
      </c>
      <c r="Z277" s="3">
        <v>46176</v>
      </c>
      <c r="AA277" s="4">
        <v>253.11359999999999</v>
      </c>
      <c r="AB277" s="74">
        <v>46176</v>
      </c>
      <c r="AC277" s="4">
        <v>263.00799999999998</v>
      </c>
      <c r="AD277" s="6">
        <f t="shared" si="35"/>
        <v>46176</v>
      </c>
    </row>
    <row r="278" spans="1:30" x14ac:dyDescent="0.25">
      <c r="A278" s="37"/>
      <c r="B278" s="38"/>
      <c r="C278" s="2"/>
      <c r="D278" s="41"/>
      <c r="E278" s="38"/>
      <c r="F278" s="2"/>
      <c r="G278" s="41"/>
      <c r="H278" s="38"/>
      <c r="I278" s="39"/>
      <c r="J278" s="39"/>
      <c r="K278" s="41"/>
      <c r="L278" s="41"/>
      <c r="M278" s="42"/>
      <c r="U278" s="3" t="str">
        <f t="shared" si="33"/>
        <v/>
      </c>
      <c r="V278" s="3" t="str">
        <f t="shared" si="34"/>
        <v/>
      </c>
      <c r="Z278" s="3">
        <v>46177</v>
      </c>
      <c r="AA278" s="4">
        <v>253.3374</v>
      </c>
      <c r="AB278" s="74">
        <v>46177</v>
      </c>
      <c r="AC278" s="4">
        <v>260.78100000000001</v>
      </c>
      <c r="AD278" s="6">
        <f t="shared" si="35"/>
        <v>46177</v>
      </c>
    </row>
    <row r="279" spans="1:30" x14ac:dyDescent="0.25">
      <c r="A279" s="37"/>
      <c r="B279" s="38"/>
      <c r="C279" s="2"/>
      <c r="D279" s="41"/>
      <c r="E279" s="38"/>
      <c r="F279" s="2"/>
      <c r="G279" s="41"/>
      <c r="H279" s="38"/>
      <c r="I279" s="39"/>
      <c r="J279" s="39"/>
      <c r="K279" s="41"/>
      <c r="L279" s="41"/>
      <c r="M279" s="42"/>
      <c r="U279" s="3" t="str">
        <f t="shared" si="33"/>
        <v/>
      </c>
      <c r="V279" s="3" t="str">
        <f t="shared" si="34"/>
        <v/>
      </c>
      <c r="Z279" s="3">
        <v>46178</v>
      </c>
      <c r="AA279" s="4">
        <v>253.05930000000001</v>
      </c>
      <c r="AB279" s="74">
        <v>46178</v>
      </c>
      <c r="AC279" s="4">
        <v>263.12099999999998</v>
      </c>
      <c r="AD279" s="6">
        <f t="shared" si="35"/>
        <v>46178</v>
      </c>
    </row>
    <row r="280" spans="1:30" x14ac:dyDescent="0.25">
      <c r="A280" s="37"/>
      <c r="B280" s="38"/>
      <c r="C280" s="2"/>
      <c r="D280" s="41"/>
      <c r="E280" s="38"/>
      <c r="F280" s="2"/>
      <c r="G280" s="41"/>
      <c r="H280" s="38"/>
      <c r="I280" s="39"/>
      <c r="J280" s="39"/>
      <c r="K280" s="41"/>
      <c r="L280" s="41"/>
      <c r="M280" s="42"/>
      <c r="U280" s="3" t="str">
        <f t="shared" si="33"/>
        <v/>
      </c>
      <c r="V280" s="3" t="str">
        <f t="shared" si="34"/>
        <v/>
      </c>
      <c r="Z280" s="3">
        <v>46181</v>
      </c>
      <c r="AA280" s="4">
        <v>253.00890000000001</v>
      </c>
      <c r="AB280" s="74">
        <v>46181</v>
      </c>
      <c r="AC280" s="4">
        <v>264.17899999999997</v>
      </c>
      <c r="AD280" s="6">
        <f t="shared" si="35"/>
        <v>46181</v>
      </c>
    </row>
    <row r="281" spans="1:30" x14ac:dyDescent="0.25">
      <c r="A281" s="37"/>
      <c r="B281" s="38"/>
      <c r="C281" s="2"/>
      <c r="D281" s="41"/>
      <c r="E281" s="38"/>
      <c r="F281" s="2"/>
      <c r="G281" s="41"/>
      <c r="H281" s="38"/>
      <c r="I281" s="39"/>
      <c r="J281" s="39"/>
      <c r="K281" s="41"/>
      <c r="L281" s="41"/>
      <c r="M281" s="42"/>
      <c r="U281" s="3" t="str">
        <f t="shared" si="33"/>
        <v/>
      </c>
      <c r="V281" s="3" t="str">
        <f t="shared" si="34"/>
        <v/>
      </c>
      <c r="Z281" s="3">
        <v>46182</v>
      </c>
      <c r="AA281" s="4">
        <v>253.04320000000001</v>
      </c>
      <c r="AB281" s="74">
        <v>46182</v>
      </c>
      <c r="AC281" s="4">
        <v>264.78399999999999</v>
      </c>
      <c r="AD281" s="6">
        <f t="shared" si="35"/>
        <v>46182</v>
      </c>
    </row>
    <row r="282" spans="1:30" x14ac:dyDescent="0.25">
      <c r="A282" s="37"/>
      <c r="B282" s="38"/>
      <c r="C282" s="2"/>
      <c r="D282" s="41"/>
      <c r="E282" s="38"/>
      <c r="F282" s="2"/>
      <c r="G282" s="41"/>
      <c r="H282" s="38"/>
      <c r="I282" s="39"/>
      <c r="J282" s="39"/>
      <c r="K282" s="41"/>
      <c r="L282" s="41"/>
      <c r="M282" s="42"/>
      <c r="U282" s="3" t="str">
        <f t="shared" si="33"/>
        <v/>
      </c>
      <c r="V282" s="3" t="str">
        <f t="shared" si="34"/>
        <v/>
      </c>
      <c r="Z282" s="3">
        <v>46183</v>
      </c>
      <c r="AA282" s="4">
        <v>252.767</v>
      </c>
      <c r="AB282" s="74">
        <v>46183</v>
      </c>
      <c r="AC282" s="4">
        <v>266.137</v>
      </c>
      <c r="AD282" s="6">
        <f t="shared" si="35"/>
        <v>46183</v>
      </c>
    </row>
    <row r="283" spans="1:30" x14ac:dyDescent="0.25">
      <c r="A283" s="37"/>
      <c r="B283" s="38"/>
      <c r="C283" s="2"/>
      <c r="D283" s="41"/>
      <c r="E283" s="38"/>
      <c r="F283" s="2"/>
      <c r="G283" s="41"/>
      <c r="H283" s="38"/>
      <c r="I283" s="39"/>
      <c r="J283" s="39"/>
      <c r="K283" s="41"/>
      <c r="L283" s="41"/>
      <c r="M283" s="42"/>
      <c r="U283" s="3" t="str">
        <f t="shared" si="33"/>
        <v/>
      </c>
      <c r="V283" s="3" t="str">
        <f t="shared" si="34"/>
        <v/>
      </c>
      <c r="Z283" s="3">
        <v>46184</v>
      </c>
      <c r="AA283" s="4">
        <v>253.1474</v>
      </c>
      <c r="AB283" s="74">
        <v>46184</v>
      </c>
      <c r="AC283" s="4">
        <v>263.45299999999997</v>
      </c>
      <c r="AD283" s="6">
        <f t="shared" si="35"/>
        <v>46184</v>
      </c>
    </row>
    <row r="284" spans="1:30" x14ac:dyDescent="0.25">
      <c r="A284" s="37"/>
      <c r="B284" s="38"/>
      <c r="C284" s="2"/>
      <c r="D284" s="41"/>
      <c r="E284" s="38"/>
      <c r="F284" s="2"/>
      <c r="G284" s="41"/>
      <c r="H284" s="38"/>
      <c r="I284" s="39"/>
      <c r="J284" s="39"/>
      <c r="K284" s="41"/>
      <c r="L284" s="41"/>
      <c r="M284" s="42"/>
      <c r="U284" s="3" t="str">
        <f t="shared" si="33"/>
        <v/>
      </c>
      <c r="V284" s="3" t="str">
        <f t="shared" si="34"/>
        <v/>
      </c>
      <c r="Z284" s="3">
        <v>46185</v>
      </c>
      <c r="AA284" s="4">
        <v>254.38560000000001</v>
      </c>
      <c r="AB284" s="74">
        <v>46185</v>
      </c>
      <c r="AC284" s="4">
        <v>253.41399999999999</v>
      </c>
      <c r="AD284" s="6">
        <f t="shared" si="35"/>
        <v>46185</v>
      </c>
    </row>
    <row r="285" spans="1:30" x14ac:dyDescent="0.25">
      <c r="A285" s="37"/>
      <c r="B285" s="38"/>
      <c r="C285" s="2"/>
      <c r="D285" s="41"/>
      <c r="E285" s="38"/>
      <c r="F285" s="2"/>
      <c r="G285" s="41"/>
      <c r="H285" s="38"/>
      <c r="I285" s="39"/>
      <c r="J285" s="39"/>
      <c r="K285" s="41"/>
      <c r="L285" s="41"/>
      <c r="M285" s="42"/>
      <c r="U285" s="3" t="str">
        <f t="shared" si="33"/>
        <v/>
      </c>
      <c r="V285" s="3" t="str">
        <f t="shared" si="34"/>
        <v/>
      </c>
      <c r="Z285" s="3">
        <v>46188</v>
      </c>
      <c r="AA285" s="4">
        <v>255.0607</v>
      </c>
      <c r="AB285" s="74">
        <v>46188</v>
      </c>
      <c r="AC285" s="4">
        <v>247.93899999999999</v>
      </c>
      <c r="AD285" s="6">
        <f t="shared" si="35"/>
        <v>46188</v>
      </c>
    </row>
    <row r="286" spans="1:30" x14ac:dyDescent="0.25">
      <c r="A286" s="37"/>
      <c r="B286" s="38"/>
      <c r="C286" s="2"/>
      <c r="D286" s="41"/>
      <c r="E286" s="38"/>
      <c r="F286" s="2"/>
      <c r="G286" s="41"/>
      <c r="H286" s="38"/>
      <c r="I286" s="39"/>
      <c r="J286" s="39"/>
      <c r="K286" s="41"/>
      <c r="L286" s="41"/>
      <c r="M286" s="42"/>
      <c r="U286" s="3" t="str">
        <f t="shared" si="33"/>
        <v/>
      </c>
      <c r="V286" s="3" t="str">
        <f t="shared" si="34"/>
        <v/>
      </c>
      <c r="Z286" s="3">
        <v>46189</v>
      </c>
      <c r="AA286" s="4">
        <v>254.93340000000001</v>
      </c>
      <c r="AB286" s="74">
        <v>46189</v>
      </c>
      <c r="AC286" s="4">
        <v>249.708</v>
      </c>
      <c r="AD286" s="6">
        <f t="shared" si="35"/>
        <v>46189</v>
      </c>
    </row>
    <row r="287" spans="1:30" x14ac:dyDescent="0.25">
      <c r="A287" s="37"/>
      <c r="B287" s="38"/>
      <c r="C287" s="2"/>
      <c r="D287" s="41"/>
      <c r="E287" s="38"/>
      <c r="F287" s="2"/>
      <c r="G287" s="41"/>
      <c r="H287" s="38"/>
      <c r="I287" s="39"/>
      <c r="J287" s="39"/>
      <c r="K287" s="41"/>
      <c r="L287" s="41"/>
      <c r="M287" s="42"/>
      <c r="U287" s="3" t="str">
        <f t="shared" si="33"/>
        <v/>
      </c>
      <c r="V287" s="3" t="str">
        <f t="shared" si="34"/>
        <v/>
      </c>
      <c r="Z287" s="3">
        <v>46190</v>
      </c>
      <c r="AA287" s="4">
        <v>254.77209999999999</v>
      </c>
      <c r="AB287" s="74">
        <v>46190</v>
      </c>
      <c r="AC287" s="4">
        <v>251.36</v>
      </c>
      <c r="AD287" s="6">
        <f t="shared" si="35"/>
        <v>46190</v>
      </c>
    </row>
    <row r="288" spans="1:30" x14ac:dyDescent="0.25">
      <c r="A288" s="37"/>
      <c r="B288" s="38"/>
      <c r="C288" s="2"/>
      <c r="D288" s="41"/>
      <c r="E288" s="38"/>
      <c r="F288" s="2"/>
      <c r="G288" s="41"/>
      <c r="H288" s="38"/>
      <c r="I288" s="39"/>
      <c r="J288" s="39"/>
      <c r="K288" s="41"/>
      <c r="L288" s="41"/>
      <c r="M288" s="42"/>
      <c r="U288" s="3" t="str">
        <f t="shared" si="33"/>
        <v/>
      </c>
      <c r="V288" s="3" t="str">
        <f t="shared" si="34"/>
        <v/>
      </c>
      <c r="Z288" s="3">
        <v>46191</v>
      </c>
      <c r="AA288" s="4">
        <v>255.09270000000001</v>
      </c>
      <c r="AB288" s="74">
        <v>46191</v>
      </c>
      <c r="AC288" s="4">
        <v>248.715</v>
      </c>
      <c r="AD288" s="6">
        <f t="shared" si="35"/>
        <v>46191</v>
      </c>
    </row>
    <row r="289" spans="1:30" x14ac:dyDescent="0.25">
      <c r="A289" s="37"/>
      <c r="B289" s="38"/>
      <c r="C289" s="2"/>
      <c r="D289" s="41"/>
      <c r="E289" s="38"/>
      <c r="F289" s="2"/>
      <c r="G289" s="41"/>
      <c r="H289" s="38"/>
      <c r="I289" s="39"/>
      <c r="J289" s="39"/>
      <c r="K289" s="41"/>
      <c r="L289" s="41"/>
      <c r="M289" s="42"/>
      <c r="U289" s="3" t="str">
        <f t="shared" si="33"/>
        <v/>
      </c>
      <c r="V289" s="3" t="str">
        <f t="shared" si="34"/>
        <v/>
      </c>
      <c r="Z289" s="3">
        <v>46192</v>
      </c>
      <c r="AA289" s="4">
        <v>255.0326</v>
      </c>
      <c r="AB289" s="74">
        <v>46192</v>
      </c>
      <c r="AC289" s="4">
        <v>249.94499999999999</v>
      </c>
      <c r="AD289" s="6">
        <f t="shared" si="35"/>
        <v>46192</v>
      </c>
    </row>
    <row r="290" spans="1:30" x14ac:dyDescent="0.25">
      <c r="A290" s="37"/>
      <c r="B290" s="38"/>
      <c r="C290" s="2"/>
      <c r="D290" s="41"/>
      <c r="E290" s="38"/>
      <c r="F290" s="2"/>
      <c r="G290" s="41"/>
      <c r="H290" s="38"/>
      <c r="I290" s="39"/>
      <c r="J290" s="39"/>
      <c r="K290" s="41"/>
      <c r="L290" s="41"/>
      <c r="M290" s="42"/>
      <c r="U290" s="3" t="str">
        <f t="shared" si="33"/>
        <v/>
      </c>
      <c r="V290" s="3" t="str">
        <f t="shared" si="34"/>
        <v/>
      </c>
      <c r="Z290" s="3">
        <v>46195</v>
      </c>
      <c r="AA290" s="4">
        <v>255.42699999999999</v>
      </c>
      <c r="AB290" s="74">
        <v>46195</v>
      </c>
      <c r="AC290" s="4">
        <v>246.82499999999999</v>
      </c>
      <c r="AD290" s="6">
        <f t="shared" si="35"/>
        <v>46195</v>
      </c>
    </row>
    <row r="291" spans="1:30" x14ac:dyDescent="0.25">
      <c r="A291" s="37"/>
      <c r="B291" s="38"/>
      <c r="C291" s="2"/>
      <c r="D291" s="41"/>
      <c r="E291" s="38"/>
      <c r="F291" s="2"/>
      <c r="G291" s="41"/>
      <c r="H291" s="38"/>
      <c r="I291" s="39"/>
      <c r="J291" s="39"/>
      <c r="K291" s="41"/>
      <c r="L291" s="41"/>
      <c r="M291" s="42"/>
      <c r="U291" s="3" t="str">
        <f t="shared" si="33"/>
        <v/>
      </c>
      <c r="V291" s="3" t="str">
        <f t="shared" si="34"/>
        <v/>
      </c>
      <c r="Z291" s="3">
        <v>46196</v>
      </c>
      <c r="AA291" s="4">
        <v>255.2808</v>
      </c>
      <c r="AB291" s="74">
        <v>46196</v>
      </c>
      <c r="AC291" s="4">
        <v>248.11</v>
      </c>
      <c r="AD291" s="6">
        <f t="shared" si="35"/>
        <v>46196</v>
      </c>
    </row>
    <row r="292" spans="1:30" x14ac:dyDescent="0.25">
      <c r="A292" s="37"/>
      <c r="B292" s="38"/>
      <c r="C292" s="2"/>
      <c r="D292" s="41"/>
      <c r="E292" s="38"/>
      <c r="F292" s="2"/>
      <c r="G292" s="41"/>
      <c r="H292" s="38"/>
      <c r="I292" s="39"/>
      <c r="J292" s="39"/>
      <c r="K292" s="41"/>
      <c r="L292" s="41"/>
      <c r="M292" s="42"/>
      <c r="U292" s="3" t="str">
        <f t="shared" si="33"/>
        <v/>
      </c>
      <c r="V292" s="3" t="str">
        <f t="shared" si="34"/>
        <v/>
      </c>
      <c r="Z292" s="3">
        <v>46197</v>
      </c>
      <c r="AA292" s="4">
        <v>255.37479999999999</v>
      </c>
      <c r="AB292" s="74">
        <v>46197</v>
      </c>
      <c r="AC292" s="4">
        <v>247.75700000000001</v>
      </c>
      <c r="AD292" s="6">
        <f t="shared" si="35"/>
        <v>46197</v>
      </c>
    </row>
    <row r="293" spans="1:30" x14ac:dyDescent="0.25">
      <c r="A293" s="37"/>
      <c r="B293" s="38"/>
      <c r="C293" s="2"/>
      <c r="D293" s="41"/>
      <c r="E293" s="38"/>
      <c r="F293" s="2"/>
      <c r="G293" s="41"/>
      <c r="H293" s="38"/>
      <c r="I293" s="39"/>
      <c r="J293" s="39"/>
      <c r="K293" s="41"/>
      <c r="L293" s="41"/>
      <c r="M293" s="42"/>
      <c r="U293" s="3" t="str">
        <f t="shared" si="33"/>
        <v/>
      </c>
      <c r="V293" s="3" t="str">
        <f t="shared" si="34"/>
        <v/>
      </c>
      <c r="Z293" s="3">
        <v>46198</v>
      </c>
      <c r="AA293" s="4">
        <v>255.54130000000001</v>
      </c>
      <c r="AB293" s="74">
        <v>46198</v>
      </c>
      <c r="AC293" s="4">
        <v>247.30699999999999</v>
      </c>
      <c r="AD293" s="6">
        <f t="shared" si="35"/>
        <v>46198</v>
      </c>
    </row>
    <row r="294" spans="1:30" x14ac:dyDescent="0.25">
      <c r="A294" s="37"/>
      <c r="B294" s="38"/>
      <c r="C294" s="2"/>
      <c r="D294" s="41"/>
      <c r="E294" s="38"/>
      <c r="F294" s="2"/>
      <c r="G294" s="41"/>
      <c r="H294" s="38"/>
      <c r="I294" s="39"/>
      <c r="J294" s="39"/>
      <c r="K294" s="41"/>
      <c r="L294" s="41"/>
      <c r="M294" s="42"/>
      <c r="U294" s="3" t="str">
        <f t="shared" si="33"/>
        <v/>
      </c>
      <c r="V294" s="3" t="str">
        <f t="shared" si="34"/>
        <v/>
      </c>
      <c r="AB294" s="74">
        <v>46199</v>
      </c>
      <c r="AC294" s="4">
        <v>249.30799999999999</v>
      </c>
      <c r="AD294" s="6" t="str">
        <f t="shared" si="35"/>
        <v/>
      </c>
    </row>
    <row r="295" spans="1:30" x14ac:dyDescent="0.25">
      <c r="A295" s="37"/>
      <c r="B295" s="38"/>
      <c r="C295" s="2"/>
      <c r="D295" s="41"/>
      <c r="E295" s="38"/>
      <c r="F295" s="2"/>
      <c r="G295" s="41"/>
      <c r="H295" s="38"/>
      <c r="I295" s="39"/>
      <c r="J295" s="39"/>
      <c r="K295" s="41"/>
      <c r="L295" s="41"/>
      <c r="M295" s="42"/>
      <c r="U295" s="3" t="str">
        <f t="shared" si="33"/>
        <v/>
      </c>
      <c r="V295" s="3" t="str">
        <f t="shared" si="34"/>
        <v/>
      </c>
      <c r="AD295" s="6" t="str">
        <f t="shared" si="35"/>
        <v/>
      </c>
    </row>
    <row r="296" spans="1:30" x14ac:dyDescent="0.25">
      <c r="A296" s="37"/>
      <c r="B296" s="38"/>
      <c r="C296" s="2"/>
      <c r="D296" s="41"/>
      <c r="E296" s="38"/>
      <c r="F296" s="2"/>
      <c r="G296" s="41"/>
      <c r="H296" s="38"/>
      <c r="I296" s="39"/>
      <c r="J296" s="39"/>
      <c r="K296" s="41"/>
      <c r="L296" s="41"/>
      <c r="M296" s="42"/>
      <c r="U296" s="3" t="str">
        <f t="shared" si="33"/>
        <v/>
      </c>
      <c r="V296" s="3" t="str">
        <f t="shared" si="34"/>
        <v/>
      </c>
      <c r="AD296" s="6" t="str">
        <f t="shared" si="35"/>
        <v/>
      </c>
    </row>
    <row r="297" spans="1:30" x14ac:dyDescent="0.25">
      <c r="A297" s="37"/>
      <c r="B297" s="38"/>
      <c r="C297" s="2"/>
      <c r="D297" s="41"/>
      <c r="E297" s="38"/>
      <c r="F297" s="2"/>
      <c r="G297" s="41"/>
      <c r="H297" s="38"/>
      <c r="I297" s="39"/>
      <c r="J297" s="39"/>
      <c r="K297" s="41"/>
      <c r="L297" s="41"/>
      <c r="M297" s="42"/>
      <c r="U297" s="3" t="str">
        <f t="shared" si="33"/>
        <v/>
      </c>
      <c r="V297" s="3" t="str">
        <f t="shared" si="34"/>
        <v/>
      </c>
      <c r="AD297" s="6" t="str">
        <f t="shared" si="35"/>
        <v/>
      </c>
    </row>
    <row r="298" spans="1:30" x14ac:dyDescent="0.25">
      <c r="A298" s="37"/>
      <c r="B298" s="38"/>
      <c r="C298" s="2"/>
      <c r="D298" s="41"/>
      <c r="E298" s="38"/>
      <c r="F298" s="2"/>
      <c r="G298" s="41"/>
      <c r="H298" s="38"/>
      <c r="I298" s="39"/>
      <c r="J298" s="39"/>
      <c r="K298" s="41"/>
      <c r="L298" s="41"/>
      <c r="M298" s="42"/>
      <c r="U298" s="3" t="str">
        <f t="shared" si="33"/>
        <v/>
      </c>
      <c r="V298" s="3" t="str">
        <f t="shared" si="34"/>
        <v/>
      </c>
      <c r="AD298" s="6" t="str">
        <f t="shared" si="35"/>
        <v/>
      </c>
    </row>
    <row r="299" spans="1:30" x14ac:dyDescent="0.25">
      <c r="A299" s="37"/>
      <c r="B299" s="38"/>
      <c r="C299" s="2"/>
      <c r="D299" s="41"/>
      <c r="E299" s="38"/>
      <c r="F299" s="2"/>
      <c r="G299" s="41"/>
      <c r="H299" s="38"/>
      <c r="I299" s="39"/>
      <c r="J299" s="39"/>
      <c r="K299" s="41"/>
      <c r="L299" s="41"/>
      <c r="M299" s="42"/>
      <c r="U299" s="3" t="str">
        <f t="shared" si="33"/>
        <v/>
      </c>
      <c r="V299" s="3" t="str">
        <f t="shared" si="34"/>
        <v/>
      </c>
      <c r="AD299" s="6" t="str">
        <f t="shared" si="35"/>
        <v/>
      </c>
    </row>
    <row r="300" spans="1:30" x14ac:dyDescent="0.25">
      <c r="A300" s="37"/>
      <c r="B300" s="38"/>
      <c r="C300" s="2"/>
      <c r="D300" s="41"/>
      <c r="E300" s="38"/>
      <c r="F300" s="2"/>
      <c r="G300" s="41"/>
      <c r="H300" s="38"/>
      <c r="I300" s="39"/>
      <c r="J300" s="39"/>
      <c r="K300" s="41"/>
      <c r="L300" s="41"/>
      <c r="M300" s="42"/>
      <c r="U300" s="3" t="str">
        <f t="shared" si="33"/>
        <v/>
      </c>
      <c r="V300" s="3" t="str">
        <f t="shared" si="34"/>
        <v/>
      </c>
      <c r="AD300" s="6" t="str">
        <f t="shared" si="35"/>
        <v/>
      </c>
    </row>
    <row r="301" spans="1:30" x14ac:dyDescent="0.25">
      <c r="A301" s="37"/>
      <c r="B301" s="38"/>
      <c r="C301" s="2"/>
      <c r="D301" s="41"/>
      <c r="E301" s="38"/>
      <c r="F301" s="2"/>
      <c r="G301" s="41"/>
      <c r="H301" s="38"/>
      <c r="I301" s="39"/>
      <c r="J301" s="39"/>
      <c r="K301" s="41"/>
      <c r="L301" s="41"/>
      <c r="M301" s="42"/>
      <c r="U301" s="3" t="str">
        <f t="shared" si="33"/>
        <v/>
      </c>
      <c r="V301" s="3" t="str">
        <f t="shared" si="34"/>
        <v/>
      </c>
      <c r="AD301" s="6" t="str">
        <f t="shared" si="35"/>
        <v/>
      </c>
    </row>
    <row r="302" spans="1:30" x14ac:dyDescent="0.25">
      <c r="A302" s="37"/>
      <c r="B302" s="38"/>
      <c r="C302" s="2"/>
      <c r="D302" s="41"/>
      <c r="E302" s="38"/>
      <c r="F302" s="2"/>
      <c r="G302" s="41"/>
      <c r="H302" s="38"/>
      <c r="I302" s="39"/>
      <c r="J302" s="39"/>
      <c r="K302" s="41"/>
      <c r="L302" s="41"/>
      <c r="M302" s="42"/>
      <c r="U302" s="3" t="str">
        <f t="shared" si="33"/>
        <v/>
      </c>
      <c r="V302" s="3" t="str">
        <f t="shared" si="34"/>
        <v/>
      </c>
      <c r="AD302" s="6" t="str">
        <f t="shared" si="35"/>
        <v/>
      </c>
    </row>
    <row r="303" spans="1:30" x14ac:dyDescent="0.25">
      <c r="A303" s="37"/>
      <c r="B303" s="38"/>
      <c r="C303" s="2"/>
      <c r="D303" s="41"/>
      <c r="E303" s="38"/>
      <c r="F303" s="2"/>
      <c r="G303" s="41"/>
      <c r="H303" s="38"/>
      <c r="I303" s="39"/>
      <c r="J303" s="39"/>
      <c r="K303" s="41"/>
      <c r="L303" s="41"/>
      <c r="M303" s="42"/>
      <c r="U303" s="3" t="str">
        <f t="shared" si="33"/>
        <v/>
      </c>
      <c r="V303" s="3" t="str">
        <f t="shared" si="34"/>
        <v/>
      </c>
      <c r="AD303" s="6" t="str">
        <f t="shared" si="35"/>
        <v/>
      </c>
    </row>
    <row r="304" spans="1:30" x14ac:dyDescent="0.25">
      <c r="A304" s="37"/>
      <c r="B304" s="38"/>
      <c r="C304" s="2"/>
      <c r="D304" s="41"/>
      <c r="E304" s="38"/>
      <c r="F304" s="2"/>
      <c r="G304" s="41"/>
      <c r="H304" s="38"/>
      <c r="I304" s="39"/>
      <c r="J304" s="39"/>
      <c r="K304" s="41"/>
      <c r="L304" s="41"/>
      <c r="M304" s="42"/>
      <c r="U304" s="3" t="str">
        <f t="shared" si="33"/>
        <v/>
      </c>
      <c r="V304" s="3" t="str">
        <f t="shared" si="34"/>
        <v/>
      </c>
      <c r="AD304" s="6" t="str">
        <f t="shared" si="35"/>
        <v/>
      </c>
    </row>
    <row r="305" spans="1:30" x14ac:dyDescent="0.25">
      <c r="A305" s="37"/>
      <c r="B305" s="38"/>
      <c r="C305" s="2"/>
      <c r="D305" s="41"/>
      <c r="E305" s="38"/>
      <c r="F305" s="2"/>
      <c r="G305" s="41"/>
      <c r="H305" s="38"/>
      <c r="I305" s="39"/>
      <c r="J305" s="39"/>
      <c r="K305" s="41"/>
      <c r="L305" s="41"/>
      <c r="M305" s="42"/>
      <c r="U305" s="3" t="str">
        <f t="shared" si="33"/>
        <v/>
      </c>
      <c r="V305" s="3" t="str">
        <f t="shared" si="34"/>
        <v/>
      </c>
      <c r="AD305" s="6" t="str">
        <f t="shared" si="35"/>
        <v/>
      </c>
    </row>
    <row r="306" spans="1:30" x14ac:dyDescent="0.25">
      <c r="A306" s="37"/>
      <c r="B306" s="38"/>
      <c r="C306" s="2"/>
      <c r="D306" s="41"/>
      <c r="E306" s="38"/>
      <c r="F306" s="2"/>
      <c r="G306" s="41"/>
      <c r="H306" s="38"/>
      <c r="I306" s="39"/>
      <c r="J306" s="39"/>
      <c r="K306" s="41"/>
      <c r="L306" s="41"/>
      <c r="M306" s="42"/>
      <c r="U306" s="3" t="str">
        <f t="shared" si="33"/>
        <v/>
      </c>
      <c r="V306" s="3" t="str">
        <f t="shared" si="34"/>
        <v/>
      </c>
      <c r="AD306" s="6" t="str">
        <f t="shared" si="35"/>
        <v/>
      </c>
    </row>
    <row r="307" spans="1:30" x14ac:dyDescent="0.25">
      <c r="A307" s="37"/>
      <c r="B307" s="38"/>
      <c r="C307" s="2"/>
      <c r="D307" s="41"/>
      <c r="E307" s="38"/>
      <c r="F307" s="2"/>
      <c r="G307" s="41"/>
      <c r="H307" s="38"/>
      <c r="I307" s="39"/>
      <c r="J307" s="39"/>
      <c r="K307" s="41"/>
      <c r="L307" s="41"/>
      <c r="M307" s="42"/>
      <c r="U307" s="3" t="str">
        <f t="shared" si="33"/>
        <v/>
      </c>
      <c r="V307" s="3" t="str">
        <f t="shared" si="34"/>
        <v/>
      </c>
      <c r="AD307" s="6" t="str">
        <f t="shared" si="35"/>
        <v/>
      </c>
    </row>
    <row r="308" spans="1:30" x14ac:dyDescent="0.25">
      <c r="A308" s="37"/>
      <c r="B308" s="38"/>
      <c r="C308" s="2"/>
      <c r="D308" s="41"/>
      <c r="E308" s="38"/>
      <c r="F308" s="2"/>
      <c r="G308" s="41"/>
      <c r="H308" s="38"/>
      <c r="I308" s="39"/>
      <c r="J308" s="39"/>
      <c r="K308" s="41"/>
      <c r="L308" s="41"/>
      <c r="M308" s="42"/>
      <c r="U308" s="3" t="str">
        <f t="shared" si="33"/>
        <v/>
      </c>
      <c r="V308" s="3" t="str">
        <f t="shared" si="34"/>
        <v/>
      </c>
      <c r="AD308" s="6" t="str">
        <f t="shared" si="35"/>
        <v/>
      </c>
    </row>
    <row r="309" spans="1:30" x14ac:dyDescent="0.25">
      <c r="A309" s="37"/>
      <c r="B309" s="38"/>
      <c r="C309" s="2"/>
      <c r="D309" s="41"/>
      <c r="E309" s="38"/>
      <c r="F309" s="2"/>
      <c r="G309" s="41"/>
      <c r="H309" s="38"/>
      <c r="I309" s="39"/>
      <c r="J309" s="39"/>
      <c r="K309" s="41"/>
      <c r="L309" s="41"/>
      <c r="M309" s="42"/>
      <c r="U309" s="3" t="str">
        <f t="shared" si="33"/>
        <v/>
      </c>
      <c r="V309" s="3" t="str">
        <f t="shared" si="34"/>
        <v/>
      </c>
      <c r="AD309" s="6" t="str">
        <f t="shared" si="35"/>
        <v/>
      </c>
    </row>
    <row r="310" spans="1:30" x14ac:dyDescent="0.25">
      <c r="A310" s="37"/>
      <c r="B310" s="38"/>
      <c r="C310" s="2"/>
      <c r="D310" s="41"/>
      <c r="E310" s="38"/>
      <c r="F310" s="2"/>
      <c r="G310" s="41"/>
      <c r="H310" s="38"/>
      <c r="I310" s="39"/>
      <c r="J310" s="39"/>
      <c r="K310" s="41"/>
      <c r="L310" s="41"/>
      <c r="M310" s="42"/>
      <c r="U310" s="3" t="str">
        <f t="shared" si="33"/>
        <v/>
      </c>
      <c r="V310" s="3" t="str">
        <f t="shared" si="34"/>
        <v/>
      </c>
      <c r="AD310" s="6" t="str">
        <f t="shared" si="35"/>
        <v/>
      </c>
    </row>
    <row r="311" spans="1:30" x14ac:dyDescent="0.25">
      <c r="A311" s="37"/>
      <c r="B311" s="38"/>
      <c r="C311" s="2"/>
      <c r="D311" s="41"/>
      <c r="E311" s="38"/>
      <c r="F311" s="2"/>
      <c r="G311" s="41"/>
      <c r="H311" s="38"/>
      <c r="I311" s="39"/>
      <c r="J311" s="39"/>
      <c r="K311" s="41"/>
      <c r="L311" s="41"/>
      <c r="M311" s="42"/>
      <c r="U311" s="3" t="str">
        <f t="shared" si="33"/>
        <v/>
      </c>
      <c r="V311" s="3" t="str">
        <f t="shared" si="34"/>
        <v/>
      </c>
      <c r="AD311" s="6" t="str">
        <f t="shared" si="35"/>
        <v/>
      </c>
    </row>
    <row r="312" spans="1:30" x14ac:dyDescent="0.25">
      <c r="A312" s="37"/>
      <c r="B312" s="38"/>
      <c r="C312" s="2"/>
      <c r="D312" s="41"/>
      <c r="E312" s="38"/>
      <c r="F312" s="2"/>
      <c r="G312" s="41"/>
      <c r="H312" s="38"/>
      <c r="I312" s="39"/>
      <c r="J312" s="39"/>
      <c r="K312" s="41"/>
      <c r="L312" s="41"/>
      <c r="M312" s="42"/>
      <c r="U312" s="3" t="str">
        <f t="shared" si="33"/>
        <v/>
      </c>
      <c r="V312" s="3" t="str">
        <f t="shared" si="34"/>
        <v/>
      </c>
      <c r="AD312" s="6" t="str">
        <f t="shared" si="35"/>
        <v/>
      </c>
    </row>
    <row r="313" spans="1:30" x14ac:dyDescent="0.25">
      <c r="A313" s="37"/>
      <c r="B313" s="38"/>
      <c r="C313" s="2"/>
      <c r="D313" s="41"/>
      <c r="E313" s="38"/>
      <c r="F313" s="2"/>
      <c r="G313" s="41"/>
      <c r="H313" s="38"/>
      <c r="I313" s="39"/>
      <c r="J313" s="39"/>
      <c r="K313" s="41"/>
      <c r="L313" s="41"/>
      <c r="M313" s="42"/>
      <c r="U313" s="3" t="str">
        <f t="shared" si="33"/>
        <v/>
      </c>
      <c r="V313" s="3" t="str">
        <f t="shared" si="34"/>
        <v/>
      </c>
      <c r="AD313" s="6" t="str">
        <f t="shared" si="35"/>
        <v/>
      </c>
    </row>
    <row r="314" spans="1:30" x14ac:dyDescent="0.25">
      <c r="A314" s="37"/>
      <c r="B314" s="38"/>
      <c r="C314" s="2"/>
      <c r="D314" s="41"/>
      <c r="E314" s="38"/>
      <c r="F314" s="2"/>
      <c r="G314" s="41"/>
      <c r="H314" s="38"/>
      <c r="I314" s="39"/>
      <c r="J314" s="39"/>
      <c r="K314" s="41"/>
      <c r="L314" s="41"/>
      <c r="M314" s="42"/>
      <c r="U314" s="3" t="str">
        <f t="shared" si="33"/>
        <v/>
      </c>
      <c r="V314" s="3" t="str">
        <f t="shared" si="34"/>
        <v/>
      </c>
      <c r="AD314" s="6" t="str">
        <f t="shared" si="35"/>
        <v/>
      </c>
    </row>
    <row r="315" spans="1:30" x14ac:dyDescent="0.25">
      <c r="A315" s="37"/>
      <c r="B315" s="38"/>
      <c r="C315" s="2"/>
      <c r="D315" s="41"/>
      <c r="E315" s="38"/>
      <c r="F315" s="2"/>
      <c r="G315" s="41"/>
      <c r="H315" s="38"/>
      <c r="I315" s="39"/>
      <c r="J315" s="39"/>
      <c r="K315" s="41"/>
      <c r="L315" s="41"/>
      <c r="M315" s="42"/>
      <c r="U315" s="3" t="str">
        <f t="shared" si="33"/>
        <v/>
      </c>
      <c r="V315" s="3" t="str">
        <f t="shared" si="34"/>
        <v/>
      </c>
      <c r="AD315" s="6" t="str">
        <f t="shared" si="35"/>
        <v/>
      </c>
    </row>
    <row r="316" spans="1:30" x14ac:dyDescent="0.25">
      <c r="A316" s="37"/>
      <c r="B316" s="38"/>
      <c r="C316" s="2"/>
      <c r="D316" s="41"/>
      <c r="E316" s="38"/>
      <c r="F316" s="2"/>
      <c r="G316" s="41"/>
      <c r="H316" s="38"/>
      <c r="I316" s="39"/>
      <c r="J316" s="39"/>
      <c r="K316" s="41"/>
      <c r="L316" s="41"/>
      <c r="M316" s="42"/>
      <c r="U316" s="3" t="str">
        <f t="shared" si="33"/>
        <v/>
      </c>
      <c r="V316" s="3" t="str">
        <f t="shared" si="34"/>
        <v/>
      </c>
      <c r="AD316" s="6" t="str">
        <f t="shared" si="35"/>
        <v/>
      </c>
    </row>
    <row r="317" spans="1:30" x14ac:dyDescent="0.25">
      <c r="A317" s="37"/>
      <c r="B317" s="38"/>
      <c r="C317" s="2"/>
      <c r="D317" s="41"/>
      <c r="E317" s="38"/>
      <c r="F317" s="2"/>
      <c r="G317" s="41"/>
      <c r="H317" s="38"/>
      <c r="I317" s="39"/>
      <c r="J317" s="39"/>
      <c r="K317" s="41"/>
      <c r="L317" s="41"/>
      <c r="M317" s="42"/>
      <c r="U317" s="3" t="str">
        <f t="shared" si="33"/>
        <v/>
      </c>
      <c r="V317" s="3" t="str">
        <f t="shared" si="34"/>
        <v/>
      </c>
      <c r="AD317" s="6" t="str">
        <f t="shared" si="35"/>
        <v/>
      </c>
    </row>
    <row r="318" spans="1:30" x14ac:dyDescent="0.25">
      <c r="A318" s="37"/>
      <c r="B318" s="38"/>
      <c r="C318" s="2"/>
      <c r="D318" s="41"/>
      <c r="E318" s="38"/>
      <c r="F318" s="2"/>
      <c r="G318" s="41"/>
      <c r="H318" s="38"/>
      <c r="I318" s="39"/>
      <c r="J318" s="39"/>
      <c r="K318" s="41"/>
      <c r="L318" s="41"/>
      <c r="M318" s="42"/>
      <c r="U318" s="3" t="str">
        <f t="shared" si="33"/>
        <v/>
      </c>
      <c r="V318" s="3" t="str">
        <f t="shared" si="34"/>
        <v/>
      </c>
      <c r="AD318" s="6" t="str">
        <f t="shared" si="35"/>
        <v/>
      </c>
    </row>
    <row r="319" spans="1:30" x14ac:dyDescent="0.25">
      <c r="A319" s="37"/>
      <c r="B319" s="38"/>
      <c r="C319" s="2"/>
      <c r="D319" s="41"/>
      <c r="E319" s="38"/>
      <c r="F319" s="2"/>
      <c r="G319" s="41"/>
      <c r="H319" s="38"/>
      <c r="I319" s="39"/>
      <c r="J319" s="39"/>
      <c r="K319" s="41"/>
      <c r="L319" s="41"/>
      <c r="M319" s="42"/>
      <c r="U319" s="3" t="str">
        <f t="shared" si="33"/>
        <v/>
      </c>
      <c r="V319" s="3" t="str">
        <f t="shared" si="34"/>
        <v/>
      </c>
      <c r="AD319" s="6" t="str">
        <f t="shared" si="35"/>
        <v/>
      </c>
    </row>
    <row r="320" spans="1:30" x14ac:dyDescent="0.25">
      <c r="A320" s="37"/>
      <c r="B320" s="38"/>
      <c r="C320" s="2"/>
      <c r="D320" s="41"/>
      <c r="E320" s="38"/>
      <c r="F320" s="2"/>
      <c r="G320" s="41"/>
      <c r="H320" s="38"/>
      <c r="I320" s="39"/>
      <c r="J320" s="39"/>
      <c r="K320" s="41"/>
      <c r="L320" s="41"/>
      <c r="M320" s="42"/>
      <c r="U320" s="3" t="str">
        <f t="shared" si="33"/>
        <v/>
      </c>
      <c r="V320" s="3" t="str">
        <f t="shared" si="34"/>
        <v/>
      </c>
      <c r="AD320" s="6" t="str">
        <f t="shared" si="35"/>
        <v/>
      </c>
    </row>
    <row r="321" spans="1:30" x14ac:dyDescent="0.25">
      <c r="A321" s="37"/>
      <c r="B321" s="38"/>
      <c r="C321" s="2"/>
      <c r="D321" s="41"/>
      <c r="E321" s="38"/>
      <c r="F321" s="2"/>
      <c r="G321" s="41"/>
      <c r="H321" s="38"/>
      <c r="I321" s="39"/>
      <c r="J321" s="39"/>
      <c r="K321" s="41"/>
      <c r="L321" s="41"/>
      <c r="M321" s="42"/>
      <c r="U321" s="3" t="str">
        <f t="shared" si="33"/>
        <v/>
      </c>
      <c r="V321" s="3" t="str">
        <f t="shared" si="34"/>
        <v/>
      </c>
      <c r="AD321" s="6" t="str">
        <f t="shared" si="35"/>
        <v/>
      </c>
    </row>
    <row r="322" spans="1:30" x14ac:dyDescent="0.25">
      <c r="A322" s="37"/>
      <c r="B322" s="38"/>
      <c r="C322" s="2"/>
      <c r="D322" s="41"/>
      <c r="E322" s="38"/>
      <c r="F322" s="2"/>
      <c r="G322" s="41"/>
      <c r="H322" s="38"/>
      <c r="I322" s="39"/>
      <c r="J322" s="39"/>
      <c r="K322" s="41"/>
      <c r="L322" s="41"/>
      <c r="M322" s="42"/>
      <c r="U322" s="3" t="str">
        <f t="shared" si="33"/>
        <v/>
      </c>
      <c r="V322" s="3" t="str">
        <f t="shared" si="34"/>
        <v/>
      </c>
      <c r="AD322" s="6" t="str">
        <f t="shared" si="35"/>
        <v/>
      </c>
    </row>
    <row r="323" spans="1:30" x14ac:dyDescent="0.25">
      <c r="A323" s="37"/>
      <c r="B323" s="38"/>
      <c r="C323" s="2"/>
      <c r="D323" s="41"/>
      <c r="E323" s="38"/>
      <c r="F323" s="2"/>
      <c r="G323" s="41"/>
      <c r="H323" s="38"/>
      <c r="I323" s="39"/>
      <c r="J323" s="39"/>
      <c r="K323" s="41"/>
      <c r="L323" s="41"/>
      <c r="M323" s="42"/>
      <c r="U323" s="3" t="str">
        <f t="shared" si="33"/>
        <v/>
      </c>
      <c r="V323" s="3" t="str">
        <f t="shared" si="34"/>
        <v/>
      </c>
      <c r="AD323" s="6" t="str">
        <f t="shared" si="35"/>
        <v/>
      </c>
    </row>
    <row r="324" spans="1:30" x14ac:dyDescent="0.25">
      <c r="A324" s="37"/>
      <c r="B324" s="38"/>
      <c r="C324" s="2"/>
      <c r="D324" s="41"/>
      <c r="E324" s="38"/>
      <c r="F324" s="2"/>
      <c r="G324" s="41"/>
      <c r="H324" s="38"/>
      <c r="I324" s="39"/>
      <c r="J324" s="39"/>
      <c r="K324" s="41"/>
      <c r="L324" s="41"/>
      <c r="M324" s="42"/>
      <c r="U324" s="3" t="str">
        <f t="shared" ref="U324:U387" si="36">IF(COUNTIF(Q:Q,O324)*COUNTIF(S:S,O324),O324,"")</f>
        <v/>
      </c>
      <c r="V324" s="3" t="str">
        <f t="shared" ref="V324:V387" si="37">IF(U324&gt;$A$14,U324,"")</f>
        <v/>
      </c>
      <c r="AD324" s="6" t="str">
        <f t="shared" ref="AD324:AD387" si="38">IF(COUNTIF(AB:AB,Z324),Z324,"")</f>
        <v/>
      </c>
    </row>
    <row r="325" spans="1:30" x14ac:dyDescent="0.25">
      <c r="A325" s="37"/>
      <c r="B325" s="38"/>
      <c r="C325" s="2"/>
      <c r="D325" s="41"/>
      <c r="E325" s="38"/>
      <c r="F325" s="2"/>
      <c r="G325" s="41"/>
      <c r="H325" s="38"/>
      <c r="I325" s="39"/>
      <c r="J325" s="39"/>
      <c r="K325" s="41"/>
      <c r="L325" s="41"/>
      <c r="M325" s="42"/>
      <c r="U325" s="3" t="str">
        <f t="shared" si="36"/>
        <v/>
      </c>
      <c r="V325" s="3" t="str">
        <f t="shared" si="37"/>
        <v/>
      </c>
      <c r="AD325" s="6" t="str">
        <f t="shared" si="38"/>
        <v/>
      </c>
    </row>
    <row r="326" spans="1:30" x14ac:dyDescent="0.25">
      <c r="A326" s="37"/>
      <c r="B326" s="38"/>
      <c r="C326" s="2"/>
      <c r="D326" s="41"/>
      <c r="E326" s="38"/>
      <c r="F326" s="2"/>
      <c r="G326" s="41"/>
      <c r="H326" s="38"/>
      <c r="I326" s="39"/>
      <c r="J326" s="39"/>
      <c r="K326" s="41"/>
      <c r="L326" s="41"/>
      <c r="M326" s="42"/>
      <c r="U326" s="3" t="str">
        <f t="shared" si="36"/>
        <v/>
      </c>
      <c r="V326" s="3" t="str">
        <f t="shared" si="37"/>
        <v/>
      </c>
      <c r="AD326" s="6" t="str">
        <f t="shared" si="38"/>
        <v/>
      </c>
    </row>
    <row r="327" spans="1:30" x14ac:dyDescent="0.25">
      <c r="A327" s="37"/>
      <c r="B327" s="38"/>
      <c r="C327" s="2"/>
      <c r="D327" s="41"/>
      <c r="E327" s="38"/>
      <c r="F327" s="2"/>
      <c r="G327" s="41"/>
      <c r="H327" s="38"/>
      <c r="I327" s="39"/>
      <c r="J327" s="39"/>
      <c r="K327" s="41"/>
      <c r="L327" s="41"/>
      <c r="M327" s="42"/>
      <c r="U327" s="3" t="str">
        <f t="shared" si="36"/>
        <v/>
      </c>
      <c r="V327" s="3" t="str">
        <f t="shared" si="37"/>
        <v/>
      </c>
      <c r="AD327" s="6" t="str">
        <f t="shared" si="38"/>
        <v/>
      </c>
    </row>
    <row r="328" spans="1:30" x14ac:dyDescent="0.25">
      <c r="A328" s="37"/>
      <c r="B328" s="38"/>
      <c r="C328" s="2"/>
      <c r="D328" s="41"/>
      <c r="E328" s="38"/>
      <c r="F328" s="2"/>
      <c r="G328" s="41"/>
      <c r="H328" s="38"/>
      <c r="I328" s="39"/>
      <c r="J328" s="39"/>
      <c r="K328" s="41"/>
      <c r="L328" s="41"/>
      <c r="M328" s="42"/>
      <c r="U328" s="3" t="str">
        <f t="shared" si="36"/>
        <v/>
      </c>
      <c r="V328" s="3" t="str">
        <f t="shared" si="37"/>
        <v/>
      </c>
      <c r="AD328" s="6" t="str">
        <f t="shared" si="38"/>
        <v/>
      </c>
    </row>
    <row r="329" spans="1:30" x14ac:dyDescent="0.25">
      <c r="A329" s="37"/>
      <c r="B329" s="38"/>
      <c r="C329" s="2"/>
      <c r="D329" s="41"/>
      <c r="E329" s="38"/>
      <c r="F329" s="2"/>
      <c r="G329" s="41"/>
      <c r="H329" s="38"/>
      <c r="I329" s="39"/>
      <c r="J329" s="39"/>
      <c r="K329" s="41"/>
      <c r="L329" s="41"/>
      <c r="M329" s="42"/>
      <c r="U329" s="3" t="str">
        <f t="shared" si="36"/>
        <v/>
      </c>
      <c r="V329" s="3" t="str">
        <f t="shared" si="37"/>
        <v/>
      </c>
      <c r="AD329" s="6" t="str">
        <f t="shared" si="38"/>
        <v/>
      </c>
    </row>
    <row r="330" spans="1:30" x14ac:dyDescent="0.25">
      <c r="A330" s="37"/>
      <c r="B330" s="38"/>
      <c r="C330" s="2"/>
      <c r="D330" s="41"/>
      <c r="E330" s="38"/>
      <c r="F330" s="2"/>
      <c r="G330" s="41"/>
      <c r="H330" s="38"/>
      <c r="I330" s="39"/>
      <c r="J330" s="39"/>
      <c r="K330" s="41"/>
      <c r="L330" s="41"/>
      <c r="M330" s="42"/>
      <c r="U330" s="3" t="str">
        <f t="shared" si="36"/>
        <v/>
      </c>
      <c r="V330" s="3" t="str">
        <f t="shared" si="37"/>
        <v/>
      </c>
      <c r="AD330" s="6" t="str">
        <f t="shared" si="38"/>
        <v/>
      </c>
    </row>
    <row r="331" spans="1:30" x14ac:dyDescent="0.25">
      <c r="A331" s="37"/>
      <c r="B331" s="38"/>
      <c r="C331" s="2"/>
      <c r="D331" s="41"/>
      <c r="E331" s="38"/>
      <c r="F331" s="2"/>
      <c r="G331" s="41"/>
      <c r="H331" s="38"/>
      <c r="I331" s="39"/>
      <c r="J331" s="39"/>
      <c r="K331" s="41"/>
      <c r="L331" s="41"/>
      <c r="M331" s="42"/>
      <c r="U331" s="3" t="str">
        <f t="shared" si="36"/>
        <v/>
      </c>
      <c r="V331" s="3" t="str">
        <f t="shared" si="37"/>
        <v/>
      </c>
      <c r="AD331" s="6" t="str">
        <f t="shared" si="38"/>
        <v/>
      </c>
    </row>
    <row r="332" spans="1:30" x14ac:dyDescent="0.25">
      <c r="A332" s="37"/>
      <c r="B332" s="38"/>
      <c r="C332" s="2"/>
      <c r="D332" s="41"/>
      <c r="E332" s="38"/>
      <c r="F332" s="2"/>
      <c r="G332" s="41"/>
      <c r="H332" s="38"/>
      <c r="I332" s="39"/>
      <c r="J332" s="39"/>
      <c r="K332" s="41"/>
      <c r="L332" s="41"/>
      <c r="M332" s="42"/>
      <c r="U332" s="3" t="str">
        <f t="shared" si="36"/>
        <v/>
      </c>
      <c r="V332" s="3" t="str">
        <f t="shared" si="37"/>
        <v/>
      </c>
      <c r="AD332" s="6" t="str">
        <f t="shared" si="38"/>
        <v/>
      </c>
    </row>
    <row r="333" spans="1:30" x14ac:dyDescent="0.25">
      <c r="A333" s="37"/>
      <c r="B333" s="38"/>
      <c r="C333" s="2"/>
      <c r="D333" s="41"/>
      <c r="E333" s="38"/>
      <c r="F333" s="2"/>
      <c r="G333" s="41"/>
      <c r="H333" s="38"/>
      <c r="I333" s="39"/>
      <c r="J333" s="39"/>
      <c r="K333" s="41"/>
      <c r="L333" s="41"/>
      <c r="M333" s="42"/>
      <c r="U333" s="3" t="str">
        <f t="shared" si="36"/>
        <v/>
      </c>
      <c r="V333" s="3" t="str">
        <f t="shared" si="37"/>
        <v/>
      </c>
      <c r="AD333" s="6" t="str">
        <f t="shared" si="38"/>
        <v/>
      </c>
    </row>
    <row r="334" spans="1:30" x14ac:dyDescent="0.25">
      <c r="A334" s="37"/>
      <c r="B334" s="38"/>
      <c r="C334" s="2"/>
      <c r="D334" s="41"/>
      <c r="E334" s="38"/>
      <c r="F334" s="2"/>
      <c r="G334" s="41"/>
      <c r="H334" s="38"/>
      <c r="I334" s="39"/>
      <c r="J334" s="39"/>
      <c r="K334" s="41"/>
      <c r="L334" s="41"/>
      <c r="M334" s="42"/>
      <c r="U334" s="3" t="str">
        <f t="shared" si="36"/>
        <v/>
      </c>
      <c r="V334" s="3" t="str">
        <f t="shared" si="37"/>
        <v/>
      </c>
      <c r="AD334" s="6" t="str">
        <f t="shared" si="38"/>
        <v/>
      </c>
    </row>
    <row r="335" spans="1:30" x14ac:dyDescent="0.25">
      <c r="A335" s="37"/>
      <c r="B335" s="38"/>
      <c r="C335" s="2"/>
      <c r="D335" s="41"/>
      <c r="E335" s="38"/>
      <c r="F335" s="2"/>
      <c r="G335" s="41"/>
      <c r="H335" s="38"/>
      <c r="I335" s="39"/>
      <c r="J335" s="39"/>
      <c r="K335" s="41"/>
      <c r="L335" s="41"/>
      <c r="M335" s="42"/>
      <c r="U335" s="3" t="str">
        <f t="shared" si="36"/>
        <v/>
      </c>
      <c r="V335" s="3" t="str">
        <f t="shared" si="37"/>
        <v/>
      </c>
      <c r="AD335" s="6" t="str">
        <f t="shared" si="38"/>
        <v/>
      </c>
    </row>
    <row r="336" spans="1:30" x14ac:dyDescent="0.25">
      <c r="A336" s="37"/>
      <c r="B336" s="38"/>
      <c r="C336" s="2"/>
      <c r="D336" s="41"/>
      <c r="E336" s="38"/>
      <c r="F336" s="2"/>
      <c r="G336" s="41"/>
      <c r="H336" s="38"/>
      <c r="I336" s="39"/>
      <c r="J336" s="39"/>
      <c r="K336" s="41"/>
      <c r="L336" s="41"/>
      <c r="M336" s="42"/>
      <c r="U336" s="3" t="str">
        <f t="shared" si="36"/>
        <v/>
      </c>
      <c r="V336" s="3" t="str">
        <f t="shared" si="37"/>
        <v/>
      </c>
      <c r="AD336" s="6" t="str">
        <f t="shared" si="38"/>
        <v/>
      </c>
    </row>
    <row r="337" spans="1:30" x14ac:dyDescent="0.25">
      <c r="A337" s="37"/>
      <c r="B337" s="38"/>
      <c r="C337" s="2"/>
      <c r="D337" s="41"/>
      <c r="E337" s="38"/>
      <c r="F337" s="2"/>
      <c r="G337" s="41"/>
      <c r="H337" s="38"/>
      <c r="I337" s="39"/>
      <c r="J337" s="39"/>
      <c r="K337" s="41"/>
      <c r="L337" s="41"/>
      <c r="M337" s="42"/>
      <c r="U337" s="3" t="str">
        <f t="shared" si="36"/>
        <v/>
      </c>
      <c r="V337" s="3" t="str">
        <f t="shared" si="37"/>
        <v/>
      </c>
      <c r="AD337" s="6" t="str">
        <f t="shared" si="38"/>
        <v/>
      </c>
    </row>
    <row r="338" spans="1:30" x14ac:dyDescent="0.25">
      <c r="A338" s="37"/>
      <c r="B338" s="38"/>
      <c r="C338" s="2"/>
      <c r="D338" s="41"/>
      <c r="E338" s="38"/>
      <c r="F338" s="2"/>
      <c r="G338" s="41"/>
      <c r="H338" s="38"/>
      <c r="I338" s="39"/>
      <c r="J338" s="39"/>
      <c r="K338" s="41"/>
      <c r="L338" s="41"/>
      <c r="M338" s="42"/>
      <c r="U338" s="3" t="str">
        <f t="shared" si="36"/>
        <v/>
      </c>
      <c r="V338" s="3" t="str">
        <f t="shared" si="37"/>
        <v/>
      </c>
      <c r="AD338" s="6" t="str">
        <f t="shared" si="38"/>
        <v/>
      </c>
    </row>
    <row r="339" spans="1:30" x14ac:dyDescent="0.25">
      <c r="A339" s="37"/>
      <c r="B339" s="38"/>
      <c r="C339" s="2"/>
      <c r="D339" s="41"/>
      <c r="E339" s="38"/>
      <c r="F339" s="2"/>
      <c r="G339" s="41"/>
      <c r="H339" s="38"/>
      <c r="I339" s="39"/>
      <c r="J339" s="39"/>
      <c r="K339" s="41"/>
      <c r="L339" s="41"/>
      <c r="M339" s="42"/>
      <c r="U339" s="3" t="str">
        <f t="shared" si="36"/>
        <v/>
      </c>
      <c r="V339" s="3" t="str">
        <f t="shared" si="37"/>
        <v/>
      </c>
      <c r="AD339" s="6" t="str">
        <f t="shared" si="38"/>
        <v/>
      </c>
    </row>
    <row r="340" spans="1:30" x14ac:dyDescent="0.25">
      <c r="A340" s="37"/>
      <c r="B340" s="38"/>
      <c r="C340" s="2"/>
      <c r="D340" s="41"/>
      <c r="E340" s="38"/>
      <c r="F340" s="2"/>
      <c r="G340" s="41"/>
      <c r="H340" s="38"/>
      <c r="I340" s="39"/>
      <c r="J340" s="39"/>
      <c r="K340" s="41"/>
      <c r="L340" s="41"/>
      <c r="M340" s="42"/>
      <c r="U340" s="3" t="str">
        <f t="shared" si="36"/>
        <v/>
      </c>
      <c r="V340" s="3" t="str">
        <f t="shared" si="37"/>
        <v/>
      </c>
      <c r="AD340" s="6" t="str">
        <f t="shared" si="38"/>
        <v/>
      </c>
    </row>
    <row r="341" spans="1:30" x14ac:dyDescent="0.25">
      <c r="A341" s="37"/>
      <c r="B341" s="38"/>
      <c r="C341" s="2"/>
      <c r="D341" s="41"/>
      <c r="E341" s="38"/>
      <c r="F341" s="2"/>
      <c r="G341" s="41"/>
      <c r="H341" s="38"/>
      <c r="I341" s="39"/>
      <c r="J341" s="39"/>
      <c r="K341" s="41"/>
      <c r="L341" s="41"/>
      <c r="M341" s="42"/>
      <c r="U341" s="3" t="str">
        <f t="shared" si="36"/>
        <v/>
      </c>
      <c r="V341" s="3" t="str">
        <f t="shared" si="37"/>
        <v/>
      </c>
      <c r="AD341" s="6" t="str">
        <f t="shared" si="38"/>
        <v/>
      </c>
    </row>
    <row r="342" spans="1:30" x14ac:dyDescent="0.25">
      <c r="A342" s="37"/>
      <c r="B342" s="38"/>
      <c r="C342" s="2"/>
      <c r="D342" s="41"/>
      <c r="E342" s="38"/>
      <c r="F342" s="2"/>
      <c r="G342" s="41"/>
      <c r="H342" s="38"/>
      <c r="I342" s="39"/>
      <c r="J342" s="39"/>
      <c r="K342" s="41"/>
      <c r="L342" s="41"/>
      <c r="M342" s="42"/>
      <c r="U342" s="3" t="str">
        <f t="shared" si="36"/>
        <v/>
      </c>
      <c r="V342" s="3" t="str">
        <f t="shared" si="37"/>
        <v/>
      </c>
      <c r="AD342" s="6" t="str">
        <f t="shared" si="38"/>
        <v/>
      </c>
    </row>
    <row r="343" spans="1:30" x14ac:dyDescent="0.25">
      <c r="A343" s="37"/>
      <c r="B343" s="38"/>
      <c r="C343" s="2"/>
      <c r="D343" s="41"/>
      <c r="E343" s="38"/>
      <c r="F343" s="2"/>
      <c r="G343" s="41"/>
      <c r="H343" s="38"/>
      <c r="I343" s="39"/>
      <c r="J343" s="39"/>
      <c r="K343" s="41"/>
      <c r="L343" s="41"/>
      <c r="M343" s="42"/>
      <c r="U343" s="3" t="str">
        <f t="shared" si="36"/>
        <v/>
      </c>
      <c r="V343" s="3" t="str">
        <f t="shared" si="37"/>
        <v/>
      </c>
      <c r="AD343" s="6" t="str">
        <f t="shared" si="38"/>
        <v/>
      </c>
    </row>
    <row r="344" spans="1:30" x14ac:dyDescent="0.25">
      <c r="A344" s="37"/>
      <c r="B344" s="38"/>
      <c r="C344" s="2"/>
      <c r="D344" s="41"/>
      <c r="E344" s="38"/>
      <c r="F344" s="2"/>
      <c r="G344" s="41"/>
      <c r="H344" s="38"/>
      <c r="I344" s="39"/>
      <c r="J344" s="39"/>
      <c r="K344" s="41"/>
      <c r="L344" s="41"/>
      <c r="M344" s="42"/>
      <c r="U344" s="3" t="str">
        <f t="shared" si="36"/>
        <v/>
      </c>
      <c r="V344" s="3" t="str">
        <f t="shared" si="37"/>
        <v/>
      </c>
      <c r="AD344" s="6" t="str">
        <f t="shared" si="38"/>
        <v/>
      </c>
    </row>
    <row r="345" spans="1:30" x14ac:dyDescent="0.25">
      <c r="A345" s="37"/>
      <c r="B345" s="38"/>
      <c r="C345" s="2"/>
      <c r="D345" s="41"/>
      <c r="E345" s="38"/>
      <c r="F345" s="2"/>
      <c r="G345" s="41"/>
      <c r="H345" s="38"/>
      <c r="I345" s="39"/>
      <c r="J345" s="39"/>
      <c r="K345" s="41"/>
      <c r="L345" s="41"/>
      <c r="M345" s="42"/>
      <c r="U345" s="3" t="str">
        <f t="shared" si="36"/>
        <v/>
      </c>
      <c r="V345" s="3" t="str">
        <f t="shared" si="37"/>
        <v/>
      </c>
      <c r="AD345" s="6" t="str">
        <f t="shared" si="38"/>
        <v/>
      </c>
    </row>
    <row r="346" spans="1:30" x14ac:dyDescent="0.25">
      <c r="A346" s="37"/>
      <c r="B346" s="38"/>
      <c r="C346" s="2"/>
      <c r="D346" s="41"/>
      <c r="E346" s="38"/>
      <c r="F346" s="2"/>
      <c r="G346" s="41"/>
      <c r="H346" s="38"/>
      <c r="I346" s="39"/>
      <c r="J346" s="39"/>
      <c r="K346" s="41"/>
      <c r="L346" s="41"/>
      <c r="M346" s="42"/>
      <c r="U346" s="3" t="str">
        <f t="shared" si="36"/>
        <v/>
      </c>
      <c r="V346" s="3" t="str">
        <f t="shared" si="37"/>
        <v/>
      </c>
      <c r="AD346" s="6" t="str">
        <f t="shared" si="38"/>
        <v/>
      </c>
    </row>
    <row r="347" spans="1:30" x14ac:dyDescent="0.25">
      <c r="A347" s="37"/>
      <c r="B347" s="38"/>
      <c r="C347" s="2"/>
      <c r="D347" s="41"/>
      <c r="E347" s="38"/>
      <c r="F347" s="2"/>
      <c r="G347" s="41"/>
      <c r="H347" s="38"/>
      <c r="I347" s="39"/>
      <c r="J347" s="39"/>
      <c r="K347" s="41"/>
      <c r="L347" s="41"/>
      <c r="M347" s="42"/>
      <c r="U347" s="3" t="str">
        <f t="shared" si="36"/>
        <v/>
      </c>
      <c r="V347" s="3" t="str">
        <f t="shared" si="37"/>
        <v/>
      </c>
      <c r="AD347" s="6" t="str">
        <f t="shared" si="38"/>
        <v/>
      </c>
    </row>
    <row r="348" spans="1:30" x14ac:dyDescent="0.25">
      <c r="A348" s="37"/>
      <c r="B348" s="38"/>
      <c r="C348" s="2"/>
      <c r="D348" s="41"/>
      <c r="E348" s="38"/>
      <c r="F348" s="2"/>
      <c r="G348" s="41"/>
      <c r="H348" s="38"/>
      <c r="I348" s="39"/>
      <c r="J348" s="39"/>
      <c r="K348" s="41"/>
      <c r="L348" s="41"/>
      <c r="M348" s="42"/>
      <c r="U348" s="3" t="str">
        <f t="shared" si="36"/>
        <v/>
      </c>
      <c r="V348" s="3" t="str">
        <f t="shared" si="37"/>
        <v/>
      </c>
      <c r="AD348" s="6" t="str">
        <f t="shared" si="38"/>
        <v/>
      </c>
    </row>
    <row r="349" spans="1:30" x14ac:dyDescent="0.25">
      <c r="A349" s="37"/>
      <c r="B349" s="38"/>
      <c r="C349" s="2"/>
      <c r="D349" s="41"/>
      <c r="E349" s="38"/>
      <c r="F349" s="2"/>
      <c r="G349" s="41"/>
      <c r="H349" s="38"/>
      <c r="I349" s="39"/>
      <c r="J349" s="39"/>
      <c r="K349" s="41"/>
      <c r="L349" s="41"/>
      <c r="M349" s="42"/>
      <c r="U349" s="3" t="str">
        <f t="shared" si="36"/>
        <v/>
      </c>
      <c r="V349" s="3" t="str">
        <f t="shared" si="37"/>
        <v/>
      </c>
      <c r="AD349" s="6" t="str">
        <f t="shared" si="38"/>
        <v/>
      </c>
    </row>
    <row r="350" spans="1:30" x14ac:dyDescent="0.25">
      <c r="A350" s="37"/>
      <c r="B350" s="38"/>
      <c r="C350" s="2"/>
      <c r="D350" s="41"/>
      <c r="E350" s="38"/>
      <c r="F350" s="2"/>
      <c r="G350" s="41"/>
      <c r="H350" s="38"/>
      <c r="I350" s="39"/>
      <c r="J350" s="39"/>
      <c r="K350" s="41"/>
      <c r="L350" s="41"/>
      <c r="M350" s="42"/>
      <c r="U350" s="3" t="str">
        <f t="shared" si="36"/>
        <v/>
      </c>
      <c r="V350" s="3" t="str">
        <f t="shared" si="37"/>
        <v/>
      </c>
      <c r="AD350" s="6" t="str">
        <f t="shared" si="38"/>
        <v/>
      </c>
    </row>
    <row r="351" spans="1:30" x14ac:dyDescent="0.25">
      <c r="A351" s="37"/>
      <c r="B351" s="38"/>
      <c r="C351" s="2"/>
      <c r="D351" s="41"/>
      <c r="E351" s="38"/>
      <c r="F351" s="2"/>
      <c r="G351" s="41"/>
      <c r="H351" s="38"/>
      <c r="I351" s="39"/>
      <c r="J351" s="39"/>
      <c r="K351" s="41"/>
      <c r="L351" s="41"/>
      <c r="M351" s="42"/>
      <c r="U351" s="3" t="str">
        <f t="shared" si="36"/>
        <v/>
      </c>
      <c r="V351" s="3" t="str">
        <f t="shared" si="37"/>
        <v/>
      </c>
      <c r="AD351" s="6" t="str">
        <f t="shared" si="38"/>
        <v/>
      </c>
    </row>
    <row r="352" spans="1:30" x14ac:dyDescent="0.25">
      <c r="A352" s="37"/>
      <c r="B352" s="38"/>
      <c r="C352" s="2"/>
      <c r="D352" s="41"/>
      <c r="E352" s="38"/>
      <c r="F352" s="2"/>
      <c r="G352" s="41"/>
      <c r="H352" s="38"/>
      <c r="I352" s="39"/>
      <c r="J352" s="39"/>
      <c r="K352" s="41"/>
      <c r="L352" s="41"/>
      <c r="M352" s="42"/>
      <c r="U352" s="3" t="str">
        <f t="shared" si="36"/>
        <v/>
      </c>
      <c r="V352" s="3" t="str">
        <f t="shared" si="37"/>
        <v/>
      </c>
      <c r="AD352" s="6" t="str">
        <f t="shared" si="38"/>
        <v/>
      </c>
    </row>
    <row r="353" spans="1:30" x14ac:dyDescent="0.25">
      <c r="A353" s="37"/>
      <c r="B353" s="38"/>
      <c r="C353" s="2"/>
      <c r="D353" s="41"/>
      <c r="E353" s="38"/>
      <c r="F353" s="2"/>
      <c r="G353" s="41"/>
      <c r="H353" s="38"/>
      <c r="I353" s="39"/>
      <c r="J353" s="39"/>
      <c r="K353" s="41"/>
      <c r="L353" s="41"/>
      <c r="M353" s="42"/>
      <c r="U353" s="3" t="str">
        <f t="shared" si="36"/>
        <v/>
      </c>
      <c r="V353" s="3" t="str">
        <f t="shared" si="37"/>
        <v/>
      </c>
      <c r="AD353" s="6" t="str">
        <f t="shared" si="38"/>
        <v/>
      </c>
    </row>
    <row r="354" spans="1:30" x14ac:dyDescent="0.25">
      <c r="A354" s="37"/>
      <c r="B354" s="38"/>
      <c r="C354" s="2"/>
      <c r="D354" s="41"/>
      <c r="E354" s="38"/>
      <c r="F354" s="2"/>
      <c r="G354" s="41"/>
      <c r="H354" s="38"/>
      <c r="I354" s="39"/>
      <c r="J354" s="39"/>
      <c r="K354" s="41"/>
      <c r="L354" s="41"/>
      <c r="M354" s="42"/>
      <c r="U354" s="3" t="str">
        <f t="shared" si="36"/>
        <v/>
      </c>
      <c r="V354" s="3" t="str">
        <f t="shared" si="37"/>
        <v/>
      </c>
      <c r="AD354" s="6" t="str">
        <f t="shared" si="38"/>
        <v/>
      </c>
    </row>
    <row r="355" spans="1:30" x14ac:dyDescent="0.25">
      <c r="A355" s="37"/>
      <c r="B355" s="38"/>
      <c r="C355" s="2"/>
      <c r="D355" s="41"/>
      <c r="E355" s="38"/>
      <c r="F355" s="2"/>
      <c r="G355" s="41"/>
      <c r="H355" s="38"/>
      <c r="I355" s="39"/>
      <c r="J355" s="39"/>
      <c r="K355" s="41"/>
      <c r="L355" s="41"/>
      <c r="M355" s="42"/>
      <c r="U355" s="3" t="str">
        <f t="shared" si="36"/>
        <v/>
      </c>
      <c r="V355" s="3" t="str">
        <f t="shared" si="37"/>
        <v/>
      </c>
      <c r="AD355" s="6" t="str">
        <f t="shared" si="38"/>
        <v/>
      </c>
    </row>
    <row r="356" spans="1:30" x14ac:dyDescent="0.25">
      <c r="A356" s="37"/>
      <c r="B356" s="38"/>
      <c r="C356" s="2"/>
      <c r="D356" s="41"/>
      <c r="E356" s="38"/>
      <c r="F356" s="2"/>
      <c r="G356" s="41"/>
      <c r="H356" s="38"/>
      <c r="I356" s="39"/>
      <c r="J356" s="39"/>
      <c r="K356" s="41"/>
      <c r="L356" s="41"/>
      <c r="M356" s="42"/>
      <c r="U356" s="3" t="str">
        <f t="shared" si="36"/>
        <v/>
      </c>
      <c r="V356" s="3" t="str">
        <f t="shared" si="37"/>
        <v/>
      </c>
      <c r="AD356" s="6" t="str">
        <f t="shared" si="38"/>
        <v/>
      </c>
    </row>
    <row r="357" spans="1:30" x14ac:dyDescent="0.25">
      <c r="A357" s="37"/>
      <c r="B357" s="38"/>
      <c r="C357" s="2"/>
      <c r="D357" s="41"/>
      <c r="E357" s="38"/>
      <c r="F357" s="2"/>
      <c r="G357" s="41"/>
      <c r="H357" s="38"/>
      <c r="I357" s="39"/>
      <c r="J357" s="39"/>
      <c r="K357" s="41"/>
      <c r="L357" s="41"/>
      <c r="M357" s="42"/>
      <c r="U357" s="3" t="str">
        <f t="shared" si="36"/>
        <v/>
      </c>
      <c r="V357" s="3" t="str">
        <f t="shared" si="37"/>
        <v/>
      </c>
      <c r="AD357" s="6" t="str">
        <f t="shared" si="38"/>
        <v/>
      </c>
    </row>
    <row r="358" spans="1:30" x14ac:dyDescent="0.25">
      <c r="A358" s="37"/>
      <c r="B358" s="38"/>
      <c r="C358" s="2"/>
      <c r="D358" s="41"/>
      <c r="E358" s="38"/>
      <c r="F358" s="2"/>
      <c r="G358" s="41"/>
      <c r="H358" s="38"/>
      <c r="I358" s="39"/>
      <c r="J358" s="39"/>
      <c r="K358" s="41"/>
      <c r="L358" s="41"/>
      <c r="M358" s="42"/>
      <c r="U358" s="3" t="str">
        <f t="shared" si="36"/>
        <v/>
      </c>
      <c r="V358" s="3" t="str">
        <f t="shared" si="37"/>
        <v/>
      </c>
      <c r="AD358" s="6" t="str">
        <f t="shared" si="38"/>
        <v/>
      </c>
    </row>
    <row r="359" spans="1:30" x14ac:dyDescent="0.25">
      <c r="A359" s="37"/>
      <c r="B359" s="38"/>
      <c r="C359" s="2"/>
      <c r="D359" s="41"/>
      <c r="E359" s="38"/>
      <c r="F359" s="2"/>
      <c r="G359" s="41"/>
      <c r="H359" s="38"/>
      <c r="I359" s="39"/>
      <c r="J359" s="39"/>
      <c r="K359" s="41"/>
      <c r="L359" s="41"/>
      <c r="M359" s="42"/>
      <c r="U359" s="3" t="str">
        <f t="shared" si="36"/>
        <v/>
      </c>
      <c r="V359" s="3" t="str">
        <f t="shared" si="37"/>
        <v/>
      </c>
      <c r="AD359" s="6" t="str">
        <f t="shared" si="38"/>
        <v/>
      </c>
    </row>
    <row r="360" spans="1:30" x14ac:dyDescent="0.25">
      <c r="A360" s="37"/>
      <c r="B360" s="38"/>
      <c r="C360" s="2"/>
      <c r="D360" s="41"/>
      <c r="E360" s="38"/>
      <c r="F360" s="2"/>
      <c r="G360" s="41"/>
      <c r="H360" s="38"/>
      <c r="I360" s="39"/>
      <c r="J360" s="39"/>
      <c r="K360" s="41"/>
      <c r="L360" s="41"/>
      <c r="M360" s="42"/>
      <c r="U360" s="3" t="str">
        <f t="shared" si="36"/>
        <v/>
      </c>
      <c r="V360" s="3" t="str">
        <f t="shared" si="37"/>
        <v/>
      </c>
      <c r="AD360" s="6" t="str">
        <f t="shared" si="38"/>
        <v/>
      </c>
    </row>
    <row r="361" spans="1:30" x14ac:dyDescent="0.25">
      <c r="A361" s="37"/>
      <c r="B361" s="38"/>
      <c r="C361" s="2"/>
      <c r="D361" s="41"/>
      <c r="E361" s="38"/>
      <c r="F361" s="2"/>
      <c r="G361" s="41"/>
      <c r="H361" s="38"/>
      <c r="I361" s="39"/>
      <c r="J361" s="39"/>
      <c r="K361" s="41"/>
      <c r="L361" s="41"/>
      <c r="M361" s="42"/>
      <c r="U361" s="3" t="str">
        <f t="shared" si="36"/>
        <v/>
      </c>
      <c r="V361" s="3" t="str">
        <f t="shared" si="37"/>
        <v/>
      </c>
      <c r="AD361" s="6" t="str">
        <f t="shared" si="38"/>
        <v/>
      </c>
    </row>
    <row r="362" spans="1:30" x14ac:dyDescent="0.25">
      <c r="A362" s="37"/>
      <c r="B362" s="38"/>
      <c r="C362" s="2"/>
      <c r="D362" s="41"/>
      <c r="E362" s="38"/>
      <c r="F362" s="2"/>
      <c r="G362" s="41"/>
      <c r="H362" s="38"/>
      <c r="I362" s="39"/>
      <c r="J362" s="39"/>
      <c r="K362" s="41"/>
      <c r="L362" s="41"/>
      <c r="M362" s="42"/>
      <c r="U362" s="3" t="str">
        <f t="shared" si="36"/>
        <v/>
      </c>
      <c r="V362" s="3" t="str">
        <f t="shared" si="37"/>
        <v/>
      </c>
      <c r="AD362" s="6" t="str">
        <f t="shared" si="38"/>
        <v/>
      </c>
    </row>
    <row r="363" spans="1:30" x14ac:dyDescent="0.25">
      <c r="A363" s="37"/>
      <c r="B363" s="38"/>
      <c r="C363" s="2"/>
      <c r="D363" s="41"/>
      <c r="E363" s="38"/>
      <c r="F363" s="2"/>
      <c r="G363" s="41"/>
      <c r="H363" s="38"/>
      <c r="I363" s="39"/>
      <c r="J363" s="39"/>
      <c r="K363" s="41"/>
      <c r="L363" s="41"/>
      <c r="M363" s="42"/>
      <c r="U363" s="3" t="str">
        <f t="shared" si="36"/>
        <v/>
      </c>
      <c r="V363" s="3" t="str">
        <f t="shared" si="37"/>
        <v/>
      </c>
      <c r="AD363" s="6" t="str">
        <f t="shared" si="38"/>
        <v/>
      </c>
    </row>
    <row r="364" spans="1:30" x14ac:dyDescent="0.25">
      <c r="A364" s="37"/>
      <c r="B364" s="38"/>
      <c r="C364" s="2"/>
      <c r="D364" s="41"/>
      <c r="E364" s="38"/>
      <c r="F364" s="2"/>
      <c r="G364" s="41"/>
      <c r="H364" s="38"/>
      <c r="I364" s="39"/>
      <c r="J364" s="39"/>
      <c r="K364" s="41"/>
      <c r="L364" s="41"/>
      <c r="M364" s="42"/>
      <c r="U364" s="3" t="str">
        <f t="shared" si="36"/>
        <v/>
      </c>
      <c r="V364" s="3" t="str">
        <f t="shared" si="37"/>
        <v/>
      </c>
      <c r="AD364" s="6" t="str">
        <f t="shared" si="38"/>
        <v/>
      </c>
    </row>
    <row r="365" spans="1:30" x14ac:dyDescent="0.25">
      <c r="A365" s="37"/>
      <c r="B365" s="38"/>
      <c r="C365" s="2"/>
      <c r="D365" s="41"/>
      <c r="E365" s="38"/>
      <c r="F365" s="2"/>
      <c r="G365" s="41"/>
      <c r="H365" s="38"/>
      <c r="I365" s="39"/>
      <c r="J365" s="39"/>
      <c r="K365" s="41"/>
      <c r="L365" s="41"/>
      <c r="M365" s="42"/>
      <c r="U365" s="3" t="str">
        <f t="shared" si="36"/>
        <v/>
      </c>
      <c r="V365" s="3" t="str">
        <f t="shared" si="37"/>
        <v/>
      </c>
      <c r="AD365" s="6" t="str">
        <f t="shared" si="38"/>
        <v/>
      </c>
    </row>
    <row r="366" spans="1:30" x14ac:dyDescent="0.25">
      <c r="A366" s="37"/>
      <c r="B366" s="38"/>
      <c r="C366" s="2"/>
      <c r="D366" s="41"/>
      <c r="E366" s="38"/>
      <c r="F366" s="2"/>
      <c r="G366" s="41"/>
      <c r="H366" s="38"/>
      <c r="I366" s="39"/>
      <c r="J366" s="39"/>
      <c r="K366" s="41"/>
      <c r="L366" s="41"/>
      <c r="M366" s="42"/>
      <c r="U366" s="3" t="str">
        <f t="shared" si="36"/>
        <v/>
      </c>
      <c r="V366" s="3" t="str">
        <f t="shared" si="37"/>
        <v/>
      </c>
      <c r="AD366" s="6" t="str">
        <f t="shared" si="38"/>
        <v/>
      </c>
    </row>
    <row r="367" spans="1:30" x14ac:dyDescent="0.25">
      <c r="A367" s="37"/>
      <c r="B367" s="38"/>
      <c r="C367" s="2"/>
      <c r="D367" s="41"/>
      <c r="E367" s="38"/>
      <c r="F367" s="2"/>
      <c r="G367" s="41"/>
      <c r="H367" s="38"/>
      <c r="I367" s="39"/>
      <c r="J367" s="39"/>
      <c r="K367" s="41"/>
      <c r="L367" s="41"/>
      <c r="M367" s="42"/>
      <c r="U367" s="3" t="str">
        <f t="shared" si="36"/>
        <v/>
      </c>
      <c r="V367" s="3" t="str">
        <f t="shared" si="37"/>
        <v/>
      </c>
      <c r="AD367" s="6" t="str">
        <f t="shared" si="38"/>
        <v/>
      </c>
    </row>
    <row r="368" spans="1:30" x14ac:dyDescent="0.25">
      <c r="A368" s="37"/>
      <c r="B368" s="38"/>
      <c r="C368" s="2"/>
      <c r="D368" s="41"/>
      <c r="E368" s="38"/>
      <c r="F368" s="2"/>
      <c r="G368" s="41"/>
      <c r="H368" s="38"/>
      <c r="I368" s="39"/>
      <c r="J368" s="39"/>
      <c r="K368" s="41"/>
      <c r="L368" s="41"/>
      <c r="M368" s="42"/>
      <c r="U368" s="3" t="str">
        <f t="shared" si="36"/>
        <v/>
      </c>
      <c r="V368" s="3" t="str">
        <f t="shared" si="37"/>
        <v/>
      </c>
      <c r="AD368" s="6" t="str">
        <f t="shared" si="38"/>
        <v/>
      </c>
    </row>
    <row r="369" spans="1:30" x14ac:dyDescent="0.25">
      <c r="A369" s="37"/>
      <c r="B369" s="38"/>
      <c r="C369" s="2"/>
      <c r="D369" s="41"/>
      <c r="E369" s="38"/>
      <c r="F369" s="2"/>
      <c r="G369" s="41"/>
      <c r="H369" s="38"/>
      <c r="I369" s="39"/>
      <c r="J369" s="39"/>
      <c r="K369" s="41"/>
      <c r="L369" s="41"/>
      <c r="M369" s="42"/>
      <c r="U369" s="3" t="str">
        <f t="shared" si="36"/>
        <v/>
      </c>
      <c r="V369" s="3" t="str">
        <f t="shared" si="37"/>
        <v/>
      </c>
      <c r="AD369" s="6" t="str">
        <f t="shared" si="38"/>
        <v/>
      </c>
    </row>
    <row r="370" spans="1:30" x14ac:dyDescent="0.25">
      <c r="A370" s="37"/>
      <c r="B370" s="38"/>
      <c r="C370" s="2"/>
      <c r="D370" s="41"/>
      <c r="E370" s="38"/>
      <c r="F370" s="2"/>
      <c r="G370" s="41"/>
      <c r="H370" s="38"/>
      <c r="I370" s="39"/>
      <c r="J370" s="39"/>
      <c r="K370" s="41"/>
      <c r="L370" s="41"/>
      <c r="M370" s="42"/>
      <c r="U370" s="3" t="str">
        <f t="shared" si="36"/>
        <v/>
      </c>
      <c r="V370" s="3" t="str">
        <f t="shared" si="37"/>
        <v/>
      </c>
      <c r="AD370" s="6" t="str">
        <f t="shared" si="38"/>
        <v/>
      </c>
    </row>
    <row r="371" spans="1:30" x14ac:dyDescent="0.25">
      <c r="A371" s="37"/>
      <c r="B371" s="38"/>
      <c r="C371" s="2"/>
      <c r="D371" s="41"/>
      <c r="E371" s="38"/>
      <c r="F371" s="2"/>
      <c r="G371" s="41"/>
      <c r="H371" s="38"/>
      <c r="I371" s="39"/>
      <c r="J371" s="39"/>
      <c r="K371" s="41"/>
      <c r="L371" s="41"/>
      <c r="M371" s="42"/>
      <c r="U371" s="3" t="str">
        <f t="shared" si="36"/>
        <v/>
      </c>
      <c r="V371" s="3" t="str">
        <f t="shared" si="37"/>
        <v/>
      </c>
      <c r="AD371" s="6" t="str">
        <f t="shared" si="38"/>
        <v/>
      </c>
    </row>
    <row r="372" spans="1:30" x14ac:dyDescent="0.25">
      <c r="A372" s="37"/>
      <c r="B372" s="38"/>
      <c r="C372" s="2"/>
      <c r="D372" s="41"/>
      <c r="E372" s="38"/>
      <c r="F372" s="2"/>
      <c r="G372" s="41"/>
      <c r="H372" s="38"/>
      <c r="I372" s="39"/>
      <c r="J372" s="39"/>
      <c r="K372" s="41"/>
      <c r="L372" s="41"/>
      <c r="M372" s="42"/>
      <c r="U372" s="3" t="str">
        <f t="shared" si="36"/>
        <v/>
      </c>
      <c r="V372" s="3" t="str">
        <f t="shared" si="37"/>
        <v/>
      </c>
      <c r="AD372" s="6" t="str">
        <f t="shared" si="38"/>
        <v/>
      </c>
    </row>
    <row r="373" spans="1:30" x14ac:dyDescent="0.25">
      <c r="A373" s="37"/>
      <c r="B373" s="38"/>
      <c r="C373" s="2"/>
      <c r="D373" s="41"/>
      <c r="E373" s="38"/>
      <c r="F373" s="2"/>
      <c r="G373" s="41"/>
      <c r="H373" s="38"/>
      <c r="I373" s="39"/>
      <c r="J373" s="39"/>
      <c r="K373" s="41"/>
      <c r="L373" s="41"/>
      <c r="M373" s="42"/>
      <c r="U373" s="3" t="str">
        <f t="shared" si="36"/>
        <v/>
      </c>
      <c r="V373" s="3" t="str">
        <f t="shared" si="37"/>
        <v/>
      </c>
      <c r="AD373" s="6" t="str">
        <f t="shared" si="38"/>
        <v/>
      </c>
    </row>
    <row r="374" spans="1:30" x14ac:dyDescent="0.25">
      <c r="A374" s="37"/>
      <c r="B374" s="38"/>
      <c r="C374" s="2"/>
      <c r="D374" s="41"/>
      <c r="E374" s="38"/>
      <c r="F374" s="2"/>
      <c r="G374" s="41"/>
      <c r="H374" s="38"/>
      <c r="I374" s="39"/>
      <c r="J374" s="39"/>
      <c r="K374" s="41"/>
      <c r="L374" s="41"/>
      <c r="M374" s="42"/>
      <c r="U374" s="3" t="str">
        <f t="shared" si="36"/>
        <v/>
      </c>
      <c r="V374" s="3" t="str">
        <f t="shared" si="37"/>
        <v/>
      </c>
      <c r="AD374" s="6" t="str">
        <f t="shared" si="38"/>
        <v/>
      </c>
    </row>
    <row r="375" spans="1:30" x14ac:dyDescent="0.25">
      <c r="A375" s="37"/>
      <c r="B375" s="38"/>
      <c r="C375" s="2"/>
      <c r="D375" s="41"/>
      <c r="E375" s="38"/>
      <c r="F375" s="2"/>
      <c r="G375" s="41"/>
      <c r="H375" s="38"/>
      <c r="I375" s="39"/>
      <c r="J375" s="39"/>
      <c r="K375" s="41"/>
      <c r="L375" s="41"/>
      <c r="M375" s="42"/>
      <c r="U375" s="3" t="str">
        <f t="shared" si="36"/>
        <v/>
      </c>
      <c r="V375" s="3" t="str">
        <f t="shared" si="37"/>
        <v/>
      </c>
      <c r="AD375" s="6" t="str">
        <f t="shared" si="38"/>
        <v/>
      </c>
    </row>
    <row r="376" spans="1:30" x14ac:dyDescent="0.25">
      <c r="A376" s="37"/>
      <c r="B376" s="38"/>
      <c r="C376" s="2"/>
      <c r="D376" s="41"/>
      <c r="E376" s="38"/>
      <c r="F376" s="2"/>
      <c r="G376" s="41"/>
      <c r="H376" s="38"/>
      <c r="I376" s="39"/>
      <c r="J376" s="39"/>
      <c r="K376" s="41"/>
      <c r="L376" s="41"/>
      <c r="M376" s="42"/>
      <c r="U376" s="3" t="str">
        <f t="shared" si="36"/>
        <v/>
      </c>
      <c r="V376" s="3" t="str">
        <f t="shared" si="37"/>
        <v/>
      </c>
      <c r="AD376" s="6" t="str">
        <f t="shared" si="38"/>
        <v/>
      </c>
    </row>
    <row r="377" spans="1:30" x14ac:dyDescent="0.25">
      <c r="A377" s="37"/>
      <c r="B377" s="38"/>
      <c r="C377" s="2"/>
      <c r="D377" s="41"/>
      <c r="E377" s="38"/>
      <c r="F377" s="2"/>
      <c r="G377" s="41"/>
      <c r="H377" s="38"/>
      <c r="I377" s="39"/>
      <c r="J377" s="39"/>
      <c r="K377" s="41"/>
      <c r="L377" s="41"/>
      <c r="M377" s="42"/>
      <c r="U377" s="3" t="str">
        <f t="shared" si="36"/>
        <v/>
      </c>
      <c r="V377" s="3" t="str">
        <f t="shared" si="37"/>
        <v/>
      </c>
      <c r="AD377" s="6" t="str">
        <f t="shared" si="38"/>
        <v/>
      </c>
    </row>
    <row r="378" spans="1:30" x14ac:dyDescent="0.25">
      <c r="A378" s="37"/>
      <c r="B378" s="38"/>
      <c r="C378" s="2"/>
      <c r="D378" s="41"/>
      <c r="E378" s="38"/>
      <c r="F378" s="2"/>
      <c r="G378" s="41"/>
      <c r="H378" s="38"/>
      <c r="I378" s="39"/>
      <c r="J378" s="39"/>
      <c r="K378" s="41"/>
      <c r="L378" s="41"/>
      <c r="M378" s="42"/>
      <c r="U378" s="3" t="str">
        <f t="shared" si="36"/>
        <v/>
      </c>
      <c r="V378" s="3" t="str">
        <f t="shared" si="37"/>
        <v/>
      </c>
      <c r="AD378" s="6" t="str">
        <f t="shared" si="38"/>
        <v/>
      </c>
    </row>
    <row r="379" spans="1:30" x14ac:dyDescent="0.25">
      <c r="A379" s="37"/>
      <c r="B379" s="38"/>
      <c r="C379" s="2"/>
      <c r="D379" s="41"/>
      <c r="E379" s="38"/>
      <c r="F379" s="2"/>
      <c r="G379" s="41"/>
      <c r="H379" s="38"/>
      <c r="I379" s="39"/>
      <c r="J379" s="39"/>
      <c r="K379" s="41"/>
      <c r="L379" s="41"/>
      <c r="M379" s="42"/>
      <c r="U379" s="3" t="str">
        <f t="shared" si="36"/>
        <v/>
      </c>
      <c r="V379" s="3" t="str">
        <f t="shared" si="37"/>
        <v/>
      </c>
      <c r="AD379" s="6" t="str">
        <f t="shared" si="38"/>
        <v/>
      </c>
    </row>
    <row r="380" spans="1:30" x14ac:dyDescent="0.25">
      <c r="A380" s="37"/>
      <c r="B380" s="38"/>
      <c r="C380" s="2"/>
      <c r="D380" s="41"/>
      <c r="E380" s="38"/>
      <c r="F380" s="2"/>
      <c r="G380" s="41"/>
      <c r="H380" s="38"/>
      <c r="I380" s="39"/>
      <c r="J380" s="39"/>
      <c r="K380" s="41"/>
      <c r="L380" s="41"/>
      <c r="M380" s="42"/>
      <c r="U380" s="3" t="str">
        <f t="shared" si="36"/>
        <v/>
      </c>
      <c r="V380" s="3" t="str">
        <f t="shared" si="37"/>
        <v/>
      </c>
      <c r="AD380" s="6" t="str">
        <f t="shared" si="38"/>
        <v/>
      </c>
    </row>
    <row r="381" spans="1:30" x14ac:dyDescent="0.25">
      <c r="A381" s="37"/>
      <c r="B381" s="38"/>
      <c r="C381" s="2"/>
      <c r="D381" s="41"/>
      <c r="E381" s="38"/>
      <c r="F381" s="2"/>
      <c r="G381" s="41"/>
      <c r="H381" s="38"/>
      <c r="I381" s="39"/>
      <c r="J381" s="39"/>
      <c r="K381" s="41"/>
      <c r="L381" s="41"/>
      <c r="M381" s="42"/>
      <c r="U381" s="3" t="str">
        <f t="shared" si="36"/>
        <v/>
      </c>
      <c r="V381" s="3" t="str">
        <f t="shared" si="37"/>
        <v/>
      </c>
      <c r="AD381" s="6" t="str">
        <f t="shared" si="38"/>
        <v/>
      </c>
    </row>
    <row r="382" spans="1:30" x14ac:dyDescent="0.25">
      <c r="A382" s="37"/>
      <c r="B382" s="38"/>
      <c r="C382" s="2"/>
      <c r="D382" s="41"/>
      <c r="E382" s="38"/>
      <c r="F382" s="2"/>
      <c r="G382" s="41"/>
      <c r="H382" s="38"/>
      <c r="I382" s="39"/>
      <c r="J382" s="39"/>
      <c r="K382" s="41"/>
      <c r="L382" s="41"/>
      <c r="M382" s="42"/>
      <c r="U382" s="3" t="str">
        <f t="shared" si="36"/>
        <v/>
      </c>
      <c r="V382" s="3" t="str">
        <f t="shared" si="37"/>
        <v/>
      </c>
      <c r="AD382" s="6" t="str">
        <f t="shared" si="38"/>
        <v/>
      </c>
    </row>
    <row r="383" spans="1:30" x14ac:dyDescent="0.25">
      <c r="A383" s="37"/>
      <c r="B383" s="38"/>
      <c r="C383" s="2"/>
      <c r="D383" s="41"/>
      <c r="E383" s="38"/>
      <c r="F383" s="2"/>
      <c r="G383" s="41"/>
      <c r="H383" s="38"/>
      <c r="I383" s="39"/>
      <c r="J383" s="39"/>
      <c r="K383" s="41"/>
      <c r="L383" s="41"/>
      <c r="M383" s="42"/>
      <c r="U383" s="3" t="str">
        <f t="shared" si="36"/>
        <v/>
      </c>
      <c r="V383" s="3" t="str">
        <f t="shared" si="37"/>
        <v/>
      </c>
      <c r="AD383" s="6" t="str">
        <f t="shared" si="38"/>
        <v/>
      </c>
    </row>
    <row r="384" spans="1:30" x14ac:dyDescent="0.25">
      <c r="A384" s="37"/>
      <c r="B384" s="38"/>
      <c r="C384" s="2"/>
      <c r="D384" s="41"/>
      <c r="E384" s="38"/>
      <c r="F384" s="2"/>
      <c r="G384" s="41"/>
      <c r="H384" s="38"/>
      <c r="I384" s="39"/>
      <c r="J384" s="39"/>
      <c r="K384" s="41"/>
      <c r="L384" s="41"/>
      <c r="M384" s="42"/>
      <c r="U384" s="3" t="str">
        <f t="shared" si="36"/>
        <v/>
      </c>
      <c r="V384" s="3" t="str">
        <f t="shared" si="37"/>
        <v/>
      </c>
      <c r="AD384" s="6" t="str">
        <f t="shared" si="38"/>
        <v/>
      </c>
    </row>
    <row r="385" spans="1:30" x14ac:dyDescent="0.25">
      <c r="A385" s="37"/>
      <c r="B385" s="38"/>
      <c r="C385" s="2"/>
      <c r="D385" s="41"/>
      <c r="E385" s="38"/>
      <c r="F385" s="2"/>
      <c r="G385" s="41"/>
      <c r="H385" s="38"/>
      <c r="I385" s="39"/>
      <c r="J385" s="39"/>
      <c r="K385" s="41"/>
      <c r="L385" s="41"/>
      <c r="M385" s="42"/>
      <c r="U385" s="3" t="str">
        <f t="shared" si="36"/>
        <v/>
      </c>
      <c r="V385" s="3" t="str">
        <f t="shared" si="37"/>
        <v/>
      </c>
      <c r="AD385" s="6" t="str">
        <f t="shared" si="38"/>
        <v/>
      </c>
    </row>
    <row r="386" spans="1:30" x14ac:dyDescent="0.25">
      <c r="A386" s="37"/>
      <c r="B386" s="38"/>
      <c r="C386" s="2"/>
      <c r="D386" s="41"/>
      <c r="E386" s="38"/>
      <c r="F386" s="2"/>
      <c r="G386" s="41"/>
      <c r="H386" s="38"/>
      <c r="I386" s="39"/>
      <c r="J386" s="39"/>
      <c r="K386" s="41"/>
      <c r="L386" s="41"/>
      <c r="M386" s="42"/>
      <c r="U386" s="3" t="str">
        <f t="shared" si="36"/>
        <v/>
      </c>
      <c r="V386" s="3" t="str">
        <f t="shared" si="37"/>
        <v/>
      </c>
      <c r="AD386" s="6" t="str">
        <f t="shared" si="38"/>
        <v/>
      </c>
    </row>
    <row r="387" spans="1:30" x14ac:dyDescent="0.25">
      <c r="A387" s="37"/>
      <c r="B387" s="38"/>
      <c r="C387" s="2"/>
      <c r="D387" s="41"/>
      <c r="E387" s="38"/>
      <c r="F387" s="2"/>
      <c r="G387" s="41"/>
      <c r="H387" s="38"/>
      <c r="I387" s="39"/>
      <c r="J387" s="39"/>
      <c r="K387" s="41"/>
      <c r="L387" s="41"/>
      <c r="M387" s="42"/>
      <c r="U387" s="3" t="str">
        <f t="shared" si="36"/>
        <v/>
      </c>
      <c r="V387" s="3" t="str">
        <f t="shared" si="37"/>
        <v/>
      </c>
      <c r="AD387" s="6" t="str">
        <f t="shared" si="38"/>
        <v/>
      </c>
    </row>
    <row r="388" spans="1:30" x14ac:dyDescent="0.25">
      <c r="A388" s="37"/>
      <c r="B388" s="38"/>
      <c r="C388" s="2"/>
      <c r="D388" s="41"/>
      <c r="E388" s="38"/>
      <c r="F388" s="2"/>
      <c r="G388" s="41"/>
      <c r="H388" s="38"/>
      <c r="I388" s="39"/>
      <c r="J388" s="39"/>
      <c r="K388" s="41"/>
      <c r="L388" s="41"/>
      <c r="M388" s="42"/>
      <c r="U388" s="3" t="str">
        <f t="shared" ref="U388:U451" si="39">IF(COUNTIF(Q:Q,O388)*COUNTIF(S:S,O388),O388,"")</f>
        <v/>
      </c>
      <c r="V388" s="3" t="str">
        <f t="shared" ref="V388:V451" si="40">IF(U388&gt;$A$14,U388,"")</f>
        <v/>
      </c>
      <c r="AD388" s="6" t="str">
        <f t="shared" ref="AD388:AD421" si="41">IF(COUNTIF(AB:AB,Z388),Z388,"")</f>
        <v/>
      </c>
    </row>
    <row r="389" spans="1:30" x14ac:dyDescent="0.25">
      <c r="A389" s="37"/>
      <c r="B389" s="38"/>
      <c r="C389" s="2"/>
      <c r="D389" s="41"/>
      <c r="E389" s="38"/>
      <c r="F389" s="2"/>
      <c r="G389" s="41"/>
      <c r="H389" s="38"/>
      <c r="I389" s="39"/>
      <c r="J389" s="39"/>
      <c r="K389" s="41"/>
      <c r="L389" s="41"/>
      <c r="M389" s="42"/>
      <c r="U389" s="3" t="str">
        <f t="shared" si="39"/>
        <v/>
      </c>
      <c r="V389" s="3" t="str">
        <f t="shared" si="40"/>
        <v/>
      </c>
      <c r="AD389" s="6" t="str">
        <f t="shared" si="41"/>
        <v/>
      </c>
    </row>
    <row r="390" spans="1:30" x14ac:dyDescent="0.25">
      <c r="A390" s="37"/>
      <c r="B390" s="38"/>
      <c r="C390" s="2"/>
      <c r="D390" s="41"/>
      <c r="E390" s="38"/>
      <c r="F390" s="2"/>
      <c r="G390" s="41"/>
      <c r="H390" s="38"/>
      <c r="I390" s="39"/>
      <c r="J390" s="39"/>
      <c r="K390" s="41"/>
      <c r="L390" s="41"/>
      <c r="M390" s="42"/>
      <c r="U390" s="3" t="str">
        <f t="shared" si="39"/>
        <v/>
      </c>
      <c r="V390" s="3" t="str">
        <f t="shared" si="40"/>
        <v/>
      </c>
      <c r="AD390" s="6" t="str">
        <f t="shared" si="41"/>
        <v/>
      </c>
    </row>
    <row r="391" spans="1:30" x14ac:dyDescent="0.25">
      <c r="A391" s="37"/>
      <c r="B391" s="38"/>
      <c r="C391" s="2"/>
      <c r="D391" s="41"/>
      <c r="E391" s="38"/>
      <c r="F391" s="2"/>
      <c r="G391" s="41"/>
      <c r="H391" s="38"/>
      <c r="I391" s="39"/>
      <c r="J391" s="39"/>
      <c r="K391" s="41"/>
      <c r="L391" s="41"/>
      <c r="M391" s="42"/>
      <c r="U391" s="3" t="str">
        <f t="shared" si="39"/>
        <v/>
      </c>
      <c r="V391" s="3" t="str">
        <f t="shared" si="40"/>
        <v/>
      </c>
      <c r="AD391" s="6" t="str">
        <f t="shared" si="41"/>
        <v/>
      </c>
    </row>
    <row r="392" spans="1:30" x14ac:dyDescent="0.25">
      <c r="A392" s="37"/>
      <c r="B392" s="38"/>
      <c r="C392" s="2"/>
      <c r="D392" s="41"/>
      <c r="E392" s="38"/>
      <c r="F392" s="2"/>
      <c r="G392" s="41"/>
      <c r="H392" s="38"/>
      <c r="I392" s="39"/>
      <c r="J392" s="39"/>
      <c r="K392" s="41"/>
      <c r="L392" s="41"/>
      <c r="M392" s="42"/>
      <c r="U392" s="3" t="str">
        <f t="shared" si="39"/>
        <v/>
      </c>
      <c r="V392" s="3" t="str">
        <f t="shared" si="40"/>
        <v/>
      </c>
      <c r="AD392" s="6" t="str">
        <f t="shared" si="41"/>
        <v/>
      </c>
    </row>
    <row r="393" spans="1:30" x14ac:dyDescent="0.25">
      <c r="A393" s="37"/>
      <c r="B393" s="38"/>
      <c r="C393" s="2"/>
      <c r="D393" s="41"/>
      <c r="E393" s="38"/>
      <c r="F393" s="2"/>
      <c r="G393" s="41"/>
      <c r="H393" s="38"/>
      <c r="I393" s="39"/>
      <c r="J393" s="39"/>
      <c r="K393" s="41"/>
      <c r="L393" s="41"/>
      <c r="M393" s="42"/>
      <c r="U393" s="3" t="str">
        <f t="shared" si="39"/>
        <v/>
      </c>
      <c r="V393" s="3" t="str">
        <f t="shared" si="40"/>
        <v/>
      </c>
      <c r="AD393" s="6" t="str">
        <f t="shared" si="41"/>
        <v/>
      </c>
    </row>
    <row r="394" spans="1:30" x14ac:dyDescent="0.25">
      <c r="A394" s="37"/>
      <c r="B394" s="38"/>
      <c r="C394" s="2"/>
      <c r="D394" s="41"/>
      <c r="E394" s="38"/>
      <c r="F394" s="2"/>
      <c r="G394" s="41"/>
      <c r="H394" s="38"/>
      <c r="I394" s="39"/>
      <c r="J394" s="39"/>
      <c r="K394" s="41"/>
      <c r="L394" s="41"/>
      <c r="M394" s="42"/>
      <c r="U394" s="3" t="str">
        <f t="shared" si="39"/>
        <v/>
      </c>
      <c r="V394" s="3" t="str">
        <f t="shared" si="40"/>
        <v/>
      </c>
      <c r="AD394" s="6" t="str">
        <f t="shared" si="41"/>
        <v/>
      </c>
    </row>
    <row r="395" spans="1:30" x14ac:dyDescent="0.25">
      <c r="A395" s="37"/>
      <c r="B395" s="38"/>
      <c r="C395" s="2"/>
      <c r="D395" s="41"/>
      <c r="E395" s="38"/>
      <c r="F395" s="2"/>
      <c r="G395" s="41"/>
      <c r="H395" s="38"/>
      <c r="I395" s="39"/>
      <c r="J395" s="39"/>
      <c r="K395" s="41"/>
      <c r="L395" s="41"/>
      <c r="M395" s="42"/>
      <c r="U395" s="3" t="str">
        <f t="shared" si="39"/>
        <v/>
      </c>
      <c r="V395" s="3" t="str">
        <f t="shared" si="40"/>
        <v/>
      </c>
      <c r="AD395" s="6" t="str">
        <f t="shared" si="41"/>
        <v/>
      </c>
    </row>
    <row r="396" spans="1:30" x14ac:dyDescent="0.25">
      <c r="A396" s="37"/>
      <c r="B396" s="38"/>
      <c r="C396" s="2"/>
      <c r="D396" s="41"/>
      <c r="E396" s="38"/>
      <c r="F396" s="2"/>
      <c r="G396" s="41"/>
      <c r="H396" s="38"/>
      <c r="I396" s="39"/>
      <c r="J396" s="39"/>
      <c r="K396" s="41"/>
      <c r="L396" s="41"/>
      <c r="M396" s="42"/>
      <c r="U396" s="3" t="str">
        <f t="shared" si="39"/>
        <v/>
      </c>
      <c r="V396" s="3" t="str">
        <f t="shared" si="40"/>
        <v/>
      </c>
      <c r="AD396" s="6" t="str">
        <f t="shared" si="41"/>
        <v/>
      </c>
    </row>
    <row r="397" spans="1:30" x14ac:dyDescent="0.25">
      <c r="A397" s="37"/>
      <c r="B397" s="38"/>
      <c r="C397" s="2"/>
      <c r="D397" s="41"/>
      <c r="E397" s="38"/>
      <c r="F397" s="2"/>
      <c r="G397" s="41"/>
      <c r="H397" s="38"/>
      <c r="I397" s="39"/>
      <c r="J397" s="39"/>
      <c r="K397" s="41"/>
      <c r="L397" s="41"/>
      <c r="M397" s="42"/>
      <c r="U397" s="3" t="str">
        <f t="shared" si="39"/>
        <v/>
      </c>
      <c r="V397" s="3" t="str">
        <f t="shared" si="40"/>
        <v/>
      </c>
      <c r="AD397" s="6" t="str">
        <f t="shared" si="41"/>
        <v/>
      </c>
    </row>
    <row r="398" spans="1:30" x14ac:dyDescent="0.25">
      <c r="A398" s="37"/>
      <c r="B398" s="38"/>
      <c r="C398" s="2"/>
      <c r="D398" s="41"/>
      <c r="E398" s="38"/>
      <c r="F398" s="2"/>
      <c r="G398" s="41"/>
      <c r="H398" s="38"/>
      <c r="I398" s="39"/>
      <c r="J398" s="39"/>
      <c r="K398" s="41"/>
      <c r="L398" s="41"/>
      <c r="M398" s="42"/>
      <c r="U398" s="3" t="str">
        <f t="shared" si="39"/>
        <v/>
      </c>
      <c r="V398" s="3" t="str">
        <f t="shared" si="40"/>
        <v/>
      </c>
      <c r="AD398" s="6" t="str">
        <f t="shared" si="41"/>
        <v/>
      </c>
    </row>
    <row r="399" spans="1:30" x14ac:dyDescent="0.25">
      <c r="A399" s="37"/>
      <c r="B399" s="38"/>
      <c r="C399" s="2"/>
      <c r="D399" s="41"/>
      <c r="E399" s="38"/>
      <c r="F399" s="2"/>
      <c r="G399" s="41"/>
      <c r="H399" s="38"/>
      <c r="I399" s="39"/>
      <c r="J399" s="39"/>
      <c r="K399" s="41"/>
      <c r="L399" s="41"/>
      <c r="M399" s="42"/>
      <c r="U399" s="3" t="str">
        <f t="shared" si="39"/>
        <v/>
      </c>
      <c r="V399" s="3" t="str">
        <f t="shared" si="40"/>
        <v/>
      </c>
      <c r="AD399" s="6" t="str">
        <f t="shared" si="41"/>
        <v/>
      </c>
    </row>
    <row r="400" spans="1:30" x14ac:dyDescent="0.25">
      <c r="A400" s="37"/>
      <c r="B400" s="38"/>
      <c r="C400" s="2"/>
      <c r="D400" s="41"/>
      <c r="E400" s="38"/>
      <c r="F400" s="2"/>
      <c r="G400" s="41"/>
      <c r="H400" s="38"/>
      <c r="I400" s="39"/>
      <c r="J400" s="39"/>
      <c r="K400" s="41"/>
      <c r="L400" s="41"/>
      <c r="M400" s="42"/>
      <c r="U400" s="3" t="str">
        <f t="shared" si="39"/>
        <v/>
      </c>
      <c r="V400" s="3" t="str">
        <f t="shared" si="40"/>
        <v/>
      </c>
      <c r="AD400" s="6" t="str">
        <f t="shared" si="41"/>
        <v/>
      </c>
    </row>
    <row r="401" spans="1:30" x14ac:dyDescent="0.25">
      <c r="A401" s="37"/>
      <c r="B401" s="38"/>
      <c r="C401" s="2"/>
      <c r="D401" s="41"/>
      <c r="E401" s="38"/>
      <c r="F401" s="2"/>
      <c r="G401" s="41"/>
      <c r="H401" s="38"/>
      <c r="I401" s="39"/>
      <c r="J401" s="39"/>
      <c r="K401" s="41"/>
      <c r="L401" s="41"/>
      <c r="M401" s="42"/>
      <c r="U401" s="3" t="str">
        <f t="shared" si="39"/>
        <v/>
      </c>
      <c r="V401" s="3" t="str">
        <f t="shared" si="40"/>
        <v/>
      </c>
      <c r="AD401" s="6" t="str">
        <f t="shared" si="41"/>
        <v/>
      </c>
    </row>
    <row r="402" spans="1:30" x14ac:dyDescent="0.25">
      <c r="A402" s="37"/>
      <c r="B402" s="38"/>
      <c r="C402" s="2"/>
      <c r="D402" s="41"/>
      <c r="E402" s="38"/>
      <c r="F402" s="2"/>
      <c r="G402" s="41"/>
      <c r="H402" s="38"/>
      <c r="I402" s="39"/>
      <c r="J402" s="39"/>
      <c r="K402" s="41"/>
      <c r="L402" s="41"/>
      <c r="M402" s="42"/>
      <c r="U402" s="3" t="str">
        <f t="shared" si="39"/>
        <v/>
      </c>
      <c r="V402" s="3" t="str">
        <f t="shared" si="40"/>
        <v/>
      </c>
      <c r="AD402" s="6" t="str">
        <f t="shared" si="41"/>
        <v/>
      </c>
    </row>
    <row r="403" spans="1:30" x14ac:dyDescent="0.25">
      <c r="A403" s="37"/>
      <c r="B403" s="38"/>
      <c r="C403" s="2"/>
      <c r="D403" s="41"/>
      <c r="E403" s="38"/>
      <c r="F403" s="2"/>
      <c r="G403" s="41"/>
      <c r="H403" s="38"/>
      <c r="I403" s="39"/>
      <c r="J403" s="39"/>
      <c r="K403" s="41"/>
      <c r="L403" s="41"/>
      <c r="M403" s="42"/>
      <c r="U403" s="3" t="str">
        <f t="shared" si="39"/>
        <v/>
      </c>
      <c r="V403" s="3" t="str">
        <f t="shared" si="40"/>
        <v/>
      </c>
      <c r="AD403" s="6" t="str">
        <f t="shared" si="41"/>
        <v/>
      </c>
    </row>
    <row r="404" spans="1:30" x14ac:dyDescent="0.25">
      <c r="A404" s="37"/>
      <c r="B404" s="38"/>
      <c r="C404" s="2"/>
      <c r="D404" s="41"/>
      <c r="E404" s="38"/>
      <c r="F404" s="2"/>
      <c r="G404" s="41"/>
      <c r="H404" s="38"/>
      <c r="I404" s="39"/>
      <c r="J404" s="39"/>
      <c r="K404" s="41"/>
      <c r="L404" s="41"/>
      <c r="M404" s="42"/>
      <c r="U404" s="3" t="str">
        <f t="shared" si="39"/>
        <v/>
      </c>
      <c r="V404" s="3" t="str">
        <f t="shared" si="40"/>
        <v/>
      </c>
      <c r="AD404" s="6" t="str">
        <f t="shared" si="41"/>
        <v/>
      </c>
    </row>
    <row r="405" spans="1:30" x14ac:dyDescent="0.25">
      <c r="A405" s="37"/>
      <c r="B405" s="38"/>
      <c r="C405" s="2"/>
      <c r="D405" s="41"/>
      <c r="E405" s="38"/>
      <c r="F405" s="2"/>
      <c r="G405" s="41"/>
      <c r="H405" s="38"/>
      <c r="I405" s="39"/>
      <c r="J405" s="39"/>
      <c r="K405" s="41"/>
      <c r="L405" s="41"/>
      <c r="M405" s="42"/>
      <c r="U405" s="3" t="str">
        <f t="shared" si="39"/>
        <v/>
      </c>
      <c r="V405" s="3" t="str">
        <f t="shared" si="40"/>
        <v/>
      </c>
      <c r="AD405" s="6" t="str">
        <f t="shared" si="41"/>
        <v/>
      </c>
    </row>
    <row r="406" spans="1:30" x14ac:dyDescent="0.25">
      <c r="A406" s="37"/>
      <c r="B406" s="38"/>
      <c r="C406" s="2"/>
      <c r="D406" s="41"/>
      <c r="E406" s="38"/>
      <c r="F406" s="2"/>
      <c r="G406" s="41"/>
      <c r="H406" s="38"/>
      <c r="I406" s="39"/>
      <c r="J406" s="39"/>
      <c r="K406" s="41"/>
      <c r="L406" s="41"/>
      <c r="M406" s="42"/>
      <c r="U406" s="3" t="str">
        <f t="shared" si="39"/>
        <v/>
      </c>
      <c r="V406" s="3" t="str">
        <f t="shared" si="40"/>
        <v/>
      </c>
      <c r="AD406" s="6" t="str">
        <f t="shared" si="41"/>
        <v/>
      </c>
    </row>
    <row r="407" spans="1:30" x14ac:dyDescent="0.25">
      <c r="A407" s="37"/>
      <c r="B407" s="38"/>
      <c r="C407" s="2"/>
      <c r="D407" s="41"/>
      <c r="E407" s="38"/>
      <c r="F407" s="2"/>
      <c r="G407" s="41"/>
      <c r="H407" s="38"/>
      <c r="I407" s="39"/>
      <c r="J407" s="39"/>
      <c r="K407" s="41"/>
      <c r="L407" s="41"/>
      <c r="M407" s="42"/>
      <c r="U407" s="3" t="str">
        <f t="shared" si="39"/>
        <v/>
      </c>
      <c r="V407" s="3" t="str">
        <f t="shared" si="40"/>
        <v/>
      </c>
      <c r="AD407" s="6" t="str">
        <f t="shared" si="41"/>
        <v/>
      </c>
    </row>
    <row r="408" spans="1:30" x14ac:dyDescent="0.25">
      <c r="A408" s="37"/>
      <c r="B408" s="38"/>
      <c r="C408" s="2"/>
      <c r="D408" s="41"/>
      <c r="E408" s="38"/>
      <c r="F408" s="2"/>
      <c r="G408" s="41"/>
      <c r="H408" s="38"/>
      <c r="I408" s="39"/>
      <c r="J408" s="39"/>
      <c r="K408" s="41"/>
      <c r="L408" s="41"/>
      <c r="M408" s="42"/>
      <c r="U408" s="3" t="str">
        <f t="shared" si="39"/>
        <v/>
      </c>
      <c r="V408" s="3" t="str">
        <f t="shared" si="40"/>
        <v/>
      </c>
      <c r="AD408" s="6" t="str">
        <f t="shared" si="41"/>
        <v/>
      </c>
    </row>
    <row r="409" spans="1:30" x14ac:dyDescent="0.25">
      <c r="A409" s="37"/>
      <c r="B409" s="38"/>
      <c r="C409" s="2"/>
      <c r="D409" s="41"/>
      <c r="E409" s="38"/>
      <c r="F409" s="2"/>
      <c r="G409" s="41"/>
      <c r="H409" s="38"/>
      <c r="I409" s="39"/>
      <c r="J409" s="39"/>
      <c r="K409" s="41"/>
      <c r="L409" s="41"/>
      <c r="M409" s="42"/>
      <c r="U409" s="3" t="str">
        <f t="shared" si="39"/>
        <v/>
      </c>
      <c r="V409" s="3" t="str">
        <f t="shared" si="40"/>
        <v/>
      </c>
      <c r="AD409" s="6" t="str">
        <f t="shared" si="41"/>
        <v/>
      </c>
    </row>
    <row r="410" spans="1:30" x14ac:dyDescent="0.25">
      <c r="A410" s="37"/>
      <c r="B410" s="38"/>
      <c r="C410" s="2"/>
      <c r="D410" s="41"/>
      <c r="E410" s="38"/>
      <c r="F410" s="2"/>
      <c r="G410" s="41"/>
      <c r="H410" s="38"/>
      <c r="I410" s="39"/>
      <c r="J410" s="39"/>
      <c r="K410" s="41"/>
      <c r="L410" s="41"/>
      <c r="M410" s="42"/>
      <c r="U410" s="3" t="str">
        <f t="shared" si="39"/>
        <v/>
      </c>
      <c r="V410" s="3" t="str">
        <f t="shared" si="40"/>
        <v/>
      </c>
      <c r="AD410" s="6" t="str">
        <f t="shared" si="41"/>
        <v/>
      </c>
    </row>
    <row r="411" spans="1:30" x14ac:dyDescent="0.25">
      <c r="A411" s="37"/>
      <c r="B411" s="38"/>
      <c r="C411" s="2"/>
      <c r="D411" s="41"/>
      <c r="E411" s="38"/>
      <c r="F411" s="2"/>
      <c r="G411" s="41"/>
      <c r="H411" s="38"/>
      <c r="I411" s="39"/>
      <c r="J411" s="39"/>
      <c r="K411" s="41"/>
      <c r="L411" s="41"/>
      <c r="M411" s="42"/>
      <c r="U411" s="3" t="str">
        <f t="shared" si="39"/>
        <v/>
      </c>
      <c r="V411" s="3" t="str">
        <f t="shared" si="40"/>
        <v/>
      </c>
      <c r="AD411" s="6" t="str">
        <f t="shared" si="41"/>
        <v/>
      </c>
    </row>
    <row r="412" spans="1:30" x14ac:dyDescent="0.25">
      <c r="A412" s="37"/>
      <c r="B412" s="38"/>
      <c r="C412" s="2"/>
      <c r="D412" s="41"/>
      <c r="E412" s="38"/>
      <c r="F412" s="2"/>
      <c r="G412" s="41"/>
      <c r="H412" s="38"/>
      <c r="I412" s="39"/>
      <c r="J412" s="39"/>
      <c r="K412" s="41"/>
      <c r="L412" s="41"/>
      <c r="M412" s="42"/>
      <c r="U412" s="3" t="str">
        <f t="shared" si="39"/>
        <v/>
      </c>
      <c r="V412" s="3" t="str">
        <f t="shared" si="40"/>
        <v/>
      </c>
      <c r="AD412" s="6" t="str">
        <f t="shared" si="41"/>
        <v/>
      </c>
    </row>
    <row r="413" spans="1:30" x14ac:dyDescent="0.25">
      <c r="A413" s="37"/>
      <c r="B413" s="38"/>
      <c r="C413" s="2"/>
      <c r="D413" s="41"/>
      <c r="E413" s="38"/>
      <c r="F413" s="2"/>
      <c r="G413" s="41"/>
      <c r="H413" s="38"/>
      <c r="I413" s="39"/>
      <c r="J413" s="39"/>
      <c r="K413" s="41"/>
      <c r="L413" s="41"/>
      <c r="M413" s="42"/>
      <c r="U413" s="3" t="str">
        <f t="shared" si="39"/>
        <v/>
      </c>
      <c r="V413" s="3" t="str">
        <f t="shared" si="40"/>
        <v/>
      </c>
      <c r="AD413" s="6" t="str">
        <f t="shared" si="41"/>
        <v/>
      </c>
    </row>
    <row r="414" spans="1:30" x14ac:dyDescent="0.25">
      <c r="A414" s="37"/>
      <c r="B414" s="38"/>
      <c r="C414" s="2"/>
      <c r="D414" s="41"/>
      <c r="E414" s="38"/>
      <c r="F414" s="2"/>
      <c r="G414" s="41"/>
      <c r="H414" s="38"/>
      <c r="I414" s="39"/>
      <c r="J414" s="39"/>
      <c r="K414" s="41"/>
      <c r="L414" s="41"/>
      <c r="M414" s="42"/>
      <c r="U414" s="3" t="str">
        <f t="shared" si="39"/>
        <v/>
      </c>
      <c r="V414" s="3" t="str">
        <f t="shared" si="40"/>
        <v/>
      </c>
      <c r="AD414" s="6" t="str">
        <f t="shared" si="41"/>
        <v/>
      </c>
    </row>
    <row r="415" spans="1:30" x14ac:dyDescent="0.25">
      <c r="A415" s="37"/>
      <c r="B415" s="38"/>
      <c r="C415" s="2"/>
      <c r="D415" s="41"/>
      <c r="E415" s="38"/>
      <c r="F415" s="2"/>
      <c r="G415" s="41"/>
      <c r="H415" s="38"/>
      <c r="I415" s="39"/>
      <c r="J415" s="39"/>
      <c r="K415" s="41"/>
      <c r="L415" s="41"/>
      <c r="M415" s="42"/>
      <c r="U415" s="3" t="str">
        <f t="shared" si="39"/>
        <v/>
      </c>
      <c r="V415" s="3" t="str">
        <f t="shared" si="40"/>
        <v/>
      </c>
      <c r="AD415" s="6" t="str">
        <f t="shared" si="41"/>
        <v/>
      </c>
    </row>
    <row r="416" spans="1:30" x14ac:dyDescent="0.25">
      <c r="A416" s="37"/>
      <c r="B416" s="38"/>
      <c r="C416" s="2"/>
      <c r="D416" s="41"/>
      <c r="E416" s="38"/>
      <c r="F416" s="2"/>
      <c r="G416" s="41"/>
      <c r="H416" s="38"/>
      <c r="I416" s="39"/>
      <c r="J416" s="39"/>
      <c r="K416" s="41"/>
      <c r="L416" s="41"/>
      <c r="M416" s="42"/>
      <c r="U416" s="3" t="str">
        <f t="shared" si="39"/>
        <v/>
      </c>
      <c r="V416" s="3" t="str">
        <f t="shared" si="40"/>
        <v/>
      </c>
      <c r="AD416" s="6" t="str">
        <f t="shared" si="41"/>
        <v/>
      </c>
    </row>
    <row r="417" spans="1:30" x14ac:dyDescent="0.25">
      <c r="A417" s="37"/>
      <c r="B417" s="38"/>
      <c r="C417" s="2"/>
      <c r="D417" s="41"/>
      <c r="E417" s="38"/>
      <c r="F417" s="2"/>
      <c r="G417" s="41"/>
      <c r="H417" s="38"/>
      <c r="I417" s="39"/>
      <c r="J417" s="39"/>
      <c r="K417" s="41"/>
      <c r="L417" s="41"/>
      <c r="M417" s="42"/>
      <c r="U417" s="3" t="str">
        <f t="shared" si="39"/>
        <v/>
      </c>
      <c r="V417" s="3" t="str">
        <f t="shared" si="40"/>
        <v/>
      </c>
      <c r="AD417" s="6" t="str">
        <f t="shared" si="41"/>
        <v/>
      </c>
    </row>
    <row r="418" spans="1:30" x14ac:dyDescent="0.25">
      <c r="A418" s="37"/>
      <c r="B418" s="38"/>
      <c r="C418" s="2"/>
      <c r="D418" s="41"/>
      <c r="E418" s="38"/>
      <c r="F418" s="2"/>
      <c r="G418" s="41"/>
      <c r="H418" s="38"/>
      <c r="I418" s="39"/>
      <c r="J418" s="39"/>
      <c r="K418" s="41"/>
      <c r="L418" s="41"/>
      <c r="M418" s="42"/>
      <c r="U418" s="3" t="str">
        <f t="shared" si="39"/>
        <v/>
      </c>
      <c r="V418" s="3" t="str">
        <f t="shared" si="40"/>
        <v/>
      </c>
      <c r="AD418" s="6" t="str">
        <f t="shared" si="41"/>
        <v/>
      </c>
    </row>
    <row r="419" spans="1:30" x14ac:dyDescent="0.25">
      <c r="A419" s="37"/>
      <c r="B419" s="38"/>
      <c r="C419" s="2"/>
      <c r="D419" s="41"/>
      <c r="E419" s="38"/>
      <c r="F419" s="2"/>
      <c r="G419" s="41"/>
      <c r="H419" s="38"/>
      <c r="I419" s="39"/>
      <c r="J419" s="39"/>
      <c r="K419" s="41"/>
      <c r="L419" s="41"/>
      <c r="M419" s="42"/>
      <c r="U419" s="3" t="str">
        <f t="shared" si="39"/>
        <v/>
      </c>
      <c r="V419" s="3" t="str">
        <f t="shared" si="40"/>
        <v/>
      </c>
      <c r="AD419" s="6" t="str">
        <f t="shared" si="41"/>
        <v/>
      </c>
    </row>
    <row r="420" spans="1:30" x14ac:dyDescent="0.25">
      <c r="A420" s="37"/>
      <c r="B420" s="38"/>
      <c r="C420" s="2"/>
      <c r="D420" s="41"/>
      <c r="E420" s="38"/>
      <c r="F420" s="2"/>
      <c r="G420" s="41"/>
      <c r="H420" s="38"/>
      <c r="I420" s="39"/>
      <c r="J420" s="39"/>
      <c r="K420" s="41"/>
      <c r="L420" s="41"/>
      <c r="M420" s="42"/>
      <c r="U420" s="3" t="str">
        <f t="shared" si="39"/>
        <v/>
      </c>
      <c r="V420" s="3" t="str">
        <f t="shared" si="40"/>
        <v/>
      </c>
      <c r="AD420" s="6" t="str">
        <f t="shared" si="41"/>
        <v/>
      </c>
    </row>
    <row r="421" spans="1:30" x14ac:dyDescent="0.25">
      <c r="A421" s="37"/>
      <c r="B421" s="38"/>
      <c r="C421" s="2"/>
      <c r="D421" s="41"/>
      <c r="E421" s="38"/>
      <c r="F421" s="2"/>
      <c r="G421" s="41"/>
      <c r="H421" s="38"/>
      <c r="I421" s="39"/>
      <c r="J421" s="39"/>
      <c r="K421" s="41"/>
      <c r="L421" s="41"/>
      <c r="M421" s="42"/>
      <c r="U421" s="3" t="str">
        <f t="shared" si="39"/>
        <v/>
      </c>
      <c r="V421" s="3" t="str">
        <f t="shared" si="40"/>
        <v/>
      </c>
      <c r="AD421" s="6" t="str">
        <f t="shared" si="41"/>
        <v/>
      </c>
    </row>
    <row r="422" spans="1:30" x14ac:dyDescent="0.25">
      <c r="A422" s="37"/>
      <c r="B422" s="38"/>
      <c r="C422" s="2"/>
      <c r="D422" s="41"/>
      <c r="E422" s="38"/>
      <c r="F422" s="2"/>
      <c r="G422" s="41"/>
      <c r="H422" s="38"/>
      <c r="I422" s="39"/>
      <c r="J422" s="39"/>
      <c r="K422" s="41"/>
      <c r="L422" s="41"/>
      <c r="M422" s="42"/>
      <c r="U422" s="3" t="str">
        <f t="shared" si="39"/>
        <v/>
      </c>
      <c r="V422" s="3" t="str">
        <f t="shared" si="40"/>
        <v/>
      </c>
    </row>
    <row r="423" spans="1:30" x14ac:dyDescent="0.25">
      <c r="A423" s="37"/>
      <c r="B423" s="38"/>
      <c r="C423" s="2"/>
      <c r="D423" s="41"/>
      <c r="E423" s="38"/>
      <c r="F423" s="2"/>
      <c r="G423" s="41"/>
      <c r="H423" s="38"/>
      <c r="I423" s="39"/>
      <c r="J423" s="39"/>
      <c r="K423" s="41"/>
      <c r="L423" s="41"/>
      <c r="M423" s="42"/>
      <c r="U423" s="3" t="str">
        <f t="shared" si="39"/>
        <v/>
      </c>
      <c r="V423" s="3" t="str">
        <f t="shared" si="40"/>
        <v/>
      </c>
    </row>
    <row r="424" spans="1:30" x14ac:dyDescent="0.25">
      <c r="A424" s="37"/>
      <c r="B424" s="38"/>
      <c r="C424" s="2"/>
      <c r="D424" s="41"/>
      <c r="E424" s="38"/>
      <c r="F424" s="2"/>
      <c r="G424" s="41"/>
      <c r="H424" s="38"/>
      <c r="I424" s="39"/>
      <c r="J424" s="39"/>
      <c r="K424" s="41"/>
      <c r="L424" s="41"/>
      <c r="M424" s="42"/>
      <c r="U424" s="3" t="str">
        <f t="shared" si="39"/>
        <v/>
      </c>
      <c r="V424" s="3" t="str">
        <f t="shared" si="40"/>
        <v/>
      </c>
    </row>
    <row r="425" spans="1:30" x14ac:dyDescent="0.25">
      <c r="A425" s="37"/>
      <c r="B425" s="38"/>
      <c r="C425" s="2"/>
      <c r="D425" s="41"/>
      <c r="E425" s="38"/>
      <c r="F425" s="2"/>
      <c r="G425" s="41"/>
      <c r="H425" s="38"/>
      <c r="I425" s="39"/>
      <c r="J425" s="39"/>
      <c r="K425" s="41"/>
      <c r="L425" s="41"/>
      <c r="M425" s="42"/>
      <c r="U425" s="3" t="str">
        <f t="shared" si="39"/>
        <v/>
      </c>
      <c r="V425" s="3" t="str">
        <f t="shared" si="40"/>
        <v/>
      </c>
    </row>
    <row r="426" spans="1:30" x14ac:dyDescent="0.25">
      <c r="A426" s="37"/>
      <c r="B426" s="38"/>
      <c r="C426" s="2"/>
      <c r="D426" s="41"/>
      <c r="E426" s="38"/>
      <c r="F426" s="2"/>
      <c r="G426" s="41"/>
      <c r="H426" s="38"/>
      <c r="I426" s="39"/>
      <c r="J426" s="39"/>
      <c r="K426" s="41"/>
      <c r="L426" s="41"/>
      <c r="M426" s="42"/>
      <c r="U426" s="3" t="str">
        <f t="shared" si="39"/>
        <v/>
      </c>
      <c r="V426" s="3" t="str">
        <f t="shared" si="40"/>
        <v/>
      </c>
    </row>
    <row r="427" spans="1:30" x14ac:dyDescent="0.25">
      <c r="A427" s="37"/>
      <c r="B427" s="38"/>
      <c r="C427" s="2"/>
      <c r="D427" s="41"/>
      <c r="E427" s="38"/>
      <c r="F427" s="2"/>
      <c r="G427" s="41"/>
      <c r="H427" s="38"/>
      <c r="I427" s="39"/>
      <c r="J427" s="39"/>
      <c r="K427" s="41"/>
      <c r="L427" s="41"/>
      <c r="M427" s="42"/>
      <c r="U427" s="3" t="str">
        <f t="shared" si="39"/>
        <v/>
      </c>
      <c r="V427" s="3" t="str">
        <f t="shared" si="40"/>
        <v/>
      </c>
    </row>
    <row r="428" spans="1:30" x14ac:dyDescent="0.25">
      <c r="A428" s="37"/>
      <c r="B428" s="38"/>
      <c r="C428" s="2"/>
      <c r="D428" s="41"/>
      <c r="E428" s="38"/>
      <c r="F428" s="2"/>
      <c r="G428" s="41"/>
      <c r="H428" s="38"/>
      <c r="I428" s="39"/>
      <c r="J428" s="39"/>
      <c r="K428" s="41"/>
      <c r="L428" s="41"/>
      <c r="M428" s="42"/>
      <c r="U428" s="3" t="str">
        <f t="shared" si="39"/>
        <v/>
      </c>
      <c r="V428" s="3" t="str">
        <f t="shared" si="40"/>
        <v/>
      </c>
    </row>
    <row r="429" spans="1:30" x14ac:dyDescent="0.25">
      <c r="A429" s="37"/>
      <c r="B429" s="38"/>
      <c r="C429" s="2"/>
      <c r="D429" s="41"/>
      <c r="E429" s="38"/>
      <c r="F429" s="2"/>
      <c r="G429" s="41"/>
      <c r="H429" s="38"/>
      <c r="I429" s="39"/>
      <c r="J429" s="39"/>
      <c r="K429" s="41"/>
      <c r="L429" s="41"/>
      <c r="M429" s="42"/>
      <c r="U429" s="3" t="str">
        <f t="shared" si="39"/>
        <v/>
      </c>
      <c r="V429" s="3" t="str">
        <f t="shared" si="40"/>
        <v/>
      </c>
    </row>
    <row r="430" spans="1:30" x14ac:dyDescent="0.25">
      <c r="A430" s="37"/>
      <c r="B430" s="38"/>
      <c r="C430" s="2"/>
      <c r="D430" s="41"/>
      <c r="E430" s="38"/>
      <c r="F430" s="2"/>
      <c r="G430" s="41"/>
      <c r="H430" s="38"/>
      <c r="I430" s="39"/>
      <c r="J430" s="39"/>
      <c r="K430" s="41"/>
      <c r="L430" s="41"/>
      <c r="M430" s="42"/>
      <c r="U430" s="3" t="str">
        <f t="shared" si="39"/>
        <v/>
      </c>
      <c r="V430" s="3" t="str">
        <f t="shared" si="40"/>
        <v/>
      </c>
    </row>
    <row r="431" spans="1:30" x14ac:dyDescent="0.25">
      <c r="A431" s="37"/>
      <c r="B431" s="38"/>
      <c r="C431" s="2"/>
      <c r="D431" s="41"/>
      <c r="E431" s="38"/>
      <c r="F431" s="2"/>
      <c r="G431" s="41"/>
      <c r="H431" s="38"/>
      <c r="I431" s="39"/>
      <c r="J431" s="39"/>
      <c r="K431" s="41"/>
      <c r="L431" s="41"/>
      <c r="M431" s="42"/>
      <c r="U431" s="3" t="str">
        <f t="shared" si="39"/>
        <v/>
      </c>
      <c r="V431" s="3" t="str">
        <f t="shared" si="40"/>
        <v/>
      </c>
    </row>
    <row r="432" spans="1:30" x14ac:dyDescent="0.25">
      <c r="A432" s="37"/>
      <c r="B432" s="38"/>
      <c r="C432" s="2"/>
      <c r="D432" s="41"/>
      <c r="E432" s="38"/>
      <c r="F432" s="2"/>
      <c r="G432" s="41"/>
      <c r="H432" s="38"/>
      <c r="I432" s="39"/>
      <c r="J432" s="39"/>
      <c r="K432" s="41"/>
      <c r="L432" s="41"/>
      <c r="M432" s="42"/>
      <c r="U432" s="3" t="str">
        <f t="shared" si="39"/>
        <v/>
      </c>
      <c r="V432" s="3" t="str">
        <f t="shared" si="40"/>
        <v/>
      </c>
    </row>
    <row r="433" spans="1:22" x14ac:dyDescent="0.25">
      <c r="A433" s="37"/>
      <c r="B433" s="38"/>
      <c r="C433" s="2"/>
      <c r="D433" s="41"/>
      <c r="E433" s="38"/>
      <c r="F433" s="2"/>
      <c r="G433" s="41"/>
      <c r="H433" s="38"/>
      <c r="I433" s="39"/>
      <c r="J433" s="39"/>
      <c r="K433" s="41"/>
      <c r="L433" s="41"/>
      <c r="M433" s="42"/>
      <c r="U433" s="3" t="str">
        <f t="shared" si="39"/>
        <v/>
      </c>
      <c r="V433" s="3" t="str">
        <f t="shared" si="40"/>
        <v/>
      </c>
    </row>
    <row r="434" spans="1:22" x14ac:dyDescent="0.25">
      <c r="A434" s="37"/>
      <c r="B434" s="38"/>
      <c r="C434" s="2"/>
      <c r="D434" s="41"/>
      <c r="E434" s="38"/>
      <c r="F434" s="2"/>
      <c r="G434" s="41"/>
      <c r="H434" s="38"/>
      <c r="I434" s="39"/>
      <c r="J434" s="39"/>
      <c r="K434" s="41"/>
      <c r="L434" s="41"/>
      <c r="M434" s="42"/>
      <c r="U434" s="3" t="str">
        <f t="shared" si="39"/>
        <v/>
      </c>
      <c r="V434" s="3" t="str">
        <f t="shared" si="40"/>
        <v/>
      </c>
    </row>
    <row r="435" spans="1:22" x14ac:dyDescent="0.25">
      <c r="A435" s="37"/>
      <c r="B435" s="38"/>
      <c r="C435" s="2"/>
      <c r="D435" s="41"/>
      <c r="E435" s="38"/>
      <c r="F435" s="2"/>
      <c r="G435" s="41"/>
      <c r="H435" s="38"/>
      <c r="I435" s="39"/>
      <c r="J435" s="39"/>
      <c r="K435" s="41"/>
      <c r="L435" s="41"/>
      <c r="M435" s="42"/>
      <c r="U435" s="3" t="str">
        <f t="shared" si="39"/>
        <v/>
      </c>
      <c r="V435" s="3" t="str">
        <f t="shared" si="40"/>
        <v/>
      </c>
    </row>
    <row r="436" spans="1:22" x14ac:dyDescent="0.25">
      <c r="A436" s="37"/>
      <c r="B436" s="38"/>
      <c r="C436" s="2"/>
      <c r="D436" s="41"/>
      <c r="E436" s="38"/>
      <c r="F436" s="2"/>
      <c r="G436" s="41"/>
      <c r="H436" s="38"/>
      <c r="I436" s="39"/>
      <c r="J436" s="39"/>
      <c r="K436" s="41"/>
      <c r="L436" s="41"/>
      <c r="M436" s="42"/>
      <c r="U436" s="3" t="str">
        <f t="shared" si="39"/>
        <v/>
      </c>
      <c r="V436" s="3" t="str">
        <f t="shared" si="40"/>
        <v/>
      </c>
    </row>
    <row r="437" spans="1:22" x14ac:dyDescent="0.25">
      <c r="A437" s="37"/>
      <c r="B437" s="38"/>
      <c r="C437" s="2"/>
      <c r="D437" s="41"/>
      <c r="E437" s="38"/>
      <c r="F437" s="2"/>
      <c r="G437" s="41"/>
      <c r="H437" s="38"/>
      <c r="I437" s="39"/>
      <c r="J437" s="39"/>
      <c r="K437" s="41"/>
      <c r="L437" s="41"/>
      <c r="M437" s="42"/>
      <c r="U437" s="3" t="str">
        <f t="shared" si="39"/>
        <v/>
      </c>
      <c r="V437" s="3" t="str">
        <f t="shared" si="40"/>
        <v/>
      </c>
    </row>
    <row r="438" spans="1:22" x14ac:dyDescent="0.25">
      <c r="A438" s="37"/>
      <c r="B438" s="38"/>
      <c r="C438" s="2"/>
      <c r="D438" s="41"/>
      <c r="E438" s="38"/>
      <c r="F438" s="2"/>
      <c r="G438" s="41"/>
      <c r="H438" s="38"/>
      <c r="I438" s="39"/>
      <c r="J438" s="39"/>
      <c r="K438" s="41"/>
      <c r="L438" s="41"/>
      <c r="M438" s="42"/>
      <c r="U438" s="3" t="str">
        <f t="shared" si="39"/>
        <v/>
      </c>
      <c r="V438" s="3" t="str">
        <f t="shared" si="40"/>
        <v/>
      </c>
    </row>
    <row r="439" spans="1:22" x14ac:dyDescent="0.25">
      <c r="A439" s="37"/>
      <c r="B439" s="38"/>
      <c r="C439" s="2"/>
      <c r="D439" s="41"/>
      <c r="E439" s="38"/>
      <c r="F439" s="2"/>
      <c r="G439" s="41"/>
      <c r="H439" s="38"/>
      <c r="I439" s="39"/>
      <c r="J439" s="39"/>
      <c r="K439" s="41"/>
      <c r="L439" s="41"/>
      <c r="M439" s="42"/>
      <c r="U439" s="3" t="str">
        <f t="shared" si="39"/>
        <v/>
      </c>
      <c r="V439" s="3" t="str">
        <f t="shared" si="40"/>
        <v/>
      </c>
    </row>
    <row r="440" spans="1:22" x14ac:dyDescent="0.25">
      <c r="A440" s="37"/>
      <c r="B440" s="38"/>
      <c r="C440" s="2"/>
      <c r="D440" s="41"/>
      <c r="E440" s="38"/>
      <c r="F440" s="2"/>
      <c r="G440" s="41"/>
      <c r="H440" s="38"/>
      <c r="I440" s="39"/>
      <c r="J440" s="39"/>
      <c r="K440" s="41"/>
      <c r="L440" s="41"/>
      <c r="M440" s="42"/>
      <c r="U440" s="3" t="str">
        <f t="shared" si="39"/>
        <v/>
      </c>
      <c r="V440" s="3" t="str">
        <f t="shared" si="40"/>
        <v/>
      </c>
    </row>
    <row r="441" spans="1:22" x14ac:dyDescent="0.25">
      <c r="A441" s="37"/>
      <c r="B441" s="38"/>
      <c r="C441" s="2"/>
      <c r="D441" s="41"/>
      <c r="E441" s="38"/>
      <c r="F441" s="2"/>
      <c r="G441" s="41"/>
      <c r="H441" s="38"/>
      <c r="I441" s="39"/>
      <c r="J441" s="39"/>
      <c r="K441" s="41"/>
      <c r="L441" s="41"/>
      <c r="M441" s="42"/>
      <c r="U441" s="3" t="str">
        <f t="shared" si="39"/>
        <v/>
      </c>
      <c r="V441" s="3" t="str">
        <f t="shared" si="40"/>
        <v/>
      </c>
    </row>
    <row r="442" spans="1:22" x14ac:dyDescent="0.25">
      <c r="A442" s="37"/>
      <c r="B442" s="38"/>
      <c r="C442" s="2"/>
      <c r="D442" s="41"/>
      <c r="E442" s="38"/>
      <c r="F442" s="2"/>
      <c r="G442" s="41"/>
      <c r="H442" s="38"/>
      <c r="I442" s="39"/>
      <c r="J442" s="39"/>
      <c r="K442" s="41"/>
      <c r="L442" s="41"/>
      <c r="M442" s="42"/>
      <c r="U442" s="3" t="str">
        <f t="shared" si="39"/>
        <v/>
      </c>
      <c r="V442" s="3" t="str">
        <f t="shared" si="40"/>
        <v/>
      </c>
    </row>
    <row r="443" spans="1:22" x14ac:dyDescent="0.25">
      <c r="A443" s="37"/>
      <c r="B443" s="38"/>
      <c r="C443" s="2"/>
      <c r="D443" s="41"/>
      <c r="E443" s="38"/>
      <c r="F443" s="2"/>
      <c r="G443" s="41"/>
      <c r="H443" s="38"/>
      <c r="I443" s="39"/>
      <c r="J443" s="39"/>
      <c r="K443" s="41"/>
      <c r="L443" s="41"/>
      <c r="M443" s="42"/>
      <c r="U443" s="3" t="str">
        <f t="shared" si="39"/>
        <v/>
      </c>
      <c r="V443" s="3" t="str">
        <f t="shared" si="40"/>
        <v/>
      </c>
    </row>
    <row r="444" spans="1:22" x14ac:dyDescent="0.25">
      <c r="A444" s="37"/>
      <c r="B444" s="38"/>
      <c r="C444" s="2"/>
      <c r="D444" s="41"/>
      <c r="E444" s="38"/>
      <c r="F444" s="2"/>
      <c r="G444" s="41"/>
      <c r="H444" s="38"/>
      <c r="I444" s="39"/>
      <c r="J444" s="39"/>
      <c r="K444" s="41"/>
      <c r="L444" s="41"/>
      <c r="M444" s="42"/>
      <c r="U444" s="3" t="str">
        <f t="shared" si="39"/>
        <v/>
      </c>
      <c r="V444" s="3" t="str">
        <f t="shared" si="40"/>
        <v/>
      </c>
    </row>
    <row r="445" spans="1:22" x14ac:dyDescent="0.25">
      <c r="A445" s="37"/>
      <c r="B445" s="38"/>
      <c r="C445" s="2"/>
      <c r="D445" s="41"/>
      <c r="E445" s="38"/>
      <c r="F445" s="2"/>
      <c r="G445" s="41"/>
      <c r="H445" s="38"/>
      <c r="I445" s="39"/>
      <c r="J445" s="39"/>
      <c r="K445" s="41"/>
      <c r="L445" s="41"/>
      <c r="M445" s="42"/>
      <c r="U445" s="3" t="str">
        <f t="shared" si="39"/>
        <v/>
      </c>
      <c r="V445" s="3" t="str">
        <f t="shared" si="40"/>
        <v/>
      </c>
    </row>
    <row r="446" spans="1:22" x14ac:dyDescent="0.25">
      <c r="A446" s="37"/>
      <c r="B446" s="38"/>
      <c r="C446" s="2"/>
      <c r="D446" s="41"/>
      <c r="E446" s="38"/>
      <c r="F446" s="2"/>
      <c r="G446" s="41"/>
      <c r="H446" s="38"/>
      <c r="I446" s="39"/>
      <c r="J446" s="39"/>
      <c r="K446" s="41"/>
      <c r="L446" s="41"/>
      <c r="M446" s="42"/>
      <c r="U446" s="3" t="str">
        <f t="shared" si="39"/>
        <v/>
      </c>
      <c r="V446" s="3" t="str">
        <f t="shared" si="40"/>
        <v/>
      </c>
    </row>
    <row r="447" spans="1:22" x14ac:dyDescent="0.25">
      <c r="A447" s="37"/>
      <c r="B447" s="38"/>
      <c r="C447" s="2"/>
      <c r="D447" s="41"/>
      <c r="E447" s="38"/>
      <c r="F447" s="2"/>
      <c r="G447" s="41"/>
      <c r="H447" s="38"/>
      <c r="I447" s="39"/>
      <c r="J447" s="39"/>
      <c r="K447" s="41"/>
      <c r="L447" s="41"/>
      <c r="M447" s="42"/>
      <c r="U447" s="3" t="str">
        <f t="shared" si="39"/>
        <v/>
      </c>
      <c r="V447" s="3" t="str">
        <f t="shared" si="40"/>
        <v/>
      </c>
    </row>
    <row r="448" spans="1:22" x14ac:dyDescent="0.25">
      <c r="A448" s="37"/>
      <c r="B448" s="38"/>
      <c r="C448" s="2"/>
      <c r="D448" s="41"/>
      <c r="E448" s="38"/>
      <c r="F448" s="2"/>
      <c r="G448" s="41"/>
      <c r="H448" s="38"/>
      <c r="I448" s="39"/>
      <c r="J448" s="39"/>
      <c r="K448" s="41"/>
      <c r="L448" s="41"/>
      <c r="M448" s="42"/>
      <c r="U448" s="3" t="str">
        <f t="shared" si="39"/>
        <v/>
      </c>
      <c r="V448" s="3" t="str">
        <f t="shared" si="40"/>
        <v/>
      </c>
    </row>
    <row r="449" spans="1:22" x14ac:dyDescent="0.25">
      <c r="A449" s="37"/>
      <c r="B449" s="38"/>
      <c r="C449" s="2"/>
      <c r="D449" s="41"/>
      <c r="E449" s="38"/>
      <c r="F449" s="2"/>
      <c r="G449" s="41"/>
      <c r="H449" s="38"/>
      <c r="I449" s="39"/>
      <c r="J449" s="39"/>
      <c r="K449" s="41"/>
      <c r="L449" s="41"/>
      <c r="M449" s="42"/>
      <c r="U449" s="3" t="str">
        <f t="shared" si="39"/>
        <v/>
      </c>
      <c r="V449" s="3" t="str">
        <f t="shared" si="40"/>
        <v/>
      </c>
    </row>
    <row r="450" spans="1:22" x14ac:dyDescent="0.25">
      <c r="A450" s="37"/>
      <c r="B450" s="38"/>
      <c r="C450" s="2"/>
      <c r="D450" s="41"/>
      <c r="E450" s="38"/>
      <c r="F450" s="2"/>
      <c r="G450" s="41"/>
      <c r="H450" s="38"/>
      <c r="I450" s="39"/>
      <c r="J450" s="39"/>
      <c r="K450" s="41"/>
      <c r="L450" s="41"/>
      <c r="M450" s="42"/>
      <c r="U450" s="3" t="str">
        <f t="shared" si="39"/>
        <v/>
      </c>
      <c r="V450" s="3" t="str">
        <f t="shared" si="40"/>
        <v/>
      </c>
    </row>
    <row r="451" spans="1:22" x14ac:dyDescent="0.25">
      <c r="A451" s="37"/>
      <c r="B451" s="38"/>
      <c r="C451" s="2"/>
      <c r="D451" s="41"/>
      <c r="E451" s="38"/>
      <c r="F451" s="2"/>
      <c r="G451" s="41"/>
      <c r="H451" s="38"/>
      <c r="I451" s="39"/>
      <c r="J451" s="39"/>
      <c r="K451" s="41"/>
      <c r="L451" s="41"/>
      <c r="M451" s="42"/>
      <c r="U451" s="3" t="str">
        <f t="shared" si="39"/>
        <v/>
      </c>
      <c r="V451" s="3" t="str">
        <f t="shared" si="40"/>
        <v/>
      </c>
    </row>
    <row r="452" spans="1:22" x14ac:dyDescent="0.25">
      <c r="A452" s="37"/>
      <c r="B452" s="38"/>
      <c r="C452" s="2"/>
      <c r="D452" s="41"/>
      <c r="E452" s="38"/>
      <c r="F452" s="2"/>
      <c r="G452" s="41"/>
      <c r="H452" s="38"/>
      <c r="I452" s="39"/>
      <c r="J452" s="39"/>
      <c r="K452" s="41"/>
      <c r="L452" s="41"/>
      <c r="M452" s="42"/>
      <c r="U452" s="3" t="str">
        <f t="shared" ref="U452:U515" si="42">IF(COUNTIF(Q:Q,O452)*COUNTIF(S:S,O452),O452,"")</f>
        <v/>
      </c>
      <c r="V452" s="3" t="str">
        <f t="shared" ref="V452:V515" si="43">IF(U452&gt;$A$14,U452,"")</f>
        <v/>
      </c>
    </row>
    <row r="453" spans="1:22" x14ac:dyDescent="0.25">
      <c r="A453" s="37"/>
      <c r="B453" s="38"/>
      <c r="C453" s="2"/>
      <c r="D453" s="41"/>
      <c r="E453" s="38"/>
      <c r="F453" s="2"/>
      <c r="G453" s="41"/>
      <c r="H453" s="38"/>
      <c r="I453" s="39"/>
      <c r="J453" s="39"/>
      <c r="K453" s="41"/>
      <c r="L453" s="41"/>
      <c r="M453" s="42"/>
      <c r="U453" s="3" t="str">
        <f t="shared" si="42"/>
        <v/>
      </c>
      <c r="V453" s="3" t="str">
        <f t="shared" si="43"/>
        <v/>
      </c>
    </row>
    <row r="454" spans="1:22" x14ac:dyDescent="0.25">
      <c r="A454" s="37"/>
      <c r="B454" s="38"/>
      <c r="C454" s="2"/>
      <c r="D454" s="41"/>
      <c r="E454" s="38"/>
      <c r="F454" s="2"/>
      <c r="G454" s="41"/>
      <c r="H454" s="38"/>
      <c r="I454" s="39"/>
      <c r="J454" s="39"/>
      <c r="K454" s="41"/>
      <c r="L454" s="41"/>
      <c r="M454" s="42"/>
      <c r="U454" s="3" t="str">
        <f t="shared" si="42"/>
        <v/>
      </c>
      <c r="V454" s="3" t="str">
        <f t="shared" si="43"/>
        <v/>
      </c>
    </row>
    <row r="455" spans="1:22" x14ac:dyDescent="0.25">
      <c r="A455" s="37"/>
      <c r="B455" s="38"/>
      <c r="C455" s="2"/>
      <c r="D455" s="41"/>
      <c r="E455" s="38"/>
      <c r="F455" s="2"/>
      <c r="G455" s="41"/>
      <c r="H455" s="38"/>
      <c r="I455" s="39"/>
      <c r="J455" s="39"/>
      <c r="K455" s="41"/>
      <c r="L455" s="41"/>
      <c r="M455" s="42"/>
      <c r="U455" s="3" t="str">
        <f t="shared" si="42"/>
        <v/>
      </c>
      <c r="V455" s="3" t="str">
        <f t="shared" si="43"/>
        <v/>
      </c>
    </row>
    <row r="456" spans="1:22" x14ac:dyDescent="0.25">
      <c r="A456" s="37"/>
      <c r="B456" s="38"/>
      <c r="C456" s="2"/>
      <c r="D456" s="41"/>
      <c r="E456" s="38"/>
      <c r="F456" s="2"/>
      <c r="G456" s="41"/>
      <c r="H456" s="38"/>
      <c r="I456" s="39"/>
      <c r="J456" s="39"/>
      <c r="K456" s="41"/>
      <c r="L456" s="41"/>
      <c r="M456" s="42"/>
      <c r="U456" s="3" t="str">
        <f t="shared" si="42"/>
        <v/>
      </c>
      <c r="V456" s="3" t="str">
        <f t="shared" si="43"/>
        <v/>
      </c>
    </row>
    <row r="457" spans="1:22" x14ac:dyDescent="0.25">
      <c r="A457" s="37"/>
      <c r="B457" s="38"/>
      <c r="C457" s="2"/>
      <c r="D457" s="41"/>
      <c r="E457" s="38"/>
      <c r="F457" s="2"/>
      <c r="G457" s="41"/>
      <c r="H457" s="38"/>
      <c r="I457" s="39"/>
      <c r="J457" s="39"/>
      <c r="K457" s="41"/>
      <c r="L457" s="41"/>
      <c r="M457" s="42"/>
      <c r="U457" s="3" t="str">
        <f t="shared" si="42"/>
        <v/>
      </c>
      <c r="V457" s="3" t="str">
        <f t="shared" si="43"/>
        <v/>
      </c>
    </row>
    <row r="458" spans="1:22" x14ac:dyDescent="0.25">
      <c r="A458" s="37"/>
      <c r="B458" s="38"/>
      <c r="C458" s="2"/>
      <c r="D458" s="41"/>
      <c r="E458" s="38"/>
      <c r="F458" s="2"/>
      <c r="G458" s="41"/>
      <c r="H458" s="38"/>
      <c r="I458" s="39"/>
      <c r="J458" s="39"/>
      <c r="K458" s="41"/>
      <c r="L458" s="41"/>
      <c r="M458" s="42"/>
      <c r="U458" s="3" t="str">
        <f t="shared" si="42"/>
        <v/>
      </c>
      <c r="V458" s="3" t="str">
        <f t="shared" si="43"/>
        <v/>
      </c>
    </row>
    <row r="459" spans="1:22" x14ac:dyDescent="0.25">
      <c r="A459" s="37"/>
      <c r="B459" s="38"/>
      <c r="C459" s="2"/>
      <c r="D459" s="41"/>
      <c r="E459" s="38"/>
      <c r="F459" s="2"/>
      <c r="G459" s="41"/>
      <c r="H459" s="38"/>
      <c r="I459" s="39"/>
      <c r="J459" s="39"/>
      <c r="K459" s="41"/>
      <c r="L459" s="41"/>
      <c r="M459" s="42"/>
      <c r="U459" s="3" t="str">
        <f t="shared" si="42"/>
        <v/>
      </c>
      <c r="V459" s="3" t="str">
        <f t="shared" si="43"/>
        <v/>
      </c>
    </row>
    <row r="460" spans="1:22" x14ac:dyDescent="0.25">
      <c r="A460" s="37"/>
      <c r="B460" s="38"/>
      <c r="C460" s="2"/>
      <c r="D460" s="41"/>
      <c r="E460" s="38"/>
      <c r="F460" s="2"/>
      <c r="G460" s="41"/>
      <c r="H460" s="38"/>
      <c r="I460" s="39"/>
      <c r="J460" s="39"/>
      <c r="K460" s="41"/>
      <c r="L460" s="41"/>
      <c r="M460" s="42"/>
      <c r="U460" s="3" t="str">
        <f t="shared" si="42"/>
        <v/>
      </c>
      <c r="V460" s="3" t="str">
        <f t="shared" si="43"/>
        <v/>
      </c>
    </row>
    <row r="461" spans="1:22" x14ac:dyDescent="0.25">
      <c r="A461" s="37"/>
      <c r="B461" s="38"/>
      <c r="C461" s="2"/>
      <c r="D461" s="41"/>
      <c r="E461" s="38"/>
      <c r="F461" s="2"/>
      <c r="G461" s="41"/>
      <c r="H461" s="38"/>
      <c r="I461" s="39"/>
      <c r="J461" s="39"/>
      <c r="K461" s="41"/>
      <c r="L461" s="41"/>
      <c r="M461" s="42"/>
      <c r="U461" s="3" t="str">
        <f t="shared" si="42"/>
        <v/>
      </c>
      <c r="V461" s="3" t="str">
        <f t="shared" si="43"/>
        <v/>
      </c>
    </row>
    <row r="462" spans="1:22" x14ac:dyDescent="0.25">
      <c r="A462" s="37"/>
      <c r="B462" s="38"/>
      <c r="C462" s="2"/>
      <c r="D462" s="41"/>
      <c r="E462" s="38"/>
      <c r="F462" s="2"/>
      <c r="G462" s="41"/>
      <c r="H462" s="38"/>
      <c r="I462" s="39"/>
      <c r="J462" s="39"/>
      <c r="K462" s="41"/>
      <c r="L462" s="41"/>
      <c r="M462" s="42"/>
      <c r="U462" s="3" t="str">
        <f t="shared" si="42"/>
        <v/>
      </c>
      <c r="V462" s="3" t="str">
        <f t="shared" si="43"/>
        <v/>
      </c>
    </row>
    <row r="463" spans="1:22" x14ac:dyDescent="0.25">
      <c r="A463" s="37"/>
      <c r="B463" s="38"/>
      <c r="C463" s="2"/>
      <c r="D463" s="41"/>
      <c r="E463" s="38"/>
      <c r="F463" s="2"/>
      <c r="G463" s="41"/>
      <c r="H463" s="38"/>
      <c r="I463" s="39"/>
      <c r="J463" s="39"/>
      <c r="K463" s="41"/>
      <c r="L463" s="41"/>
      <c r="M463" s="42"/>
      <c r="U463" s="3" t="str">
        <f t="shared" si="42"/>
        <v/>
      </c>
      <c r="V463" s="3" t="str">
        <f t="shared" si="43"/>
        <v/>
      </c>
    </row>
    <row r="464" spans="1:22" x14ac:dyDescent="0.25">
      <c r="A464" s="37"/>
      <c r="B464" s="38"/>
      <c r="C464" s="2"/>
      <c r="D464" s="41"/>
      <c r="E464" s="38"/>
      <c r="F464" s="2"/>
      <c r="G464" s="41"/>
      <c r="H464" s="38"/>
      <c r="I464" s="39"/>
      <c r="J464" s="39"/>
      <c r="K464" s="41"/>
      <c r="L464" s="41"/>
      <c r="M464" s="42"/>
      <c r="U464" s="3" t="str">
        <f t="shared" si="42"/>
        <v/>
      </c>
      <c r="V464" s="3" t="str">
        <f t="shared" si="43"/>
        <v/>
      </c>
    </row>
    <row r="465" spans="1:22" x14ac:dyDescent="0.25">
      <c r="A465" s="37"/>
      <c r="B465" s="38"/>
      <c r="C465" s="2"/>
      <c r="D465" s="41"/>
      <c r="E465" s="38"/>
      <c r="F465" s="2"/>
      <c r="G465" s="41"/>
      <c r="H465" s="38"/>
      <c r="I465" s="39"/>
      <c r="J465" s="39"/>
      <c r="K465" s="41"/>
      <c r="L465" s="41"/>
      <c r="M465" s="42"/>
      <c r="U465" s="3" t="str">
        <f t="shared" si="42"/>
        <v/>
      </c>
      <c r="V465" s="3" t="str">
        <f t="shared" si="43"/>
        <v/>
      </c>
    </row>
    <row r="466" spans="1:22" x14ac:dyDescent="0.25">
      <c r="A466" s="37"/>
      <c r="B466" s="38"/>
      <c r="C466" s="2"/>
      <c r="D466" s="41"/>
      <c r="E466" s="38"/>
      <c r="F466" s="2"/>
      <c r="G466" s="41"/>
      <c r="H466" s="38"/>
      <c r="I466" s="39"/>
      <c r="J466" s="39"/>
      <c r="K466" s="41"/>
      <c r="L466" s="41"/>
      <c r="M466" s="42"/>
      <c r="U466" s="3" t="str">
        <f t="shared" si="42"/>
        <v/>
      </c>
      <c r="V466" s="3" t="str">
        <f t="shared" si="43"/>
        <v/>
      </c>
    </row>
    <row r="467" spans="1:22" x14ac:dyDescent="0.25">
      <c r="A467" s="37"/>
      <c r="B467" s="38"/>
      <c r="C467" s="2"/>
      <c r="D467" s="41"/>
      <c r="E467" s="38"/>
      <c r="F467" s="2"/>
      <c r="G467" s="41"/>
      <c r="H467" s="38"/>
      <c r="I467" s="39"/>
      <c r="J467" s="39"/>
      <c r="K467" s="41"/>
      <c r="L467" s="41"/>
      <c r="M467" s="42"/>
      <c r="U467" s="3" t="str">
        <f t="shared" si="42"/>
        <v/>
      </c>
      <c r="V467" s="3" t="str">
        <f t="shared" si="43"/>
        <v/>
      </c>
    </row>
    <row r="468" spans="1:22" x14ac:dyDescent="0.25">
      <c r="A468" s="37"/>
      <c r="B468" s="38"/>
      <c r="C468" s="2"/>
      <c r="D468" s="41"/>
      <c r="E468" s="38"/>
      <c r="F468" s="2"/>
      <c r="G468" s="41"/>
      <c r="H468" s="38"/>
      <c r="I468" s="39"/>
      <c r="J468" s="39"/>
      <c r="K468" s="41"/>
      <c r="L468" s="41"/>
      <c r="M468" s="42"/>
      <c r="U468" s="3" t="str">
        <f t="shared" si="42"/>
        <v/>
      </c>
      <c r="V468" s="3" t="str">
        <f t="shared" si="43"/>
        <v/>
      </c>
    </row>
    <row r="469" spans="1:22" x14ac:dyDescent="0.25">
      <c r="A469" s="37"/>
      <c r="B469" s="38"/>
      <c r="C469" s="2"/>
      <c r="D469" s="41"/>
      <c r="E469" s="38"/>
      <c r="F469" s="2"/>
      <c r="G469" s="41"/>
      <c r="H469" s="38"/>
      <c r="I469" s="39"/>
      <c r="J469" s="39"/>
      <c r="K469" s="41"/>
      <c r="L469" s="41"/>
      <c r="M469" s="42"/>
      <c r="U469" s="3" t="str">
        <f t="shared" si="42"/>
        <v/>
      </c>
      <c r="V469" s="3" t="str">
        <f t="shared" si="43"/>
        <v/>
      </c>
    </row>
    <row r="470" spans="1:22" x14ac:dyDescent="0.25">
      <c r="A470" s="37"/>
      <c r="B470" s="38"/>
      <c r="C470" s="2"/>
      <c r="D470" s="41"/>
      <c r="E470" s="38"/>
      <c r="F470" s="2"/>
      <c r="G470" s="41"/>
      <c r="H470" s="38"/>
      <c r="I470" s="39"/>
      <c r="J470" s="39"/>
      <c r="K470" s="41"/>
      <c r="L470" s="41"/>
      <c r="M470" s="42"/>
      <c r="U470" s="3" t="str">
        <f t="shared" si="42"/>
        <v/>
      </c>
      <c r="V470" s="3" t="str">
        <f t="shared" si="43"/>
        <v/>
      </c>
    </row>
    <row r="471" spans="1:22" x14ac:dyDescent="0.25">
      <c r="A471" s="37"/>
      <c r="B471" s="38"/>
      <c r="C471" s="2"/>
      <c r="D471" s="41"/>
      <c r="E471" s="38"/>
      <c r="F471" s="2"/>
      <c r="G471" s="41"/>
      <c r="H471" s="38"/>
      <c r="I471" s="39"/>
      <c r="J471" s="39"/>
      <c r="K471" s="41"/>
      <c r="L471" s="41"/>
      <c r="M471" s="42"/>
      <c r="U471" s="3" t="str">
        <f t="shared" si="42"/>
        <v/>
      </c>
      <c r="V471" s="3" t="str">
        <f t="shared" si="43"/>
        <v/>
      </c>
    </row>
    <row r="472" spans="1:22" x14ac:dyDescent="0.25">
      <c r="A472" s="37"/>
      <c r="B472" s="38"/>
      <c r="C472" s="2"/>
      <c r="D472" s="41"/>
      <c r="E472" s="38"/>
      <c r="F472" s="2"/>
      <c r="G472" s="41"/>
      <c r="H472" s="38"/>
      <c r="I472" s="39"/>
      <c r="J472" s="39"/>
      <c r="K472" s="41"/>
      <c r="L472" s="41"/>
      <c r="M472" s="42"/>
      <c r="U472" s="3" t="str">
        <f t="shared" si="42"/>
        <v/>
      </c>
      <c r="V472" s="3" t="str">
        <f t="shared" si="43"/>
        <v/>
      </c>
    </row>
    <row r="473" spans="1:22" x14ac:dyDescent="0.25">
      <c r="A473" s="37"/>
      <c r="B473" s="38"/>
      <c r="C473" s="2"/>
      <c r="D473" s="41"/>
      <c r="E473" s="38"/>
      <c r="F473" s="2"/>
      <c r="G473" s="41"/>
      <c r="H473" s="38"/>
      <c r="I473" s="39"/>
      <c r="J473" s="39"/>
      <c r="K473" s="41"/>
      <c r="L473" s="41"/>
      <c r="M473" s="42"/>
      <c r="U473" s="3" t="str">
        <f t="shared" si="42"/>
        <v/>
      </c>
      <c r="V473" s="3" t="str">
        <f t="shared" si="43"/>
        <v/>
      </c>
    </row>
    <row r="474" spans="1:22" x14ac:dyDescent="0.25">
      <c r="A474" s="37"/>
      <c r="B474" s="38"/>
      <c r="C474" s="2"/>
      <c r="D474" s="41"/>
      <c r="E474" s="38"/>
      <c r="F474" s="2"/>
      <c r="G474" s="41"/>
      <c r="H474" s="38"/>
      <c r="I474" s="39"/>
      <c r="J474" s="39"/>
      <c r="K474" s="41"/>
      <c r="L474" s="41"/>
      <c r="M474" s="42"/>
      <c r="U474" s="3" t="str">
        <f t="shared" si="42"/>
        <v/>
      </c>
      <c r="V474" s="3" t="str">
        <f t="shared" si="43"/>
        <v/>
      </c>
    </row>
    <row r="475" spans="1:22" x14ac:dyDescent="0.25">
      <c r="A475" s="37"/>
      <c r="B475" s="38"/>
      <c r="C475" s="2"/>
      <c r="D475" s="41"/>
      <c r="E475" s="38"/>
      <c r="F475" s="2"/>
      <c r="G475" s="41"/>
      <c r="H475" s="38"/>
      <c r="I475" s="39"/>
      <c r="J475" s="39"/>
      <c r="K475" s="41"/>
      <c r="L475" s="41"/>
      <c r="M475" s="42"/>
      <c r="U475" s="3" t="str">
        <f t="shared" si="42"/>
        <v/>
      </c>
      <c r="V475" s="3" t="str">
        <f t="shared" si="43"/>
        <v/>
      </c>
    </row>
    <row r="476" spans="1:22" x14ac:dyDescent="0.25">
      <c r="A476" s="37"/>
      <c r="B476" s="38"/>
      <c r="C476" s="2"/>
      <c r="D476" s="41"/>
      <c r="E476" s="38"/>
      <c r="F476" s="2"/>
      <c r="G476" s="41"/>
      <c r="H476" s="38"/>
      <c r="I476" s="39"/>
      <c r="J476" s="39"/>
      <c r="K476" s="41"/>
      <c r="L476" s="41"/>
      <c r="M476" s="42"/>
      <c r="U476" s="3" t="str">
        <f t="shared" si="42"/>
        <v/>
      </c>
      <c r="V476" s="3" t="str">
        <f t="shared" si="43"/>
        <v/>
      </c>
    </row>
    <row r="477" spans="1:22" x14ac:dyDescent="0.25">
      <c r="A477" s="37"/>
      <c r="B477" s="38"/>
      <c r="C477" s="2"/>
      <c r="D477" s="41"/>
      <c r="E477" s="38"/>
      <c r="F477" s="2"/>
      <c r="G477" s="41"/>
      <c r="H477" s="38"/>
      <c r="I477" s="39"/>
      <c r="J477" s="39"/>
      <c r="K477" s="41"/>
      <c r="L477" s="41"/>
      <c r="M477" s="42"/>
      <c r="U477" s="3" t="str">
        <f t="shared" si="42"/>
        <v/>
      </c>
      <c r="V477" s="3" t="str">
        <f t="shared" si="43"/>
        <v/>
      </c>
    </row>
    <row r="478" spans="1:22" x14ac:dyDescent="0.25">
      <c r="A478" s="37"/>
      <c r="B478" s="38"/>
      <c r="C478" s="2"/>
      <c r="D478" s="41"/>
      <c r="E478" s="38"/>
      <c r="F478" s="2"/>
      <c r="G478" s="41"/>
      <c r="H478" s="38"/>
      <c r="I478" s="39"/>
      <c r="J478" s="39"/>
      <c r="K478" s="41"/>
      <c r="L478" s="41"/>
      <c r="M478" s="42"/>
      <c r="U478" s="3" t="str">
        <f t="shared" si="42"/>
        <v/>
      </c>
      <c r="V478" s="3" t="str">
        <f t="shared" si="43"/>
        <v/>
      </c>
    </row>
    <row r="479" spans="1:22" x14ac:dyDescent="0.25">
      <c r="A479" s="37"/>
      <c r="B479" s="38"/>
      <c r="C479" s="2"/>
      <c r="D479" s="41"/>
      <c r="E479" s="38"/>
      <c r="F479" s="2"/>
      <c r="G479" s="41"/>
      <c r="H479" s="38"/>
      <c r="I479" s="39"/>
      <c r="J479" s="39"/>
      <c r="K479" s="41"/>
      <c r="L479" s="41"/>
      <c r="M479" s="42"/>
      <c r="U479" s="3" t="str">
        <f t="shared" si="42"/>
        <v/>
      </c>
      <c r="V479" s="3" t="str">
        <f t="shared" si="43"/>
        <v/>
      </c>
    </row>
    <row r="480" spans="1:22" x14ac:dyDescent="0.25">
      <c r="A480" s="37"/>
      <c r="B480" s="38"/>
      <c r="C480" s="2"/>
      <c r="D480" s="41"/>
      <c r="E480" s="38"/>
      <c r="F480" s="2"/>
      <c r="G480" s="41"/>
      <c r="H480" s="38"/>
      <c r="I480" s="39"/>
      <c r="J480" s="39"/>
      <c r="K480" s="41"/>
      <c r="L480" s="41"/>
      <c r="M480" s="42"/>
      <c r="U480" s="3" t="str">
        <f t="shared" si="42"/>
        <v/>
      </c>
      <c r="V480" s="3" t="str">
        <f t="shared" si="43"/>
        <v/>
      </c>
    </row>
    <row r="481" spans="1:22" x14ac:dyDescent="0.25">
      <c r="A481" s="37"/>
      <c r="B481" s="38"/>
      <c r="C481" s="2"/>
      <c r="D481" s="41"/>
      <c r="E481" s="38"/>
      <c r="F481" s="2"/>
      <c r="G481" s="41"/>
      <c r="H481" s="38"/>
      <c r="I481" s="39"/>
      <c r="J481" s="39"/>
      <c r="K481" s="41"/>
      <c r="L481" s="41"/>
      <c r="M481" s="42"/>
      <c r="U481" s="3" t="str">
        <f t="shared" si="42"/>
        <v/>
      </c>
      <c r="V481" s="3" t="str">
        <f t="shared" si="43"/>
        <v/>
      </c>
    </row>
    <row r="482" spans="1:22" x14ac:dyDescent="0.25">
      <c r="A482" s="37"/>
      <c r="B482" s="38"/>
      <c r="C482" s="2"/>
      <c r="D482" s="41"/>
      <c r="E482" s="38"/>
      <c r="F482" s="2"/>
      <c r="G482" s="41"/>
      <c r="H482" s="38"/>
      <c r="I482" s="39"/>
      <c r="J482" s="39"/>
      <c r="K482" s="41"/>
      <c r="L482" s="41"/>
      <c r="M482" s="42"/>
      <c r="U482" s="3" t="str">
        <f t="shared" si="42"/>
        <v/>
      </c>
      <c r="V482" s="3" t="str">
        <f t="shared" si="43"/>
        <v/>
      </c>
    </row>
    <row r="483" spans="1:22" x14ac:dyDescent="0.25">
      <c r="A483" s="37"/>
      <c r="B483" s="38"/>
      <c r="C483" s="2"/>
      <c r="D483" s="41"/>
      <c r="E483" s="38"/>
      <c r="F483" s="2"/>
      <c r="G483" s="41"/>
      <c r="H483" s="38"/>
      <c r="I483" s="39"/>
      <c r="J483" s="39"/>
      <c r="K483" s="41"/>
      <c r="L483" s="41"/>
      <c r="M483" s="42"/>
      <c r="U483" s="3" t="str">
        <f t="shared" si="42"/>
        <v/>
      </c>
      <c r="V483" s="3" t="str">
        <f t="shared" si="43"/>
        <v/>
      </c>
    </row>
    <row r="484" spans="1:22" x14ac:dyDescent="0.25">
      <c r="A484" s="37"/>
      <c r="B484" s="38"/>
      <c r="C484" s="2"/>
      <c r="D484" s="41"/>
      <c r="E484" s="38"/>
      <c r="F484" s="2"/>
      <c r="G484" s="41"/>
      <c r="H484" s="38"/>
      <c r="I484" s="39"/>
      <c r="J484" s="39"/>
      <c r="K484" s="41"/>
      <c r="L484" s="41"/>
      <c r="M484" s="42"/>
      <c r="U484" s="3" t="str">
        <f t="shared" si="42"/>
        <v/>
      </c>
      <c r="V484" s="3" t="str">
        <f t="shared" si="43"/>
        <v/>
      </c>
    </row>
    <row r="485" spans="1:22" x14ac:dyDescent="0.25">
      <c r="A485" s="37"/>
      <c r="B485" s="38"/>
      <c r="C485" s="2"/>
      <c r="D485" s="41"/>
      <c r="E485" s="38"/>
      <c r="F485" s="2"/>
      <c r="G485" s="41"/>
      <c r="H485" s="38"/>
      <c r="I485" s="39"/>
      <c r="J485" s="39"/>
      <c r="K485" s="41"/>
      <c r="L485" s="41"/>
      <c r="M485" s="42"/>
      <c r="U485" s="3" t="str">
        <f t="shared" si="42"/>
        <v/>
      </c>
      <c r="V485" s="3" t="str">
        <f t="shared" si="43"/>
        <v/>
      </c>
    </row>
    <row r="486" spans="1:22" x14ac:dyDescent="0.25">
      <c r="A486" s="37"/>
      <c r="B486" s="38"/>
      <c r="C486" s="2"/>
      <c r="D486" s="41"/>
      <c r="E486" s="38"/>
      <c r="F486" s="2"/>
      <c r="G486" s="41"/>
      <c r="H486" s="38"/>
      <c r="I486" s="39"/>
      <c r="J486" s="39"/>
      <c r="K486" s="41"/>
      <c r="L486" s="41"/>
      <c r="M486" s="42"/>
      <c r="U486" s="3" t="str">
        <f t="shared" si="42"/>
        <v/>
      </c>
      <c r="V486" s="3" t="str">
        <f t="shared" si="43"/>
        <v/>
      </c>
    </row>
    <row r="487" spans="1:22" x14ac:dyDescent="0.25">
      <c r="A487" s="37"/>
      <c r="B487" s="38"/>
      <c r="C487" s="2"/>
      <c r="D487" s="41"/>
      <c r="E487" s="38"/>
      <c r="F487" s="2"/>
      <c r="G487" s="41"/>
      <c r="H487" s="38"/>
      <c r="I487" s="39"/>
      <c r="J487" s="39"/>
      <c r="K487" s="41"/>
      <c r="L487" s="41"/>
      <c r="M487" s="42"/>
      <c r="U487" s="3" t="str">
        <f t="shared" si="42"/>
        <v/>
      </c>
      <c r="V487" s="3" t="str">
        <f t="shared" si="43"/>
        <v/>
      </c>
    </row>
    <row r="488" spans="1:22" x14ac:dyDescent="0.25">
      <c r="A488" s="37"/>
      <c r="B488" s="38"/>
      <c r="C488" s="2"/>
      <c r="D488" s="41"/>
      <c r="E488" s="38"/>
      <c r="F488" s="2"/>
      <c r="G488" s="41"/>
      <c r="H488" s="38"/>
      <c r="I488" s="39"/>
      <c r="J488" s="39"/>
      <c r="K488" s="41"/>
      <c r="L488" s="41"/>
      <c r="M488" s="42"/>
      <c r="U488" s="3" t="str">
        <f t="shared" si="42"/>
        <v/>
      </c>
      <c r="V488" s="3" t="str">
        <f t="shared" si="43"/>
        <v/>
      </c>
    </row>
    <row r="489" spans="1:22" x14ac:dyDescent="0.25">
      <c r="A489" s="37"/>
      <c r="B489" s="38"/>
      <c r="C489" s="2"/>
      <c r="D489" s="41"/>
      <c r="E489" s="38"/>
      <c r="F489" s="2"/>
      <c r="G489" s="41"/>
      <c r="H489" s="38"/>
      <c r="I489" s="39"/>
      <c r="J489" s="39"/>
      <c r="K489" s="41"/>
      <c r="L489" s="41"/>
      <c r="M489" s="42"/>
      <c r="U489" s="3" t="str">
        <f t="shared" si="42"/>
        <v/>
      </c>
      <c r="V489" s="3" t="str">
        <f t="shared" si="43"/>
        <v/>
      </c>
    </row>
    <row r="490" spans="1:22" x14ac:dyDescent="0.25">
      <c r="A490" s="37"/>
      <c r="B490" s="38"/>
      <c r="C490" s="2"/>
      <c r="D490" s="41"/>
      <c r="E490" s="38"/>
      <c r="F490" s="2"/>
      <c r="G490" s="41"/>
      <c r="H490" s="38"/>
      <c r="I490" s="39"/>
      <c r="J490" s="39"/>
      <c r="K490" s="41"/>
      <c r="L490" s="41"/>
      <c r="M490" s="42"/>
      <c r="U490" s="3" t="str">
        <f t="shared" si="42"/>
        <v/>
      </c>
      <c r="V490" s="3" t="str">
        <f t="shared" si="43"/>
        <v/>
      </c>
    </row>
    <row r="491" spans="1:22" x14ac:dyDescent="0.25">
      <c r="A491" s="37"/>
      <c r="B491" s="38"/>
      <c r="C491" s="2"/>
      <c r="D491" s="41"/>
      <c r="E491" s="38"/>
      <c r="F491" s="2"/>
      <c r="G491" s="41"/>
      <c r="H491" s="38"/>
      <c r="I491" s="39"/>
      <c r="J491" s="39"/>
      <c r="K491" s="41"/>
      <c r="L491" s="41"/>
      <c r="M491" s="42"/>
      <c r="U491" s="3" t="str">
        <f t="shared" si="42"/>
        <v/>
      </c>
      <c r="V491" s="3" t="str">
        <f t="shared" si="43"/>
        <v/>
      </c>
    </row>
    <row r="492" spans="1:22" x14ac:dyDescent="0.25">
      <c r="A492" s="37"/>
      <c r="B492" s="38"/>
      <c r="C492" s="2"/>
      <c r="D492" s="41"/>
      <c r="E492" s="38"/>
      <c r="F492" s="2"/>
      <c r="G492" s="41"/>
      <c r="H492" s="38"/>
      <c r="I492" s="39"/>
      <c r="J492" s="39"/>
      <c r="K492" s="41"/>
      <c r="L492" s="41"/>
      <c r="M492" s="42"/>
      <c r="U492" s="3" t="str">
        <f t="shared" si="42"/>
        <v/>
      </c>
      <c r="V492" s="3" t="str">
        <f t="shared" si="43"/>
        <v/>
      </c>
    </row>
    <row r="493" spans="1:22" x14ac:dyDescent="0.25">
      <c r="A493" s="37"/>
      <c r="B493" s="38"/>
      <c r="C493" s="2"/>
      <c r="D493" s="41"/>
      <c r="E493" s="38"/>
      <c r="F493" s="2"/>
      <c r="G493" s="41"/>
      <c r="H493" s="38"/>
      <c r="I493" s="39"/>
      <c r="J493" s="39"/>
      <c r="K493" s="41"/>
      <c r="L493" s="41"/>
      <c r="M493" s="42"/>
      <c r="U493" s="3" t="str">
        <f t="shared" si="42"/>
        <v/>
      </c>
      <c r="V493" s="3" t="str">
        <f t="shared" si="43"/>
        <v/>
      </c>
    </row>
    <row r="494" spans="1:22" x14ac:dyDescent="0.25">
      <c r="A494" s="37"/>
      <c r="B494" s="38"/>
      <c r="C494" s="2"/>
      <c r="D494" s="41"/>
      <c r="E494" s="38"/>
      <c r="F494" s="2"/>
      <c r="G494" s="41"/>
      <c r="H494" s="38"/>
      <c r="I494" s="39"/>
      <c r="J494" s="39"/>
      <c r="K494" s="41"/>
      <c r="L494" s="41"/>
      <c r="M494" s="42"/>
      <c r="U494" s="3" t="str">
        <f t="shared" si="42"/>
        <v/>
      </c>
      <c r="V494" s="3" t="str">
        <f t="shared" si="43"/>
        <v/>
      </c>
    </row>
    <row r="495" spans="1:22" x14ac:dyDescent="0.25">
      <c r="A495" s="37"/>
      <c r="B495" s="38"/>
      <c r="C495" s="2"/>
      <c r="D495" s="41"/>
      <c r="E495" s="38"/>
      <c r="F495" s="2"/>
      <c r="G495" s="41"/>
      <c r="H495" s="38"/>
      <c r="I495" s="39"/>
      <c r="J495" s="39"/>
      <c r="K495" s="41"/>
      <c r="L495" s="41"/>
      <c r="M495" s="42"/>
      <c r="U495" s="3" t="str">
        <f t="shared" si="42"/>
        <v/>
      </c>
      <c r="V495" s="3" t="str">
        <f t="shared" si="43"/>
        <v/>
      </c>
    </row>
    <row r="496" spans="1:22" x14ac:dyDescent="0.25">
      <c r="A496" s="37"/>
      <c r="B496" s="38"/>
      <c r="C496" s="2"/>
      <c r="D496" s="41"/>
      <c r="E496" s="38"/>
      <c r="F496" s="2"/>
      <c r="G496" s="41"/>
      <c r="H496" s="38"/>
      <c r="I496" s="39"/>
      <c r="J496" s="39"/>
      <c r="K496" s="41"/>
      <c r="L496" s="41"/>
      <c r="M496" s="42"/>
      <c r="U496" s="3" t="str">
        <f t="shared" si="42"/>
        <v/>
      </c>
      <c r="V496" s="3" t="str">
        <f t="shared" si="43"/>
        <v/>
      </c>
    </row>
    <row r="497" spans="1:22" x14ac:dyDescent="0.25">
      <c r="A497" s="37"/>
      <c r="B497" s="38"/>
      <c r="C497" s="2"/>
      <c r="D497" s="41"/>
      <c r="E497" s="38"/>
      <c r="F497" s="2"/>
      <c r="G497" s="41"/>
      <c r="H497" s="38"/>
      <c r="I497" s="39"/>
      <c r="J497" s="39"/>
      <c r="K497" s="41"/>
      <c r="L497" s="41"/>
      <c r="M497" s="42"/>
      <c r="U497" s="3" t="str">
        <f t="shared" si="42"/>
        <v/>
      </c>
      <c r="V497" s="3" t="str">
        <f t="shared" si="43"/>
        <v/>
      </c>
    </row>
    <row r="498" spans="1:22" x14ac:dyDescent="0.25">
      <c r="A498" s="37"/>
      <c r="B498" s="38"/>
      <c r="C498" s="2"/>
      <c r="D498" s="41"/>
      <c r="E498" s="38"/>
      <c r="F498" s="2"/>
      <c r="G498" s="41"/>
      <c r="H498" s="38"/>
      <c r="I498" s="39"/>
      <c r="J498" s="39"/>
      <c r="K498" s="41"/>
      <c r="L498" s="41"/>
      <c r="M498" s="42"/>
      <c r="U498" s="3" t="str">
        <f t="shared" si="42"/>
        <v/>
      </c>
      <c r="V498" s="3" t="str">
        <f t="shared" si="43"/>
        <v/>
      </c>
    </row>
    <row r="499" spans="1:22" x14ac:dyDescent="0.25">
      <c r="A499" s="37"/>
      <c r="B499" s="38"/>
      <c r="C499" s="2"/>
      <c r="D499" s="41"/>
      <c r="E499" s="38"/>
      <c r="F499" s="2"/>
      <c r="G499" s="41"/>
      <c r="H499" s="38"/>
      <c r="I499" s="39"/>
      <c r="J499" s="39"/>
      <c r="K499" s="41"/>
      <c r="L499" s="41"/>
      <c r="M499" s="42"/>
      <c r="U499" s="3" t="str">
        <f t="shared" si="42"/>
        <v/>
      </c>
      <c r="V499" s="3" t="str">
        <f t="shared" si="43"/>
        <v/>
      </c>
    </row>
    <row r="500" spans="1:22" x14ac:dyDescent="0.25">
      <c r="A500" s="37"/>
      <c r="B500" s="38"/>
      <c r="C500" s="2"/>
      <c r="D500" s="41"/>
      <c r="E500" s="38"/>
      <c r="F500" s="2"/>
      <c r="G500" s="41"/>
      <c r="H500" s="38"/>
      <c r="I500" s="39"/>
      <c r="J500" s="39"/>
      <c r="K500" s="41"/>
      <c r="L500" s="41"/>
      <c r="M500" s="42"/>
      <c r="U500" s="3" t="str">
        <f t="shared" si="42"/>
        <v/>
      </c>
      <c r="V500" s="3" t="str">
        <f t="shared" si="43"/>
        <v/>
      </c>
    </row>
    <row r="501" spans="1:22" x14ac:dyDescent="0.25">
      <c r="A501" s="37"/>
      <c r="B501" s="38"/>
      <c r="C501" s="2"/>
      <c r="D501" s="41"/>
      <c r="E501" s="38"/>
      <c r="F501" s="2"/>
      <c r="G501" s="41"/>
      <c r="H501" s="38"/>
      <c r="I501" s="39"/>
      <c r="J501" s="39"/>
      <c r="K501" s="41"/>
      <c r="L501" s="41"/>
      <c r="M501" s="42"/>
      <c r="U501" s="3" t="str">
        <f t="shared" si="42"/>
        <v/>
      </c>
      <c r="V501" s="3" t="str">
        <f t="shared" si="43"/>
        <v/>
      </c>
    </row>
    <row r="502" spans="1:22" x14ac:dyDescent="0.25">
      <c r="A502" s="37"/>
      <c r="B502" s="38"/>
      <c r="C502" s="2"/>
      <c r="D502" s="41"/>
      <c r="E502" s="38"/>
      <c r="F502" s="2"/>
      <c r="G502" s="41"/>
      <c r="H502" s="38"/>
      <c r="I502" s="39"/>
      <c r="J502" s="39"/>
      <c r="K502" s="41"/>
      <c r="L502" s="41"/>
      <c r="M502" s="42"/>
      <c r="U502" s="3" t="str">
        <f t="shared" si="42"/>
        <v/>
      </c>
      <c r="V502" s="3" t="str">
        <f t="shared" si="43"/>
        <v/>
      </c>
    </row>
    <row r="503" spans="1:22" x14ac:dyDescent="0.25">
      <c r="A503" s="37"/>
      <c r="B503" s="38"/>
      <c r="C503" s="2"/>
      <c r="D503" s="41"/>
      <c r="E503" s="38"/>
      <c r="F503" s="2"/>
      <c r="G503" s="41"/>
      <c r="H503" s="38"/>
      <c r="I503" s="39"/>
      <c r="J503" s="39"/>
      <c r="K503" s="41"/>
      <c r="L503" s="41"/>
      <c r="M503" s="42"/>
      <c r="U503" s="3" t="str">
        <f t="shared" si="42"/>
        <v/>
      </c>
      <c r="V503" s="3" t="str">
        <f t="shared" si="43"/>
        <v/>
      </c>
    </row>
    <row r="504" spans="1:22" x14ac:dyDescent="0.25">
      <c r="A504" s="37"/>
      <c r="B504" s="38"/>
      <c r="C504" s="2"/>
      <c r="D504" s="41"/>
      <c r="E504" s="38"/>
      <c r="F504" s="2"/>
      <c r="G504" s="41"/>
      <c r="H504" s="38"/>
      <c r="I504" s="39"/>
      <c r="J504" s="39"/>
      <c r="K504" s="41"/>
      <c r="L504" s="41"/>
      <c r="M504" s="42"/>
      <c r="U504" s="3" t="str">
        <f t="shared" si="42"/>
        <v/>
      </c>
      <c r="V504" s="3" t="str">
        <f t="shared" si="43"/>
        <v/>
      </c>
    </row>
    <row r="505" spans="1:22" x14ac:dyDescent="0.25">
      <c r="A505" s="37"/>
      <c r="B505" s="38"/>
      <c r="C505" s="2"/>
      <c r="D505" s="41"/>
      <c r="E505" s="38"/>
      <c r="F505" s="2"/>
      <c r="G505" s="41"/>
      <c r="H505" s="38"/>
      <c r="I505" s="39"/>
      <c r="J505" s="39"/>
      <c r="K505" s="41"/>
      <c r="L505" s="41"/>
      <c r="M505" s="42"/>
      <c r="U505" s="3" t="str">
        <f t="shared" si="42"/>
        <v/>
      </c>
      <c r="V505" s="3" t="str">
        <f t="shared" si="43"/>
        <v/>
      </c>
    </row>
    <row r="506" spans="1:22" x14ac:dyDescent="0.25">
      <c r="A506" s="37"/>
      <c r="B506" s="38"/>
      <c r="C506" s="2"/>
      <c r="D506" s="41"/>
      <c r="E506" s="38"/>
      <c r="F506" s="2"/>
      <c r="G506" s="41"/>
      <c r="H506" s="38"/>
      <c r="I506" s="39"/>
      <c r="J506" s="39"/>
      <c r="K506" s="41"/>
      <c r="L506" s="41"/>
      <c r="M506" s="42"/>
      <c r="U506" s="3" t="str">
        <f t="shared" si="42"/>
        <v/>
      </c>
      <c r="V506" s="3" t="str">
        <f t="shared" si="43"/>
        <v/>
      </c>
    </row>
    <row r="507" spans="1:22" x14ac:dyDescent="0.25">
      <c r="A507" s="37"/>
      <c r="B507" s="38"/>
      <c r="C507" s="2"/>
      <c r="D507" s="41"/>
      <c r="E507" s="38"/>
      <c r="F507" s="2"/>
      <c r="G507" s="41"/>
      <c r="H507" s="38"/>
      <c r="I507" s="39"/>
      <c r="J507" s="39"/>
      <c r="K507" s="41"/>
      <c r="L507" s="41"/>
      <c r="M507" s="42"/>
      <c r="U507" s="3" t="str">
        <f t="shared" si="42"/>
        <v/>
      </c>
      <c r="V507" s="3" t="str">
        <f t="shared" si="43"/>
        <v/>
      </c>
    </row>
    <row r="508" spans="1:22" x14ac:dyDescent="0.25">
      <c r="A508" s="37"/>
      <c r="B508" s="38"/>
      <c r="C508" s="2"/>
      <c r="D508" s="41"/>
      <c r="E508" s="38"/>
      <c r="F508" s="2"/>
      <c r="G508" s="41"/>
      <c r="H508" s="38"/>
      <c r="I508" s="39"/>
      <c r="J508" s="39"/>
      <c r="K508" s="41"/>
      <c r="L508" s="41"/>
      <c r="M508" s="42"/>
      <c r="U508" s="3" t="str">
        <f t="shared" si="42"/>
        <v/>
      </c>
      <c r="V508" s="3" t="str">
        <f t="shared" si="43"/>
        <v/>
      </c>
    </row>
    <row r="509" spans="1:22" x14ac:dyDescent="0.25">
      <c r="A509" s="37"/>
      <c r="B509" s="38"/>
      <c r="C509" s="2"/>
      <c r="D509" s="41"/>
      <c r="E509" s="38"/>
      <c r="F509" s="2"/>
      <c r="G509" s="41"/>
      <c r="H509" s="38"/>
      <c r="I509" s="39"/>
      <c r="J509" s="39"/>
      <c r="K509" s="41"/>
      <c r="L509" s="41"/>
      <c r="M509" s="42"/>
      <c r="U509" s="3" t="str">
        <f t="shared" si="42"/>
        <v/>
      </c>
      <c r="V509" s="3" t="str">
        <f t="shared" si="43"/>
        <v/>
      </c>
    </row>
    <row r="510" spans="1:22" x14ac:dyDescent="0.25">
      <c r="A510" s="37"/>
      <c r="B510" s="38"/>
      <c r="C510" s="2"/>
      <c r="D510" s="41"/>
      <c r="E510" s="38"/>
      <c r="F510" s="2"/>
      <c r="G510" s="41"/>
      <c r="H510" s="38"/>
      <c r="I510" s="39"/>
      <c r="J510" s="39"/>
      <c r="K510" s="41"/>
      <c r="L510" s="41"/>
      <c r="M510" s="42"/>
      <c r="U510" s="3" t="str">
        <f t="shared" si="42"/>
        <v/>
      </c>
      <c r="V510" s="3" t="str">
        <f t="shared" si="43"/>
        <v/>
      </c>
    </row>
    <row r="511" spans="1:22" x14ac:dyDescent="0.25">
      <c r="A511" s="37"/>
      <c r="B511" s="38"/>
      <c r="C511" s="2"/>
      <c r="D511" s="41"/>
      <c r="E511" s="38"/>
      <c r="F511" s="2"/>
      <c r="G511" s="41"/>
      <c r="H511" s="38"/>
      <c r="I511" s="39"/>
      <c r="J511" s="39"/>
      <c r="K511" s="41"/>
      <c r="L511" s="41"/>
      <c r="M511" s="42"/>
      <c r="U511" s="3" t="str">
        <f t="shared" si="42"/>
        <v/>
      </c>
      <c r="V511" s="3" t="str">
        <f t="shared" si="43"/>
        <v/>
      </c>
    </row>
    <row r="512" spans="1:22" x14ac:dyDescent="0.25">
      <c r="A512" s="37"/>
      <c r="B512" s="38"/>
      <c r="C512" s="2"/>
      <c r="D512" s="41"/>
      <c r="E512" s="38"/>
      <c r="F512" s="2"/>
      <c r="G512" s="41"/>
      <c r="H512" s="38"/>
      <c r="I512" s="39"/>
      <c r="J512" s="39"/>
      <c r="K512" s="41"/>
      <c r="L512" s="41"/>
      <c r="M512" s="42"/>
      <c r="U512" s="3" t="str">
        <f t="shared" si="42"/>
        <v/>
      </c>
      <c r="V512" s="3" t="str">
        <f t="shared" si="43"/>
        <v/>
      </c>
    </row>
    <row r="513" spans="1:22" x14ac:dyDescent="0.25">
      <c r="A513" s="37"/>
      <c r="B513" s="38"/>
      <c r="C513" s="2"/>
      <c r="D513" s="41"/>
      <c r="E513" s="38"/>
      <c r="F513" s="2"/>
      <c r="G513" s="41"/>
      <c r="H513" s="38"/>
      <c r="I513" s="39"/>
      <c r="J513" s="39"/>
      <c r="K513" s="41"/>
      <c r="L513" s="41"/>
      <c r="M513" s="42"/>
      <c r="U513" s="3" t="str">
        <f t="shared" si="42"/>
        <v/>
      </c>
      <c r="V513" s="3" t="str">
        <f t="shared" si="43"/>
        <v/>
      </c>
    </row>
    <row r="514" spans="1:22" x14ac:dyDescent="0.25">
      <c r="A514" s="37"/>
      <c r="B514" s="38"/>
      <c r="C514" s="2"/>
      <c r="D514" s="41"/>
      <c r="E514" s="38"/>
      <c r="F514" s="2"/>
      <c r="G514" s="41"/>
      <c r="H514" s="38"/>
      <c r="I514" s="39"/>
      <c r="J514" s="39"/>
      <c r="K514" s="41"/>
      <c r="L514" s="41"/>
      <c r="M514" s="42"/>
      <c r="U514" s="3" t="str">
        <f t="shared" si="42"/>
        <v/>
      </c>
      <c r="V514" s="3" t="str">
        <f t="shared" si="43"/>
        <v/>
      </c>
    </row>
    <row r="515" spans="1:22" x14ac:dyDescent="0.25">
      <c r="A515" s="37"/>
      <c r="B515" s="38"/>
      <c r="C515" s="2"/>
      <c r="D515" s="41"/>
      <c r="E515" s="38"/>
      <c r="F515" s="2"/>
      <c r="G515" s="41"/>
      <c r="H515" s="38"/>
      <c r="I515" s="39"/>
      <c r="J515" s="39"/>
      <c r="K515" s="41"/>
      <c r="L515" s="41"/>
      <c r="M515" s="42"/>
      <c r="U515" s="3" t="str">
        <f t="shared" si="42"/>
        <v/>
      </c>
      <c r="V515" s="3" t="str">
        <f t="shared" si="43"/>
        <v/>
      </c>
    </row>
    <row r="516" spans="1:22" x14ac:dyDescent="0.25">
      <c r="A516" s="37"/>
      <c r="B516" s="38"/>
      <c r="C516" s="2"/>
      <c r="D516" s="41"/>
      <c r="E516" s="38"/>
      <c r="F516" s="2"/>
      <c r="G516" s="41"/>
      <c r="H516" s="38"/>
      <c r="I516" s="39"/>
      <c r="J516" s="39"/>
      <c r="K516" s="41"/>
      <c r="L516" s="41"/>
      <c r="M516" s="42"/>
      <c r="U516" s="3" t="str">
        <f t="shared" ref="U516:U567" si="44">IF(COUNTIF(Q:Q,O516)*COUNTIF(S:S,O516),O516,"")</f>
        <v/>
      </c>
      <c r="V516" s="3" t="str">
        <f t="shared" ref="V516:V567" si="45">IF(U516&gt;$A$14,U516,"")</f>
        <v/>
      </c>
    </row>
    <row r="517" spans="1:22" x14ac:dyDescent="0.25">
      <c r="A517" s="37"/>
      <c r="B517" s="38"/>
      <c r="C517" s="2"/>
      <c r="D517" s="41"/>
      <c r="E517" s="38"/>
      <c r="F517" s="2"/>
      <c r="G517" s="41"/>
      <c r="H517" s="38"/>
      <c r="I517" s="39"/>
      <c r="J517" s="39"/>
      <c r="K517" s="41"/>
      <c r="L517" s="41"/>
      <c r="M517" s="42"/>
      <c r="U517" s="3" t="str">
        <f t="shared" si="44"/>
        <v/>
      </c>
      <c r="V517" s="3" t="str">
        <f t="shared" si="45"/>
        <v/>
      </c>
    </row>
    <row r="518" spans="1:22" x14ac:dyDescent="0.25">
      <c r="A518" s="37"/>
      <c r="B518" s="38"/>
      <c r="C518" s="2"/>
      <c r="D518" s="41"/>
      <c r="E518" s="38"/>
      <c r="F518" s="2"/>
      <c r="G518" s="41"/>
      <c r="H518" s="38"/>
      <c r="I518" s="39"/>
      <c r="J518" s="39"/>
      <c r="K518" s="41"/>
      <c r="L518" s="41"/>
      <c r="M518" s="42"/>
      <c r="U518" s="3" t="str">
        <f t="shared" si="44"/>
        <v/>
      </c>
      <c r="V518" s="3" t="str">
        <f t="shared" si="45"/>
        <v/>
      </c>
    </row>
    <row r="519" spans="1:22" x14ac:dyDescent="0.25">
      <c r="A519" s="37"/>
      <c r="B519" s="38"/>
      <c r="C519" s="2"/>
      <c r="D519" s="41"/>
      <c r="E519" s="38"/>
      <c r="F519" s="2"/>
      <c r="G519" s="41"/>
      <c r="H519" s="38"/>
      <c r="I519" s="39"/>
      <c r="J519" s="39"/>
      <c r="K519" s="41"/>
      <c r="L519" s="41"/>
      <c r="M519" s="42"/>
      <c r="U519" s="3" t="str">
        <f t="shared" si="44"/>
        <v/>
      </c>
      <c r="V519" s="3" t="str">
        <f t="shared" si="45"/>
        <v/>
      </c>
    </row>
    <row r="520" spans="1:22" x14ac:dyDescent="0.25">
      <c r="A520" s="37"/>
      <c r="B520" s="38"/>
      <c r="C520" s="2"/>
      <c r="D520" s="41"/>
      <c r="E520" s="38"/>
      <c r="F520" s="2"/>
      <c r="G520" s="41"/>
      <c r="H520" s="38"/>
      <c r="I520" s="39"/>
      <c r="J520" s="39"/>
      <c r="K520" s="41"/>
      <c r="L520" s="41"/>
      <c r="M520" s="42"/>
      <c r="U520" s="3" t="str">
        <f t="shared" si="44"/>
        <v/>
      </c>
      <c r="V520" s="3" t="str">
        <f t="shared" si="45"/>
        <v/>
      </c>
    </row>
    <row r="521" spans="1:22" x14ac:dyDescent="0.25">
      <c r="A521" s="37"/>
      <c r="B521" s="38"/>
      <c r="C521" s="2"/>
      <c r="D521" s="41"/>
      <c r="E521" s="38"/>
      <c r="F521" s="2"/>
      <c r="G521" s="41"/>
      <c r="H521" s="38"/>
      <c r="I521" s="39"/>
      <c r="J521" s="39"/>
      <c r="K521" s="41"/>
      <c r="L521" s="41"/>
      <c r="M521" s="42"/>
      <c r="U521" s="3" t="str">
        <f t="shared" si="44"/>
        <v/>
      </c>
      <c r="V521" s="3" t="str">
        <f t="shared" si="45"/>
        <v/>
      </c>
    </row>
    <row r="522" spans="1:22" x14ac:dyDescent="0.25">
      <c r="A522" s="37"/>
      <c r="B522" s="38"/>
      <c r="C522" s="2"/>
      <c r="D522" s="41"/>
      <c r="E522" s="38"/>
      <c r="F522" s="2"/>
      <c r="G522" s="41"/>
      <c r="H522" s="38"/>
      <c r="I522" s="39"/>
      <c r="J522" s="39"/>
      <c r="K522" s="41"/>
      <c r="L522" s="41"/>
      <c r="M522" s="42"/>
      <c r="U522" s="3" t="str">
        <f t="shared" si="44"/>
        <v/>
      </c>
      <c r="V522" s="3" t="str">
        <f t="shared" si="45"/>
        <v/>
      </c>
    </row>
    <row r="523" spans="1:22" x14ac:dyDescent="0.25">
      <c r="A523" s="37"/>
      <c r="B523" s="38"/>
      <c r="C523" s="2"/>
      <c r="D523" s="41"/>
      <c r="E523" s="38"/>
      <c r="F523" s="2"/>
      <c r="G523" s="41"/>
      <c r="H523" s="38"/>
      <c r="I523" s="39"/>
      <c r="J523" s="39"/>
      <c r="K523" s="41"/>
      <c r="L523" s="41"/>
      <c r="M523" s="42"/>
      <c r="U523" s="3" t="str">
        <f t="shared" si="44"/>
        <v/>
      </c>
      <c r="V523" s="3" t="str">
        <f t="shared" si="45"/>
        <v/>
      </c>
    </row>
    <row r="524" spans="1:22" x14ac:dyDescent="0.25">
      <c r="A524" s="37"/>
      <c r="B524" s="38"/>
      <c r="C524" s="2"/>
      <c r="D524" s="41"/>
      <c r="E524" s="38"/>
      <c r="F524" s="2"/>
      <c r="G524" s="41"/>
      <c r="H524" s="38"/>
      <c r="I524" s="39"/>
      <c r="J524" s="39"/>
      <c r="K524" s="41"/>
      <c r="L524" s="41"/>
      <c r="M524" s="42"/>
      <c r="U524" s="3" t="str">
        <f t="shared" si="44"/>
        <v/>
      </c>
      <c r="V524" s="3" t="str">
        <f t="shared" si="45"/>
        <v/>
      </c>
    </row>
    <row r="525" spans="1:22" x14ac:dyDescent="0.25">
      <c r="A525" s="37"/>
      <c r="B525" s="38"/>
      <c r="C525" s="2"/>
      <c r="D525" s="41"/>
      <c r="E525" s="38"/>
      <c r="F525" s="2"/>
      <c r="G525" s="41"/>
      <c r="H525" s="38"/>
      <c r="I525" s="39"/>
      <c r="J525" s="39"/>
      <c r="K525" s="41"/>
      <c r="L525" s="41"/>
      <c r="M525" s="42"/>
      <c r="U525" s="3" t="str">
        <f t="shared" si="44"/>
        <v/>
      </c>
      <c r="V525" s="3" t="str">
        <f t="shared" si="45"/>
        <v/>
      </c>
    </row>
    <row r="526" spans="1:22" x14ac:dyDescent="0.25">
      <c r="A526" s="37"/>
      <c r="B526" s="38"/>
      <c r="C526" s="2"/>
      <c r="D526" s="41"/>
      <c r="E526" s="38"/>
      <c r="F526" s="2"/>
      <c r="G526" s="41"/>
      <c r="H526" s="38"/>
      <c r="I526" s="39"/>
      <c r="J526" s="39"/>
      <c r="K526" s="41"/>
      <c r="L526" s="41"/>
      <c r="M526" s="42"/>
      <c r="U526" s="3" t="str">
        <f t="shared" si="44"/>
        <v/>
      </c>
      <c r="V526" s="3" t="str">
        <f t="shared" si="45"/>
        <v/>
      </c>
    </row>
    <row r="527" spans="1:22" x14ac:dyDescent="0.25">
      <c r="A527" s="37"/>
      <c r="B527" s="38"/>
      <c r="C527" s="2"/>
      <c r="D527" s="41"/>
      <c r="E527" s="38"/>
      <c r="F527" s="2"/>
      <c r="G527" s="41"/>
      <c r="H527" s="38"/>
      <c r="I527" s="39"/>
      <c r="J527" s="39"/>
      <c r="K527" s="41"/>
      <c r="L527" s="41"/>
      <c r="M527" s="42"/>
      <c r="U527" s="3" t="str">
        <f t="shared" si="44"/>
        <v/>
      </c>
      <c r="V527" s="3" t="str">
        <f t="shared" si="45"/>
        <v/>
      </c>
    </row>
    <row r="528" spans="1:22" x14ac:dyDescent="0.25">
      <c r="A528" s="37"/>
      <c r="B528" s="38"/>
      <c r="C528" s="2"/>
      <c r="D528" s="41"/>
      <c r="E528" s="38"/>
      <c r="F528" s="2"/>
      <c r="G528" s="41"/>
      <c r="H528" s="38"/>
      <c r="I528" s="39"/>
      <c r="J528" s="39"/>
      <c r="K528" s="41"/>
      <c r="L528" s="41"/>
      <c r="M528" s="42"/>
      <c r="U528" s="3" t="str">
        <f t="shared" si="44"/>
        <v/>
      </c>
      <c r="V528" s="3" t="str">
        <f t="shared" si="45"/>
        <v/>
      </c>
    </row>
    <row r="529" spans="1:22" x14ac:dyDescent="0.25">
      <c r="A529" s="37"/>
      <c r="B529" s="38"/>
      <c r="C529" s="2"/>
      <c r="D529" s="41"/>
      <c r="E529" s="38"/>
      <c r="F529" s="2"/>
      <c r="G529" s="41"/>
      <c r="H529" s="38"/>
      <c r="I529" s="39"/>
      <c r="J529" s="39"/>
      <c r="K529" s="41"/>
      <c r="L529" s="41"/>
      <c r="M529" s="42"/>
      <c r="U529" s="3" t="str">
        <f t="shared" si="44"/>
        <v/>
      </c>
      <c r="V529" s="3" t="str">
        <f t="shared" si="45"/>
        <v/>
      </c>
    </row>
    <row r="530" spans="1:22" x14ac:dyDescent="0.25">
      <c r="A530" s="37"/>
      <c r="B530" s="38"/>
      <c r="C530" s="2"/>
      <c r="D530" s="41"/>
      <c r="E530" s="38"/>
      <c r="F530" s="2"/>
      <c r="G530" s="41"/>
      <c r="H530" s="38"/>
      <c r="I530" s="39"/>
      <c r="J530" s="39"/>
      <c r="K530" s="41"/>
      <c r="L530" s="41"/>
      <c r="M530" s="42"/>
      <c r="U530" s="3" t="str">
        <f t="shared" si="44"/>
        <v/>
      </c>
      <c r="V530" s="3" t="str">
        <f t="shared" si="45"/>
        <v/>
      </c>
    </row>
    <row r="531" spans="1:22" x14ac:dyDescent="0.25">
      <c r="A531" s="37"/>
      <c r="B531" s="38"/>
      <c r="C531" s="2"/>
      <c r="D531" s="41"/>
      <c r="E531" s="38"/>
      <c r="F531" s="2"/>
      <c r="G531" s="41"/>
      <c r="H531" s="38"/>
      <c r="I531" s="39"/>
      <c r="J531" s="39"/>
      <c r="K531" s="41"/>
      <c r="L531" s="41"/>
      <c r="M531" s="42"/>
      <c r="U531" s="3" t="str">
        <f t="shared" si="44"/>
        <v/>
      </c>
      <c r="V531" s="3" t="str">
        <f t="shared" si="45"/>
        <v/>
      </c>
    </row>
    <row r="532" spans="1:22" x14ac:dyDescent="0.25">
      <c r="A532" s="37"/>
      <c r="B532" s="38"/>
      <c r="C532" s="2"/>
      <c r="D532" s="41"/>
      <c r="E532" s="38"/>
      <c r="F532" s="2"/>
      <c r="G532" s="41"/>
      <c r="H532" s="38"/>
      <c r="I532" s="39"/>
      <c r="J532" s="39"/>
      <c r="K532" s="41"/>
      <c r="L532" s="41"/>
      <c r="M532" s="42"/>
      <c r="U532" s="3" t="str">
        <f t="shared" si="44"/>
        <v/>
      </c>
      <c r="V532" s="3" t="str">
        <f t="shared" si="45"/>
        <v/>
      </c>
    </row>
    <row r="533" spans="1:22" x14ac:dyDescent="0.25">
      <c r="A533" s="37"/>
      <c r="B533" s="38"/>
      <c r="C533" s="2"/>
      <c r="D533" s="41"/>
      <c r="E533" s="38"/>
      <c r="F533" s="2"/>
      <c r="G533" s="41"/>
      <c r="H533" s="38"/>
      <c r="I533" s="39"/>
      <c r="J533" s="39"/>
      <c r="K533" s="41"/>
      <c r="L533" s="41"/>
      <c r="M533" s="42"/>
      <c r="U533" s="3" t="str">
        <f t="shared" si="44"/>
        <v/>
      </c>
      <c r="V533" s="3" t="str">
        <f t="shared" si="45"/>
        <v/>
      </c>
    </row>
    <row r="534" spans="1:22" x14ac:dyDescent="0.25">
      <c r="A534" s="37"/>
      <c r="B534" s="38"/>
      <c r="C534" s="2"/>
      <c r="D534" s="41"/>
      <c r="E534" s="38"/>
      <c r="F534" s="2"/>
      <c r="G534" s="41"/>
      <c r="H534" s="38"/>
      <c r="I534" s="39"/>
      <c r="J534" s="39"/>
      <c r="K534" s="41"/>
      <c r="L534" s="41"/>
      <c r="M534" s="42"/>
      <c r="U534" s="3" t="str">
        <f t="shared" si="44"/>
        <v/>
      </c>
      <c r="V534" s="3" t="str">
        <f t="shared" si="45"/>
        <v/>
      </c>
    </row>
    <row r="535" spans="1:22" x14ac:dyDescent="0.25">
      <c r="A535" s="37"/>
      <c r="B535" s="38"/>
      <c r="C535" s="2"/>
      <c r="D535" s="41"/>
      <c r="E535" s="38"/>
      <c r="F535" s="2"/>
      <c r="G535" s="41"/>
      <c r="H535" s="38"/>
      <c r="I535" s="39"/>
      <c r="J535" s="39"/>
      <c r="K535" s="41"/>
      <c r="L535" s="41"/>
      <c r="M535" s="42"/>
      <c r="U535" s="3" t="str">
        <f t="shared" si="44"/>
        <v/>
      </c>
      <c r="V535" s="3" t="str">
        <f t="shared" si="45"/>
        <v/>
      </c>
    </row>
    <row r="536" spans="1:22" x14ac:dyDescent="0.25">
      <c r="A536" s="37"/>
      <c r="B536" s="38"/>
      <c r="C536" s="2"/>
      <c r="D536" s="41"/>
      <c r="E536" s="38"/>
      <c r="F536" s="2"/>
      <c r="G536" s="41"/>
      <c r="H536" s="38"/>
      <c r="I536" s="39"/>
      <c r="J536" s="39"/>
      <c r="K536" s="41"/>
      <c r="L536" s="41"/>
      <c r="M536" s="42"/>
      <c r="U536" s="3" t="str">
        <f t="shared" si="44"/>
        <v/>
      </c>
      <c r="V536" s="3" t="str">
        <f t="shared" si="45"/>
        <v/>
      </c>
    </row>
    <row r="537" spans="1:22" x14ac:dyDescent="0.25">
      <c r="A537" s="37"/>
      <c r="B537" s="38"/>
      <c r="C537" s="2"/>
      <c r="D537" s="41"/>
      <c r="E537" s="38"/>
      <c r="F537" s="2"/>
      <c r="G537" s="41"/>
      <c r="H537" s="38"/>
      <c r="I537" s="39"/>
      <c r="J537" s="39"/>
      <c r="K537" s="41"/>
      <c r="L537" s="41"/>
      <c r="M537" s="42"/>
      <c r="U537" s="3" t="str">
        <f t="shared" si="44"/>
        <v/>
      </c>
      <c r="V537" s="3" t="str">
        <f t="shared" si="45"/>
        <v/>
      </c>
    </row>
    <row r="538" spans="1:22" x14ac:dyDescent="0.25">
      <c r="A538" s="37"/>
      <c r="B538" s="38"/>
      <c r="C538" s="2"/>
      <c r="D538" s="41"/>
      <c r="E538" s="38"/>
      <c r="F538" s="2"/>
      <c r="G538" s="41"/>
      <c r="H538" s="38"/>
      <c r="I538" s="39"/>
      <c r="J538" s="39"/>
      <c r="K538" s="41"/>
      <c r="L538" s="41"/>
      <c r="M538" s="42"/>
      <c r="U538" s="3" t="str">
        <f t="shared" si="44"/>
        <v/>
      </c>
      <c r="V538" s="3" t="str">
        <f t="shared" si="45"/>
        <v/>
      </c>
    </row>
    <row r="539" spans="1:22" x14ac:dyDescent="0.25">
      <c r="A539" s="37"/>
      <c r="B539" s="38"/>
      <c r="C539" s="2"/>
      <c r="D539" s="41"/>
      <c r="E539" s="38"/>
      <c r="F539" s="2"/>
      <c r="G539" s="41"/>
      <c r="H539" s="38"/>
      <c r="I539" s="39"/>
      <c r="J539" s="39"/>
      <c r="K539" s="41"/>
      <c r="L539" s="41"/>
      <c r="M539" s="42"/>
      <c r="U539" s="3" t="str">
        <f t="shared" si="44"/>
        <v/>
      </c>
      <c r="V539" s="3" t="str">
        <f t="shared" si="45"/>
        <v/>
      </c>
    </row>
    <row r="540" spans="1:22" x14ac:dyDescent="0.25">
      <c r="A540" s="37"/>
      <c r="B540" s="38"/>
      <c r="C540" s="2"/>
      <c r="D540" s="41"/>
      <c r="E540" s="38"/>
      <c r="F540" s="2"/>
      <c r="G540" s="41"/>
      <c r="H540" s="38"/>
      <c r="I540" s="39"/>
      <c r="J540" s="39"/>
      <c r="K540" s="41"/>
      <c r="L540" s="41"/>
      <c r="M540" s="42"/>
      <c r="U540" s="3" t="str">
        <f t="shared" si="44"/>
        <v/>
      </c>
      <c r="V540" s="3" t="str">
        <f t="shared" si="45"/>
        <v/>
      </c>
    </row>
    <row r="541" spans="1:22" x14ac:dyDescent="0.25">
      <c r="A541" s="37"/>
      <c r="B541" s="38"/>
      <c r="C541" s="2"/>
      <c r="D541" s="41"/>
      <c r="E541" s="38"/>
      <c r="F541" s="2"/>
      <c r="G541" s="41"/>
      <c r="H541" s="38"/>
      <c r="I541" s="39"/>
      <c r="J541" s="39"/>
      <c r="K541" s="41"/>
      <c r="L541" s="41"/>
      <c r="M541" s="42"/>
      <c r="U541" s="3" t="str">
        <f t="shared" si="44"/>
        <v/>
      </c>
      <c r="V541" s="3" t="str">
        <f t="shared" si="45"/>
        <v/>
      </c>
    </row>
    <row r="542" spans="1:22" x14ac:dyDescent="0.25">
      <c r="A542" s="37"/>
      <c r="B542" s="38"/>
      <c r="C542" s="2"/>
      <c r="D542" s="41"/>
      <c r="E542" s="38"/>
      <c r="F542" s="2"/>
      <c r="G542" s="41"/>
      <c r="H542" s="38"/>
      <c r="I542" s="39"/>
      <c r="J542" s="39"/>
      <c r="K542" s="41"/>
      <c r="L542" s="41"/>
      <c r="M542" s="42"/>
      <c r="U542" s="3" t="str">
        <f t="shared" si="44"/>
        <v/>
      </c>
      <c r="V542" s="3" t="str">
        <f t="shared" si="45"/>
        <v/>
      </c>
    </row>
    <row r="543" spans="1:22" x14ac:dyDescent="0.25">
      <c r="A543" s="37"/>
      <c r="B543" s="38"/>
      <c r="C543" s="2"/>
      <c r="D543" s="41"/>
      <c r="E543" s="38"/>
      <c r="F543" s="2"/>
      <c r="G543" s="41"/>
      <c r="H543" s="38"/>
      <c r="I543" s="39"/>
      <c r="J543" s="39"/>
      <c r="K543" s="41"/>
      <c r="L543" s="41"/>
      <c r="M543" s="42"/>
      <c r="U543" s="3" t="str">
        <f t="shared" si="44"/>
        <v/>
      </c>
      <c r="V543" s="3" t="str">
        <f t="shared" si="45"/>
        <v/>
      </c>
    </row>
    <row r="544" spans="1:22" x14ac:dyDescent="0.25">
      <c r="A544" s="37"/>
      <c r="B544" s="38"/>
      <c r="C544" s="2"/>
      <c r="D544" s="41"/>
      <c r="E544" s="38"/>
      <c r="F544" s="2"/>
      <c r="G544" s="41"/>
      <c r="H544" s="38"/>
      <c r="I544" s="39"/>
      <c r="J544" s="39"/>
      <c r="K544" s="41"/>
      <c r="L544" s="41"/>
      <c r="M544" s="42"/>
      <c r="U544" s="3" t="str">
        <f t="shared" si="44"/>
        <v/>
      </c>
      <c r="V544" s="3" t="str">
        <f t="shared" si="45"/>
        <v/>
      </c>
    </row>
    <row r="545" spans="1:22" x14ac:dyDescent="0.25">
      <c r="A545" s="37"/>
      <c r="B545" s="38"/>
      <c r="C545" s="2"/>
      <c r="D545" s="41"/>
      <c r="E545" s="38"/>
      <c r="F545" s="2"/>
      <c r="G545" s="41"/>
      <c r="H545" s="38"/>
      <c r="I545" s="39"/>
      <c r="J545" s="39"/>
      <c r="K545" s="41"/>
      <c r="L545" s="41"/>
      <c r="M545" s="42"/>
      <c r="U545" s="3" t="str">
        <f t="shared" si="44"/>
        <v/>
      </c>
      <c r="V545" s="3" t="str">
        <f t="shared" si="45"/>
        <v/>
      </c>
    </row>
    <row r="546" spans="1:22" x14ac:dyDescent="0.25">
      <c r="A546" s="37"/>
      <c r="B546" s="38"/>
      <c r="C546" s="2"/>
      <c r="D546" s="41"/>
      <c r="E546" s="38"/>
      <c r="F546" s="2"/>
      <c r="G546" s="41"/>
      <c r="H546" s="38"/>
      <c r="I546" s="39"/>
      <c r="J546" s="39"/>
      <c r="K546" s="41"/>
      <c r="L546" s="41"/>
      <c r="M546" s="42"/>
      <c r="U546" s="3" t="str">
        <f t="shared" si="44"/>
        <v/>
      </c>
      <c r="V546" s="3" t="str">
        <f t="shared" si="45"/>
        <v/>
      </c>
    </row>
    <row r="547" spans="1:22" x14ac:dyDescent="0.25">
      <c r="A547" s="37"/>
      <c r="B547" s="38"/>
      <c r="C547" s="2"/>
      <c r="D547" s="41"/>
      <c r="E547" s="38"/>
      <c r="F547" s="2"/>
      <c r="G547" s="41"/>
      <c r="H547" s="38"/>
      <c r="I547" s="39"/>
      <c r="J547" s="39"/>
      <c r="K547" s="41"/>
      <c r="L547" s="41"/>
      <c r="M547" s="42"/>
      <c r="U547" s="3" t="str">
        <f t="shared" si="44"/>
        <v/>
      </c>
      <c r="V547" s="3" t="str">
        <f t="shared" si="45"/>
        <v/>
      </c>
    </row>
    <row r="548" spans="1:22" x14ac:dyDescent="0.25">
      <c r="A548" s="37"/>
      <c r="B548" s="38"/>
      <c r="C548" s="2"/>
      <c r="D548" s="41"/>
      <c r="E548" s="38"/>
      <c r="F548" s="2"/>
      <c r="G548" s="41"/>
      <c r="H548" s="38"/>
      <c r="I548" s="39"/>
      <c r="J548" s="39"/>
      <c r="K548" s="41"/>
      <c r="L548" s="41"/>
      <c r="M548" s="42"/>
      <c r="U548" s="3" t="str">
        <f t="shared" si="44"/>
        <v/>
      </c>
      <c r="V548" s="3" t="str">
        <f t="shared" si="45"/>
        <v/>
      </c>
    </row>
    <row r="549" spans="1:22" x14ac:dyDescent="0.25">
      <c r="A549" s="37"/>
      <c r="B549" s="38"/>
      <c r="C549" s="2"/>
      <c r="D549" s="41"/>
      <c r="E549" s="38"/>
      <c r="F549" s="2"/>
      <c r="G549" s="41"/>
      <c r="H549" s="38"/>
      <c r="I549" s="39"/>
      <c r="J549" s="39"/>
      <c r="K549" s="41"/>
      <c r="L549" s="41"/>
      <c r="M549" s="42"/>
      <c r="U549" s="3" t="str">
        <f t="shared" si="44"/>
        <v/>
      </c>
      <c r="V549" s="3" t="str">
        <f t="shared" si="45"/>
        <v/>
      </c>
    </row>
    <row r="550" spans="1:22" x14ac:dyDescent="0.25">
      <c r="A550" s="37"/>
      <c r="B550" s="38"/>
      <c r="C550" s="2"/>
      <c r="D550" s="41"/>
      <c r="E550" s="38"/>
      <c r="F550" s="2"/>
      <c r="G550" s="41"/>
      <c r="H550" s="38"/>
      <c r="I550" s="39"/>
      <c r="J550" s="39"/>
      <c r="K550" s="41"/>
      <c r="L550" s="41"/>
      <c r="M550" s="42"/>
      <c r="U550" s="3" t="str">
        <f t="shared" si="44"/>
        <v/>
      </c>
      <c r="V550" s="3" t="str">
        <f t="shared" si="45"/>
        <v/>
      </c>
    </row>
    <row r="551" spans="1:22" x14ac:dyDescent="0.25">
      <c r="A551" s="37"/>
      <c r="B551" s="38"/>
      <c r="C551" s="2"/>
      <c r="D551" s="41"/>
      <c r="E551" s="38"/>
      <c r="F551" s="2"/>
      <c r="G551" s="41"/>
      <c r="H551" s="38"/>
      <c r="I551" s="39"/>
      <c r="J551" s="39"/>
      <c r="K551" s="41"/>
      <c r="L551" s="41"/>
      <c r="M551" s="42"/>
      <c r="U551" s="3" t="str">
        <f t="shared" si="44"/>
        <v/>
      </c>
      <c r="V551" s="3" t="str">
        <f t="shared" si="45"/>
        <v/>
      </c>
    </row>
    <row r="552" spans="1:22" x14ac:dyDescent="0.25">
      <c r="A552" s="37"/>
      <c r="B552" s="38"/>
      <c r="C552" s="2"/>
      <c r="D552" s="41"/>
      <c r="E552" s="38"/>
      <c r="F552" s="2"/>
      <c r="G552" s="41"/>
      <c r="H552" s="38"/>
      <c r="I552" s="39"/>
      <c r="J552" s="39"/>
      <c r="K552" s="41"/>
      <c r="L552" s="41"/>
      <c r="M552" s="42"/>
      <c r="U552" s="3" t="str">
        <f t="shared" si="44"/>
        <v/>
      </c>
      <c r="V552" s="3" t="str">
        <f t="shared" si="45"/>
        <v/>
      </c>
    </row>
    <row r="553" spans="1:22" x14ac:dyDescent="0.25">
      <c r="A553" s="37"/>
      <c r="B553" s="38"/>
      <c r="C553" s="2"/>
      <c r="D553" s="41"/>
      <c r="E553" s="38"/>
      <c r="F553" s="2"/>
      <c r="G553" s="41"/>
      <c r="H553" s="38"/>
      <c r="I553" s="39"/>
      <c r="J553" s="39"/>
      <c r="K553" s="41"/>
      <c r="L553" s="41"/>
      <c r="M553" s="42"/>
      <c r="U553" s="3" t="str">
        <f t="shared" si="44"/>
        <v/>
      </c>
      <c r="V553" s="3" t="str">
        <f t="shared" si="45"/>
        <v/>
      </c>
    </row>
    <row r="554" spans="1:22" x14ac:dyDescent="0.25">
      <c r="A554" s="37"/>
      <c r="B554" s="38"/>
      <c r="C554" s="2"/>
      <c r="D554" s="41"/>
      <c r="E554" s="38"/>
      <c r="F554" s="2"/>
      <c r="G554" s="41"/>
      <c r="H554" s="38"/>
      <c r="I554" s="39"/>
      <c r="J554" s="39"/>
      <c r="K554" s="41"/>
      <c r="L554" s="41"/>
      <c r="M554" s="42"/>
      <c r="U554" s="3" t="str">
        <f t="shared" si="44"/>
        <v/>
      </c>
      <c r="V554" s="3" t="str">
        <f t="shared" si="45"/>
        <v/>
      </c>
    </row>
    <row r="555" spans="1:22" x14ac:dyDescent="0.25">
      <c r="A555" s="37"/>
      <c r="B555" s="38"/>
      <c r="C555" s="2"/>
      <c r="D555" s="41"/>
      <c r="E555" s="38"/>
      <c r="F555" s="2"/>
      <c r="G555" s="41"/>
      <c r="H555" s="38"/>
      <c r="I555" s="39"/>
      <c r="J555" s="39"/>
      <c r="K555" s="41"/>
      <c r="L555" s="41"/>
      <c r="M555" s="42"/>
      <c r="U555" s="3" t="str">
        <f t="shared" si="44"/>
        <v/>
      </c>
      <c r="V555" s="3" t="str">
        <f t="shared" si="45"/>
        <v/>
      </c>
    </row>
    <row r="556" spans="1:22" x14ac:dyDescent="0.25">
      <c r="U556" s="3" t="str">
        <f t="shared" si="44"/>
        <v/>
      </c>
      <c r="V556" s="3" t="str">
        <f t="shared" si="45"/>
        <v/>
      </c>
    </row>
    <row r="557" spans="1:22" x14ac:dyDescent="0.25">
      <c r="U557" s="3" t="str">
        <f t="shared" si="44"/>
        <v/>
      </c>
      <c r="V557" s="3" t="str">
        <f t="shared" si="45"/>
        <v/>
      </c>
    </row>
    <row r="558" spans="1:22" x14ac:dyDescent="0.25">
      <c r="U558" s="3" t="str">
        <f t="shared" si="44"/>
        <v/>
      </c>
      <c r="V558" s="3" t="str">
        <f t="shared" si="45"/>
        <v/>
      </c>
    </row>
    <row r="559" spans="1:22" x14ac:dyDescent="0.25">
      <c r="U559" s="3" t="str">
        <f t="shared" si="44"/>
        <v/>
      </c>
      <c r="V559" s="3" t="str">
        <f t="shared" si="45"/>
        <v/>
      </c>
    </row>
    <row r="560" spans="1:22" x14ac:dyDescent="0.25">
      <c r="U560" s="3" t="str">
        <f t="shared" si="44"/>
        <v/>
      </c>
      <c r="V560" s="3" t="str">
        <f t="shared" si="45"/>
        <v/>
      </c>
    </row>
    <row r="561" spans="21:22" x14ac:dyDescent="0.25">
      <c r="U561" s="3" t="str">
        <f t="shared" si="44"/>
        <v/>
      </c>
      <c r="V561" s="3" t="str">
        <f t="shared" si="45"/>
        <v/>
      </c>
    </row>
    <row r="562" spans="21:22" x14ac:dyDescent="0.25">
      <c r="U562" s="3" t="str">
        <f t="shared" si="44"/>
        <v/>
      </c>
      <c r="V562" s="3" t="str">
        <f t="shared" si="45"/>
        <v/>
      </c>
    </row>
    <row r="563" spans="21:22" x14ac:dyDescent="0.25">
      <c r="U563" s="3" t="str">
        <f t="shared" si="44"/>
        <v/>
      </c>
      <c r="V563" s="3" t="str">
        <f t="shared" si="45"/>
        <v/>
      </c>
    </row>
    <row r="564" spans="21:22" x14ac:dyDescent="0.25">
      <c r="U564" s="3" t="str">
        <f t="shared" si="44"/>
        <v/>
      </c>
      <c r="V564" s="3" t="str">
        <f t="shared" si="45"/>
        <v/>
      </c>
    </row>
    <row r="565" spans="21:22" x14ac:dyDescent="0.25">
      <c r="U565" s="3" t="str">
        <f t="shared" si="44"/>
        <v/>
      </c>
      <c r="V565" s="3" t="str">
        <f t="shared" si="45"/>
        <v/>
      </c>
    </row>
    <row r="566" spans="21:22" x14ac:dyDescent="0.25">
      <c r="U566" s="3" t="str">
        <f t="shared" si="44"/>
        <v/>
      </c>
      <c r="V566" s="3" t="str">
        <f t="shared" si="45"/>
        <v/>
      </c>
    </row>
    <row r="567" spans="21:22" x14ac:dyDescent="0.25">
      <c r="U567" s="3" t="str">
        <f t="shared" si="44"/>
        <v/>
      </c>
      <c r="V567" s="3" t="str">
        <f t="shared" si="45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5 N50:N100 AI63:AI77 N116:N1048576">
    <cfRule type="cellIs" dxfId="4" priority="1" operator="lessThan">
      <formula>0</formula>
    </cfRule>
  </conditionalFormatting>
  <hyperlinks>
    <hyperlink ref="C4" r:id="rId1" xr:uid="{EB115D47-C756-4AFD-BBC9-C5D02D868BE3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A8E6-B6E4-4C98-AD32-C84709D2A7BF}">
  <dimension ref="A1:AJ569"/>
  <sheetViews>
    <sheetView zoomScale="90" zoomScaleNormal="90" workbookViewId="0">
      <selection activeCell="C16" sqref="C16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4" bestFit="1" customWidth="1"/>
    <col min="5" max="5" width="7.140625" style="4" bestFit="1" customWidth="1"/>
    <col min="6" max="6" width="14.28515625" style="4" bestFit="1" customWidth="1"/>
    <col min="7" max="7" width="10.5703125" style="4" bestFit="1" customWidth="1"/>
    <col min="8" max="8" width="18" style="4" bestFit="1" customWidth="1"/>
    <col min="9" max="9" width="12.8554687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3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34" width="9.140625" style="4"/>
    <col min="35" max="35" width="17.140625" style="3" bestFit="1" customWidth="1"/>
    <col min="36" max="36" width="6.5703125" style="4" bestFit="1" customWidth="1"/>
    <col min="37" max="16384" width="9.140625" style="4"/>
  </cols>
  <sheetData>
    <row r="1" spans="1:36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46190.625</v>
      </c>
      <c r="AE1" s="7" t="s">
        <v>1</v>
      </c>
      <c r="AF1" s="6" cm="1">
        <f t="array" ref="AF1">LOOKUP(2,1/(AD:AD&lt;&gt;""),AD:AD)</f>
        <v>46198</v>
      </c>
    </row>
    <row r="2" spans="1:36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G2" s="1" t="s">
        <v>34</v>
      </c>
      <c r="H2" s="4" t="s">
        <v>35</v>
      </c>
      <c r="I2" s="1" t="s">
        <v>36</v>
      </c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38">_xlfn._xlws.SORT(_xlfn.UNIQUE(_xlfn._xlws.FILTER(V:V, ISNUMBER(V:V))))</f>
        <v>46114.625</v>
      </c>
      <c r="AE2" s="4" t="s">
        <v>5</v>
      </c>
      <c r="AF2" s="4">
        <f>VLOOKUP(AF1,AB:AC,2)</f>
        <v>247.30699999999999</v>
      </c>
      <c r="AI2" s="14" t="s">
        <v>2</v>
      </c>
    </row>
    <row r="3" spans="1:36" x14ac:dyDescent="0.25">
      <c r="A3" s="8" t="s">
        <v>6</v>
      </c>
      <c r="B3" s="17" t="s">
        <v>37</v>
      </c>
      <c r="C3" s="18" t="s">
        <v>8</v>
      </c>
      <c r="D3" s="8" t="s">
        <v>9</v>
      </c>
      <c r="F3" s="4" t="s">
        <v>38</v>
      </c>
      <c r="G3" s="1">
        <v>200</v>
      </c>
      <c r="H3" s="4">
        <f>200*B14</f>
        <v>61240</v>
      </c>
      <c r="I3" s="2">
        <f>INT(B5/H3)</f>
        <v>489</v>
      </c>
      <c r="N3" s="4"/>
      <c r="O3" s="3" cm="1">
        <f t="array" ref="O3:P55">_xll.BDH(B4, "LAST_PRICE", "01/26/2026 15:00:00", "01/26/2035 16:00:00", "BarSize=60", "BarType=T", "RecurDaily=True", "TZ=London")</f>
        <v>46094.625</v>
      </c>
      <c r="P3" s="4">
        <v>306.42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46094.625</v>
      </c>
      <c r="V3" s="3" t="str">
        <f>IF(U3&gt;$A$14,U3,"")</f>
        <v/>
      </c>
      <c r="W3" s="3">
        <v>46119.625</v>
      </c>
      <c r="Z3" s="3" cm="1">
        <f t="array" ref="Z3:AA293">_xll.BDH(D1, "LAST_PRICE", "05/01/2025","")</f>
        <v>45778</v>
      </c>
      <c r="AA3" s="4">
        <v>231.3922</v>
      </c>
      <c r="AB3" s="74" cm="1">
        <f t="array" ref="AB3:AC294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  <c r="AI3" s="3" cm="1">
        <f t="array" ref="AI3:AJ9">_xll.BDH("AHWU6 Index", "LAST_PRICE", "01/26/2026 15:00:00", "01/26/2035 16:00:00", "BarSize=60", "BarType=T", "RecurDaily=True", "TZ=London")</f>
        <v>46185.625</v>
      </c>
      <c r="AJ3" s="4">
        <v>314.76</v>
      </c>
    </row>
    <row r="4" spans="1:36" ht="30" customHeight="1" x14ac:dyDescent="0.25">
      <c r="A4" s="17" t="s">
        <v>12</v>
      </c>
      <c r="B4" s="21" t="s">
        <v>39</v>
      </c>
      <c r="C4" s="22" t="s">
        <v>14</v>
      </c>
      <c r="D4" s="21" t="s">
        <v>15</v>
      </c>
      <c r="G4" s="1"/>
      <c r="I4" s="2"/>
      <c r="N4" s="4"/>
      <c r="O4" s="3">
        <v>46097.625</v>
      </c>
      <c r="P4" s="4">
        <v>306.38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46097.625</v>
      </c>
      <c r="V4" s="3" t="str">
        <f t="shared" ref="V4:V67" si="1">IF(U4&gt;$A$14,U4,"")</f>
        <v/>
      </c>
      <c r="W4" s="3">
        <v>46120.625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74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1</v>
      </c>
      <c r="AI4" s="3">
        <v>46189.625</v>
      </c>
      <c r="AJ4" s="4">
        <v>315.8</v>
      </c>
    </row>
    <row r="5" spans="1:36" x14ac:dyDescent="0.25">
      <c r="A5" s="17" t="s">
        <v>17</v>
      </c>
      <c r="B5" s="23">
        <f>30*10^6</f>
        <v>30000000</v>
      </c>
      <c r="C5" s="24">
        <f>26*10^6</f>
        <v>26000000</v>
      </c>
      <c r="D5" s="23">
        <f>18.7*10^6</f>
        <v>18700000</v>
      </c>
      <c r="F5"/>
      <c r="N5" s="4"/>
      <c r="O5" s="3">
        <v>46098.625</v>
      </c>
      <c r="P5" s="4">
        <v>307.76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46098.625</v>
      </c>
      <c r="V5" s="3" t="str">
        <f t="shared" si="1"/>
        <v/>
      </c>
      <c r="W5" s="3">
        <v>46122.625</v>
      </c>
      <c r="X5" s="3">
        <v>46045</v>
      </c>
      <c r="Y5" s="5">
        <v>263.94619999999998</v>
      </c>
      <c r="Z5" s="3">
        <v>45783</v>
      </c>
      <c r="AA5" s="4">
        <v>232.7954</v>
      </c>
      <c r="AB5" s="74">
        <v>45783</v>
      </c>
      <c r="AC5" s="4">
        <v>331.25700000000001</v>
      </c>
      <c r="AD5" s="6">
        <f t="shared" si="2"/>
        <v>45783</v>
      </c>
      <c r="AI5" s="3">
        <v>46190.625</v>
      </c>
      <c r="AJ5" s="4">
        <v>315.42</v>
      </c>
    </row>
    <row r="6" spans="1:36" x14ac:dyDescent="0.25">
      <c r="A6" s="17" t="s">
        <v>18</v>
      </c>
      <c r="B6" s="25">
        <v>0</v>
      </c>
      <c r="C6" s="26">
        <v>2.4E-2</v>
      </c>
      <c r="D6" s="27">
        <v>0.05</v>
      </c>
      <c r="N6" s="4"/>
      <c r="O6" s="3">
        <v>46099.625</v>
      </c>
      <c r="P6" s="4">
        <v>307.33999999999997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46099.625</v>
      </c>
      <c r="V6" s="3" t="str">
        <f t="shared" si="1"/>
        <v/>
      </c>
      <c r="W6" s="3">
        <v>46126.625</v>
      </c>
      <c r="X6" s="3">
        <v>46048</v>
      </c>
      <c r="Y6" s="5">
        <v>264.02949999999998</v>
      </c>
      <c r="Z6" s="3">
        <v>45784</v>
      </c>
      <c r="AA6" s="4">
        <v>232.8287</v>
      </c>
      <c r="AB6" s="74">
        <v>45784</v>
      </c>
      <c r="AC6" s="4">
        <v>330.31900000000002</v>
      </c>
      <c r="AD6" s="6">
        <f t="shared" si="2"/>
        <v>45784</v>
      </c>
      <c r="AI6" s="3">
        <v>46191.625</v>
      </c>
      <c r="AJ6" s="4">
        <v>315.68</v>
      </c>
    </row>
    <row r="7" spans="1:36" x14ac:dyDescent="0.25">
      <c r="A7" s="17" t="s">
        <v>19</v>
      </c>
      <c r="B7" s="26">
        <v>0</v>
      </c>
      <c r="C7" s="26" cm="1">
        <f t="array" ref="C7">_xll.BDP("EURR002W INDEX","PX_LAST")/100</f>
        <v>2.4E-2</v>
      </c>
      <c r="D7" s="27">
        <v>0</v>
      </c>
      <c r="E7" s="1"/>
      <c r="H7" s="1"/>
      <c r="J7" s="1"/>
      <c r="N7" s="4"/>
      <c r="O7" s="3">
        <v>46100.625</v>
      </c>
      <c r="P7" s="4">
        <v>306.06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46100.625</v>
      </c>
      <c r="V7" s="3" t="str">
        <f t="shared" si="1"/>
        <v/>
      </c>
      <c r="W7" s="3">
        <v>46127.625</v>
      </c>
      <c r="X7" s="3">
        <v>46049</v>
      </c>
      <c r="Y7" s="5">
        <v>264.17689999999999</v>
      </c>
      <c r="Z7" s="3">
        <v>45785</v>
      </c>
      <c r="AA7" s="4">
        <v>233.9237</v>
      </c>
      <c r="AB7" s="74">
        <v>45785</v>
      </c>
      <c r="AC7" s="4">
        <v>319.94200000000001</v>
      </c>
      <c r="AD7" s="6">
        <f t="shared" si="2"/>
        <v>45785</v>
      </c>
      <c r="AI7" s="3">
        <v>46192.625</v>
      </c>
      <c r="AJ7" s="4">
        <v>315.88</v>
      </c>
    </row>
    <row r="8" spans="1:36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46101.625</v>
      </c>
      <c r="P8" s="4">
        <v>304.02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46101.625</v>
      </c>
      <c r="V8" s="3" t="str">
        <f t="shared" si="1"/>
        <v/>
      </c>
      <c r="W8" s="3">
        <v>46128.625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74">
        <v>45786</v>
      </c>
      <c r="AC8" s="4">
        <v>320.065</v>
      </c>
      <c r="AD8" s="6">
        <f t="shared" si="2"/>
        <v>45786</v>
      </c>
      <c r="AI8" s="3">
        <v>46196.625</v>
      </c>
      <c r="AJ8" s="4">
        <v>315.56</v>
      </c>
    </row>
    <row r="9" spans="1:36" x14ac:dyDescent="0.25">
      <c r="A9" s="17" t="s">
        <v>22</v>
      </c>
      <c r="B9" s="28" cm="1">
        <f t="array" ref="B9">_xll.BDP(B4,"PX_LAST")</f>
        <v>313.66000000000003</v>
      </c>
      <c r="C9" s="28" cm="1">
        <f t="array" ref="C9">_xll.BDP(C4,"PX_LAST")</f>
        <v>99.774000000000001</v>
      </c>
      <c r="D9" s="28" cm="1">
        <f t="array" ref="D9">_xll.BDP(D4,"PX_LAST")</f>
        <v>249.3082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46104.625</v>
      </c>
      <c r="P9" s="4">
        <v>305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46104.625</v>
      </c>
      <c r="V9" s="3" t="str">
        <f t="shared" si="1"/>
        <v/>
      </c>
      <c r="W9" s="3">
        <v>46129.625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74">
        <v>45789</v>
      </c>
      <c r="AC9" s="4">
        <v>306.82</v>
      </c>
      <c r="AD9" s="6">
        <f t="shared" si="2"/>
        <v>45789</v>
      </c>
      <c r="AI9" s="3">
        <v>46197.625</v>
      </c>
      <c r="AJ9" s="4">
        <v>315.52</v>
      </c>
    </row>
    <row r="10" spans="1:36" ht="15.75" thickBot="1" x14ac:dyDescent="0.3">
      <c r="A10" s="29" t="s">
        <v>23</v>
      </c>
      <c r="B10" s="30"/>
      <c r="C10" s="31"/>
      <c r="D10" s="30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46105.625</v>
      </c>
      <c r="P10" s="4">
        <v>304.52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46105.625</v>
      </c>
      <c r="V10" s="3" t="str">
        <f t="shared" si="1"/>
        <v/>
      </c>
      <c r="W10" s="3">
        <v>46132.625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74">
        <v>45790</v>
      </c>
      <c r="AC10" s="4">
        <v>295.55200000000002</v>
      </c>
      <c r="AD10" s="6">
        <f t="shared" si="2"/>
        <v>45790</v>
      </c>
    </row>
    <row r="11" spans="1:36" ht="15.75" thickBot="1" x14ac:dyDescent="0.3">
      <c r="A11" s="1"/>
      <c r="B11" s="1"/>
      <c r="C11" s="1"/>
      <c r="D11" s="2"/>
      <c r="E11" s="1"/>
      <c r="F11" s="1"/>
      <c r="G11" s="1"/>
      <c r="H11" s="1"/>
      <c r="I11" s="32"/>
      <c r="J11" s="1"/>
      <c r="K11" s="1"/>
      <c r="L11" s="1"/>
      <c r="M11" s="1"/>
      <c r="N11" s="1"/>
      <c r="O11" s="3">
        <v>46106.625</v>
      </c>
      <c r="P11" s="4">
        <v>306.12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46106.625</v>
      </c>
      <c r="V11" s="3" t="str">
        <f t="shared" si="1"/>
        <v/>
      </c>
      <c r="W11" s="3">
        <v>46133.625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74">
        <v>45791</v>
      </c>
      <c r="AC11" s="4">
        <v>299.07799999999997</v>
      </c>
      <c r="AD11" s="6">
        <f t="shared" si="2"/>
        <v>45791</v>
      </c>
    </row>
    <row r="12" spans="1:36" ht="15.75" thickBot="1" x14ac:dyDescent="0.3">
      <c r="A12" s="33" t="s">
        <v>24</v>
      </c>
      <c r="B12" s="65" t="s">
        <v>2</v>
      </c>
      <c r="C12" s="66"/>
      <c r="D12" s="67"/>
      <c r="E12" s="68" t="s">
        <v>3</v>
      </c>
      <c r="F12" s="69"/>
      <c r="G12" s="70"/>
      <c r="H12" s="71" t="s">
        <v>3</v>
      </c>
      <c r="I12" s="72"/>
      <c r="J12" s="72"/>
      <c r="K12" s="73"/>
      <c r="L12" s="11" t="s">
        <v>25</v>
      </c>
      <c r="M12" s="33" t="s">
        <v>26</v>
      </c>
      <c r="O12" s="3">
        <v>46107.625</v>
      </c>
      <c r="P12" s="4">
        <v>304.82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46107.625</v>
      </c>
      <c r="V12" s="3" t="str">
        <f t="shared" si="1"/>
        <v/>
      </c>
      <c r="W12" s="3">
        <v>46134.625</v>
      </c>
      <c r="X12" s="3">
        <v>46056</v>
      </c>
      <c r="Y12" s="5">
        <v>264</v>
      </c>
      <c r="Z12" s="3">
        <v>45792</v>
      </c>
      <c r="AA12" s="4">
        <v>236.27610000000001</v>
      </c>
      <c r="AB12" s="74">
        <v>45792</v>
      </c>
      <c r="AC12" s="4">
        <v>300.10700000000003</v>
      </c>
      <c r="AD12" s="6">
        <f t="shared" si="2"/>
        <v>45792</v>
      </c>
    </row>
    <row r="13" spans="1:36" ht="15.75" thickBot="1" x14ac:dyDescent="0.3">
      <c r="A13" s="29"/>
      <c r="B13" s="34" t="s">
        <v>27</v>
      </c>
      <c r="C13" s="35" t="s">
        <v>28</v>
      </c>
      <c r="D13" s="36" t="s">
        <v>29</v>
      </c>
      <c r="E13" s="34" t="s">
        <v>27</v>
      </c>
      <c r="F13" s="35" t="s">
        <v>28</v>
      </c>
      <c r="G13" s="36" t="s">
        <v>29</v>
      </c>
      <c r="H13" s="34" t="s">
        <v>30</v>
      </c>
      <c r="I13" s="35" t="s">
        <v>31</v>
      </c>
      <c r="J13" s="35" t="s">
        <v>32</v>
      </c>
      <c r="K13" s="36" t="s">
        <v>33</v>
      </c>
      <c r="L13" s="36"/>
      <c r="M13" s="29"/>
      <c r="O13" s="3">
        <v>46108.625</v>
      </c>
      <c r="P13" s="4">
        <v>303.5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46108.625</v>
      </c>
      <c r="V13" s="3" t="str">
        <f t="shared" si="1"/>
        <v/>
      </c>
      <c r="W13" s="3">
        <v>46136.625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74">
        <v>45793</v>
      </c>
      <c r="AC13" s="4">
        <v>301.29500000000002</v>
      </c>
      <c r="AD13" s="6">
        <f t="shared" si="2"/>
        <v>45793</v>
      </c>
    </row>
    <row r="14" spans="1:36" x14ac:dyDescent="0.25">
      <c r="A14" s="37">
        <v>46113.625</v>
      </c>
      <c r="B14" s="38">
        <v>306.2</v>
      </c>
      <c r="C14" s="2"/>
      <c r="D14" s="18"/>
      <c r="E14" s="38">
        <f>IF(COUNTIF($W$2:W999,A14)=1,VLOOKUP(A14,Q:R,2), IF(COUNTIF($W$2:W999,A14)=0,$C$9,""))</f>
        <v>99.774000000000001</v>
      </c>
      <c r="F14" s="1"/>
      <c r="G14" s="18"/>
      <c r="H14" s="38">
        <f>IF(COUNTIF($W$2:W999,A14)=1,VLOOKUP(A14,S:T,2), IF(COUNTIF($W$2:W999,A14)=0,$D$9,""))</f>
        <v>249.3082</v>
      </c>
      <c r="I14" s="39">
        <v>264.18</v>
      </c>
      <c r="J14" s="39">
        <f>IF(ISERROR(H14-2),"",I14)</f>
        <v>264.18</v>
      </c>
      <c r="K14" s="18"/>
      <c r="L14" s="18"/>
      <c r="M14" s="40">
        <v>0</v>
      </c>
      <c r="O14" s="3">
        <v>46111.625</v>
      </c>
      <c r="P14" s="4">
        <v>302.92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46111.625</v>
      </c>
      <c r="V14" s="3" t="str">
        <f t="shared" si="1"/>
        <v/>
      </c>
      <c r="W14" s="3">
        <v>46139.625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74">
        <v>45796</v>
      </c>
      <c r="AC14" s="4">
        <v>299.93799999999999</v>
      </c>
      <c r="AD14" s="6">
        <f t="shared" si="2"/>
        <v>45796</v>
      </c>
    </row>
    <row r="15" spans="1:36" x14ac:dyDescent="0.25">
      <c r="A15" s="37">
        <f t="shared" ref="A15:A78" ca="1" si="3">IF(AND(ISBLANK(W4), A14 = $W$1),NOW(),IF(ISBLANK(W4),"",W4))</f>
        <v>46120.625</v>
      </c>
      <c r="B15" s="38">
        <f ca="1">IF(COUNTIF($W$2:W1000,A15)=1,VLOOKUP(A15,O:P,2), IF(COUNTIF($W$2:W1000,A15)=0,$B$9,""))</f>
        <v>309.58</v>
      </c>
      <c r="C15" s="2">
        <f ca="1">IF(ISERROR(B15-2),"",(B15-$B$14)*$G$3*$I$3)</f>
        <v>330563.99999999953</v>
      </c>
      <c r="D15" s="41"/>
      <c r="E15" s="38">
        <f ca="1">IF(COUNTIF($W$2:W1000,A15)=1,VLOOKUP(A15,Q:R,2), IF(COUNTIF($W$2:W1000,A15)=0,$C$9,""))</f>
        <v>99.777000000000001</v>
      </c>
      <c r="F15" s="2">
        <f ca="1">IF(ISERROR(B15-2),"",(E15-$E$14)/100*$C$5)</f>
        <v>780.00000000002956</v>
      </c>
      <c r="G15" s="41">
        <f ca="1">IF(ISERROR(B15-2),"",(INT(A15)-INT($A$14))/360*$C$6*$C$5-(INT(A15)-INT($A$14))/360*$C$7*$C$5*$E$14/100)</f>
        <v>27.421333333331859</v>
      </c>
      <c r="H15" s="38">
        <f ca="1">IF(COUNTIF($W$2:W1000,A15)=1,VLOOKUP(A15,S:T,2), IF(COUNTIF($W$2:W1000,A15)=0,$D$9,""))</f>
        <v>301.61900000000003</v>
      </c>
      <c r="I15" s="39">
        <f ca="1">IF(COUNTIF($X$2:X1000,INT(A15))=1,VLOOKUP(INT(A15),X:Y,2), IF(ISERROR(H15-2),"",I14*(1-$D$8*(H15-H14)*0.0001)))</f>
        <v>262.38350000000003</v>
      </c>
      <c r="J15" s="39">
        <f ca="1">IF(ISERROR(H15-2),"",I15)</f>
        <v>262.38350000000003</v>
      </c>
      <c r="K15" s="41">
        <f ca="1">IF(ISERROR(H15-2),"",(J15/$J$14-1)*$D$5)</f>
        <v>-127165.37966537764</v>
      </c>
      <c r="L15" s="41"/>
      <c r="M15" s="42">
        <f ca="1">IF(ISERROR(B15-2),"",C15+D15-F15-G15-K15+SUM($L$14:L15))</f>
        <v>456921.95833204384</v>
      </c>
      <c r="O15" s="3">
        <v>46112.625</v>
      </c>
      <c r="P15" s="4">
        <v>304.16000000000003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46112.625</v>
      </c>
      <c r="V15" s="3" t="str">
        <f t="shared" si="1"/>
        <v/>
      </c>
      <c r="W15" s="3">
        <v>46140.625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74">
        <v>45797</v>
      </c>
      <c r="AC15" s="4">
        <v>295.73700000000002</v>
      </c>
      <c r="AD15" s="6">
        <f t="shared" si="2"/>
        <v>45797</v>
      </c>
    </row>
    <row r="16" spans="1:36" x14ac:dyDescent="0.25">
      <c r="A16" s="37">
        <f t="shared" ca="1" si="3"/>
        <v>46122.625</v>
      </c>
      <c r="B16" s="38">
        <f ca="1">IF(COUNTIF($W$2:W1001,A16)=1,VLOOKUP(A16,O:P,2), IF(COUNTIF($W$2:W1001,A16)=0,$B$9,""))</f>
        <v>309.45999999999998</v>
      </c>
      <c r="C16" s="2">
        <f t="shared" ref="C16:C79" ca="1" si="4">IF(ISERROR(B16-2),"",(B16-$B$14)*$G$3*$I$3)</f>
        <v>318827.99999999913</v>
      </c>
      <c r="D16" s="41"/>
      <c r="E16" s="38">
        <f ca="1">IF(COUNTIF($W$2:W1001,A16)=1,VLOOKUP(A16,Q:R,2), IF(COUNTIF($W$2:W1001,A16)=0,$C$9,""))</f>
        <v>99.55</v>
      </c>
      <c r="F16" s="2">
        <f t="shared" ref="F16:F79" ca="1" si="5">IF(ISERROR(B16-2),"",(E16-$E$14)/100*$C$5)</f>
        <v>-58240.000000000975</v>
      </c>
      <c r="G16" s="41">
        <f t="shared" ref="G16:G79" ca="1" si="6">IF(ISERROR(B16-2),"",(INT(A16)-INT($A$14))/360*$C$6*$C$5-(INT(A16)-INT($A$14))/360*$C$7*$C$5*$E$14/100)</f>
        <v>35.256000000001222</v>
      </c>
      <c r="H16" s="38">
        <f ca="1">IF(COUNTIF($W$2:W1001,A16)=1,VLOOKUP(A16,S:T,2), IF(COUNTIF($W$2:W1001,A16)=0,$D$9,""))</f>
        <v>291.34300000000002</v>
      </c>
      <c r="I16" s="39">
        <f ca="1">IF(COUNTIF($X$2:X1001,INT(A16))=1,VLOOKUP(INT(A16),X:Y,2), IF(ISERROR(H16-2),"",I15*(1-$D$8*(H16-H15)*0.0001)))</f>
        <v>263.29309999999998</v>
      </c>
      <c r="J16" s="39">
        <f t="shared" ref="J16:J79" ca="1" si="7">IF(ISERROR(H16-2),"",I16)</f>
        <v>263.29309999999998</v>
      </c>
      <c r="K16" s="41">
        <f t="shared" ref="K16:K79" ca="1" si="8">IF(ISERROR(H16-2),"",(J16/$J$14-1)*$D$5)</f>
        <v>-62779.279279281996</v>
      </c>
      <c r="L16" s="41"/>
      <c r="M16" s="42">
        <f ca="1">IF(ISERROR(B16-2),"",C16+D16-F16-G16-K16+SUM($L$14:L16))</f>
        <v>439812.02327928215</v>
      </c>
      <c r="O16" s="3">
        <v>46113.625</v>
      </c>
      <c r="P16" s="4">
        <v>306.24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46113.625</v>
      </c>
      <c r="V16" s="3" t="str">
        <f t="shared" si="1"/>
        <v/>
      </c>
      <c r="W16" s="3">
        <v>46141.625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74">
        <v>45798</v>
      </c>
      <c r="AC16" s="4">
        <v>298.613</v>
      </c>
      <c r="AD16" s="6">
        <f t="shared" si="2"/>
        <v>45798</v>
      </c>
    </row>
    <row r="17" spans="1:30" x14ac:dyDescent="0.25">
      <c r="A17" s="37">
        <f t="shared" ca="1" si="3"/>
        <v>46126.625</v>
      </c>
      <c r="B17" s="38">
        <f ca="1">IF(COUNTIF($W$2:W1002,A17)=1,VLOOKUP(A17,O:P,2), IF(COUNTIF($W$2:W1002,A17)=0,$B$9,""))</f>
        <v>309.89999999999998</v>
      </c>
      <c r="C17" s="2">
        <f t="shared" ca="1" si="4"/>
        <v>361859.99999999889</v>
      </c>
      <c r="D17" s="41"/>
      <c r="E17" s="38">
        <f ca="1">IF(COUNTIF($W$2:W1002,A17)=1,VLOOKUP(A17,Q:R,2), IF(COUNTIF($W$2:W1002,A17)=0,$C$9,""))</f>
        <v>99.619</v>
      </c>
      <c r="F17" s="2">
        <f t="shared" ca="1" si="5"/>
        <v>-40300.000000000298</v>
      </c>
      <c r="G17" s="41">
        <f t="shared" ca="1" si="6"/>
        <v>50.925333333332674</v>
      </c>
      <c r="H17" s="38">
        <f ca="1">IF(COUNTIF($W$2:W1002,A17)=1,VLOOKUP(A17,S:T,2), IF(COUNTIF($W$2:W1002,A17)=0,$D$9,""))</f>
        <v>282.697</v>
      </c>
      <c r="I17" s="39">
        <f ca="1">IF(COUNTIF($X$2:X1002,INT(A17))=1,VLOOKUP(INT(A17),X:Y,2), IF(ISERROR(H17-2),"",I16*(1-$D$8*(H17-H16)*0.0001)))</f>
        <v>264.6927</v>
      </c>
      <c r="J17" s="39">
        <f t="shared" ca="1" si="7"/>
        <v>264.6927</v>
      </c>
      <c r="K17" s="41">
        <f t="shared" ca="1" si="8"/>
        <v>36291.505791503594</v>
      </c>
      <c r="L17" s="41"/>
      <c r="M17" s="42">
        <f ca="1">IF(ISERROR(B17-2),"",C17+D17-F17-G17-K17+SUM($L$14:L17))</f>
        <v>365817.56887516228</v>
      </c>
      <c r="O17" s="3">
        <v>46114.625</v>
      </c>
      <c r="P17" s="4">
        <v>306.5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46114.625</v>
      </c>
      <c r="V17" s="3">
        <f t="shared" si="1"/>
        <v>46114.625</v>
      </c>
      <c r="W17" s="3">
        <v>46142.625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74">
        <v>45799</v>
      </c>
      <c r="AC17" s="4">
        <v>302.62099999999998</v>
      </c>
      <c r="AD17" s="6">
        <f t="shared" si="2"/>
        <v>45799</v>
      </c>
    </row>
    <row r="18" spans="1:30" x14ac:dyDescent="0.25">
      <c r="A18" s="37">
        <f t="shared" ca="1" si="3"/>
        <v>46127.625</v>
      </c>
      <c r="B18" s="38">
        <f ca="1">IF(COUNTIF($W$2:W1003,A18)=1,VLOOKUP(A18,O:P,2), IF(COUNTIF($W$2:W1003,A18)=0,$B$9,""))</f>
        <v>310.42</v>
      </c>
      <c r="C18" s="2">
        <f t="shared" ca="1" si="4"/>
        <v>412716.00000000268</v>
      </c>
      <c r="D18" s="41"/>
      <c r="E18" s="38">
        <f ca="1">IF(COUNTIF($W$2:W1003,A18)=1,VLOOKUP(A18,Q:R,2), IF(COUNTIF($W$2:W1003,A18)=0,$C$9,""))</f>
        <v>99.653999999999996</v>
      </c>
      <c r="F18" s="2">
        <f t="shared" ca="1" si="5"/>
        <v>-31200.000000001182</v>
      </c>
      <c r="G18" s="41">
        <f t="shared" ca="1" si="6"/>
        <v>54.842666666663717</v>
      </c>
      <c r="H18" s="38">
        <f ca="1">IF(COUNTIF($W$2:W1003,A18)=1,VLOOKUP(A18,S:T,2), IF(COUNTIF($W$2:W1003,A18)=0,$D$9,""))</f>
        <v>282.51900000000001</v>
      </c>
      <c r="I18" s="39">
        <f ca="1">IF(COUNTIF($X$2:X1003,INT(A18))=1,VLOOKUP(INT(A18),X:Y,2), IF(ISERROR(H18-2),"",I17*(1-$D$8*(H18-H17)*0.0001)))</f>
        <v>264.62900000000002</v>
      </c>
      <c r="J18" s="39">
        <f t="shared" ca="1" si="7"/>
        <v>264.62900000000002</v>
      </c>
      <c r="K18" s="41">
        <f t="shared" ca="1" si="8"/>
        <v>31782.496782496895</v>
      </c>
      <c r="L18" s="41"/>
      <c r="M18" s="42">
        <f ca="1">IF(ISERROR(B18-2),"",C18+D18-F18-G18-K18+SUM($L$14:L18))</f>
        <v>412078.66055084026</v>
      </c>
      <c r="O18" s="3">
        <v>46119.625</v>
      </c>
      <c r="P18" s="4">
        <v>305.86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46119.625</v>
      </c>
      <c r="V18" s="3">
        <f t="shared" si="1"/>
        <v>46119.625</v>
      </c>
      <c r="W18" s="3">
        <v>46147.625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74">
        <v>45800</v>
      </c>
      <c r="AC18" s="4">
        <v>315.95499999999998</v>
      </c>
      <c r="AD18" s="6">
        <f t="shared" si="2"/>
        <v>45800</v>
      </c>
    </row>
    <row r="19" spans="1:30" x14ac:dyDescent="0.25">
      <c r="A19" s="37">
        <f t="shared" ca="1" si="3"/>
        <v>46128.625</v>
      </c>
      <c r="B19" s="38">
        <f ca="1">IF(COUNTIF($W$2:W1004,A19)=1,VLOOKUP(A19,O:P,2), IF(COUNTIF($W$2:W1004,A19)=0,$B$9,""))</f>
        <v>310.64</v>
      </c>
      <c r="C19" s="2">
        <f t="shared" ca="1" si="4"/>
        <v>434231.99999999977</v>
      </c>
      <c r="D19" s="41"/>
      <c r="E19" s="38">
        <f ca="1">IF(COUNTIF($W$2:W1004,A19)=1,VLOOKUP(A19,Q:R,2), IF(COUNTIF($W$2:W1004,A19)=0,$C$9,""))</f>
        <v>99.677000000000007</v>
      </c>
      <c r="F19" s="2">
        <f t="shared" ca="1" si="5"/>
        <v>-25219.999999998494</v>
      </c>
      <c r="G19" s="41">
        <f t="shared" ca="1" si="6"/>
        <v>58.759999999998399</v>
      </c>
      <c r="H19" s="38">
        <f ca="1">IF(COUNTIF($W$2:W1004,A19)=1,VLOOKUP(A19,S:T,2), IF(COUNTIF($W$2:W1004,A19)=0,$D$9,""))</f>
        <v>286.733</v>
      </c>
      <c r="I19" s="39">
        <f ca="1">IF(COUNTIF($X$2:X1004,INT(A19))=1,VLOOKUP(INT(A19),X:Y,2), IF(ISERROR(H19-2),"",I18*(1-$D$8*(H19-H18)*0.0001)))</f>
        <v>264.24419999999998</v>
      </c>
      <c r="J19" s="39">
        <f t="shared" ca="1" si="7"/>
        <v>264.24419999999998</v>
      </c>
      <c r="K19" s="41">
        <f t="shared" ca="1" si="8"/>
        <v>4544.4015444009219</v>
      </c>
      <c r="L19" s="41"/>
      <c r="M19" s="42">
        <f ca="1">IF(ISERROR(B19-2),"",C19+D19-F19-G19-K19+SUM($L$14:L19))</f>
        <v>454848.83845559735</v>
      </c>
      <c r="O19" s="3">
        <v>46120.625</v>
      </c>
      <c r="P19" s="4">
        <v>309.58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46120.625</v>
      </c>
      <c r="V19" s="3">
        <f t="shared" si="1"/>
        <v>46120.625</v>
      </c>
      <c r="W19" s="3">
        <v>46148.625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74">
        <v>45804</v>
      </c>
      <c r="AC19" s="4">
        <v>300.10899999999998</v>
      </c>
      <c r="AD19" s="6">
        <f t="shared" si="2"/>
        <v>45804</v>
      </c>
    </row>
    <row r="20" spans="1:30" x14ac:dyDescent="0.25">
      <c r="A20" s="37">
        <f t="shared" ca="1" si="3"/>
        <v>46129.625</v>
      </c>
      <c r="B20" s="38">
        <f ca="1">IF(COUNTIF($W$2:W1005,A20)=1,VLOOKUP(A20,O:P,2), IF(COUNTIF($W$2:W1005,A20)=0,$B$9,""))</f>
        <v>312.38</v>
      </c>
      <c r="C20" s="2">
        <f t="shared" ca="1" si="4"/>
        <v>604404.0000000007</v>
      </c>
      <c r="D20" s="41"/>
      <c r="E20" s="38">
        <f ca="1">IF(COUNTIF($W$2:W1005,A20)=1,VLOOKUP(A20,Q:R,2), IF(COUNTIF($W$2:W1005,A20)=0,$C$9,""))</f>
        <v>99.953999999999994</v>
      </c>
      <c r="F20" s="2">
        <f t="shared" ca="1" si="5"/>
        <v>46799.999999998079</v>
      </c>
      <c r="G20" s="41">
        <f t="shared" ca="1" si="6"/>
        <v>62.677333333333081</v>
      </c>
      <c r="H20" s="38">
        <f ca="1">IF(COUNTIF($W$2:W1005,A20)=1,VLOOKUP(A20,S:T,2), IF(COUNTIF($W$2:W1005,A20)=0,$D$9,""))</f>
        <v>275.16800000000001</v>
      </c>
      <c r="I20" s="39">
        <f ca="1">IF(COUNTIF($X$2:X1005,INT(A20))=1,VLOOKUP(INT(A20),X:Y,2), IF(ISERROR(H20-2),"",I19*(1-$D$8*(H20-H19)*0.0001)))</f>
        <v>265.60180000000003</v>
      </c>
      <c r="J20" s="39">
        <f t="shared" ca="1" si="7"/>
        <v>265.60180000000003</v>
      </c>
      <c r="K20" s="41">
        <f t="shared" ca="1" si="8"/>
        <v>100642.21364221333</v>
      </c>
      <c r="L20" s="41"/>
      <c r="M20" s="42">
        <f ca="1">IF(ISERROR(B20-2),"",C20+D20-F20-G20-K20+SUM($L$14:L20))</f>
        <v>456899.10902445595</v>
      </c>
      <c r="O20" s="3">
        <v>46122.625</v>
      </c>
      <c r="P20" s="4">
        <v>309.45999999999998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46122.625</v>
      </c>
      <c r="V20" s="3">
        <f t="shared" si="1"/>
        <v>46122.625</v>
      </c>
      <c r="W20" s="3">
        <v>46149.625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74">
        <v>45805</v>
      </c>
      <c r="AC20" s="4">
        <v>300.60399999999998</v>
      </c>
      <c r="AD20" s="6">
        <f t="shared" si="2"/>
        <v>45805</v>
      </c>
    </row>
    <row r="21" spans="1:30" x14ac:dyDescent="0.25">
      <c r="A21" s="37">
        <f t="shared" ca="1" si="3"/>
        <v>46132.625</v>
      </c>
      <c r="B21" s="38">
        <f ca="1">IF(COUNTIF($W$2:W1006,A21)=1,VLOOKUP(A21,O:P,2), IF(COUNTIF($W$2:W1006,A21)=0,$B$9,""))</f>
        <v>311.66000000000003</v>
      </c>
      <c r="C21" s="2">
        <f t="shared" ca="1" si="4"/>
        <v>533988.00000000361</v>
      </c>
      <c r="D21" s="41"/>
      <c r="E21" s="38">
        <f ca="1">IF(COUNTIF($W$2:W1006,A21)=1,VLOOKUP(A21,Q:R,2), IF(COUNTIF($W$2:W1006,A21)=0,$C$9,""))</f>
        <v>99.831000000000003</v>
      </c>
      <c r="F21" s="2">
        <f t="shared" ca="1" si="5"/>
        <v>14820.00000000056</v>
      </c>
      <c r="G21" s="41">
        <f t="shared" ca="1" si="6"/>
        <v>74.429333333333489</v>
      </c>
      <c r="H21" s="38">
        <f ca="1">IF(COUNTIF($W$2:W1006,A21)=1,VLOOKUP(A21,S:T,2), IF(COUNTIF($W$2:W1006,A21)=0,$D$9,""))</f>
        <v>280.36399999999998</v>
      </c>
      <c r="I21" s="39">
        <f ca="1">IF(COUNTIF($X$2:X1006,INT(A21))=1,VLOOKUP(INT(A21),X:Y,2), IF(ISERROR(H21-2),"",I20*(1-$D$8*(H21-H20)*0.0001)))</f>
        <v>265.2414</v>
      </c>
      <c r="J21" s="39">
        <f t="shared" ca="1" si="7"/>
        <v>265.2414</v>
      </c>
      <c r="K21" s="41">
        <f t="shared" ca="1" si="8"/>
        <v>75131.274131274666</v>
      </c>
      <c r="L21" s="41"/>
      <c r="M21" s="42">
        <f ca="1">IF(ISERROR(B21-2),"",C21+D21-F21-G21-K21+SUM($L$14:L21))</f>
        <v>443962.29653539503</v>
      </c>
      <c r="O21" s="3">
        <v>46126.625</v>
      </c>
      <c r="P21" s="4">
        <v>309.89999999999998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46126.625</v>
      </c>
      <c r="V21" s="3">
        <f t="shared" si="1"/>
        <v>46126.625</v>
      </c>
      <c r="W21" s="3">
        <v>46150.625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74">
        <v>45806</v>
      </c>
      <c r="AC21" s="4">
        <v>300.02</v>
      </c>
      <c r="AD21" s="6">
        <f t="shared" si="2"/>
        <v>45806</v>
      </c>
    </row>
    <row r="22" spans="1:30" x14ac:dyDescent="0.25">
      <c r="A22" s="37">
        <f t="shared" ca="1" si="3"/>
        <v>46133.625</v>
      </c>
      <c r="B22" s="38">
        <f ca="1">IF(COUNTIF($W$2:W1007,A22)=1,VLOOKUP(A22,O:P,2), IF(COUNTIF($W$2:W1007,A22)=0,$B$9,""))</f>
        <v>311.39999999999998</v>
      </c>
      <c r="C22" s="2">
        <f t="shared" ca="1" si="4"/>
        <v>508559.99999999889</v>
      </c>
      <c r="D22" s="41"/>
      <c r="E22" s="38">
        <f ca="1">IF(COUNTIF($W$2:W1007,A22)=1,VLOOKUP(A22,Q:R,2), IF(COUNTIF($W$2:W1007,A22)=0,$C$9,""))</f>
        <v>99.707999999999998</v>
      </c>
      <c r="F22" s="2">
        <f t="shared" ca="1" si="5"/>
        <v>-17160.000000000651</v>
      </c>
      <c r="G22" s="41">
        <f t="shared" ca="1" si="6"/>
        <v>78.346666666664532</v>
      </c>
      <c r="H22" s="38">
        <f ca="1">IF(COUNTIF($W$2:W1007,A22)=1,VLOOKUP(A22,S:T,2), IF(COUNTIF($W$2:W1007,A22)=0,$D$9,""))</f>
        <v>285.44799999999998</v>
      </c>
      <c r="I22" s="39">
        <f ca="1">IF(COUNTIF($X$2:X1007,INT(A22))=1,VLOOKUP(INT(A22),X:Y,2), IF(ISERROR(H22-2),"",I21*(1-$D$8*(H22-H21)*0.0001)))</f>
        <v>264.60359999999997</v>
      </c>
      <c r="J22" s="39">
        <f t="shared" ca="1" si="7"/>
        <v>264.60359999999997</v>
      </c>
      <c r="K22" s="41">
        <f t="shared" ca="1" si="8"/>
        <v>29984.555984555296</v>
      </c>
      <c r="L22" s="41"/>
      <c r="M22" s="42">
        <f ca="1">IF(ISERROR(B22-2),"",C22+D22-F22-G22-K22+SUM($L$14:L22))</f>
        <v>495657.09734877758</v>
      </c>
      <c r="O22" s="3">
        <v>46127.625</v>
      </c>
      <c r="P22" s="4">
        <v>310.42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46127.625</v>
      </c>
      <c r="V22" s="3">
        <f t="shared" si="1"/>
        <v>46127.625</v>
      </c>
      <c r="W22" s="3">
        <v>46154.625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74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7">
        <f t="shared" ca="1" si="3"/>
        <v>46134.625</v>
      </c>
      <c r="B23" s="38">
        <f ca="1">IF(COUNTIF($W$2:W1008,A23)=1,VLOOKUP(A23,O:P,2), IF(COUNTIF($W$2:W1008,A23)=0,$B$9,""))</f>
        <v>310.62</v>
      </c>
      <c r="C23" s="2">
        <f t="shared" ca="1" si="4"/>
        <v>432276.00000000157</v>
      </c>
      <c r="D23" s="41"/>
      <c r="E23" s="38">
        <f ca="1">IF(COUNTIF($W$2:W1008,A23)=1,VLOOKUP(A23,Q:R,2), IF(COUNTIF($W$2:W1008,A23)=0,$C$9,""))</f>
        <v>99.655000000000001</v>
      </c>
      <c r="F23" s="2">
        <f t="shared" ca="1" si="5"/>
        <v>-30939.999999999942</v>
      </c>
      <c r="G23" s="41">
        <f t="shared" ca="1" si="6"/>
        <v>82.263999999995576</v>
      </c>
      <c r="H23" s="38">
        <f ca="1">IF(COUNTIF($W$2:W1008,A23)=1,VLOOKUP(A23,S:T,2), IF(COUNTIF($W$2:W1008,A23)=0,$D$9,""))</f>
        <v>285.53500000000003</v>
      </c>
      <c r="I23" s="39">
        <f ca="1">IF(COUNTIF($X$2:X1008,INT(A23))=1,VLOOKUP(INT(A23),X:Y,2), IF(ISERROR(H23-2),"",I22*(1-$D$8*(H23-H22)*0.0001)))</f>
        <v>264.55340000000001</v>
      </c>
      <c r="J23" s="39">
        <f t="shared" ca="1" si="7"/>
        <v>264.55340000000001</v>
      </c>
      <c r="K23" s="41">
        <f t="shared" ca="1" si="8"/>
        <v>26431.145431146819</v>
      </c>
      <c r="L23" s="41"/>
      <c r="M23" s="42">
        <f ca="1">IF(ISERROR(B23-2),"",C23+D23-F23-G23-K23+SUM($L$14:L23))</f>
        <v>436702.59056885471</v>
      </c>
      <c r="O23" s="3">
        <v>46128.625</v>
      </c>
      <c r="P23" s="4">
        <v>310.64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46128.625</v>
      </c>
      <c r="V23" s="3">
        <f t="shared" si="1"/>
        <v>46128.625</v>
      </c>
      <c r="W23" s="3">
        <v>46155.625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74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7">
        <f t="shared" ca="1" si="3"/>
        <v>46136.625</v>
      </c>
      <c r="B24" s="38">
        <f ca="1">IF(COUNTIF($W$2:W1009,A24)=1,VLOOKUP(A24,O:P,2), IF(COUNTIF($W$2:W1009,A24)=0,$B$9,""))</f>
        <v>310.48</v>
      </c>
      <c r="C24" s="2">
        <f t="shared" ca="1" si="4"/>
        <v>418584.00000000291</v>
      </c>
      <c r="D24" s="41"/>
      <c r="E24" s="38">
        <f ca="1">IF(COUNTIF($W$2:W1009,A24)=1,VLOOKUP(A24,Q:R,2), IF(COUNTIF($W$2:W1009,A24)=0,$C$9,""))</f>
        <v>99.637</v>
      </c>
      <c r="F24" s="2">
        <f t="shared" ca="1" si="5"/>
        <v>-35620.000000000116</v>
      </c>
      <c r="G24" s="41">
        <f t="shared" ca="1" si="6"/>
        <v>90.09866666666494</v>
      </c>
      <c r="H24" s="38">
        <f ca="1">IF(COUNTIF($W$2:W1009,A24)=1,VLOOKUP(A24,S:T,2), IF(COUNTIF($W$2:W1009,A24)=0,$D$9,""))</f>
        <v>288.863</v>
      </c>
      <c r="I24" s="39">
        <f ca="1">IF(COUNTIF($X$2:X1009,INT(A24))=1,VLOOKUP(INT(A24),X:Y,2), IF(ISERROR(H24-2),"",I23*(1-$D$8*(H24-H23)*0.0001)))</f>
        <v>264.2679</v>
      </c>
      <c r="J24" s="39">
        <f t="shared" ca="1" si="7"/>
        <v>264.2679</v>
      </c>
      <c r="K24" s="41">
        <f t="shared" ca="1" si="8"/>
        <v>6222.0077220071616</v>
      </c>
      <c r="L24" s="41"/>
      <c r="M24" s="42">
        <f ca="1">IF(ISERROR(B24-2),"",C24+D24-F24-G24-K24+SUM($L$14:L24))</f>
        <v>447891.8936113292</v>
      </c>
      <c r="O24" s="3">
        <v>46129.625</v>
      </c>
      <c r="P24" s="4">
        <v>312.38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46129.625</v>
      </c>
      <c r="V24" s="3">
        <f t="shared" si="1"/>
        <v>46129.625</v>
      </c>
      <c r="W24" s="3">
        <v>46157.625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74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7">
        <f t="shared" ca="1" si="3"/>
        <v>46139.625</v>
      </c>
      <c r="B25" s="38">
        <f ca="1">IF(COUNTIF($W$2:W1010,A25)=1,VLOOKUP(A25,O:P,2), IF(COUNTIF($W$2:W1010,A25)=0,$B$9,""))</f>
        <v>310.7</v>
      </c>
      <c r="C25" s="2">
        <f t="shared" ca="1" si="4"/>
        <v>440100</v>
      </c>
      <c r="D25" s="41"/>
      <c r="E25" s="38">
        <f ca="1">IF(COUNTIF($W$2:W1010,A25)=1,VLOOKUP(A25,Q:R,2), IF(COUNTIF($W$2:W1010,A25)=0,$C$9,""))</f>
        <v>99.608000000000004</v>
      </c>
      <c r="F25" s="2">
        <f t="shared" ca="1" si="5"/>
        <v>-43159.999999999171</v>
      </c>
      <c r="G25" s="41">
        <f t="shared" ca="1" si="6"/>
        <v>101.85066666666535</v>
      </c>
      <c r="H25" s="38">
        <f ca="1">IF(COUNTIF($W$2:W1010,A25)=1,VLOOKUP(A25,S:T,2), IF(COUNTIF($W$2:W1010,A25)=0,$D$9,""))</f>
        <v>289.209</v>
      </c>
      <c r="I25" s="39">
        <f ca="1">IF(COUNTIF($X$2:X1010,INT(A25))=1,VLOOKUP(INT(A25),X:Y,2), IF(ISERROR(H25-2),"",I24*(1-$D$8*(H25-H24)*0.0001)))</f>
        <v>264.16750000000002</v>
      </c>
      <c r="J25" s="39">
        <f t="shared" ca="1" si="7"/>
        <v>264.16750000000002</v>
      </c>
      <c r="K25" s="41">
        <f t="shared" ca="1" si="8"/>
        <v>-884.81338481186663</v>
      </c>
      <c r="L25" s="41"/>
      <c r="M25" s="42">
        <f ca="1">IF(ISERROR(B25-2),"",C25+D25-F25-G25-K25+SUM($L$14:L25))</f>
        <v>484042.96271814441</v>
      </c>
      <c r="O25" s="3">
        <v>46132.625</v>
      </c>
      <c r="P25" s="4">
        <v>311.66000000000003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46132.625</v>
      </c>
      <c r="V25" s="3">
        <f t="shared" si="1"/>
        <v>46132.625</v>
      </c>
      <c r="W25" s="3">
        <v>46161.625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74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7">
        <f t="shared" ca="1" si="3"/>
        <v>46140.625</v>
      </c>
      <c r="B26" s="38">
        <f ca="1">IF(COUNTIF($W$2:W1011,A26)=1,VLOOKUP(A26,O:P,2), IF(COUNTIF($W$2:W1011,A26)=0,$B$9,""))</f>
        <v>309.88</v>
      </c>
      <c r="C26" s="2">
        <f t="shared" ca="1" si="4"/>
        <v>359904.00000000064</v>
      </c>
      <c r="D26" s="41"/>
      <c r="E26" s="38">
        <f ca="1">IF(COUNTIF($W$2:W1011,A26)=1,VLOOKUP(A26,Q:R,2), IF(COUNTIF($W$2:W1011,A26)=0,$C$9,""))</f>
        <v>99.456000000000003</v>
      </c>
      <c r="F26" s="2">
        <f t="shared" ca="1" si="5"/>
        <v>-82679.999999999432</v>
      </c>
      <c r="G26" s="41">
        <f t="shared" ca="1" si="6"/>
        <v>105.76799999999639</v>
      </c>
      <c r="H26" s="38">
        <f ca="1">IF(COUNTIF($W$2:W1011,A26)=1,VLOOKUP(A26,S:T,2), IF(COUNTIF($W$2:W1011,A26)=0,$D$9,""))</f>
        <v>291.65699999999998</v>
      </c>
      <c r="I26" s="39">
        <f ca="1">IF(COUNTIF($X$2:X1011,INT(A26))=1,VLOOKUP(INT(A26),X:Y,2), IF(ISERROR(H26-2),"",I25*(1-$D$8*(H26-H25)*0.0001)))</f>
        <v>263.87139999999999</v>
      </c>
      <c r="J26" s="39">
        <f t="shared" ca="1" si="7"/>
        <v>263.87139999999999</v>
      </c>
      <c r="K26" s="41">
        <f t="shared" ca="1" si="8"/>
        <v>-21844.272844273248</v>
      </c>
      <c r="L26" s="41"/>
      <c r="M26" s="42">
        <f ca="1">IF(ISERROR(B26-2),"",C26+D26-F26-G26-K26+SUM($L$14:L26))</f>
        <v>464322.50484427332</v>
      </c>
      <c r="O26" s="3">
        <v>46133.625</v>
      </c>
      <c r="P26" s="4">
        <v>311.39999999999998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46133.625</v>
      </c>
      <c r="V26" s="3">
        <f t="shared" si="1"/>
        <v>46133.625</v>
      </c>
      <c r="W26" s="3">
        <v>46162.625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74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7">
        <f t="shared" ca="1" si="3"/>
        <v>46141.625</v>
      </c>
      <c r="B27" s="38">
        <f ca="1">IF(COUNTIF($W$2:W1012,A27)=1,VLOOKUP(A27,O:P,2), IF(COUNTIF($W$2:W1012,A27)=0,$B$9,""))</f>
        <v>309.58</v>
      </c>
      <c r="C27" s="2">
        <f t="shared" ca="1" si="4"/>
        <v>330563.99999999953</v>
      </c>
      <c r="D27" s="41"/>
      <c r="E27" s="38">
        <f ca="1">IF(COUNTIF($W$2:W1012,A27)=1,VLOOKUP(A27,Q:R,2), IF(COUNTIF($W$2:W1012,A27)=0,$C$9,""))</f>
        <v>99.296000000000006</v>
      </c>
      <c r="F27" s="2">
        <f t="shared" ca="1" si="5"/>
        <v>-124279.99999999854</v>
      </c>
      <c r="G27" s="41">
        <f t="shared" ca="1" si="6"/>
        <v>109.68533333332743</v>
      </c>
      <c r="H27" s="38">
        <f ca="1">IF(COUNTIF($W$2:W1012,A27)=1,VLOOKUP(A27,S:T,2), IF(COUNTIF($W$2:W1012,A27)=0,$D$9,""))</f>
        <v>294.57900000000001</v>
      </c>
      <c r="I27" s="39">
        <f ca="1">IF(COUNTIF($X$2:X1012,INT(A27))=1,VLOOKUP(INT(A27),X:Y,2), IF(ISERROR(H27-2),"",I26*(1-$D$8*(H27-H26)*0.0001)))</f>
        <v>263.29599999999999</v>
      </c>
      <c r="J27" s="39">
        <f t="shared" ca="1" si="7"/>
        <v>263.29599999999999</v>
      </c>
      <c r="K27" s="41">
        <f t="shared" ca="1" si="8"/>
        <v>-62574.002574003418</v>
      </c>
      <c r="L27" s="41"/>
      <c r="M27" s="42">
        <f ca="1">IF(ISERROR(B27-2),"",C27+D27-F27-G27-K27+SUM($L$14:L27))</f>
        <v>517308.31724066817</v>
      </c>
      <c r="O27" s="3">
        <v>46134.625</v>
      </c>
      <c r="P27" s="4">
        <v>310.62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46134.625</v>
      </c>
      <c r="V27" s="3">
        <f t="shared" si="1"/>
        <v>46134.625</v>
      </c>
      <c r="W27" s="3">
        <v>46163.625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74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7">
        <f t="shared" ca="1" si="3"/>
        <v>46142.625</v>
      </c>
      <c r="B28" s="38">
        <f ca="1">IF(COUNTIF($W$2:W1013,A28)=1,VLOOKUP(A28,O:P,2), IF(COUNTIF($W$2:W1013,A28)=0,$B$9,""))</f>
        <v>310</v>
      </c>
      <c r="C28" s="2">
        <f t="shared" ca="1" si="4"/>
        <v>371640.00000000111</v>
      </c>
      <c r="D28" s="41"/>
      <c r="E28" s="38">
        <f ca="1">IF(COUNTIF($W$2:W1013,A28)=1,VLOOKUP(A28,Q:R,2), IF(COUNTIF($W$2:W1013,A28)=0,$C$9,""))</f>
        <v>99.435000000000002</v>
      </c>
      <c r="F28" s="2">
        <f t="shared" ca="1" si="5"/>
        <v>-88139.999999999651</v>
      </c>
      <c r="G28" s="41">
        <f t="shared" ca="1" si="6"/>
        <v>113.60266666666575</v>
      </c>
      <c r="H28" s="38">
        <f ca="1">IF(COUNTIF($W$2:W1013,A28)=1,VLOOKUP(A28,S:T,2), IF(COUNTIF($W$2:W1013,A28)=0,$D$9,""))</f>
        <v>292.42099999999999</v>
      </c>
      <c r="I28" s="39">
        <f ca="1">IF(COUNTIF($X$2:X1013,INT(A28))=1,VLOOKUP(INT(A28),X:Y,2), IF(ISERROR(H28-2),"",I27*(1-$D$8*(H28-H27)*0.0001)))</f>
        <v>263.72019999999998</v>
      </c>
      <c r="J28" s="39">
        <f t="shared" ca="1" si="7"/>
        <v>263.72019999999998</v>
      </c>
      <c r="K28" s="41">
        <f t="shared" ca="1" si="8"/>
        <v>-32546.975546977552</v>
      </c>
      <c r="L28" s="41"/>
      <c r="M28" s="42">
        <f ca="1">IF(ISERROR(B28-2),"",C28+D28-F28-G28-K28+SUM($L$14:L28))</f>
        <v>492213.37288031162</v>
      </c>
      <c r="O28" s="3">
        <v>46136.625</v>
      </c>
      <c r="P28" s="4">
        <v>310.48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46136.625</v>
      </c>
      <c r="V28" s="3">
        <f t="shared" si="1"/>
        <v>46136.625</v>
      </c>
      <c r="W28" s="3">
        <v>46168.625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74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7">
        <f t="shared" ca="1" si="3"/>
        <v>46147.625</v>
      </c>
      <c r="B29" s="38">
        <f ca="1">IF(COUNTIF($W$2:W1014,A29)=1,VLOOKUP(A29,O:P,2), IF(COUNTIF($W$2:W1014,A29)=0,$B$9,""))</f>
        <v>310.38</v>
      </c>
      <c r="C29" s="2">
        <f t="shared" ca="1" si="4"/>
        <v>408804.00000000064</v>
      </c>
      <c r="D29" s="41"/>
      <c r="E29" s="38">
        <f ca="1">IF(COUNTIF($W$2:W1014,A29)=1,VLOOKUP(A29,Q:R,2), IF(COUNTIF($W$2:W1014,A29)=0,$C$9,""))</f>
        <v>99.343000000000004</v>
      </c>
      <c r="F29" s="2">
        <f t="shared" ca="1" si="5"/>
        <v>-112059.99999999932</v>
      </c>
      <c r="G29" s="41">
        <f t="shared" ca="1" si="6"/>
        <v>133.18933333333553</v>
      </c>
      <c r="H29" s="38">
        <f ca="1">IF(COUNTIF($W$2:W1014,A29)=1,VLOOKUP(A29,S:T,2), IF(COUNTIF($W$2:W1014,A29)=0,$D$9,""))</f>
        <v>287.88900000000001</v>
      </c>
      <c r="I29" s="39">
        <f ca="1">IF(COUNTIF($X$2:X1014,INT(A29))=1,VLOOKUP(INT(A29),X:Y,2), IF(ISERROR(H29-2),"",I28*(1-$D$8*(H29-H28)*0.0001)))</f>
        <v>264.5573</v>
      </c>
      <c r="J29" s="39">
        <f t="shared" ca="1" si="7"/>
        <v>264.5573</v>
      </c>
      <c r="K29" s="41">
        <f t="shared" ca="1" si="8"/>
        <v>26707.207207207604</v>
      </c>
      <c r="L29" s="41"/>
      <c r="M29" s="42">
        <f ca="1">IF(ISERROR(B29-2),"",C29+D29-F29-G29-K29+SUM($L$14:L29))</f>
        <v>494023.60345945897</v>
      </c>
      <c r="O29" s="3">
        <v>46139.625</v>
      </c>
      <c r="P29" s="4">
        <v>310.7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46139.625</v>
      </c>
      <c r="V29" s="3">
        <f t="shared" si="1"/>
        <v>46139.625</v>
      </c>
      <c r="W29" s="3">
        <v>46169.625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74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7">
        <f t="shared" ca="1" si="3"/>
        <v>46148.625</v>
      </c>
      <c r="B30" s="38">
        <f ca="1">IF(COUNTIF($W$2:W1015,A30)=1,VLOOKUP(A30,O:P,2), IF(COUNTIF($W$2:W1015,A30)=0,$B$9,""))</f>
        <v>311.94</v>
      </c>
      <c r="C30" s="2">
        <f t="shared" ca="1" si="4"/>
        <v>561372.00000000093</v>
      </c>
      <c r="D30" s="41"/>
      <c r="E30" s="38">
        <f ca="1">IF(COUNTIF($W$2:W1015,A30)=1,VLOOKUP(A30,Q:R,2), IF(COUNTIF($W$2:W1015,A30)=0,$C$9,""))</f>
        <v>99.63</v>
      </c>
      <c r="F30" s="2">
        <f t="shared" ca="1" si="5"/>
        <v>-37440.000000001419</v>
      </c>
      <c r="G30" s="41">
        <f t="shared" ca="1" si="6"/>
        <v>137.10666666665929</v>
      </c>
      <c r="H30" s="38">
        <f ca="1">IF(COUNTIF($W$2:W1015,A30)=1,VLOOKUP(A30,S:T,2), IF(COUNTIF($W$2:W1015,A30)=0,$D$9,""))</f>
        <v>275.09699999999998</v>
      </c>
      <c r="I30" s="39">
        <f ca="1">IF(COUNTIF($X$2:X1015,INT(A30))=1,VLOOKUP(INT(A30),X:Y,2), IF(ISERROR(H30-2),"",I29*(1-$D$8*(H30-H29)*0.0001)))</f>
        <v>266.11750000000001</v>
      </c>
      <c r="J30" s="39">
        <f t="shared" ca="1" si="7"/>
        <v>266.11750000000001</v>
      </c>
      <c r="K30" s="41">
        <f t="shared" ca="1" si="8"/>
        <v>137146.07464607395</v>
      </c>
      <c r="L30" s="41"/>
      <c r="M30" s="42">
        <f ca="1">IF(ISERROR(B30-2),"",C30+D30-F30-G30-K30+SUM($L$14:L30))</f>
        <v>461528.81868726166</v>
      </c>
      <c r="O30" s="3">
        <v>46140.625</v>
      </c>
      <c r="P30" s="4">
        <v>309.88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46140.625</v>
      </c>
      <c r="V30" s="3">
        <f t="shared" si="1"/>
        <v>46140.625</v>
      </c>
      <c r="W30" s="3">
        <v>46170.625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74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7">
        <f t="shared" ca="1" si="3"/>
        <v>46149.625</v>
      </c>
      <c r="B31" s="38">
        <f ca="1">IF(COUNTIF($W$2:W1016,A31)=1,VLOOKUP(A31,O:P,2), IF(COUNTIF($W$2:W1016,A31)=0,$B$9,""))</f>
        <v>312.06</v>
      </c>
      <c r="C31" s="2">
        <f t="shared" ca="1" si="4"/>
        <v>573108.00000000128</v>
      </c>
      <c r="D31" s="41"/>
      <c r="E31" s="38">
        <f ca="1">IF(COUNTIF($W$2:W1016,A31)=1,VLOOKUP(A31,Q:R,2), IF(COUNTIF($W$2:W1016,A31)=0,$C$9,""))</f>
        <v>99.650999999999996</v>
      </c>
      <c r="F31" s="2">
        <f t="shared" ca="1" si="5"/>
        <v>-31980.000000001211</v>
      </c>
      <c r="G31" s="41">
        <f t="shared" ca="1" si="6"/>
        <v>141.02400000000489</v>
      </c>
      <c r="H31" s="38">
        <f ca="1">IF(COUNTIF($W$2:W1016,A31)=1,VLOOKUP(A31,S:T,2), IF(COUNTIF($W$2:W1016,A31)=0,$D$9,""))</f>
        <v>275.04599999999999</v>
      </c>
      <c r="I31" s="39">
        <f ca="1">IF(COUNTIF($X$2:X1016,INT(A31))=1,VLOOKUP(INT(A31),X:Y,2), IF(ISERROR(H31-2),"",I30*(1-$D$8*(H31-H30)*0.0001)))</f>
        <v>265.79050000000001</v>
      </c>
      <c r="J31" s="39">
        <f t="shared" ca="1" si="7"/>
        <v>265.79050000000001</v>
      </c>
      <c r="K31" s="41">
        <f t="shared" ca="1" si="8"/>
        <v>113999.35649935532</v>
      </c>
      <c r="L31" s="41"/>
      <c r="M31" s="42">
        <f ca="1">IF(ISERROR(B31-2),"",C31+D31-F31-G31-K31+SUM($L$14:L31))</f>
        <v>490947.61950064718</v>
      </c>
      <c r="O31" s="3">
        <v>46141.625</v>
      </c>
      <c r="P31" s="4">
        <v>309.58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46141.625</v>
      </c>
      <c r="V31" s="3">
        <f t="shared" si="1"/>
        <v>46141.625</v>
      </c>
      <c r="W31" s="3">
        <v>46171.625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74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7">
        <f t="shared" ca="1" si="3"/>
        <v>46150.625</v>
      </c>
      <c r="B32" s="38">
        <f ca="1">IF(COUNTIF($W$2:W1017,A32)=1,VLOOKUP(A32,O:P,2), IF(COUNTIF($W$2:W1017,A32)=0,$B$9,""))</f>
        <v>312.38</v>
      </c>
      <c r="C32" s="2">
        <f t="shared" ca="1" si="4"/>
        <v>604404.0000000007</v>
      </c>
      <c r="D32" s="41"/>
      <c r="E32" s="38">
        <f ca="1">IF(COUNTIF($W$2:W1017,A32)=1,VLOOKUP(A32,Q:R,2), IF(COUNTIF($W$2:W1017,A32)=0,$C$9,""))</f>
        <v>99.58</v>
      </c>
      <c r="F32" s="2">
        <f t="shared" ca="1" si="5"/>
        <v>-50440.000000000677</v>
      </c>
      <c r="G32" s="41">
        <f t="shared" ca="1" si="6"/>
        <v>144.94133333333593</v>
      </c>
      <c r="H32" s="38">
        <f ca="1">IF(COUNTIF($W$2:W1017,A32)=1,VLOOKUP(A32,S:T,2), IF(COUNTIF($W$2:W1017,A32)=0,$D$9,""))</f>
        <v>277.74599999999998</v>
      </c>
      <c r="I32" s="39">
        <f ca="1">IF(COUNTIF($X$2:X1017,INT(A32))=1,VLOOKUP(INT(A32),X:Y,2), IF(ISERROR(H32-2),"",I31*(1-$D$8*(H32-H31)*0.0001)))</f>
        <v>265.83870000000002</v>
      </c>
      <c r="J32" s="39">
        <f t="shared" ca="1" si="7"/>
        <v>265.83870000000002</v>
      </c>
      <c r="K32" s="41">
        <f t="shared" ca="1" si="8"/>
        <v>117411.19691119937</v>
      </c>
      <c r="L32" s="41"/>
      <c r="M32" s="42">
        <f ca="1">IF(ISERROR(B32-2),"",C32+D32-F32-G32-K32+SUM($L$14:L32))</f>
        <v>537287.86175546865</v>
      </c>
      <c r="O32" s="3">
        <v>46142.625</v>
      </c>
      <c r="P32" s="4">
        <v>310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46142.625</v>
      </c>
      <c r="V32" s="3">
        <f t="shared" si="1"/>
        <v>46142.625</v>
      </c>
      <c r="W32" s="3">
        <v>46174.625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74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7">
        <f t="shared" ca="1" si="3"/>
        <v>46154.625</v>
      </c>
      <c r="B33" s="38">
        <f ca="1">IF(COUNTIF($W$2:W1018,A33)=1,VLOOKUP(A33,O:P,2), IF(COUNTIF($W$2:W1018,A33)=0,$B$9,""))</f>
        <v>311.7</v>
      </c>
      <c r="C33" s="2">
        <f t="shared" ca="1" si="4"/>
        <v>537900</v>
      </c>
      <c r="D33" s="41"/>
      <c r="E33" s="38">
        <f ca="1">IF(COUNTIF($W$2:W1018,A33)=1,VLOOKUP(A33,Q:R,2), IF(COUNTIF($W$2:W1018,A33)=0,$C$9,""))</f>
        <v>99.322999999999993</v>
      </c>
      <c r="F33" s="2">
        <f t="shared" ca="1" si="5"/>
        <v>-117260.00000000199</v>
      </c>
      <c r="G33" s="41">
        <f t="shared" ca="1" si="6"/>
        <v>160.61066666666011</v>
      </c>
      <c r="H33" s="38">
        <f ca="1">IF(COUNTIF($W$2:W1018,A33)=1,VLOOKUP(A33,S:T,2), IF(COUNTIF($W$2:W1018,A33)=0,$D$9,""))</f>
        <v>283.721</v>
      </c>
      <c r="I33" s="39">
        <f ca="1">IF(COUNTIF($X$2:X1018,INT(A33))=1,VLOOKUP(INT(A33),X:Y,2), IF(ISERROR(H33-2),"",I32*(1-$D$8*(H33-H32)*0.0001)))</f>
        <v>265.19240000000002</v>
      </c>
      <c r="J33" s="39">
        <f t="shared" ca="1" si="7"/>
        <v>265.19240000000002</v>
      </c>
      <c r="K33" s="41">
        <f t="shared" ca="1" si="8"/>
        <v>71662.805662807339</v>
      </c>
      <c r="L33" s="41"/>
      <c r="M33" s="42">
        <f ca="1">IF(ISERROR(B33-2),"",C33+D33-F33-G33-K33+SUM($L$14:L33))</f>
        <v>583336.58367052802</v>
      </c>
      <c r="O33" s="3">
        <v>46146.625</v>
      </c>
      <c r="P33" s="4">
        <v>310.38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 t="str">
        <f t="shared" si="0"/>
        <v/>
      </c>
      <c r="V33" s="3" t="str">
        <f t="shared" si="1"/>
        <v/>
      </c>
      <c r="W33" s="3">
        <v>46176.625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74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7">
        <f t="shared" ca="1" si="3"/>
        <v>46155.625</v>
      </c>
      <c r="B34" s="38">
        <f ca="1">IF(COUNTIF($W$2:W1019,A34)=1,VLOOKUP(A34,O:P,2), IF(COUNTIF($W$2:W1019,A34)=0,$B$9,""))</f>
        <v>311.88</v>
      </c>
      <c r="C34" s="2">
        <f t="shared" ca="1" si="4"/>
        <v>555504.0000000007</v>
      </c>
      <c r="D34" s="41"/>
      <c r="E34" s="38">
        <f ca="1">IF(COUNTIF($W$2:W1019,A34)=1,VLOOKUP(A34,Q:R,2), IF(COUNTIF($W$2:W1019,A34)=0,$C$9,""))</f>
        <v>99.292000000000002</v>
      </c>
      <c r="F34" s="2">
        <f t="shared" ca="1" si="5"/>
        <v>-125319.99999999983</v>
      </c>
      <c r="G34" s="41">
        <f t="shared" ca="1" si="6"/>
        <v>164.52799999999115</v>
      </c>
      <c r="H34" s="38">
        <f ca="1">IF(COUNTIF($W$2:W1019,A34)=1,VLOOKUP(A34,S:T,2), IF(COUNTIF($W$2:W1019,A34)=0,$D$9,""))</f>
        <v>280.03899999999999</v>
      </c>
      <c r="I34" s="39">
        <f ca="1">IF(COUNTIF($X$2:X1019,INT(A34))=1,VLOOKUP(INT(A34),X:Y,2), IF(ISERROR(H34-2),"",I33*(1-$D$8*(H34-H33)*0.0001)))</f>
        <v>265.76659999999998</v>
      </c>
      <c r="J34" s="39">
        <f t="shared" ca="1" si="7"/>
        <v>265.76659999999998</v>
      </c>
      <c r="K34" s="41">
        <f t="shared" ca="1" si="8"/>
        <v>112307.59330759221</v>
      </c>
      <c r="L34" s="41"/>
      <c r="M34" s="42">
        <f ca="1">IF(ISERROR(B34-2),"",C34+D34-F34-G34-K34+SUM($L$14:L34))</f>
        <v>568351.87869240833</v>
      </c>
      <c r="O34" s="3">
        <v>46147.625</v>
      </c>
      <c r="P34" s="4">
        <v>310.38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46147.625</v>
      </c>
      <c r="V34" s="3">
        <f t="shared" si="1"/>
        <v>46147.625</v>
      </c>
      <c r="W34" s="3">
        <v>46177.625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74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7">
        <f t="shared" ca="1" si="3"/>
        <v>46157.625</v>
      </c>
      <c r="B35" s="38">
        <f ca="1">IF(COUNTIF($W$2:W1020,A35)=1,VLOOKUP(A35,O:P,2), IF(COUNTIF($W$2:W1020,A35)=0,$B$9,""))</f>
        <v>311.48</v>
      </c>
      <c r="C35" s="2">
        <f t="shared" ca="1" si="4"/>
        <v>516384.00000000291</v>
      </c>
      <c r="D35" s="41"/>
      <c r="E35" s="38">
        <f ca="1">IF(COUNTIF($W$2:W1020,A35)=1,VLOOKUP(A35,Q:R,2), IF(COUNTIF($W$2:W1020,A35)=0,$C$9,""))</f>
        <v>99.259</v>
      </c>
      <c r="F35" s="2">
        <f t="shared" ca="1" si="5"/>
        <v>-133900.00000000015</v>
      </c>
      <c r="G35" s="41">
        <f t="shared" ca="1" si="6"/>
        <v>172.36266666666779</v>
      </c>
      <c r="H35" s="38">
        <f ca="1">IF(COUNTIF($W$2:W1020,A35)=1,VLOOKUP(A35,S:T,2), IF(COUNTIF($W$2:W1020,A35)=0,$D$9,""))</f>
        <v>280.37200000000001</v>
      </c>
      <c r="I35" s="39">
        <f ca="1">IF(COUNTIF($X$2:X1020,INT(A35))=1,VLOOKUP(INT(A35),X:Y,2), IF(ISERROR(H35-2),"",I34*(1-$D$8*(H35-H34)*0.0001)))</f>
        <v>265.51639999999998</v>
      </c>
      <c r="J35" s="39">
        <f t="shared" ca="1" si="7"/>
        <v>265.51639999999998</v>
      </c>
      <c r="K35" s="41">
        <f t="shared" ca="1" si="8"/>
        <v>94597.168597164811</v>
      </c>
      <c r="L35" s="41"/>
      <c r="M35" s="42">
        <f ca="1">IF(ISERROR(B35-2),"",C35+D35-F35-G35-K35+SUM($L$14:L35))</f>
        <v>555514.46873617161</v>
      </c>
      <c r="O35" s="3">
        <v>46148.625</v>
      </c>
      <c r="P35" s="4">
        <v>311.94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46148.625</v>
      </c>
      <c r="V35" s="3">
        <f t="shared" si="1"/>
        <v>46148.625</v>
      </c>
      <c r="W35" s="3">
        <v>46182.625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74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7">
        <f t="shared" ca="1" si="3"/>
        <v>46161.625</v>
      </c>
      <c r="B36" s="38">
        <f ca="1">IF(COUNTIF($W$2:W1021,A36)=1,VLOOKUP(A36,O:P,2), IF(COUNTIF($W$2:W1021,A36)=0,$B$9,""))</f>
        <v>311.22000000000003</v>
      </c>
      <c r="C36" s="2">
        <f t="shared" ca="1" si="4"/>
        <v>490956.00000000378</v>
      </c>
      <c r="D36" s="41"/>
      <c r="E36" s="38">
        <f ca="1">IF(COUNTIF($W$2:W1021,A36)=1,VLOOKUP(A36,Q:R,2), IF(COUNTIF($W$2:W1021,A36)=0,$C$9,""))</f>
        <v>99.180999999999997</v>
      </c>
      <c r="F36" s="2">
        <f t="shared" ca="1" si="5"/>
        <v>-154180.0000000009</v>
      </c>
      <c r="G36" s="41">
        <f t="shared" ca="1" si="6"/>
        <v>188.03200000000652</v>
      </c>
      <c r="H36" s="38">
        <f ca="1">IF(COUNTIF($W$2:W1021,A36)=1,VLOOKUP(A36,S:T,2), IF(COUNTIF($W$2:W1021,A36)=0,$D$9,""))</f>
        <v>285.488</v>
      </c>
      <c r="I36" s="39">
        <f ca="1">IF(COUNTIF($X$2:X1021,INT(A36))=1,VLOOKUP(INT(A36),X:Y,2), IF(ISERROR(H36-2),"",I35*(1-$D$8*(H36-H35)*0.0001)))</f>
        <v>265.08920000000001</v>
      </c>
      <c r="J36" s="39">
        <f t="shared" ca="1" si="7"/>
        <v>265.08920000000001</v>
      </c>
      <c r="K36" s="41">
        <f t="shared" ca="1" si="8"/>
        <v>64357.786357786084</v>
      </c>
      <c r="L36" s="41"/>
      <c r="M36" s="42">
        <f ca="1">IF(ISERROR(B36-2),"",C36+D36-F36-G36-K36+SUM($L$14:L36))</f>
        <v>580590.18164221861</v>
      </c>
      <c r="O36" s="3">
        <v>46149.625</v>
      </c>
      <c r="P36" s="4">
        <v>312.06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46149.625</v>
      </c>
      <c r="V36" s="3">
        <f t="shared" si="1"/>
        <v>46149.625</v>
      </c>
      <c r="W36" s="3">
        <v>46188.625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74">
        <v>45827</v>
      </c>
      <c r="AC36" s="4">
        <v>313.43900000000002</v>
      </c>
      <c r="AD36" s="6">
        <f t="shared" si="2"/>
        <v>45827</v>
      </c>
    </row>
    <row r="37" spans="1:30" x14ac:dyDescent="0.25">
      <c r="A37" s="37">
        <f t="shared" ca="1" si="3"/>
        <v>46162.625</v>
      </c>
      <c r="B37" s="38">
        <f ca="1">IF(COUNTIF($W$2:W1022,A37)=1,VLOOKUP(A37,O:P,2), IF(COUNTIF($W$2:W1022,A37)=0,$B$9,""))</f>
        <v>311.52</v>
      </c>
      <c r="C37" s="2">
        <f t="shared" ca="1" si="4"/>
        <v>520295.99999999936</v>
      </c>
      <c r="D37" s="41"/>
      <c r="E37" s="38">
        <f ca="1">IF(COUNTIF($W$2:W1022,A37)=1,VLOOKUP(A37,Q:R,2), IF(COUNTIF($W$2:W1022,A37)=0,$C$9,""))</f>
        <v>99.39</v>
      </c>
      <c r="F37" s="2">
        <f t="shared" ca="1" si="5"/>
        <v>-99840.000000000087</v>
      </c>
      <c r="G37" s="41">
        <f t="shared" ca="1" si="6"/>
        <v>191.94933333332301</v>
      </c>
      <c r="H37" s="38">
        <f ca="1">IF(COUNTIF($W$2:W1022,A37)=1,VLOOKUP(A37,S:T,2), IF(COUNTIF($W$2:W1022,A37)=0,$D$9,""))</f>
        <v>278.315</v>
      </c>
      <c r="I37" s="39">
        <f ca="1">IF(COUNTIF($X$2:X1022,INT(A37))=1,VLOOKUP(INT(A37),X:Y,2), IF(ISERROR(H37-2),"",I36*(1-$D$8*(H37-H36)*0.0001)))</f>
        <v>266.18329999999997</v>
      </c>
      <c r="J37" s="39">
        <f t="shared" ca="1" si="7"/>
        <v>266.18329999999997</v>
      </c>
      <c r="K37" s="41">
        <f t="shared" ca="1" si="8"/>
        <v>141803.73230372972</v>
      </c>
      <c r="L37" s="41"/>
      <c r="M37" s="42">
        <f ca="1">IF(ISERROR(B37-2),"",C37+D37-F37-G37-K37+SUM($L$14:L37))</f>
        <v>478140.31836293638</v>
      </c>
      <c r="O37" s="3">
        <v>46150.625</v>
      </c>
      <c r="P37" s="4">
        <v>312.38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46150.625</v>
      </c>
      <c r="V37" s="3">
        <f t="shared" si="1"/>
        <v>46150.625</v>
      </c>
      <c r="W37" s="3">
        <v>46189.625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74">
        <v>45828</v>
      </c>
      <c r="AC37" s="4">
        <v>304.02</v>
      </c>
      <c r="AD37" s="6">
        <f t="shared" si="2"/>
        <v>45828</v>
      </c>
    </row>
    <row r="38" spans="1:30" x14ac:dyDescent="0.25">
      <c r="A38" s="37">
        <f t="shared" ca="1" si="3"/>
        <v>46163.625</v>
      </c>
      <c r="B38" s="38">
        <f ca="1">IF(COUNTIF($W$2:W1023,A38)=1,VLOOKUP(A38,O:P,2), IF(COUNTIF($W$2:W1023,A38)=0,$B$9,""))</f>
        <v>311.18</v>
      </c>
      <c r="C38" s="2">
        <f t="shared" ca="1" si="4"/>
        <v>487044.0000000018</v>
      </c>
      <c r="D38" s="41"/>
      <c r="E38" s="38">
        <f ca="1">IF(COUNTIF($W$2:W1023,A38)=1,VLOOKUP(A38,Q:R,2), IF(COUNTIF($W$2:W1023,A38)=0,$C$9,""))</f>
        <v>99.37</v>
      </c>
      <c r="F38" s="2">
        <f t="shared" ca="1" si="5"/>
        <v>-105039.99999999905</v>
      </c>
      <c r="G38" s="41">
        <f t="shared" ca="1" si="6"/>
        <v>195.86666666666861</v>
      </c>
      <c r="H38" s="38">
        <f ca="1">IF(COUNTIF($W$2:W1023,A38)=1,VLOOKUP(A38,S:T,2), IF(COUNTIF($W$2:W1023,A38)=0,$D$9,""))</f>
        <v>279.541</v>
      </c>
      <c r="I38" s="39">
        <f ca="1">IF(COUNTIF($X$2:X1023,INT(A38))=1,VLOOKUP(INT(A38),X:Y,2), IF(ISERROR(H38-2),"",I37*(1-$D$8*(H38-H37)*0.0001)))</f>
        <v>265.81610000000001</v>
      </c>
      <c r="J38" s="39">
        <f t="shared" ca="1" si="7"/>
        <v>265.81610000000001</v>
      </c>
      <c r="K38" s="41">
        <f t="shared" ca="1" si="8"/>
        <v>115811.45431145377</v>
      </c>
      <c r="L38" s="41"/>
      <c r="M38" s="42">
        <f ca="1">IF(ISERROR(B38-2),"",C38+D38-F38-G38-K38+SUM($L$14:L38))</f>
        <v>476076.67902188038</v>
      </c>
      <c r="O38" s="3">
        <v>46154.625</v>
      </c>
      <c r="P38" s="4">
        <v>311.7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46154.625</v>
      </c>
      <c r="V38" s="3">
        <f t="shared" si="1"/>
        <v>46154.625</v>
      </c>
      <c r="W38" s="3">
        <v>46190.625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74">
        <v>45831</v>
      </c>
      <c r="AC38" s="4">
        <v>307.142</v>
      </c>
      <c r="AD38" s="6">
        <f t="shared" si="2"/>
        <v>45831</v>
      </c>
    </row>
    <row r="39" spans="1:30" x14ac:dyDescent="0.25">
      <c r="A39" s="37">
        <f t="shared" ca="1" si="3"/>
        <v>46168.625</v>
      </c>
      <c r="B39" s="38">
        <f ca="1">IF(COUNTIF($W$2:W1024,A39)=1,VLOOKUP(A39,O:P,2), IF(COUNTIF($W$2:W1024,A39)=0,$B$9,""))</f>
        <v>312.5</v>
      </c>
      <c r="C39" s="2">
        <f t="shared" ca="1" si="4"/>
        <v>616140.00000000116</v>
      </c>
      <c r="D39" s="41"/>
      <c r="E39" s="38">
        <f ca="1">IF(COUNTIF($W$2:W1024,A39)=1,VLOOKUP(A39,Q:R,2), IF(COUNTIF($W$2:W1024,A39)=0,$C$9,""))</f>
        <v>99.56</v>
      </c>
      <c r="F39" s="2">
        <f t="shared" ca="1" si="5"/>
        <v>-55639.999999999651</v>
      </c>
      <c r="G39" s="41">
        <f t="shared" ca="1" si="6"/>
        <v>215.45333333332383</v>
      </c>
      <c r="H39" s="38">
        <f ca="1">IF(COUNTIF($W$2:W1024,A39)=1,VLOOKUP(A39,S:T,2), IF(COUNTIF($W$2:W1024,A39)=0,$D$9,""))</f>
        <v>268.83499999999998</v>
      </c>
      <c r="I39" s="39">
        <f ca="1">IF(COUNTIF($X$2:X1024,INT(A39))=1,VLOOKUP(INT(A39),X:Y,2), IF(ISERROR(H39-2),"",I38*(1-$D$8*(H39-H38)*0.0001)))</f>
        <v>267.40750000000003</v>
      </c>
      <c r="J39" s="39">
        <f t="shared" ca="1" si="7"/>
        <v>267.40750000000003</v>
      </c>
      <c r="K39" s="41">
        <f t="shared" ca="1" si="8"/>
        <v>228458.81595881886</v>
      </c>
      <c r="L39" s="41"/>
      <c r="M39" s="42">
        <f ca="1">IF(ISERROR(B39-2),"",C39+D39-F39-G39-K39+SUM($L$14:L39))</f>
        <v>443105.73070784856</v>
      </c>
      <c r="O39" s="3">
        <v>46155.625</v>
      </c>
      <c r="P39" s="4">
        <v>311.88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46155.625</v>
      </c>
      <c r="V39" s="3">
        <f t="shared" si="1"/>
        <v>46155.625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74">
        <v>45832</v>
      </c>
      <c r="AC39" s="4">
        <v>291.75099999999998</v>
      </c>
      <c r="AD39" s="6">
        <f t="shared" si="2"/>
        <v>45832</v>
      </c>
    </row>
    <row r="40" spans="1:30" x14ac:dyDescent="0.25">
      <c r="A40" s="37">
        <f t="shared" ca="1" si="3"/>
        <v>46169.625</v>
      </c>
      <c r="B40" s="38">
        <f ca="1">IF(COUNTIF($W$2:W1025,A40)=1,VLOOKUP(A40,O:P,2), IF(COUNTIF($W$2:W1025,A40)=0,$B$9,""))</f>
        <v>312.83999999999997</v>
      </c>
      <c r="C40" s="2">
        <f t="shared" ca="1" si="4"/>
        <v>649391.99999999872</v>
      </c>
      <c r="D40" s="41"/>
      <c r="E40" s="38">
        <f ca="1">IF(COUNTIF($W$2:W1025,A40)=1,VLOOKUP(A40,Q:R,2), IF(COUNTIF($W$2:W1025,A40)=0,$C$9,""))</f>
        <v>99.588999999999999</v>
      </c>
      <c r="F40" s="2">
        <f t="shared" ca="1" si="5"/>
        <v>-48100.000000000589</v>
      </c>
      <c r="G40" s="41">
        <f t="shared" ca="1" si="6"/>
        <v>219.37066666665487</v>
      </c>
      <c r="H40" s="38">
        <f ca="1">IF(COUNTIF($W$2:W1025,A40)=1,VLOOKUP(A40,S:T,2), IF(COUNTIF($W$2:W1025,A40)=0,$D$9,""))</f>
        <v>266.55900000000003</v>
      </c>
      <c r="I40" s="39">
        <f ca="1">IF(COUNTIF($X$2:X1025,INT(A40))=1,VLOOKUP(INT(A40),X:Y,2), IF(ISERROR(H40-2),"",I39*(1-$D$8*(H40-H39)*0.0001)))</f>
        <v>267.66390000000001</v>
      </c>
      <c r="J40" s="39">
        <f t="shared" ca="1" si="7"/>
        <v>267.66390000000001</v>
      </c>
      <c r="K40" s="41">
        <f t="shared" ca="1" si="8"/>
        <v>246608.10810810883</v>
      </c>
      <c r="L40" s="41"/>
      <c r="M40" s="42">
        <f ca="1">IF(ISERROR(B40-2),"",C40+D40-F40-G40-K40+SUM($L$14:L40))</f>
        <v>450664.52122522378</v>
      </c>
      <c r="O40" s="3">
        <v>46157.625</v>
      </c>
      <c r="P40" s="4">
        <v>311.48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46157.625</v>
      </c>
      <c r="V40" s="3">
        <f t="shared" si="1"/>
        <v>46157.625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74">
        <v>45833</v>
      </c>
      <c r="AC40" s="4">
        <v>292.76</v>
      </c>
      <c r="AD40" s="6">
        <f t="shared" si="2"/>
        <v>45833</v>
      </c>
    </row>
    <row r="41" spans="1:30" x14ac:dyDescent="0.25">
      <c r="A41" s="37">
        <f t="shared" ca="1" si="3"/>
        <v>46170.625</v>
      </c>
      <c r="B41" s="38">
        <f ca="1">IF(COUNTIF($W$2:W1026,A41)=1,VLOOKUP(A41,O:P,2), IF(COUNTIF($W$2:W1026,A41)=0,$B$9,""))</f>
        <v>312.7</v>
      </c>
      <c r="C41" s="2">
        <f t="shared" ca="1" si="4"/>
        <v>635700</v>
      </c>
      <c r="D41" s="41"/>
      <c r="E41" s="38">
        <f ca="1">IF(COUNTIF($W$2:W1026,A41)=1,VLOOKUP(A41,Q:R,2), IF(COUNTIF($W$2:W1026,A41)=0,$C$9,""))</f>
        <v>99.653999999999996</v>
      </c>
      <c r="F41" s="2">
        <f t="shared" ca="1" si="5"/>
        <v>-31200.000000001182</v>
      </c>
      <c r="G41" s="41">
        <f t="shared" ca="1" si="6"/>
        <v>223.28800000000047</v>
      </c>
      <c r="H41" s="38">
        <f ca="1">IF(COUNTIF($W$2:W1026,A41)=1,VLOOKUP(A41,S:T,2), IF(COUNTIF($W$2:W1026,A41)=0,$D$9,""))</f>
        <v>264.23200000000003</v>
      </c>
      <c r="I41" s="39">
        <f ca="1">IF(COUNTIF($X$2:X1026,INT(A41))=1,VLOOKUP(INT(A41),X:Y,2), IF(ISERROR(H41-2),"",I40*(1-$D$8*(H41-H40)*0.0001)))</f>
        <v>268.21620000000001</v>
      </c>
      <c r="J41" s="39">
        <f t="shared" ca="1" si="7"/>
        <v>268.21620000000001</v>
      </c>
      <c r="K41" s="41">
        <f t="shared" ca="1" si="8"/>
        <v>285702.7027027033</v>
      </c>
      <c r="L41" s="41"/>
      <c r="M41" s="42">
        <f ca="1">IF(ISERROR(B41-2),"",C41+D41-F41-G41-K41+SUM($L$14:L41))</f>
        <v>380974.00929729792</v>
      </c>
      <c r="O41" s="3">
        <v>46161.625</v>
      </c>
      <c r="P41" s="4">
        <v>311.22000000000003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46161.625</v>
      </c>
      <c r="V41" s="3">
        <f t="shared" si="1"/>
        <v>46161.625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74">
        <v>45834</v>
      </c>
      <c r="AC41" s="4">
        <v>290.53100000000001</v>
      </c>
      <c r="AD41" s="6">
        <f t="shared" si="2"/>
        <v>45834</v>
      </c>
    </row>
    <row r="42" spans="1:30" x14ac:dyDescent="0.25">
      <c r="A42" s="37">
        <f t="shared" ca="1" si="3"/>
        <v>46171.625</v>
      </c>
      <c r="B42" s="38">
        <f ca="1">IF(COUNTIF($W$2:W1027,A42)=1,VLOOKUP(A42,O:P,2), IF(COUNTIF($W$2:W1027,A42)=0,$B$9,""))</f>
        <v>313.77999999999997</v>
      </c>
      <c r="C42" s="2">
        <f t="shared" ca="1" si="4"/>
        <v>741323.99999999849</v>
      </c>
      <c r="D42" s="41"/>
      <c r="E42" s="38">
        <f ca="1">IF(COUNTIF($W$2:W1027,A42)=1,VLOOKUP(A42,Q:R,2), IF(COUNTIF($W$2:W1027,A42)=0,$C$9,""))</f>
        <v>99.679000000000002</v>
      </c>
      <c r="F42" s="2">
        <f t="shared" ca="1" si="5"/>
        <v>-24699.999999999705</v>
      </c>
      <c r="G42" s="41">
        <f t="shared" ca="1" si="6"/>
        <v>227.20533333333151</v>
      </c>
      <c r="H42" s="38">
        <f ca="1">IF(COUNTIF($W$2:W1027,A42)=1,VLOOKUP(A42,S:T,2), IF(COUNTIF($W$2:W1027,A42)=0,$D$9,""))</f>
        <v>258.70600000000002</v>
      </c>
      <c r="I42" s="39">
        <f ca="1">IF(COUNTIF($X$2:X1027,INT(A42))=1,VLOOKUP(INT(A42),X:Y,2), IF(ISERROR(H42-2),"",I41*(1-$D$8*(H42-H41)*0.0001)))</f>
        <v>268.76229999999998</v>
      </c>
      <c r="J42" s="39">
        <f t="shared" ca="1" si="7"/>
        <v>268.76229999999998</v>
      </c>
      <c r="K42" s="41">
        <f t="shared" ca="1" si="8"/>
        <v>324358.42985842697</v>
      </c>
      <c r="L42" s="41"/>
      <c r="M42" s="42">
        <f ca="1">IF(ISERROR(B42-2),"",C42+D42-F42-G42-K42+SUM($L$14:L42))</f>
        <v>441438.36480823782</v>
      </c>
      <c r="O42" s="3">
        <v>46162.625</v>
      </c>
      <c r="P42" s="4">
        <v>311.52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46162.625</v>
      </c>
      <c r="V42" s="3">
        <f t="shared" si="1"/>
        <v>46162.625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74">
        <v>45835</v>
      </c>
      <c r="AC42" s="4">
        <v>284.21499999999997</v>
      </c>
      <c r="AD42" s="6">
        <f t="shared" si="2"/>
        <v>45835</v>
      </c>
    </row>
    <row r="43" spans="1:30" x14ac:dyDescent="0.25">
      <c r="A43" s="37">
        <f t="shared" ca="1" si="3"/>
        <v>46174.625</v>
      </c>
      <c r="B43" s="38">
        <f ca="1">IF(COUNTIF($W$2:W1028,A43)=1,VLOOKUP(A43,O:P,2), IF(COUNTIF($W$2:W1028,A43)=0,$B$9,""))</f>
        <v>312.83999999999997</v>
      </c>
      <c r="C43" s="2">
        <f t="shared" ca="1" si="4"/>
        <v>649391.99999999872</v>
      </c>
      <c r="D43" s="41"/>
      <c r="E43" s="38">
        <f ca="1">IF(COUNTIF($W$2:W1028,A43)=1,VLOOKUP(A43,Q:R,2), IF(COUNTIF($W$2:W1028,A43)=0,$C$9,""))</f>
        <v>99.450999999999993</v>
      </c>
      <c r="F43" s="2">
        <f t="shared" ca="1" si="5"/>
        <v>-83980.00000000195</v>
      </c>
      <c r="G43" s="41">
        <f t="shared" ca="1" si="6"/>
        <v>238.95733333332464</v>
      </c>
      <c r="H43" s="38">
        <f ca="1">IF(COUNTIF($W$2:W1028,A43)=1,VLOOKUP(A43,S:T,2), IF(COUNTIF($W$2:W1028,A43)=0,$D$9,""))</f>
        <v>265.43599999999998</v>
      </c>
      <c r="I43" s="39">
        <f ca="1">IF(COUNTIF($X$2:X1028,INT(A43))=1,VLOOKUP(INT(A43),X:Y,2), IF(ISERROR(H43-2),"",I42*(1-$D$8*(H43-H42)*0.0001)))</f>
        <v>268.39839999999998</v>
      </c>
      <c r="J43" s="39">
        <f t="shared" ca="1" si="7"/>
        <v>268.39839999999998</v>
      </c>
      <c r="K43" s="41">
        <f t="shared" ca="1" si="8"/>
        <v>298599.74259974121</v>
      </c>
      <c r="L43" s="41"/>
      <c r="M43" s="42">
        <f ca="1">IF(ISERROR(B43-2),"",C43+D43-F43-G43-K43+SUM($L$14:L43))</f>
        <v>434533.30006692617</v>
      </c>
      <c r="O43" s="3">
        <v>46163.625</v>
      </c>
      <c r="P43" s="4">
        <v>311.18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46163.625</v>
      </c>
      <c r="V43" s="3">
        <f t="shared" si="1"/>
        <v>46163.625</v>
      </c>
      <c r="X43" s="3">
        <v>46099</v>
      </c>
      <c r="Y43" s="5">
        <v>258.3931</v>
      </c>
      <c r="Z43" s="3">
        <v>45838</v>
      </c>
      <c r="AA43" s="4">
        <v>239.3235</v>
      </c>
      <c r="AB43" s="74">
        <v>45838</v>
      </c>
      <c r="AC43" s="4">
        <v>282.54000000000002</v>
      </c>
      <c r="AD43" s="6">
        <f t="shared" si="2"/>
        <v>45838</v>
      </c>
    </row>
    <row r="44" spans="1:30" x14ac:dyDescent="0.25">
      <c r="A44" s="37">
        <f t="shared" ca="1" si="3"/>
        <v>46176.625</v>
      </c>
      <c r="B44" s="38">
        <f ca="1">IF(COUNTIF($W$2:W1029,A44)=1,VLOOKUP(A44,O:P,2), IF(COUNTIF($W$2:W1029,A44)=0,$B$9,""))</f>
        <v>313.08</v>
      </c>
      <c r="C44" s="2">
        <f t="shared" ca="1" si="4"/>
        <v>672863.99999999953</v>
      </c>
      <c r="D44" s="41"/>
      <c r="E44" s="38">
        <f ca="1">IF(COUNTIF($W$2:W1029,A44)=1,VLOOKUP(A44,Q:R,2), IF(COUNTIF($W$2:W1029,A44)=0,$C$9,""))</f>
        <v>99.421999999999997</v>
      </c>
      <c r="F44" s="2">
        <f t="shared" ca="1" si="5"/>
        <v>-91520.000000001004</v>
      </c>
      <c r="G44" s="41">
        <f t="shared" ca="1" si="6"/>
        <v>246.79199999998673</v>
      </c>
      <c r="H44" s="38">
        <f ca="1">IF(COUNTIF($W$2:W1029,A44)=1,VLOOKUP(A44,S:T,2), IF(COUNTIF($W$2:W1029,A44)=0,$D$9,""))</f>
        <v>261.79599999999999</v>
      </c>
      <c r="I44" s="39">
        <f ca="1">IF(COUNTIF($X$2:X1029,INT(A44))=1,VLOOKUP(INT(A44),X:Y,2), IF(ISERROR(H44-2),"",I43*(1-$D$8*(H44-H43)*0.0001)))</f>
        <v>268.40789999999998</v>
      </c>
      <c r="J44" s="39">
        <f t="shared" ca="1" si="7"/>
        <v>268.40789999999998</v>
      </c>
      <c r="K44" s="41">
        <f t="shared" ca="1" si="8"/>
        <v>299272.20077219815</v>
      </c>
      <c r="L44" s="41"/>
      <c r="M44" s="42">
        <f ca="1">IF(ISERROR(B44-2),"",C44+D44-F44-G44-K44+SUM($L$14:L44))</f>
        <v>464865.00722780242</v>
      </c>
      <c r="O44" s="3">
        <v>46167.625</v>
      </c>
      <c r="P44" s="4">
        <v>313.02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 t="str">
        <f t="shared" si="0"/>
        <v/>
      </c>
      <c r="V44" s="3" t="str">
        <f t="shared" si="1"/>
        <v/>
      </c>
      <c r="X44" s="3">
        <v>46100</v>
      </c>
      <c r="Y44" s="5">
        <v>257.0634</v>
      </c>
      <c r="Z44" s="3">
        <v>45839</v>
      </c>
      <c r="AA44" s="4">
        <v>239.28819999999999</v>
      </c>
      <c r="AB44" s="74">
        <v>45839</v>
      </c>
      <c r="AC44" s="4">
        <v>282.95999999999998</v>
      </c>
      <c r="AD44" s="6">
        <f t="shared" si="2"/>
        <v>45839</v>
      </c>
    </row>
    <row r="45" spans="1:30" x14ac:dyDescent="0.25">
      <c r="A45" s="37">
        <f t="shared" ca="1" si="3"/>
        <v>46177.625</v>
      </c>
      <c r="B45" s="38">
        <f ca="1">IF(COUNTIF($W$2:W1030,A45)=1,VLOOKUP(A45,O:P,2), IF(COUNTIF($W$2:W1030,A45)=0,$B$9,""))</f>
        <v>313.04000000000002</v>
      </c>
      <c r="C45" s="2">
        <f t="shared" ca="1" si="4"/>
        <v>668952.00000000314</v>
      </c>
      <c r="D45" s="41"/>
      <c r="E45" s="38">
        <f ca="1">IF(COUNTIF($W$2:W1030,A45)=1,VLOOKUP(A45,Q:R,2), IF(COUNTIF($W$2:W1030,A45)=0,$C$9,""))</f>
        <v>99.430999999999997</v>
      </c>
      <c r="F45" s="2">
        <f t="shared" ca="1" si="5"/>
        <v>-89180.000000000917</v>
      </c>
      <c r="G45" s="41">
        <f t="shared" ca="1" si="6"/>
        <v>250.70933333333232</v>
      </c>
      <c r="H45" s="38">
        <f ca="1">IF(COUNTIF($W$2:W1030,A45)=1,VLOOKUP(A45,S:T,2), IF(COUNTIF($W$2:W1030,A45)=0,$D$9,""))</f>
        <v>261.392</v>
      </c>
      <c r="I45" s="39">
        <f ca="1">IF(COUNTIF($X$2:X1030,INT(A45))=1,VLOOKUP(INT(A45),X:Y,2), IF(ISERROR(H45-2),"",I44*(1-$D$8*(H45-H44)*0.0001)))</f>
        <v>268.64510000000001</v>
      </c>
      <c r="J45" s="39">
        <f t="shared" ca="1" si="7"/>
        <v>268.64510000000001</v>
      </c>
      <c r="K45" s="41">
        <f t="shared" ca="1" si="8"/>
        <v>316062.41956242156</v>
      </c>
      <c r="L45" s="41"/>
      <c r="M45" s="42">
        <f ca="1">IF(ISERROR(B45-2),"",C45+D45-F45-G45-K45+SUM($L$14:L45))</f>
        <v>441818.87110424921</v>
      </c>
      <c r="O45" s="3">
        <v>46168.625</v>
      </c>
      <c r="P45" s="4">
        <v>312.5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46168.625</v>
      </c>
      <c r="V45" s="3">
        <f t="shared" si="1"/>
        <v>46168.625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74">
        <v>45840</v>
      </c>
      <c r="AC45" s="4">
        <v>283.459</v>
      </c>
      <c r="AD45" s="6">
        <f t="shared" si="2"/>
        <v>45840</v>
      </c>
    </row>
    <row r="46" spans="1:30" x14ac:dyDescent="0.25">
      <c r="A46" s="37">
        <f t="shared" ca="1" si="3"/>
        <v>46182.625</v>
      </c>
      <c r="B46" s="38">
        <f ca="1">IF(COUNTIF($W$2:W1031,A46)=1,VLOOKUP(A46,O:P,2), IF(COUNTIF($W$2:W1031,A46)=0,$B$9,""))</f>
        <v>313.3</v>
      </c>
      <c r="C46" s="2">
        <f t="shared" ca="1" si="4"/>
        <v>694380.00000000221</v>
      </c>
      <c r="D46" s="41"/>
      <c r="E46" s="38">
        <f ca="1">IF(COUNTIF($W$2:W1031,A46)=1,VLOOKUP(A46,Q:R,2), IF(COUNTIF($W$2:W1031,A46)=0,$C$9,""))</f>
        <v>99.396000000000001</v>
      </c>
      <c r="F46" s="2">
        <f t="shared" ca="1" si="5"/>
        <v>-98280.000000000029</v>
      </c>
      <c r="G46" s="41">
        <f t="shared" ca="1" si="6"/>
        <v>270.29599999998754</v>
      </c>
      <c r="H46" s="38">
        <f ca="1">IF(COUNTIF($W$2:W1031,A46)=1,VLOOKUP(A46,S:T,2), IF(COUNTIF($W$2:W1031,A46)=0,$D$9,""))</f>
        <v>261.05</v>
      </c>
      <c r="I46" s="39">
        <f ca="1">IF(COUNTIF($X$2:X1031,INT(A46))=1,VLOOKUP(INT(A46),X:Y,2), IF(ISERROR(H46-2),"",I45*(1-$D$8*(H46-H45)*0.0001)))</f>
        <v>268.3329</v>
      </c>
      <c r="J46" s="39">
        <f t="shared" ca="1" si="7"/>
        <v>268.3329</v>
      </c>
      <c r="K46" s="41">
        <f t="shared" ca="1" si="8"/>
        <v>293963.32046331867</v>
      </c>
      <c r="L46" s="41"/>
      <c r="M46" s="42">
        <f ca="1">IF(ISERROR(B46-2),"",C46+D46-F46-G46-K46+SUM($L$14:L46))</f>
        <v>498426.38353668357</v>
      </c>
      <c r="O46" s="3">
        <v>46169.625</v>
      </c>
      <c r="P46" s="4">
        <v>312.83999999999997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46169.625</v>
      </c>
      <c r="V46" s="3">
        <f t="shared" si="1"/>
        <v>46169.625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74">
        <v>45841</v>
      </c>
      <c r="AC46" s="4">
        <v>278.322</v>
      </c>
      <c r="AD46" s="6">
        <f t="shared" si="2"/>
        <v>45841</v>
      </c>
    </row>
    <row r="47" spans="1:30" x14ac:dyDescent="0.25">
      <c r="A47" s="37">
        <f t="shared" ca="1" si="3"/>
        <v>46188.625</v>
      </c>
      <c r="B47" s="38">
        <f ca="1">IF(COUNTIF($W$2:W1032,A47)=1,VLOOKUP(A47,O:P,2), IF(COUNTIF($W$2:W1032,A47)=0,$B$9,""))</f>
        <v>314.27999999999997</v>
      </c>
      <c r="C47" s="2">
        <f t="shared" ca="1" si="4"/>
        <v>790223.99999999849</v>
      </c>
      <c r="D47" s="41"/>
      <c r="E47" s="38">
        <f ca="1">IF(COUNTIF($W$2:W1032,A47)=1,VLOOKUP(A47,Q:R,2), IF(COUNTIF($W$2:W1032,A47)=0,$C$9,""))</f>
        <v>99.631</v>
      </c>
      <c r="F47" s="2">
        <f t="shared" ca="1" si="5"/>
        <v>-37180.000000000175</v>
      </c>
      <c r="G47" s="41">
        <f t="shared" ca="1" si="6"/>
        <v>293.80000000000291</v>
      </c>
      <c r="H47" s="38">
        <f ca="1">IF(COUNTIF($W$2:W1032,A47)=1,VLOOKUP(A47,S:T,2), IF(COUNTIF($W$2:W1032,A47)=0,$D$9,""))</f>
        <v>248.518</v>
      </c>
      <c r="I47" s="39">
        <f ca="1">IF(COUNTIF($X$2:X1032,INT(A47))=1,VLOOKUP(INT(A47),X:Y,2), IF(ISERROR(H47-2),"",I46*(1-$D$8*(H47-H46)*0.0001)))</f>
        <v>270.47059999999999</v>
      </c>
      <c r="J47" s="39">
        <f t="shared" ca="1" si="7"/>
        <v>270.47059999999999</v>
      </c>
      <c r="K47" s="41">
        <f t="shared" ca="1" si="8"/>
        <v>445280.56628056424</v>
      </c>
      <c r="L47" s="41"/>
      <c r="M47" s="42">
        <f ca="1">IF(ISERROR(B47-2),"",C47+D47-F47-G47-K47+SUM($L$14:L47))</f>
        <v>381829.63371943432</v>
      </c>
      <c r="O47" s="3">
        <v>46170.625</v>
      </c>
      <c r="P47" s="4">
        <v>312.7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46170.625</v>
      </c>
      <c r="V47" s="3">
        <f t="shared" si="1"/>
        <v>46170.625</v>
      </c>
      <c r="X47" s="3">
        <v>46105</v>
      </c>
      <c r="Y47" s="5">
        <v>256.9957</v>
      </c>
      <c r="Z47" s="3">
        <v>45842</v>
      </c>
      <c r="AA47" s="4">
        <v>239.0291</v>
      </c>
      <c r="AB47" s="74">
        <v>45842</v>
      </c>
      <c r="AC47" s="4">
        <v>286.32499999999999</v>
      </c>
      <c r="AD47" s="6">
        <f t="shared" si="2"/>
        <v>45842</v>
      </c>
    </row>
    <row r="48" spans="1:30" x14ac:dyDescent="0.25">
      <c r="A48" s="37">
        <f t="shared" ca="1" si="3"/>
        <v>46189.625</v>
      </c>
      <c r="B48" s="38">
        <f ca="1">IF(COUNTIF($W$2:W1033,A48)=1,VLOOKUP(A48,O:P,2), IF(COUNTIF($W$2:W1033,A48)=0,$B$9,""))</f>
        <v>314.16000000000003</v>
      </c>
      <c r="C48" s="2">
        <f t="shared" ca="1" si="4"/>
        <v>778488.00000000361</v>
      </c>
      <c r="D48" s="41"/>
      <c r="E48" s="38">
        <f ca="1">IF(COUNTIF($W$2:W1033,A48)=1,VLOOKUP(A48,Q:R,2), IF(COUNTIF($W$2:W1033,A48)=0,$C$9,""))</f>
        <v>99.625</v>
      </c>
      <c r="F48" s="2">
        <f t="shared" ca="1" si="5"/>
        <v>-38740.00000000024</v>
      </c>
      <c r="G48" s="41">
        <f t="shared" ca="1" si="6"/>
        <v>297.71733333333395</v>
      </c>
      <c r="H48" s="38">
        <f ca="1">IF(COUNTIF($W$2:W1033,A48)=1,VLOOKUP(A48,S:T,2), IF(COUNTIF($W$2:W1033,A48)=0,$D$9,""))</f>
        <v>249.79400000000001</v>
      </c>
      <c r="I48" s="39">
        <f ca="1">IF(COUNTIF($X$2:X1033,INT(A48))=1,VLOOKUP(INT(A48),X:Y,2), IF(ISERROR(H48-2),"",I47*(1-$D$8*(H48-H47)*0.0001)))</f>
        <v>270.3356</v>
      </c>
      <c r="J48" s="39">
        <f t="shared" ca="1" si="7"/>
        <v>270.3356</v>
      </c>
      <c r="K48" s="41">
        <f t="shared" ca="1" si="8"/>
        <v>435724.58172458195</v>
      </c>
      <c r="L48" s="41"/>
      <c r="M48" s="42">
        <f ca="1">IF(ISERROR(B48-2),"",C48+D48-F48-G48-K48+SUM($L$14:L48))</f>
        <v>381205.70094208856</v>
      </c>
      <c r="O48" s="3">
        <v>46171.625</v>
      </c>
      <c r="P48" s="4">
        <v>313.77999999999997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46171.625</v>
      </c>
      <c r="V48" s="3">
        <f t="shared" si="1"/>
        <v>46171.625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74">
        <v>45845</v>
      </c>
      <c r="AC48" s="4">
        <v>282.00400000000002</v>
      </c>
      <c r="AD48" s="6">
        <f t="shared" si="2"/>
        <v>45845</v>
      </c>
    </row>
    <row r="49" spans="1:34" x14ac:dyDescent="0.25">
      <c r="A49" s="37">
        <f t="shared" ca="1" si="3"/>
        <v>46190.625</v>
      </c>
      <c r="B49" s="38">
        <f ca="1">IF(COUNTIF($W$2:W1034,A49)=1,VLOOKUP(A49,O:P,2), IF(COUNTIF($W$2:W1034,A49)=0,$B$9,""))</f>
        <v>313.66000000000003</v>
      </c>
      <c r="C49" s="2">
        <f t="shared" ca="1" si="4"/>
        <v>729588.00000000361</v>
      </c>
      <c r="D49" s="41"/>
      <c r="E49" s="38">
        <f ca="1">IF(COUNTIF($W$2:W1034,A49)=1,VLOOKUP(A49,Q:R,2), IF(COUNTIF($W$2:W1034,A49)=0,$C$9,""))</f>
        <v>99.600999999999999</v>
      </c>
      <c r="F49" s="2">
        <f t="shared" ca="1" si="5"/>
        <v>-44980.000000000473</v>
      </c>
      <c r="G49" s="41">
        <f t="shared" ca="1" si="6"/>
        <v>301.63466666665045</v>
      </c>
      <c r="H49" s="38">
        <f ca="1">IF(COUNTIF($W$2:W1034,A49)=1,VLOOKUP(A49,S:T,2), IF(COUNTIF($W$2:W1034,A49)=0,$D$9,""))</f>
        <v>252.459</v>
      </c>
      <c r="I49" s="39">
        <f ca="1">IF(COUNTIF($X$2:X1034,INT(A49))=1,VLOOKUP(INT(A49),X:Y,2), IF(ISERROR(H49-2),"",I48*(1-$D$8*(H49-H48)*0.0001)))</f>
        <v>270.1644</v>
      </c>
      <c r="J49" s="39">
        <f t="shared" ca="1" si="7"/>
        <v>270.1644</v>
      </c>
      <c r="K49" s="41">
        <f t="shared" ca="1" si="8"/>
        <v>423606.17760617536</v>
      </c>
      <c r="L49" s="41"/>
      <c r="M49" s="42">
        <f ca="1">IF(ISERROR(B49-2),"",C49+D49-F49-G49-K49+SUM($L$14:L49))</f>
        <v>350660.18772716209</v>
      </c>
      <c r="O49" s="3">
        <v>46174.625</v>
      </c>
      <c r="P49" s="4">
        <v>312.83999999999997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46174.625</v>
      </c>
      <c r="V49" s="3">
        <f t="shared" si="1"/>
        <v>46174.625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74">
        <v>45846</v>
      </c>
      <c r="AC49" s="4">
        <v>282.16399999999999</v>
      </c>
      <c r="AD49" s="6">
        <f t="shared" si="2"/>
        <v>45846</v>
      </c>
    </row>
    <row r="50" spans="1:34" x14ac:dyDescent="0.25">
      <c r="A50" s="37">
        <f t="shared" ca="1" si="3"/>
        <v>46199.367903009261</v>
      </c>
      <c r="B50" s="38">
        <f ca="1">IF(COUNTIF($W$2:W1035,A50)=1,VLOOKUP(A50,O:P,2), IF(COUNTIF($W$2:W1035,A50)=0,$B$9,""))</f>
        <v>313.66000000000003</v>
      </c>
      <c r="C50" s="2">
        <f t="shared" ca="1" si="4"/>
        <v>729588.00000000361</v>
      </c>
      <c r="D50" s="41"/>
      <c r="E50" s="38">
        <f ca="1">IF(COUNTIF($W$2:W1035,A50)=1,VLOOKUP(A50,Q:R,2), IF(COUNTIF($W$2:W1035,A50)=0,$C$9,""))</f>
        <v>99.774000000000001</v>
      </c>
      <c r="F50" s="2">
        <f t="shared" ca="1" si="5"/>
        <v>0</v>
      </c>
      <c r="G50" s="41">
        <f t="shared" ca="1" si="6"/>
        <v>336.8906666666735</v>
      </c>
      <c r="H50" s="38">
        <f ca="1">IF(COUNTIF($W$2:W1035,A50)=1,VLOOKUP(A50,S:T,2), IF(COUNTIF($W$2:W1035,A50)=0,$D$9,""))</f>
        <v>249.3082</v>
      </c>
      <c r="I50" s="39">
        <f ca="1">IF(COUNTIF($X$2:X1035,INT(A50))=1,VLOOKUP(INT(A50),X:Y,2), IF(ISERROR(H50-2),"",I49*(1-$D$8*(H50-H49)*0.0001)))</f>
        <v>270.57801459647959</v>
      </c>
      <c r="J50" s="39">
        <f t="shared" ca="1" si="7"/>
        <v>270.57801459647959</v>
      </c>
      <c r="K50" s="41">
        <f t="shared" ca="1" si="8"/>
        <v>452883.91609572538</v>
      </c>
      <c r="L50" s="41"/>
      <c r="M50" s="42">
        <f ca="1">IF(ISERROR(B50-2),"",C50+D50-F50-G50-K50+SUM($L$14:L50))</f>
        <v>276367.19323761156</v>
      </c>
      <c r="O50" s="3">
        <v>46176.625</v>
      </c>
      <c r="P50" s="4">
        <v>313.08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46176.625</v>
      </c>
      <c r="V50" s="3">
        <f t="shared" si="1"/>
        <v>46176.625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74">
        <v>45847</v>
      </c>
      <c r="AC50" s="4">
        <v>278.887</v>
      </c>
      <c r="AD50" s="6">
        <f t="shared" si="2"/>
        <v>45847</v>
      </c>
    </row>
    <row r="51" spans="1:34" x14ac:dyDescent="0.25">
      <c r="A51" s="37" t="str">
        <f t="shared" ca="1" si="3"/>
        <v/>
      </c>
      <c r="B51" s="38" t="str">
        <f ca="1">IF(COUNTIF($W$2:W1036,A51)=1,VLOOKUP(A51,O:P,2), IF(COUNTIF($W$2:W1036,A51)=0,$B$9,""))</f>
        <v/>
      </c>
      <c r="C51" s="2" t="str">
        <f t="shared" ca="1" si="4"/>
        <v/>
      </c>
      <c r="D51" s="41"/>
      <c r="E51" s="38" t="str">
        <f ca="1">IF(COUNTIF($W$2:W1036,A51)=1,VLOOKUP(A51,Q:R,2), IF(COUNTIF($W$2:W1036,A51)=0,$C$9,""))</f>
        <v/>
      </c>
      <c r="F51" s="2" t="str">
        <f t="shared" ca="1" si="5"/>
        <v/>
      </c>
      <c r="G51" s="41" t="str">
        <f t="shared" ca="1" si="6"/>
        <v/>
      </c>
      <c r="H51" s="38" t="str">
        <f ca="1">IF(COUNTIF($W$2:W1036,A51)=1,VLOOKUP(A51,S:T,2), IF(COUNTIF($W$2:W1036,A51)=0,$D$9,""))</f>
        <v/>
      </c>
      <c r="I51" s="39" t="str">
        <f ca="1">IF(COUNTIF($X$2:X1036,INT(A51))=1,VLOOKUP(INT(A51),X:Y,2), IF(ISERROR(H51-2),"",I50*(1-$D$8*(H51-H50)*0.0001)))</f>
        <v/>
      </c>
      <c r="J51" s="39" t="str">
        <f t="shared" ca="1" si="7"/>
        <v/>
      </c>
      <c r="K51" s="41" t="str">
        <f t="shared" ca="1" si="8"/>
        <v/>
      </c>
      <c r="L51" s="41"/>
      <c r="M51" s="42" t="str">
        <f ca="1">IF(ISERROR(B51-2),"",C51+D51-F51-G51-K51+SUM($L$14:L51))</f>
        <v/>
      </c>
      <c r="O51" s="3">
        <v>46177.625</v>
      </c>
      <c r="P51" s="4">
        <v>313.04000000000002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46177.625</v>
      </c>
      <c r="V51" s="3">
        <f t="shared" si="1"/>
        <v>46177.625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74">
        <v>45848</v>
      </c>
      <c r="AC51" s="4">
        <v>277.661</v>
      </c>
      <c r="AD51" s="6">
        <f t="shared" si="2"/>
        <v>45848</v>
      </c>
    </row>
    <row r="52" spans="1:34" x14ac:dyDescent="0.25">
      <c r="A52" s="37" t="str">
        <f t="shared" ca="1" si="3"/>
        <v/>
      </c>
      <c r="B52" s="38" t="str">
        <f ca="1">IF(COUNTIF($W$2:W1037,A52)=1,VLOOKUP(A52,O:P,2), IF(COUNTIF($W$2:W1037,A52)=0,$B$9,""))</f>
        <v/>
      </c>
      <c r="C52" s="2" t="str">
        <f t="shared" ca="1" si="4"/>
        <v/>
      </c>
      <c r="D52" s="41"/>
      <c r="E52" s="38" t="str">
        <f ca="1">IF(COUNTIF($W$2:W1037,A52)=1,VLOOKUP(A52,Q:R,2), IF(COUNTIF($W$2:W1037,A52)=0,$C$9,""))</f>
        <v/>
      </c>
      <c r="F52" s="2" t="str">
        <f t="shared" ca="1" si="5"/>
        <v/>
      </c>
      <c r="G52" s="41" t="str">
        <f t="shared" ca="1" si="6"/>
        <v/>
      </c>
      <c r="H52" s="38" t="str">
        <f ca="1">IF(COUNTIF($W$2:W1037,A52)=1,VLOOKUP(A52,S:T,2), IF(COUNTIF($W$2:W1037,A52)=0,$D$9,""))</f>
        <v/>
      </c>
      <c r="I52" s="39" t="str">
        <f ca="1">IF(COUNTIF($X$2:X1037,INT(A52))=1,VLOOKUP(INT(A52),X:Y,2), IF(ISERROR(H52-2),"",I51*(1-$D$8*(H52-H51)*0.0001)))</f>
        <v/>
      </c>
      <c r="J52" s="39" t="str">
        <f t="shared" ca="1" si="7"/>
        <v/>
      </c>
      <c r="K52" s="41" t="str">
        <f t="shared" ca="1" si="8"/>
        <v/>
      </c>
      <c r="L52" s="41"/>
      <c r="M52" s="42" t="str">
        <f ca="1">IF(ISERROR(B52-2),"",C52+D52-F52-G52-K52+SUM($L$14:L52))</f>
        <v/>
      </c>
      <c r="O52" s="3">
        <v>46182.625</v>
      </c>
      <c r="P52" s="4">
        <v>313.3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46182.625</v>
      </c>
      <c r="V52" s="3">
        <f t="shared" si="1"/>
        <v>46182.625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74">
        <v>45849</v>
      </c>
      <c r="AC52" s="4">
        <v>281.73500000000001</v>
      </c>
      <c r="AD52" s="6">
        <f t="shared" si="2"/>
        <v>45849</v>
      </c>
    </row>
    <row r="53" spans="1:34" x14ac:dyDescent="0.25">
      <c r="A53" s="37" t="str">
        <f t="shared" ca="1" si="3"/>
        <v/>
      </c>
      <c r="B53" s="38" t="str">
        <f ca="1">IF(COUNTIF($W$2:W1038,A53)=1,VLOOKUP(A53,O:P,2), IF(COUNTIF($W$2:W1038,A53)=0,$B$9,""))</f>
        <v/>
      </c>
      <c r="C53" s="2" t="str">
        <f t="shared" ca="1" si="4"/>
        <v/>
      </c>
      <c r="D53" s="41"/>
      <c r="E53" s="38" t="str">
        <f ca="1">IF(COUNTIF($W$2:W1038,A53)=1,VLOOKUP(A53,Q:R,2), IF(COUNTIF($W$2:W1038,A53)=0,$C$9,""))</f>
        <v/>
      </c>
      <c r="F53" s="2" t="str">
        <f t="shared" ca="1" si="5"/>
        <v/>
      </c>
      <c r="G53" s="41" t="str">
        <f t="shared" ca="1" si="6"/>
        <v/>
      </c>
      <c r="H53" s="38" t="str">
        <f ca="1">IF(COUNTIF($W$2:W1038,A53)=1,VLOOKUP(A53,S:T,2), IF(COUNTIF($W$2:W1038,A53)=0,$D$9,""))</f>
        <v/>
      </c>
      <c r="I53" s="39" t="str">
        <f ca="1">IF(COUNTIF($X$2:X1038,INT(A53))=1,VLOOKUP(INT(A53),X:Y,2), IF(ISERROR(H53-2),"",I52*(1-$D$8*(H53-H52)*0.0001)))</f>
        <v/>
      </c>
      <c r="J53" s="39" t="str">
        <f t="shared" ca="1" si="7"/>
        <v/>
      </c>
      <c r="K53" s="41" t="str">
        <f t="shared" ca="1" si="8"/>
        <v/>
      </c>
      <c r="L53" s="41"/>
      <c r="M53" s="42" t="str">
        <f ca="1">IF(ISERROR(B53-2),"",C53+D53-F53-G53-K53+SUM($L$14:L53))</f>
        <v/>
      </c>
      <c r="O53" s="3">
        <v>46188.625</v>
      </c>
      <c r="P53" s="4">
        <v>314.27999999999997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46188.625</v>
      </c>
      <c r="V53" s="3">
        <f t="shared" si="1"/>
        <v>46188.625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74">
        <v>45852</v>
      </c>
      <c r="AC53" s="4">
        <v>282.80599999999998</v>
      </c>
      <c r="AD53" s="6">
        <f t="shared" si="2"/>
        <v>45852</v>
      </c>
    </row>
    <row r="54" spans="1:34" x14ac:dyDescent="0.25">
      <c r="A54" s="37" t="str">
        <f t="shared" ca="1" si="3"/>
        <v/>
      </c>
      <c r="B54" s="38" t="str">
        <f ca="1">IF(COUNTIF($W$2:W1039,A54)=1,VLOOKUP(A54,O:P,2), IF(COUNTIF($W$2:W1039,A54)=0,$B$9,""))</f>
        <v/>
      </c>
      <c r="C54" s="2" t="str">
        <f t="shared" ca="1" si="4"/>
        <v/>
      </c>
      <c r="D54" s="41"/>
      <c r="E54" s="38" t="str">
        <f ca="1">IF(COUNTIF($W$2:W1039,A54)=1,VLOOKUP(A54,Q:R,2), IF(COUNTIF($W$2:W1039,A54)=0,$C$9,""))</f>
        <v/>
      </c>
      <c r="F54" s="2" t="str">
        <f t="shared" ca="1" si="5"/>
        <v/>
      </c>
      <c r="G54" s="41" t="str">
        <f t="shared" ca="1" si="6"/>
        <v/>
      </c>
      <c r="H54" s="38" t="str">
        <f ca="1">IF(COUNTIF($W$2:W1039,A54)=1,VLOOKUP(A54,S:T,2), IF(COUNTIF($W$2:W1039,A54)=0,$D$9,""))</f>
        <v/>
      </c>
      <c r="I54" s="39" t="str">
        <f ca="1">IF(COUNTIF($X$2:X1039,INT(A54))=1,VLOOKUP(INT(A54),X:Y,2), IF(ISERROR(H54-2),"",I53*(1-$D$8*(H54-H53)*0.0001)))</f>
        <v/>
      </c>
      <c r="J54" s="39" t="str">
        <f t="shared" ca="1" si="7"/>
        <v/>
      </c>
      <c r="K54" s="41" t="str">
        <f t="shared" ca="1" si="8"/>
        <v/>
      </c>
      <c r="L54" s="41"/>
      <c r="M54" s="42" t="str">
        <f ca="1">IF(ISERROR(B54-2),"",C54+D54-F54-G54-K54+SUM($L$14:L54))</f>
        <v/>
      </c>
      <c r="O54" s="3">
        <v>46189.625</v>
      </c>
      <c r="P54" s="4">
        <v>314.16000000000003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46189.625</v>
      </c>
      <c r="V54" s="3">
        <f t="shared" si="1"/>
        <v>46189.625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74">
        <v>45853</v>
      </c>
      <c r="AC54" s="4">
        <v>282.98599999999999</v>
      </c>
      <c r="AD54" s="6">
        <f t="shared" si="2"/>
        <v>45853</v>
      </c>
    </row>
    <row r="55" spans="1:34" x14ac:dyDescent="0.25">
      <c r="A55" s="37" t="str">
        <f t="shared" ca="1" si="3"/>
        <v/>
      </c>
      <c r="B55" s="38" t="str">
        <f ca="1">IF(COUNTIF($W$2:W1040,A55)=1,VLOOKUP(A55,O:P,2), IF(COUNTIF($W$2:W1040,A55)=0,$B$9,""))</f>
        <v/>
      </c>
      <c r="C55" s="2" t="str">
        <f t="shared" ca="1" si="4"/>
        <v/>
      </c>
      <c r="D55" s="41"/>
      <c r="E55" s="38" t="str">
        <f ca="1">IF(COUNTIF($W$2:W1040,A55)=1,VLOOKUP(A55,Q:R,2), IF(COUNTIF($W$2:W1040,A55)=0,$C$9,""))</f>
        <v/>
      </c>
      <c r="F55" s="2" t="str">
        <f t="shared" ca="1" si="5"/>
        <v/>
      </c>
      <c r="G55" s="41" t="str">
        <f t="shared" ca="1" si="6"/>
        <v/>
      </c>
      <c r="H55" s="38" t="str">
        <f ca="1">IF(COUNTIF($W$2:W1040,A55)=1,VLOOKUP(A55,S:T,2), IF(COUNTIF($W$2:W1040,A55)=0,$D$9,""))</f>
        <v/>
      </c>
      <c r="I55" s="39" t="str">
        <f ca="1">IF(COUNTIF($X$2:X1040,INT(A55))=1,VLOOKUP(INT(A55),X:Y,2), IF(ISERROR(H55-2),"",I54*(1-$D$8*(H55-H54)*0.0001)))</f>
        <v/>
      </c>
      <c r="J55" s="39" t="str">
        <f t="shared" ca="1" si="7"/>
        <v/>
      </c>
      <c r="K55" s="41" t="str">
        <f t="shared" ca="1" si="8"/>
        <v/>
      </c>
      <c r="L55" s="41"/>
      <c r="M55" s="42" t="str">
        <f ca="1">IF(ISERROR(B55-2),"",C55+D55-F55-G55-K55+SUM($L$14:L55))</f>
        <v/>
      </c>
      <c r="O55" s="3">
        <v>46190.625</v>
      </c>
      <c r="P55" s="4">
        <v>313.66000000000003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46190.625</v>
      </c>
      <c r="V55" s="3">
        <f t="shared" si="1"/>
        <v>46190.625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74">
        <v>45854</v>
      </c>
      <c r="AC55" s="4">
        <v>285.26100000000002</v>
      </c>
      <c r="AD55" s="6">
        <f t="shared" si="2"/>
        <v>45854</v>
      </c>
    </row>
    <row r="56" spans="1:34" x14ac:dyDescent="0.25">
      <c r="A56" s="37" t="str">
        <f t="shared" ca="1" si="3"/>
        <v/>
      </c>
      <c r="B56" s="38" t="str">
        <f ca="1">IF(COUNTIF($W$2:W1041,A56)=1,VLOOKUP(A56,O:P,2), IF(COUNTIF($W$2:W1041,A56)=0,$B$9,""))</f>
        <v/>
      </c>
      <c r="C56" s="2" t="str">
        <f t="shared" ca="1" si="4"/>
        <v/>
      </c>
      <c r="D56" s="41"/>
      <c r="E56" s="38" t="str">
        <f ca="1">IF(COUNTIF($W$2:W1041,A56)=1,VLOOKUP(A56,Q:R,2), IF(COUNTIF($W$2:W1041,A56)=0,$C$9,""))</f>
        <v/>
      </c>
      <c r="F56" s="2" t="str">
        <f t="shared" ca="1" si="5"/>
        <v/>
      </c>
      <c r="G56" s="41" t="str">
        <f t="shared" ca="1" si="6"/>
        <v/>
      </c>
      <c r="H56" s="38" t="str">
        <f ca="1">IF(COUNTIF($W$2:W1041,A56)=1,VLOOKUP(A56,S:T,2), IF(COUNTIF($W$2:W1041,A56)=0,$D$9,""))</f>
        <v/>
      </c>
      <c r="I56" s="39" t="str">
        <f ca="1">IF(COUNTIF($X$2:X1041,INT(A56))=1,VLOOKUP(INT(A56),X:Y,2), IF(ISERROR(H56-2),"",I55*(1-$D$8*(H56-H55)*0.0001)))</f>
        <v/>
      </c>
      <c r="J56" s="39" t="str">
        <f t="shared" ca="1" si="7"/>
        <v/>
      </c>
      <c r="K56" s="41" t="str">
        <f t="shared" ca="1" si="8"/>
        <v/>
      </c>
      <c r="L56" s="41"/>
      <c r="M56" s="42" t="str">
        <f ca="1">IF(ISERROR(B56-2),"",C56+D56-F56-G56-K56+SUM($L$14:L56))</f>
        <v/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 t="str">
        <f t="shared" si="0"/>
        <v/>
      </c>
      <c r="V56" s="3" t="str">
        <f t="shared" si="1"/>
        <v/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74">
        <v>45855</v>
      </c>
      <c r="AC56" s="4">
        <v>278.76799999999997</v>
      </c>
      <c r="AD56" s="6">
        <f t="shared" si="2"/>
        <v>45855</v>
      </c>
    </row>
    <row r="57" spans="1:34" x14ac:dyDescent="0.25">
      <c r="A57" s="37" t="str">
        <f t="shared" ca="1" si="3"/>
        <v/>
      </c>
      <c r="B57" s="38" t="str">
        <f ca="1">IF(COUNTIF($W$2:W1042,A57)=1,VLOOKUP(A57,O:P,2), IF(COUNTIF($W$2:W1042,A57)=0,$B$9,""))</f>
        <v/>
      </c>
      <c r="C57" s="2" t="str">
        <f t="shared" ca="1" si="4"/>
        <v/>
      </c>
      <c r="D57" s="41"/>
      <c r="E57" s="38" t="str">
        <f ca="1">IF(COUNTIF($W$2:W1042,A57)=1,VLOOKUP(A57,Q:R,2), IF(COUNTIF($W$2:W1042,A57)=0,$C$9,""))</f>
        <v/>
      </c>
      <c r="F57" s="2" t="str">
        <f t="shared" ca="1" si="5"/>
        <v/>
      </c>
      <c r="G57" s="41" t="str">
        <f t="shared" ca="1" si="6"/>
        <v/>
      </c>
      <c r="H57" s="38" t="str">
        <f ca="1">IF(COUNTIF($W$2:W1042,A57)=1,VLOOKUP(A57,S:T,2), IF(COUNTIF($W$2:W1042,A57)=0,$D$9,""))</f>
        <v/>
      </c>
      <c r="I57" s="39" t="str">
        <f ca="1">IF(COUNTIF($X$2:X1042,INT(A57))=1,VLOOKUP(INT(A57),X:Y,2), IF(ISERROR(H57-2),"",I56*(1-$D$8*(H57-H56)*0.0001)))</f>
        <v/>
      </c>
      <c r="J57" s="39" t="str">
        <f t="shared" ca="1" si="7"/>
        <v/>
      </c>
      <c r="K57" s="41" t="str">
        <f t="shared" ca="1" si="8"/>
        <v/>
      </c>
      <c r="L57" s="41"/>
      <c r="M57" s="42" t="str">
        <f ca="1">IF(ISERROR(B57-2),"",C57+D57-F57-G57-K57+SUM($L$14:L57))</f>
        <v/>
      </c>
      <c r="Q57" s="3">
        <v>46126.625</v>
      </c>
      <c r="R57" s="4">
        <v>99.619</v>
      </c>
      <c r="S57" s="3">
        <v>46126.625</v>
      </c>
      <c r="T57" s="4">
        <v>282.697</v>
      </c>
      <c r="U57" s="3" t="str">
        <f t="shared" si="0"/>
        <v/>
      </c>
      <c r="V57" s="3" t="str">
        <f t="shared" si="1"/>
        <v/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74">
        <v>45856</v>
      </c>
      <c r="AC57" s="4">
        <v>277.18599999999998</v>
      </c>
      <c r="AD57" s="6">
        <f t="shared" si="2"/>
        <v>45856</v>
      </c>
    </row>
    <row r="58" spans="1:34" x14ac:dyDescent="0.25">
      <c r="A58" s="37" t="str">
        <f t="shared" ca="1" si="3"/>
        <v/>
      </c>
      <c r="B58" s="38" t="str">
        <f ca="1">IF(COUNTIF($W$2:W1043,A58)=1,VLOOKUP(A58,O:P,2), IF(COUNTIF($W$2:W1043,A58)=0,$B$9,""))</f>
        <v/>
      </c>
      <c r="C58" s="2" t="str">
        <f t="shared" ca="1" si="4"/>
        <v/>
      </c>
      <c r="D58" s="41"/>
      <c r="E58" s="38" t="str">
        <f ca="1">IF(COUNTIF($W$2:W1043,A58)=1,VLOOKUP(A58,Q:R,2), IF(COUNTIF($W$2:W1043,A58)=0,$C$9,""))</f>
        <v/>
      </c>
      <c r="F58" s="2" t="str">
        <f t="shared" ca="1" si="5"/>
        <v/>
      </c>
      <c r="G58" s="41" t="str">
        <f t="shared" ca="1" si="6"/>
        <v/>
      </c>
      <c r="H58" s="38" t="str">
        <f ca="1">IF(COUNTIF($W$2:W1043,A58)=1,VLOOKUP(A58,S:T,2), IF(COUNTIF($W$2:W1043,A58)=0,$D$9,""))</f>
        <v/>
      </c>
      <c r="I58" s="39" t="str">
        <f ca="1">IF(COUNTIF($X$2:X1043,INT(A58))=1,VLOOKUP(INT(A58),X:Y,2), IF(ISERROR(H58-2),"",I57*(1-$D$8*(H58-H57)*0.0001)))</f>
        <v/>
      </c>
      <c r="J58" s="39" t="str">
        <f t="shared" ca="1" si="7"/>
        <v/>
      </c>
      <c r="K58" s="41" t="str">
        <f t="shared" ca="1" si="8"/>
        <v/>
      </c>
      <c r="L58" s="41"/>
      <c r="M58" s="42" t="str">
        <f ca="1">IF(ISERROR(B58-2),"",C58+D58-F58-G58-K58+SUM($L$14:L58))</f>
        <v/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 t="str">
        <f t="shared" si="0"/>
        <v/>
      </c>
      <c r="V58" s="3" t="str">
        <f t="shared" si="1"/>
        <v/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74">
        <v>45859</v>
      </c>
      <c r="AC58" s="4">
        <v>277.45800000000003</v>
      </c>
      <c r="AD58" s="6">
        <f t="shared" si="2"/>
        <v>45859</v>
      </c>
    </row>
    <row r="59" spans="1:34" x14ac:dyDescent="0.25">
      <c r="A59" s="37" t="str">
        <f t="shared" ca="1" si="3"/>
        <v/>
      </c>
      <c r="B59" s="38" t="str">
        <f ca="1">IF(COUNTIF($W$2:W1044,A59)=1,VLOOKUP(A59,O:P,2), IF(COUNTIF($W$2:W1044,A59)=0,$B$9,""))</f>
        <v/>
      </c>
      <c r="C59" s="2" t="str">
        <f t="shared" ca="1" si="4"/>
        <v/>
      </c>
      <c r="D59" s="41"/>
      <c r="E59" s="38" t="str">
        <f ca="1">IF(COUNTIF($W$2:W1044,A59)=1,VLOOKUP(A59,Q:R,2), IF(COUNTIF($W$2:W1044,A59)=0,$C$9,""))</f>
        <v/>
      </c>
      <c r="F59" s="2" t="str">
        <f t="shared" ca="1" si="5"/>
        <v/>
      </c>
      <c r="G59" s="41" t="str">
        <f t="shared" ca="1" si="6"/>
        <v/>
      </c>
      <c r="H59" s="38" t="str">
        <f ca="1">IF(COUNTIF($W$2:W1044,A59)=1,VLOOKUP(A59,S:T,2), IF(COUNTIF($W$2:W1044,A59)=0,$D$9,""))</f>
        <v/>
      </c>
      <c r="I59" s="39" t="str">
        <f ca="1">IF(COUNTIF($X$2:X1044,INT(A59))=1,VLOOKUP(INT(A59),X:Y,2), IF(ISERROR(H59-2),"",I58*(1-$D$8*(H59-H58)*0.0001)))</f>
        <v/>
      </c>
      <c r="J59" s="39" t="str">
        <f t="shared" ca="1" si="7"/>
        <v/>
      </c>
      <c r="K59" s="41" t="str">
        <f t="shared" ca="1" si="8"/>
        <v/>
      </c>
      <c r="L59" s="41"/>
      <c r="M59" s="42" t="str">
        <f ca="1">IF(ISERROR(B59-2),"",C59+D59-F59-G59-K59+SUM($L$14:L59))</f>
        <v/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 t="str">
        <f t="shared" si="0"/>
        <v/>
      </c>
      <c r="V59" s="3" t="str">
        <f t="shared" si="1"/>
        <v/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74">
        <v>45860</v>
      </c>
      <c r="AC59" s="4">
        <v>279.55700000000002</v>
      </c>
      <c r="AD59" s="6">
        <f t="shared" si="2"/>
        <v>45860</v>
      </c>
    </row>
    <row r="60" spans="1:34" x14ac:dyDescent="0.25">
      <c r="A60" s="37" t="str">
        <f t="shared" ca="1" si="3"/>
        <v/>
      </c>
      <c r="B60" s="38" t="str">
        <f ca="1">IF(COUNTIF($W$2:W1045,A60)=1,VLOOKUP(A60,O:P,2), IF(COUNTIF($W$2:W1045,A60)=0,$B$9,""))</f>
        <v/>
      </c>
      <c r="C60" s="2" t="str">
        <f t="shared" ca="1" si="4"/>
        <v/>
      </c>
      <c r="D60" s="41"/>
      <c r="E60" s="38" t="str">
        <f ca="1">IF(COUNTIF($W$2:W1045,A60)=1,VLOOKUP(A60,Q:R,2), IF(COUNTIF($W$2:W1045,A60)=0,$C$9,""))</f>
        <v/>
      </c>
      <c r="F60" s="2" t="str">
        <f t="shared" ca="1" si="5"/>
        <v/>
      </c>
      <c r="G60" s="41" t="str">
        <f t="shared" ca="1" si="6"/>
        <v/>
      </c>
      <c r="H60" s="38" t="str">
        <f ca="1">IF(COUNTIF($W$2:W1045,A60)=1,VLOOKUP(A60,S:T,2), IF(COUNTIF($W$2:W1045,A60)=0,$D$9,""))</f>
        <v/>
      </c>
      <c r="I60" s="39" t="str">
        <f ca="1">IF(COUNTIF($X$2:X1045,INT(A60))=1,VLOOKUP(INT(A60),X:Y,2), IF(ISERROR(H60-2),"",I59*(1-$D$8*(H60-H59)*0.0001)))</f>
        <v/>
      </c>
      <c r="J60" s="39" t="str">
        <f t="shared" ca="1" si="7"/>
        <v/>
      </c>
      <c r="K60" s="41" t="str">
        <f t="shared" ca="1" si="8"/>
        <v/>
      </c>
      <c r="L60" s="41"/>
      <c r="M60" s="42" t="str">
        <f ca="1">IF(ISERROR(B60-2),"",C60+D60-F60-G60-K60+SUM($L$14:L60))</f>
        <v/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 t="str">
        <f t="shared" si="0"/>
        <v/>
      </c>
      <c r="V60" s="3" t="str">
        <f t="shared" si="1"/>
        <v/>
      </c>
      <c r="X60" s="3">
        <v>46126</v>
      </c>
      <c r="Y60" s="5">
        <v>264.6927</v>
      </c>
      <c r="Z60" s="3">
        <v>45861</v>
      </c>
      <c r="AA60" s="4">
        <v>240.6497</v>
      </c>
      <c r="AB60" s="74">
        <v>45861</v>
      </c>
      <c r="AC60" s="4">
        <v>273.14100000000002</v>
      </c>
      <c r="AD60" s="6">
        <f t="shared" si="2"/>
        <v>45861</v>
      </c>
    </row>
    <row r="61" spans="1:34" x14ac:dyDescent="0.25">
      <c r="A61" s="37" t="str">
        <f t="shared" ca="1" si="3"/>
        <v/>
      </c>
      <c r="B61" s="38" t="str">
        <f ca="1">IF(COUNTIF($W$2:W1046,A61)=1,VLOOKUP(A61,O:P,2), IF(COUNTIF($W$2:W1046,A61)=0,$B$9,""))</f>
        <v/>
      </c>
      <c r="C61" s="2" t="str">
        <f t="shared" ca="1" si="4"/>
        <v/>
      </c>
      <c r="D61" s="41"/>
      <c r="E61" s="38" t="str">
        <f ca="1">IF(COUNTIF($W$2:W1046,A61)=1,VLOOKUP(A61,Q:R,2), IF(COUNTIF($W$2:W1046,A61)=0,$C$9,""))</f>
        <v/>
      </c>
      <c r="F61" s="2" t="str">
        <f t="shared" ca="1" si="5"/>
        <v/>
      </c>
      <c r="G61" s="41" t="str">
        <f t="shared" ca="1" si="6"/>
        <v/>
      </c>
      <c r="H61" s="38" t="str">
        <f ca="1">IF(COUNTIF($W$2:W1046,A61)=1,VLOOKUP(A61,S:T,2), IF(COUNTIF($W$2:W1046,A61)=0,$D$9,""))</f>
        <v/>
      </c>
      <c r="I61" s="39" t="str">
        <f ca="1">IF(COUNTIF($X$2:X1046,INT(A61))=1,VLOOKUP(INT(A61),X:Y,2), IF(ISERROR(H61-2),"",I60*(1-$D$8*(H61-H60)*0.0001)))</f>
        <v/>
      </c>
      <c r="J61" s="39" t="str">
        <f t="shared" ca="1" si="7"/>
        <v/>
      </c>
      <c r="K61" s="41" t="str">
        <f t="shared" ca="1" si="8"/>
        <v/>
      </c>
      <c r="L61" s="41"/>
      <c r="M61" s="42" t="str">
        <f ca="1">IF(ISERROR(B61-2),"",C61+D61-F61-G61-K61+SUM($L$14:L61))</f>
        <v/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 t="str">
        <f t="shared" si="0"/>
        <v/>
      </c>
      <c r="V61" s="3" t="str">
        <f t="shared" si="1"/>
        <v/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74">
        <v>45862</v>
      </c>
      <c r="AC61" s="4">
        <v>270.69799999999998</v>
      </c>
      <c r="AD61" s="6">
        <f t="shared" si="2"/>
        <v>45862</v>
      </c>
    </row>
    <row r="62" spans="1:34" x14ac:dyDescent="0.25">
      <c r="A62" s="37" t="str">
        <f t="shared" ca="1" si="3"/>
        <v/>
      </c>
      <c r="B62" s="38" t="str">
        <f ca="1">IF(COUNTIF($W$2:W1047,A62)=1,VLOOKUP(A62,O:P,2), IF(COUNTIF($W$2:W1047,A62)=0,$B$9,""))</f>
        <v/>
      </c>
      <c r="C62" s="2" t="str">
        <f t="shared" ca="1" si="4"/>
        <v/>
      </c>
      <c r="D62" s="41"/>
      <c r="E62" s="38" t="str">
        <f ca="1">IF(COUNTIF($W$2:W1047,A62)=1,VLOOKUP(A62,Q:R,2), IF(COUNTIF($W$2:W1047,A62)=0,$C$9,""))</f>
        <v/>
      </c>
      <c r="F62" s="2" t="str">
        <f t="shared" ca="1" si="5"/>
        <v/>
      </c>
      <c r="G62" s="41" t="str">
        <f t="shared" ca="1" si="6"/>
        <v/>
      </c>
      <c r="H62" s="38" t="str">
        <f ca="1">IF(COUNTIF($W$2:W1047,A62)=1,VLOOKUP(A62,S:T,2), IF(COUNTIF($W$2:W1047,A62)=0,$D$9,""))</f>
        <v/>
      </c>
      <c r="I62" s="39" t="str">
        <f ca="1">IF(COUNTIF($X$2:X1047,INT(A62))=1,VLOOKUP(INT(A62),X:Y,2), IF(ISERROR(H62-2),"",I61*(1-$D$8*(H62-H61)*0.0001)))</f>
        <v/>
      </c>
      <c r="J62" s="39" t="str">
        <f t="shared" ca="1" si="7"/>
        <v/>
      </c>
      <c r="K62" s="41" t="str">
        <f t="shared" ca="1" si="8"/>
        <v/>
      </c>
      <c r="L62" s="41"/>
      <c r="M62" s="42" t="str">
        <f ca="1">IF(ISERROR(B62-2),"",C62+D62-F62-G62-K62+SUM($L$14:L62))</f>
        <v/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 t="str">
        <f t="shared" si="0"/>
        <v/>
      </c>
      <c r="V62" s="3" t="str">
        <f t="shared" si="1"/>
        <v/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74">
        <v>45863</v>
      </c>
      <c r="AC62" s="4">
        <v>269.24400000000003</v>
      </c>
      <c r="AD62" s="6">
        <f t="shared" si="2"/>
        <v>45863</v>
      </c>
    </row>
    <row r="63" spans="1:34" x14ac:dyDescent="0.25">
      <c r="A63" s="37" t="str">
        <f t="shared" ca="1" si="3"/>
        <v/>
      </c>
      <c r="B63" s="38" t="str">
        <f ca="1">IF(COUNTIF($W$2:W1048,A63)=1,VLOOKUP(A63,O:P,2), IF(COUNTIF($W$2:W1048,A63)=0,$B$9,""))</f>
        <v/>
      </c>
      <c r="C63" s="2" t="str">
        <f t="shared" ca="1" si="4"/>
        <v/>
      </c>
      <c r="D63" s="41"/>
      <c r="E63" s="38" t="str">
        <f ca="1">IF(COUNTIF($W$2:W1048,A63)=1,VLOOKUP(A63,Q:R,2), IF(COUNTIF($W$2:W1048,A63)=0,$C$9,""))</f>
        <v/>
      </c>
      <c r="F63" s="2" t="str">
        <f t="shared" ca="1" si="5"/>
        <v/>
      </c>
      <c r="G63" s="41" t="str">
        <f t="shared" ca="1" si="6"/>
        <v/>
      </c>
      <c r="H63" s="38" t="str">
        <f ca="1">IF(COUNTIF($W$2:W1048,A63)=1,VLOOKUP(A63,S:T,2), IF(COUNTIF($W$2:W1048,A63)=0,$D$9,""))</f>
        <v/>
      </c>
      <c r="I63" s="39" t="str">
        <f ca="1">IF(COUNTIF($X$2:X1048,INT(A63))=1,VLOOKUP(INT(A63),X:Y,2), IF(ISERROR(H63-2),"",I62*(1-$D$8*(H63-H62)*0.0001)))</f>
        <v/>
      </c>
      <c r="J63" s="39" t="str">
        <f t="shared" ca="1" si="7"/>
        <v/>
      </c>
      <c r="K63" s="41" t="str">
        <f t="shared" ca="1" si="8"/>
        <v/>
      </c>
      <c r="L63" s="41"/>
      <c r="M63" s="42" t="str">
        <f ca="1">IF(ISERROR(B63-2),"",C63+D63-F63-G63-K63+SUM($L$14:L63))</f>
        <v/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 t="str">
        <f t="shared" si="0"/>
        <v/>
      </c>
      <c r="V63" s="3" t="str">
        <f t="shared" si="1"/>
        <v/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74">
        <v>45866</v>
      </c>
      <c r="AC63" s="4">
        <v>267.81099999999998</v>
      </c>
      <c r="AD63" s="6">
        <f t="shared" si="2"/>
        <v>45866</v>
      </c>
    </row>
    <row r="64" spans="1:34" x14ac:dyDescent="0.25">
      <c r="A64" s="37" t="str">
        <f t="shared" ca="1" si="3"/>
        <v/>
      </c>
      <c r="B64" s="38" t="str">
        <f ca="1">IF(COUNTIF($W$2:W1049,A64)=1,VLOOKUP(A64,O:P,2), IF(COUNTIF($W$2:W1049,A64)=0,$B$9,""))</f>
        <v/>
      </c>
      <c r="C64" s="2" t="str">
        <f t="shared" ca="1" si="4"/>
        <v/>
      </c>
      <c r="D64" s="41"/>
      <c r="E64" s="38" t="str">
        <f ca="1">IF(COUNTIF($W$2:W1049,A64)=1,VLOOKUP(A64,Q:R,2), IF(COUNTIF($W$2:W1049,A64)=0,$C$9,""))</f>
        <v/>
      </c>
      <c r="F64" s="2" t="str">
        <f t="shared" ca="1" si="5"/>
        <v/>
      </c>
      <c r="G64" s="41" t="str">
        <f t="shared" ca="1" si="6"/>
        <v/>
      </c>
      <c r="H64" s="38" t="str">
        <f ca="1">IF(COUNTIF($W$2:W1049,A64)=1,VLOOKUP(A64,S:T,2), IF(COUNTIF($W$2:W1049,A64)=0,$D$9,""))</f>
        <v/>
      </c>
      <c r="I64" s="39" t="str">
        <f ca="1">IF(COUNTIF($X$2:X1049,INT(A64))=1,VLOOKUP(INT(A64),X:Y,2), IF(ISERROR(H64-2),"",I63*(1-$D$8*(H64-H63)*0.0001)))</f>
        <v/>
      </c>
      <c r="J64" s="39" t="str">
        <f t="shared" ca="1" si="7"/>
        <v/>
      </c>
      <c r="K64" s="41" t="str">
        <f t="shared" ca="1" si="8"/>
        <v/>
      </c>
      <c r="L64" s="41"/>
      <c r="M64" s="42" t="str">
        <f ca="1">IF(ISERROR(B64-2),"",C64+D64-F64-G64-K64+SUM($L$14:L64))</f>
        <v/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 t="str">
        <f t="shared" si="0"/>
        <v/>
      </c>
      <c r="V64" s="3" t="str">
        <f t="shared" si="1"/>
        <v/>
      </c>
      <c r="X64" s="3">
        <v>46132</v>
      </c>
      <c r="Y64" s="5">
        <v>265.2414</v>
      </c>
      <c r="Z64" s="3">
        <v>45867</v>
      </c>
      <c r="AA64" s="19">
        <v>241.9485</v>
      </c>
      <c r="AB64" s="75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3"/>
    </row>
    <row r="65" spans="1:34" x14ac:dyDescent="0.25">
      <c r="A65" s="37" t="str">
        <f t="shared" ca="1" si="3"/>
        <v/>
      </c>
      <c r="B65" s="38" t="str">
        <f ca="1">IF(COUNTIF($W$2:W1050,A65)=1,VLOOKUP(A65,O:P,2), IF(COUNTIF($W$2:W1050,A65)=0,$B$9,""))</f>
        <v/>
      </c>
      <c r="C65" s="2" t="str">
        <f t="shared" ca="1" si="4"/>
        <v/>
      </c>
      <c r="D65" s="41"/>
      <c r="E65" s="38" t="str">
        <f ca="1">IF(COUNTIF($W$2:W1050,A65)=1,VLOOKUP(A65,Q:R,2), IF(COUNTIF($W$2:W1050,A65)=0,$C$9,""))</f>
        <v/>
      </c>
      <c r="F65" s="2" t="str">
        <f t="shared" ca="1" si="5"/>
        <v/>
      </c>
      <c r="G65" s="41" t="str">
        <f t="shared" ca="1" si="6"/>
        <v/>
      </c>
      <c r="H65" s="38" t="str">
        <f ca="1">IF(COUNTIF($W$2:W1050,A65)=1,VLOOKUP(A65,S:T,2), IF(COUNTIF($W$2:W1050,A65)=0,$D$9,""))</f>
        <v/>
      </c>
      <c r="I65" s="39" t="str">
        <f ca="1">IF(COUNTIF($X$2:X1050,INT(A65))=1,VLOOKUP(INT(A65),X:Y,2), IF(ISERROR(H65-2),"",I64*(1-$D$8*(H65-H64)*0.0001)))</f>
        <v/>
      </c>
      <c r="J65" s="39" t="str">
        <f t="shared" ca="1" si="7"/>
        <v/>
      </c>
      <c r="K65" s="41" t="str">
        <f t="shared" ca="1" si="8"/>
        <v/>
      </c>
      <c r="L65" s="41"/>
      <c r="M65" s="42" t="str">
        <f ca="1">IF(ISERROR(B65-2),"",C65+D65-F65-G65-K65+SUM($L$14:L65))</f>
        <v/>
      </c>
      <c r="Q65" s="3">
        <v>46136.625</v>
      </c>
      <c r="R65" s="4">
        <v>99.637</v>
      </c>
      <c r="S65" s="3">
        <v>46136.625</v>
      </c>
      <c r="T65" s="4">
        <v>288.863</v>
      </c>
      <c r="U65" s="3" t="str">
        <f t="shared" si="0"/>
        <v/>
      </c>
      <c r="V65" s="3" t="str">
        <f t="shared" si="1"/>
        <v/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76">
        <v>45868</v>
      </c>
      <c r="AC65" s="20">
        <v>266.43200000000002</v>
      </c>
      <c r="AD65" s="6">
        <f t="shared" si="2"/>
        <v>45868</v>
      </c>
      <c r="AE65" s="20"/>
      <c r="AF65" s="20"/>
      <c r="AG65" s="20"/>
      <c r="AH65" s="20"/>
    </row>
    <row r="66" spans="1:34" x14ac:dyDescent="0.25">
      <c r="A66" s="37" t="str">
        <f t="shared" ca="1" si="3"/>
        <v/>
      </c>
      <c r="B66" s="38" t="str">
        <f ca="1">IF(COUNTIF($W$2:W1051,A66)=1,VLOOKUP(A66,O:P,2), IF(COUNTIF($W$2:W1051,A66)=0,$B$9,""))</f>
        <v/>
      </c>
      <c r="C66" s="2" t="str">
        <f t="shared" ca="1" si="4"/>
        <v/>
      </c>
      <c r="D66" s="41"/>
      <c r="E66" s="38" t="str">
        <f ca="1">IF(COUNTIF($W$2:W1051,A66)=1,VLOOKUP(A66,Q:R,2), IF(COUNTIF($W$2:W1051,A66)=0,$C$9,""))</f>
        <v/>
      </c>
      <c r="F66" s="2" t="str">
        <f t="shared" ca="1" si="5"/>
        <v/>
      </c>
      <c r="G66" s="41" t="str">
        <f t="shared" ca="1" si="6"/>
        <v/>
      </c>
      <c r="H66" s="38" t="str">
        <f ca="1">IF(COUNTIF($W$2:W1051,A66)=1,VLOOKUP(A66,S:T,2), IF(COUNTIF($W$2:W1051,A66)=0,$D$9,""))</f>
        <v/>
      </c>
      <c r="I66" s="39" t="str">
        <f ca="1">IF(COUNTIF($X$2:X1051,INT(A66))=1,VLOOKUP(INT(A66),X:Y,2), IF(ISERROR(H66-2),"",I65*(1-$D$8*(H66-H65)*0.0001)))</f>
        <v/>
      </c>
      <c r="J66" s="39" t="str">
        <f t="shared" ca="1" si="7"/>
        <v/>
      </c>
      <c r="K66" s="41" t="str">
        <f t="shared" ca="1" si="8"/>
        <v/>
      </c>
      <c r="L66" s="41"/>
      <c r="M66" s="42" t="str">
        <f ca="1">IF(ISERROR(B66-2),"",C66+D66-F66-G66-K66+SUM($L$14:L66))</f>
        <v/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 t="str">
        <f t="shared" si="0"/>
        <v/>
      </c>
      <c r="V66" s="3" t="str">
        <f t="shared" si="1"/>
        <v/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76">
        <v>45869</v>
      </c>
      <c r="AC66" s="20">
        <v>268.46899999999999</v>
      </c>
      <c r="AD66" s="6">
        <f t="shared" si="2"/>
        <v>45869</v>
      </c>
      <c r="AE66" s="20"/>
      <c r="AF66" s="20"/>
      <c r="AG66" s="20"/>
      <c r="AH66" s="20"/>
    </row>
    <row r="67" spans="1:34" x14ac:dyDescent="0.25">
      <c r="A67" s="37" t="str">
        <f t="shared" ca="1" si="3"/>
        <v/>
      </c>
      <c r="B67" s="38" t="str">
        <f ca="1">IF(COUNTIF($W$2:W1052,A67)=1,VLOOKUP(A67,O:P,2), IF(COUNTIF($W$2:W1052,A67)=0,$B$9,""))</f>
        <v/>
      </c>
      <c r="C67" s="2" t="str">
        <f t="shared" ca="1" si="4"/>
        <v/>
      </c>
      <c r="D67" s="41"/>
      <c r="E67" s="38" t="str">
        <f ca="1">IF(COUNTIF($W$2:W1052,A67)=1,VLOOKUP(A67,Q:R,2), IF(COUNTIF($W$2:W1052,A67)=0,$C$9,""))</f>
        <v/>
      </c>
      <c r="F67" s="2" t="str">
        <f t="shared" ca="1" si="5"/>
        <v/>
      </c>
      <c r="G67" s="41" t="str">
        <f t="shared" ca="1" si="6"/>
        <v/>
      </c>
      <c r="H67" s="38" t="str">
        <f ca="1">IF(COUNTIF($W$2:W1052,A67)=1,VLOOKUP(A67,S:T,2), IF(COUNTIF($W$2:W1052,A67)=0,$D$9,""))</f>
        <v/>
      </c>
      <c r="I67" s="39" t="str">
        <f ca="1">IF(COUNTIF($X$2:X1052,INT(A67))=1,VLOOKUP(INT(A67),X:Y,2), IF(ISERROR(H67-2),"",I66*(1-$D$8*(H67-H66)*0.0001)))</f>
        <v/>
      </c>
      <c r="J67" s="39" t="str">
        <f t="shared" ca="1" si="7"/>
        <v/>
      </c>
      <c r="K67" s="41" t="str">
        <f t="shared" ca="1" si="8"/>
        <v/>
      </c>
      <c r="L67" s="41"/>
      <c r="M67" s="42" t="str">
        <f ca="1">IF(ISERROR(B67-2),"",C67+D67-F67-G67-K67+SUM($L$14:L67))</f>
        <v/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 t="str">
        <f t="shared" si="0"/>
        <v/>
      </c>
      <c r="V67" s="3" t="str">
        <f t="shared" si="1"/>
        <v/>
      </c>
      <c r="X67" s="3">
        <v>46135</v>
      </c>
      <c r="Y67" s="5">
        <v>264.38159999999999</v>
      </c>
      <c r="Z67" s="3">
        <v>45870</v>
      </c>
      <c r="AA67" s="19">
        <v>240.1619</v>
      </c>
      <c r="AB67" s="76">
        <v>45870</v>
      </c>
      <c r="AC67" s="20">
        <v>279.928</v>
      </c>
      <c r="AD67" s="6">
        <f t="shared" si="2"/>
        <v>45870</v>
      </c>
      <c r="AE67" s="20"/>
      <c r="AF67" s="20"/>
      <c r="AG67" s="20"/>
      <c r="AH67" s="20"/>
    </row>
    <row r="68" spans="1:34" x14ac:dyDescent="0.25">
      <c r="A68" s="37" t="str">
        <f t="shared" ca="1" si="3"/>
        <v/>
      </c>
      <c r="B68" s="38" t="str">
        <f ca="1">IF(COUNTIF($W$2:W1053,A68)=1,VLOOKUP(A68,O:P,2), IF(COUNTIF($W$2:W1053,A68)=0,$B$9,""))</f>
        <v/>
      </c>
      <c r="C68" s="2" t="str">
        <f t="shared" ca="1" si="4"/>
        <v/>
      </c>
      <c r="D68" s="41"/>
      <c r="E68" s="38" t="str">
        <f ca="1">IF(COUNTIF($W$2:W1053,A68)=1,VLOOKUP(A68,Q:R,2), IF(COUNTIF($W$2:W1053,A68)=0,$C$9,""))</f>
        <v/>
      </c>
      <c r="F68" s="2" t="str">
        <f t="shared" ca="1" si="5"/>
        <v/>
      </c>
      <c r="G68" s="41" t="str">
        <f t="shared" ca="1" si="6"/>
        <v/>
      </c>
      <c r="H68" s="38" t="str">
        <f ca="1">IF(COUNTIF($W$2:W1053,A68)=1,VLOOKUP(A68,S:T,2), IF(COUNTIF($W$2:W1053,A68)=0,$D$9,""))</f>
        <v/>
      </c>
      <c r="I68" s="39" t="str">
        <f ca="1">IF(COUNTIF($X$2:X1053,INT(A68))=1,VLOOKUP(INT(A68),X:Y,2), IF(ISERROR(H68-2),"",I67*(1-$D$8*(H68-H67)*0.0001)))</f>
        <v/>
      </c>
      <c r="J68" s="39" t="str">
        <f t="shared" ca="1" si="7"/>
        <v/>
      </c>
      <c r="K68" s="41" t="str">
        <f t="shared" ca="1" si="8"/>
        <v/>
      </c>
      <c r="L68" s="41"/>
      <c r="M68" s="42" t="str">
        <f ca="1">IF(ISERROR(B68-2),"",C68+D68-F68-G68-K68+SUM($L$14:L68))</f>
        <v/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 t="str">
        <f t="shared" ref="U68:U131" si="9">IF(COUNTIF(Q:Q,O68)*COUNTIF(S:S,O68),O68,"")</f>
        <v/>
      </c>
      <c r="V68" s="3" t="str">
        <f t="shared" ref="V68:V131" si="10">IF(U68&gt;$A$14,U68,"")</f>
        <v/>
      </c>
      <c r="X68" s="3">
        <v>46136</v>
      </c>
      <c r="Y68" s="5">
        <v>264.2679</v>
      </c>
      <c r="Z68" s="3">
        <v>45873</v>
      </c>
      <c r="AA68" s="19">
        <v>240.82929999999999</v>
      </c>
      <c r="AB68" s="76">
        <v>45873</v>
      </c>
      <c r="AC68" s="20">
        <v>275.71300000000002</v>
      </c>
      <c r="AD68" s="6">
        <f t="shared" ref="AD68:AD131" si="11">IF(COUNTIF(AB:AB,Z68),Z68,"")</f>
        <v>45873</v>
      </c>
      <c r="AE68" s="20"/>
      <c r="AF68" s="20"/>
      <c r="AG68" s="20"/>
      <c r="AH68" s="20"/>
    </row>
    <row r="69" spans="1:34" x14ac:dyDescent="0.25">
      <c r="A69" s="37" t="str">
        <f t="shared" ca="1" si="3"/>
        <v/>
      </c>
      <c r="B69" s="38" t="str">
        <f ca="1">IF(COUNTIF($W$2:W1054,A69)=1,VLOOKUP(A69,O:P,2), IF(COUNTIF($W$2:W1054,A69)=0,$B$9,""))</f>
        <v/>
      </c>
      <c r="C69" s="2" t="str">
        <f t="shared" ca="1" si="4"/>
        <v/>
      </c>
      <c r="D69" s="41"/>
      <c r="E69" s="38" t="str">
        <f ca="1">IF(COUNTIF($W$2:W1054,A69)=1,VLOOKUP(A69,Q:R,2), IF(COUNTIF($W$2:W1054,A69)=0,$C$9,""))</f>
        <v/>
      </c>
      <c r="F69" s="2" t="str">
        <f t="shared" ca="1" si="5"/>
        <v/>
      </c>
      <c r="G69" s="41" t="str">
        <f t="shared" ca="1" si="6"/>
        <v/>
      </c>
      <c r="H69" s="38" t="str">
        <f ca="1">IF(COUNTIF($W$2:W1054,A69)=1,VLOOKUP(A69,S:T,2), IF(COUNTIF($W$2:W1054,A69)=0,$D$9,""))</f>
        <v/>
      </c>
      <c r="I69" s="39" t="str">
        <f ca="1">IF(COUNTIF($X$2:X1054,INT(A69))=1,VLOOKUP(INT(A69),X:Y,2), IF(ISERROR(H69-2),"",I68*(1-$D$8*(H69-H68)*0.0001)))</f>
        <v/>
      </c>
      <c r="J69" s="39" t="str">
        <f t="shared" ca="1" si="7"/>
        <v/>
      </c>
      <c r="K69" s="41" t="str">
        <f t="shared" ca="1" si="8"/>
        <v/>
      </c>
      <c r="L69" s="41"/>
      <c r="M69" s="42" t="str">
        <f ca="1">IF(ISERROR(B69-2),"",C69+D69-F69-G69-K69+SUM($L$14:L69))</f>
        <v/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 t="str">
        <f t="shared" si="9"/>
        <v/>
      </c>
      <c r="V69" s="3" t="str">
        <f t="shared" si="10"/>
        <v/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76">
        <v>45874</v>
      </c>
      <c r="AC69" s="20">
        <v>275.75200000000001</v>
      </c>
      <c r="AD69" s="6">
        <f t="shared" si="11"/>
        <v>45874</v>
      </c>
      <c r="AE69" s="20"/>
      <c r="AF69" s="20"/>
      <c r="AG69" s="20"/>
      <c r="AH69" s="20"/>
    </row>
    <row r="70" spans="1:34" x14ac:dyDescent="0.25">
      <c r="A70" s="37" t="str">
        <f t="shared" ca="1" si="3"/>
        <v/>
      </c>
      <c r="B70" s="38" t="str">
        <f ca="1">IF(COUNTIF($W$2:W1055,A70)=1,VLOOKUP(A70,O:P,2), IF(COUNTIF($W$2:W1055,A70)=0,$B$9,""))</f>
        <v/>
      </c>
      <c r="C70" s="2" t="str">
        <f t="shared" ca="1" si="4"/>
        <v/>
      </c>
      <c r="D70" s="41"/>
      <c r="E70" s="38" t="str">
        <f ca="1">IF(COUNTIF($W$2:W1055,A70)=1,VLOOKUP(A70,Q:R,2), IF(COUNTIF($W$2:W1055,A70)=0,$C$9,""))</f>
        <v/>
      </c>
      <c r="F70" s="2" t="str">
        <f t="shared" ca="1" si="5"/>
        <v/>
      </c>
      <c r="G70" s="41" t="str">
        <f t="shared" ca="1" si="6"/>
        <v/>
      </c>
      <c r="H70" s="38" t="str">
        <f ca="1">IF(COUNTIF($W$2:W1055,A70)=1,VLOOKUP(A70,S:T,2), IF(COUNTIF($W$2:W1055,A70)=0,$D$9,""))</f>
        <v/>
      </c>
      <c r="I70" s="39" t="str">
        <f ca="1">IF(COUNTIF($X$2:X1055,INT(A70))=1,VLOOKUP(INT(A70),X:Y,2), IF(ISERROR(H70-2),"",I69*(1-$D$8*(H70-H69)*0.0001)))</f>
        <v/>
      </c>
      <c r="J70" s="39" t="str">
        <f t="shared" ca="1" si="7"/>
        <v/>
      </c>
      <c r="K70" s="41" t="str">
        <f t="shared" ca="1" si="8"/>
        <v/>
      </c>
      <c r="L70" s="41"/>
      <c r="M70" s="42" t="str">
        <f ca="1">IF(ISERROR(B70-2),"",C70+D70-F70-G70-K70+SUM($L$14:L70))</f>
        <v/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 t="str">
        <f t="shared" si="9"/>
        <v/>
      </c>
      <c r="V70" s="3" t="str">
        <f t="shared" si="10"/>
        <v/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74">
        <v>45875</v>
      </c>
      <c r="AC70" s="4">
        <v>275.17599999999999</v>
      </c>
      <c r="AD70" s="6">
        <f t="shared" si="11"/>
        <v>45875</v>
      </c>
    </row>
    <row r="71" spans="1:34" x14ac:dyDescent="0.25">
      <c r="A71" s="37" t="str">
        <f t="shared" ca="1" si="3"/>
        <v/>
      </c>
      <c r="B71" s="38" t="str">
        <f ca="1">IF(COUNTIF($W$2:W1056,A71)=1,VLOOKUP(A71,O:P,2), IF(COUNTIF($W$2:W1056,A71)=0,$B$9,""))</f>
        <v/>
      </c>
      <c r="C71" s="2" t="str">
        <f t="shared" ca="1" si="4"/>
        <v/>
      </c>
      <c r="D71" s="41"/>
      <c r="E71" s="38" t="str">
        <f ca="1">IF(COUNTIF($W$2:W1056,A71)=1,VLOOKUP(A71,Q:R,2), IF(COUNTIF($W$2:W1056,A71)=0,$C$9,""))</f>
        <v/>
      </c>
      <c r="F71" s="2" t="str">
        <f t="shared" ca="1" si="5"/>
        <v/>
      </c>
      <c r="G71" s="41" t="str">
        <f t="shared" ca="1" si="6"/>
        <v/>
      </c>
      <c r="H71" s="38" t="str">
        <f ca="1">IF(COUNTIF($W$2:W1056,A71)=1,VLOOKUP(A71,S:T,2), IF(COUNTIF($W$2:W1056,A71)=0,$D$9,""))</f>
        <v/>
      </c>
      <c r="I71" s="39" t="str">
        <f ca="1">IF(COUNTIF($X$2:X1056,INT(A71))=1,VLOOKUP(INT(A71),X:Y,2), IF(ISERROR(H71-2),"",I70*(1-$D$8*(H71-H70)*0.0001)))</f>
        <v/>
      </c>
      <c r="J71" s="39" t="str">
        <f t="shared" ca="1" si="7"/>
        <v/>
      </c>
      <c r="K71" s="41" t="str">
        <f t="shared" ca="1" si="8"/>
        <v/>
      </c>
      <c r="L71" s="41"/>
      <c r="M71" s="42" t="str">
        <f ca="1">IF(ISERROR(B71-2),"",C71+D71-F71-G71-K71+SUM($L$14:L71))</f>
        <v/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 t="str">
        <f t="shared" si="9"/>
        <v/>
      </c>
      <c r="V71" s="3" t="str">
        <f t="shared" si="10"/>
        <v/>
      </c>
      <c r="X71" s="3">
        <v>46141</v>
      </c>
      <c r="Y71" s="5">
        <v>263.29599999999999</v>
      </c>
      <c r="Z71" s="3">
        <v>45876</v>
      </c>
      <c r="AA71" s="4">
        <v>241.5027</v>
      </c>
      <c r="AB71" s="74">
        <v>45876</v>
      </c>
      <c r="AC71" s="4">
        <v>270.50400000000002</v>
      </c>
      <c r="AD71" s="6">
        <f t="shared" si="11"/>
        <v>45876</v>
      </c>
    </row>
    <row r="72" spans="1:34" x14ac:dyDescent="0.25">
      <c r="A72" s="37" t="str">
        <f t="shared" ca="1" si="3"/>
        <v/>
      </c>
      <c r="B72" s="38" t="str">
        <f ca="1">IF(COUNTIF($W$2:W1057,A72)=1,VLOOKUP(A72,O:P,2), IF(COUNTIF($W$2:W1057,A72)=0,$B$9,""))</f>
        <v/>
      </c>
      <c r="C72" s="2" t="str">
        <f t="shared" ca="1" si="4"/>
        <v/>
      </c>
      <c r="D72" s="41"/>
      <c r="E72" s="38" t="str">
        <f ca="1">IF(COUNTIF($W$2:W1057,A72)=1,VLOOKUP(A72,Q:R,2), IF(COUNTIF($W$2:W1057,A72)=0,$C$9,""))</f>
        <v/>
      </c>
      <c r="F72" s="2" t="str">
        <f t="shared" ca="1" si="5"/>
        <v/>
      </c>
      <c r="G72" s="41" t="str">
        <f t="shared" ca="1" si="6"/>
        <v/>
      </c>
      <c r="H72" s="38" t="str">
        <f ca="1">IF(COUNTIF($W$2:W1057,A72)=1,VLOOKUP(A72,S:T,2), IF(COUNTIF($W$2:W1057,A72)=0,$D$9,""))</f>
        <v/>
      </c>
      <c r="I72" s="39" t="str">
        <f ca="1">IF(COUNTIF($X$2:X1057,INT(A72))=1,VLOOKUP(INT(A72),X:Y,2), IF(ISERROR(H72-2),"",I71*(1-$D$8*(H72-H71)*0.0001)))</f>
        <v/>
      </c>
      <c r="J72" s="39" t="str">
        <f t="shared" ca="1" si="7"/>
        <v/>
      </c>
      <c r="K72" s="41" t="str">
        <f t="shared" ca="1" si="8"/>
        <v/>
      </c>
      <c r="L72" s="41"/>
      <c r="M72" s="42" t="str">
        <f ca="1">IF(ISERROR(B72-2),"",C72+D72-F72-G72-K72+SUM($L$14:L72))</f>
        <v/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 t="str">
        <f t="shared" si="9"/>
        <v/>
      </c>
      <c r="V72" s="3" t="str">
        <f t="shared" si="10"/>
        <v/>
      </c>
      <c r="X72" s="3">
        <v>46142</v>
      </c>
      <c r="Y72" s="5">
        <v>263.72019999999998</v>
      </c>
      <c r="Z72" s="3">
        <v>45877</v>
      </c>
      <c r="AA72" s="4">
        <v>241.9376</v>
      </c>
      <c r="AB72" s="74">
        <v>45877</v>
      </c>
      <c r="AC72" s="4">
        <v>266.57299999999998</v>
      </c>
      <c r="AD72" s="6">
        <f t="shared" si="11"/>
        <v>45877</v>
      </c>
    </row>
    <row r="73" spans="1:34" x14ac:dyDescent="0.25">
      <c r="A73" s="37" t="str">
        <f t="shared" ca="1" si="3"/>
        <v/>
      </c>
      <c r="B73" s="38" t="str">
        <f ca="1">IF(COUNTIF($W$2:W1058,A73)=1,VLOOKUP(A73,O:P,2), IF(COUNTIF($W$2:W1058,A73)=0,$B$9,""))</f>
        <v/>
      </c>
      <c r="C73" s="2" t="str">
        <f t="shared" ca="1" si="4"/>
        <v/>
      </c>
      <c r="D73" s="41"/>
      <c r="E73" s="38" t="str">
        <f ca="1">IF(COUNTIF($W$2:W1058,A73)=1,VLOOKUP(A73,Q:R,2), IF(COUNTIF($W$2:W1058,A73)=0,$C$9,""))</f>
        <v/>
      </c>
      <c r="F73" s="2" t="str">
        <f t="shared" ca="1" si="5"/>
        <v/>
      </c>
      <c r="G73" s="41" t="str">
        <f t="shared" ca="1" si="6"/>
        <v/>
      </c>
      <c r="H73" s="38" t="str">
        <f ca="1">IF(COUNTIF($W$2:W1058,A73)=1,VLOOKUP(A73,S:T,2), IF(COUNTIF($W$2:W1058,A73)=0,$D$9,""))</f>
        <v/>
      </c>
      <c r="I73" s="39" t="str">
        <f ca="1">IF(COUNTIF($X$2:X1058,INT(A73))=1,VLOOKUP(INT(A73),X:Y,2), IF(ISERROR(H73-2),"",I72*(1-$D$8*(H73-H72)*0.0001)))</f>
        <v/>
      </c>
      <c r="J73" s="39" t="str">
        <f t="shared" ca="1" si="7"/>
        <v/>
      </c>
      <c r="K73" s="41" t="str">
        <f t="shared" ca="1" si="8"/>
        <v/>
      </c>
      <c r="L73" s="41"/>
      <c r="M73" s="42" t="str">
        <f ca="1">IF(ISERROR(B73-2),"",C73+D73-F73-G73-K73+SUM($L$14:L73))</f>
        <v/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 t="str">
        <f t="shared" si="9"/>
        <v/>
      </c>
      <c r="V73" s="3" t="str">
        <f t="shared" si="10"/>
        <v/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74">
        <v>45880</v>
      </c>
      <c r="AC73" s="4">
        <v>265.935</v>
      </c>
      <c r="AD73" s="6">
        <f t="shared" si="11"/>
        <v>45880</v>
      </c>
    </row>
    <row r="74" spans="1:34" x14ac:dyDescent="0.25">
      <c r="A74" s="37" t="str">
        <f t="shared" ca="1" si="3"/>
        <v/>
      </c>
      <c r="B74" s="38" t="str">
        <f ca="1">IF(COUNTIF($W$2:W1059,A74)=1,VLOOKUP(A74,O:P,2), IF(COUNTIF($W$2:W1059,A74)=0,$B$9,""))</f>
        <v/>
      </c>
      <c r="C74" s="2" t="str">
        <f t="shared" ca="1" si="4"/>
        <v/>
      </c>
      <c r="D74" s="41"/>
      <c r="E74" s="38" t="str">
        <f ca="1">IF(COUNTIF($W$2:W1059,A74)=1,VLOOKUP(A74,Q:R,2), IF(COUNTIF($W$2:W1059,A74)=0,$C$9,""))</f>
        <v/>
      </c>
      <c r="F74" s="2" t="str">
        <f t="shared" ca="1" si="5"/>
        <v/>
      </c>
      <c r="G74" s="41" t="str">
        <f t="shared" ca="1" si="6"/>
        <v/>
      </c>
      <c r="H74" s="38" t="str">
        <f ca="1">IF(COUNTIF($W$2:W1059,A74)=1,VLOOKUP(A74,S:T,2), IF(COUNTIF($W$2:W1059,A74)=0,$D$9,""))</f>
        <v/>
      </c>
      <c r="I74" s="39" t="str">
        <f ca="1">IF(COUNTIF($X$2:X1059,INT(A74))=1,VLOOKUP(INT(A74),X:Y,2), IF(ISERROR(H74-2),"",I73*(1-$D$8*(H74-H73)*0.0001)))</f>
        <v/>
      </c>
      <c r="J74" s="39" t="str">
        <f t="shared" ca="1" si="7"/>
        <v/>
      </c>
      <c r="K74" s="41" t="str">
        <f t="shared" ca="1" si="8"/>
        <v/>
      </c>
      <c r="L74" s="41"/>
      <c r="M74" s="42" t="str">
        <f ca="1">IF(ISERROR(B74-2),"",C74+D74-F74-G74-K74+SUM($L$14:L74))</f>
        <v/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 t="str">
        <f t="shared" si="9"/>
        <v/>
      </c>
      <c r="V74" s="3" t="str">
        <f t="shared" si="10"/>
        <v/>
      </c>
      <c r="X74" s="3">
        <v>46147</v>
      </c>
      <c r="Y74" s="5">
        <v>264.5573</v>
      </c>
      <c r="Z74" s="3">
        <v>45881</v>
      </c>
      <c r="AA74" s="4">
        <v>242.30109999999999</v>
      </c>
      <c r="AB74" s="74">
        <v>45881</v>
      </c>
      <c r="AC74" s="4">
        <v>263.49</v>
      </c>
      <c r="AD74" s="6">
        <f t="shared" si="11"/>
        <v>45881</v>
      </c>
    </row>
    <row r="75" spans="1:34" x14ac:dyDescent="0.25">
      <c r="A75" s="37" t="str">
        <f t="shared" ca="1" si="3"/>
        <v/>
      </c>
      <c r="B75" s="38" t="str">
        <f ca="1">IF(COUNTIF($W$2:W1060,A75)=1,VLOOKUP(A75,O:P,2), IF(COUNTIF($W$2:W1060,A75)=0,$B$9,""))</f>
        <v/>
      </c>
      <c r="C75" s="2" t="str">
        <f t="shared" ca="1" si="4"/>
        <v/>
      </c>
      <c r="D75" s="41"/>
      <c r="E75" s="38" t="str">
        <f ca="1">IF(COUNTIF($W$2:W1060,A75)=1,VLOOKUP(A75,Q:R,2), IF(COUNTIF($W$2:W1060,A75)=0,$C$9,""))</f>
        <v/>
      </c>
      <c r="F75" s="2" t="str">
        <f t="shared" ca="1" si="5"/>
        <v/>
      </c>
      <c r="G75" s="41" t="str">
        <f t="shared" ca="1" si="6"/>
        <v/>
      </c>
      <c r="H75" s="38" t="str">
        <f ca="1">IF(COUNTIF($W$2:W1060,A75)=1,VLOOKUP(A75,S:T,2), IF(COUNTIF($W$2:W1060,A75)=0,$D$9,""))</f>
        <v/>
      </c>
      <c r="I75" s="39" t="str">
        <f ca="1">IF(COUNTIF($X$2:X1060,INT(A75))=1,VLOOKUP(INT(A75),X:Y,2), IF(ISERROR(H75-2),"",I74*(1-$D$8*(H75-H74)*0.0001)))</f>
        <v/>
      </c>
      <c r="J75" s="39" t="str">
        <f t="shared" ca="1" si="7"/>
        <v/>
      </c>
      <c r="K75" s="41" t="str">
        <f t="shared" ca="1" si="8"/>
        <v/>
      </c>
      <c r="L75" s="41"/>
      <c r="M75" s="42" t="str">
        <f ca="1">IF(ISERROR(B75-2),"",C75+D75-F75-G75-K75+SUM($L$14:L75))</f>
        <v/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 t="str">
        <f t="shared" si="9"/>
        <v/>
      </c>
      <c r="V75" s="3" t="str">
        <f t="shared" si="10"/>
        <v/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74">
        <v>45882</v>
      </c>
      <c r="AC75" s="4">
        <v>261.18700000000001</v>
      </c>
      <c r="AD75" s="6">
        <f t="shared" si="11"/>
        <v>45882</v>
      </c>
    </row>
    <row r="76" spans="1:34" x14ac:dyDescent="0.25">
      <c r="A76" s="37" t="str">
        <f t="shared" ca="1" si="3"/>
        <v/>
      </c>
      <c r="B76" s="38" t="str">
        <f ca="1">IF(COUNTIF($W$2:W1061,A76)=1,VLOOKUP(A76,O:P,2), IF(COUNTIF($W$2:W1061,A76)=0,$B$9,""))</f>
        <v/>
      </c>
      <c r="C76" s="2" t="str">
        <f t="shared" ca="1" si="4"/>
        <v/>
      </c>
      <c r="D76" s="41"/>
      <c r="E76" s="38" t="str">
        <f ca="1">IF(COUNTIF($W$2:W1061,A76)=1,VLOOKUP(A76,Q:R,2), IF(COUNTIF($W$2:W1061,A76)=0,$C$9,""))</f>
        <v/>
      </c>
      <c r="F76" s="2" t="str">
        <f t="shared" ca="1" si="5"/>
        <v/>
      </c>
      <c r="G76" s="41" t="str">
        <f t="shared" ca="1" si="6"/>
        <v/>
      </c>
      <c r="H76" s="38" t="str">
        <f ca="1">IF(COUNTIF($W$2:W1061,A76)=1,VLOOKUP(A76,S:T,2), IF(COUNTIF($W$2:W1061,A76)=0,$D$9,""))</f>
        <v/>
      </c>
      <c r="I76" s="39" t="str">
        <f ca="1">IF(COUNTIF($X$2:X1061,INT(A76))=1,VLOOKUP(INT(A76),X:Y,2), IF(ISERROR(H76-2),"",I75*(1-$D$8*(H76-H75)*0.0001)))</f>
        <v/>
      </c>
      <c r="J76" s="39" t="str">
        <f t="shared" ca="1" si="7"/>
        <v/>
      </c>
      <c r="K76" s="41" t="str">
        <f t="shared" ca="1" si="8"/>
        <v/>
      </c>
      <c r="L76" s="41"/>
      <c r="M76" s="42" t="str">
        <f ca="1">IF(ISERROR(B76-2),"",C76+D76-F76-G76-K76+SUM($L$14:L76))</f>
        <v/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 t="str">
        <f t="shared" si="9"/>
        <v/>
      </c>
      <c r="V76" s="3" t="str">
        <f t="shared" si="10"/>
        <v/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74">
        <v>45883</v>
      </c>
      <c r="AC76" s="4">
        <v>260.53300000000002</v>
      </c>
      <c r="AD76" s="6">
        <f t="shared" si="11"/>
        <v>45883</v>
      </c>
    </row>
    <row r="77" spans="1:34" x14ac:dyDescent="0.25">
      <c r="A77" s="37" t="str">
        <f t="shared" ca="1" si="3"/>
        <v/>
      </c>
      <c r="B77" s="38" t="str">
        <f ca="1">IF(COUNTIF($W$2:W1062,A77)=1,VLOOKUP(A77,O:P,2), IF(COUNTIF($W$2:W1062,A77)=0,$B$9,""))</f>
        <v/>
      </c>
      <c r="C77" s="2" t="str">
        <f t="shared" ca="1" si="4"/>
        <v/>
      </c>
      <c r="D77" s="41"/>
      <c r="E77" s="38" t="str">
        <f ca="1">IF(COUNTIF($W$2:W1062,A77)=1,VLOOKUP(A77,Q:R,2), IF(COUNTIF($W$2:W1062,A77)=0,$C$9,""))</f>
        <v/>
      </c>
      <c r="F77" s="2" t="str">
        <f t="shared" ca="1" si="5"/>
        <v/>
      </c>
      <c r="G77" s="41" t="str">
        <f t="shared" ca="1" si="6"/>
        <v/>
      </c>
      <c r="H77" s="38" t="str">
        <f ca="1">IF(COUNTIF($W$2:W1062,A77)=1,VLOOKUP(A77,S:T,2), IF(COUNTIF($W$2:W1062,A77)=0,$D$9,""))</f>
        <v/>
      </c>
      <c r="I77" s="39" t="str">
        <f ca="1">IF(COUNTIF($X$2:X1062,INT(A77))=1,VLOOKUP(INT(A77),X:Y,2), IF(ISERROR(H77-2),"",I76*(1-$D$8*(H77-H76)*0.0001)))</f>
        <v/>
      </c>
      <c r="J77" s="39" t="str">
        <f t="shared" ca="1" si="7"/>
        <v/>
      </c>
      <c r="K77" s="41" t="str">
        <f t="shared" ca="1" si="8"/>
        <v/>
      </c>
      <c r="L77" s="41"/>
      <c r="M77" s="42" t="str">
        <f ca="1">IF(ISERROR(B77-2),"",C77+D77-F77-G77-K77+SUM($L$14:L77))</f>
        <v/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 t="str">
        <f t="shared" si="9"/>
        <v/>
      </c>
      <c r="V77" s="3" t="str">
        <f t="shared" si="10"/>
        <v/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74">
        <v>45884</v>
      </c>
      <c r="AC77" s="4">
        <v>259.50799999999998</v>
      </c>
      <c r="AD77" s="6">
        <f t="shared" si="11"/>
        <v>45884</v>
      </c>
    </row>
    <row r="78" spans="1:34" x14ac:dyDescent="0.25">
      <c r="A78" s="37" t="str">
        <f t="shared" ca="1" si="3"/>
        <v/>
      </c>
      <c r="B78" s="38" t="str">
        <f ca="1">IF(COUNTIF($W$2:W1063,A78)=1,VLOOKUP(A78,O:P,2), IF(COUNTIF($W$2:W1063,A78)=0,$B$9,""))</f>
        <v/>
      </c>
      <c r="C78" s="2" t="str">
        <f t="shared" ca="1" si="4"/>
        <v/>
      </c>
      <c r="D78" s="41"/>
      <c r="E78" s="38" t="str">
        <f ca="1">IF(COUNTIF($W$2:W1063,A78)=1,VLOOKUP(A78,Q:R,2), IF(COUNTIF($W$2:W1063,A78)=0,$C$9,""))</f>
        <v/>
      </c>
      <c r="F78" s="2" t="str">
        <f t="shared" ca="1" si="5"/>
        <v/>
      </c>
      <c r="G78" s="41" t="str">
        <f t="shared" ca="1" si="6"/>
        <v/>
      </c>
      <c r="H78" s="38" t="str">
        <f ca="1">IF(COUNTIF($W$2:W1063,A78)=1,VLOOKUP(A78,S:T,2), IF(COUNTIF($W$2:W1063,A78)=0,$D$9,""))</f>
        <v/>
      </c>
      <c r="I78" s="39" t="str">
        <f ca="1">IF(COUNTIF($X$2:X1063,INT(A78))=1,VLOOKUP(INT(A78),X:Y,2), IF(ISERROR(H78-2),"",I77*(1-$D$8*(H78-H77)*0.0001)))</f>
        <v/>
      </c>
      <c r="J78" s="39" t="str">
        <f t="shared" ca="1" si="7"/>
        <v/>
      </c>
      <c r="K78" s="41" t="str">
        <f t="shared" ca="1" si="8"/>
        <v/>
      </c>
      <c r="L78" s="41"/>
      <c r="M78" s="42" t="str">
        <f ca="1">IF(ISERROR(B78-2),"",C78+D78-F78-G78-K78+SUM($L$14:L78))</f>
        <v/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 t="str">
        <f t="shared" si="9"/>
        <v/>
      </c>
      <c r="V78" s="3" t="str">
        <f t="shared" si="10"/>
        <v/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74">
        <v>45887</v>
      </c>
      <c r="AC78" s="4">
        <v>259.964</v>
      </c>
      <c r="AD78" s="6">
        <f t="shared" si="11"/>
        <v>45887</v>
      </c>
    </row>
    <row r="79" spans="1:34" x14ac:dyDescent="0.25">
      <c r="A79" s="37" t="str">
        <f t="shared" ref="A79:A142" ca="1" si="12">IF(AND(ISBLANK(W68), A78 = $W$1),NOW(),IF(ISBLANK(W68),"",W68))</f>
        <v/>
      </c>
      <c r="B79" s="38" t="str">
        <f ca="1">IF(COUNTIF($W$2:W1064,A79)=1,VLOOKUP(A79,O:P,2), IF(COUNTIF($W$2:W1064,A79)=0,$B$9,""))</f>
        <v/>
      </c>
      <c r="C79" s="2" t="str">
        <f t="shared" ca="1" si="4"/>
        <v/>
      </c>
      <c r="D79" s="41"/>
      <c r="E79" s="38" t="str">
        <f ca="1">IF(COUNTIF($W$2:W1064,A79)=1,VLOOKUP(A79,Q:R,2), IF(COUNTIF($W$2:W1064,A79)=0,$C$9,""))</f>
        <v/>
      </c>
      <c r="F79" s="2" t="str">
        <f t="shared" ca="1" si="5"/>
        <v/>
      </c>
      <c r="G79" s="41" t="str">
        <f t="shared" ca="1" si="6"/>
        <v/>
      </c>
      <c r="H79" s="38" t="str">
        <f ca="1">IF(COUNTIF($W$2:W1064,A79)=1,VLOOKUP(A79,S:T,2), IF(COUNTIF($W$2:W1064,A79)=0,$D$9,""))</f>
        <v/>
      </c>
      <c r="I79" s="39" t="str">
        <f ca="1">IF(COUNTIF($X$2:X1064,INT(A79))=1,VLOOKUP(INT(A79),X:Y,2), IF(ISERROR(H79-2),"",I78*(1-$D$8*(H79-H78)*0.0001)))</f>
        <v/>
      </c>
      <c r="J79" s="39" t="str">
        <f t="shared" ca="1" si="7"/>
        <v/>
      </c>
      <c r="K79" s="41" t="str">
        <f t="shared" ca="1" si="8"/>
        <v/>
      </c>
      <c r="L79" s="41"/>
      <c r="M79" s="42" t="str">
        <f ca="1">IF(ISERROR(B79-2),"",C79+D79-F79-G79-K79+SUM($L$14:L79))</f>
        <v/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 t="str">
        <f t="shared" si="9"/>
        <v/>
      </c>
      <c r="V79" s="3" t="str">
        <f t="shared" si="10"/>
        <v/>
      </c>
      <c r="X79" s="3">
        <v>46154</v>
      </c>
      <c r="Y79" s="5">
        <v>265.19240000000002</v>
      </c>
      <c r="Z79" s="3">
        <v>45888</v>
      </c>
      <c r="AA79" s="4">
        <v>242.8905</v>
      </c>
      <c r="AB79" s="74">
        <v>45888</v>
      </c>
      <c r="AC79" s="4">
        <v>260.928</v>
      </c>
      <c r="AD79" s="6">
        <f t="shared" si="11"/>
        <v>45888</v>
      </c>
    </row>
    <row r="80" spans="1:34" x14ac:dyDescent="0.25">
      <c r="A80" s="37" t="str">
        <f t="shared" ca="1" si="12"/>
        <v/>
      </c>
      <c r="B80" s="38" t="str">
        <f ca="1">IF(COUNTIF($W$2:W1065,A80)=1,VLOOKUP(A80,O:P,2), IF(COUNTIF($W$2:W1065,A80)=0,$B$9,""))</f>
        <v/>
      </c>
      <c r="C80" s="2" t="str">
        <f t="shared" ref="C80:C143" ca="1" si="13">IF(ISERROR(B80-2),"",(B80-$B$14)*$G$3*$I$3)</f>
        <v/>
      </c>
      <c r="D80" s="41"/>
      <c r="E80" s="38" t="str">
        <f ca="1">IF(COUNTIF($W$2:W1065,A80)=1,VLOOKUP(A80,Q:R,2), IF(COUNTIF($W$2:W1065,A80)=0,$C$9,""))</f>
        <v/>
      </c>
      <c r="F80" s="2" t="str">
        <f t="shared" ref="F80:F143" ca="1" si="14">IF(ISERROR(B80-2),"",(E80-$E$14)/100*$C$5)</f>
        <v/>
      </c>
      <c r="G80" s="41" t="str">
        <f t="shared" ref="G80:G143" ca="1" si="15">IF(ISERROR(B80-2),"",(INT(A80)-INT($A$14))/360*$C$6*$C$5-(INT(A80)-INT($A$14))/360*$C$7*$C$5*$E$14/100)</f>
        <v/>
      </c>
      <c r="H80" s="38" t="str">
        <f ca="1">IF(COUNTIF($W$2:W1065,A80)=1,VLOOKUP(A80,S:T,2), IF(COUNTIF($W$2:W1065,A80)=0,$D$9,""))</f>
        <v/>
      </c>
      <c r="I80" s="39" t="str">
        <f ca="1">IF(COUNTIF($X$2:X1065,INT(A80))=1,VLOOKUP(INT(A80),X:Y,2), IF(ISERROR(H80-2),"",I79*(1-$D$8*(H80-H79)*0.0001)))</f>
        <v/>
      </c>
      <c r="J80" s="39" t="str">
        <f t="shared" ref="J80:J143" ca="1" si="16">IF(ISERROR(H80-2),"",I80)</f>
        <v/>
      </c>
      <c r="K80" s="41" t="str">
        <f t="shared" ref="K80:K143" ca="1" si="17">IF(ISERROR(H80-2),"",(J80/$J$14-1)*$D$5)</f>
        <v/>
      </c>
      <c r="L80" s="41"/>
      <c r="M80" s="42" t="str">
        <f ca="1">IF(ISERROR(B80-2),"",C80+D80-F80-G80-K80+SUM($L$14:L80))</f>
        <v/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 t="str">
        <f t="shared" si="9"/>
        <v/>
      </c>
      <c r="V80" s="3" t="str">
        <f t="shared" si="10"/>
        <v/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74">
        <v>45889</v>
      </c>
      <c r="AC80" s="4">
        <v>265.03500000000003</v>
      </c>
      <c r="AD80" s="6">
        <f t="shared" si="11"/>
        <v>45889</v>
      </c>
    </row>
    <row r="81" spans="1:30" x14ac:dyDescent="0.25">
      <c r="A81" s="37" t="str">
        <f t="shared" ca="1" si="12"/>
        <v/>
      </c>
      <c r="B81" s="38" t="str">
        <f ca="1">IF(COUNTIF($W$2:W1066,A81)=1,VLOOKUP(A81,O:P,2), IF(COUNTIF($W$2:W1066,A81)=0,$B$9,""))</f>
        <v/>
      </c>
      <c r="C81" s="2" t="str">
        <f t="shared" ca="1" si="13"/>
        <v/>
      </c>
      <c r="D81" s="41"/>
      <c r="E81" s="38" t="str">
        <f ca="1">IF(COUNTIF($W$2:W1066,A81)=1,VLOOKUP(A81,Q:R,2), IF(COUNTIF($W$2:W1066,A81)=0,$C$9,""))</f>
        <v/>
      </c>
      <c r="F81" s="2" t="str">
        <f t="shared" ca="1" si="14"/>
        <v/>
      </c>
      <c r="G81" s="41" t="str">
        <f t="shared" ca="1" si="15"/>
        <v/>
      </c>
      <c r="H81" s="38" t="str">
        <f ca="1">IF(COUNTIF($W$2:W1066,A81)=1,VLOOKUP(A81,S:T,2), IF(COUNTIF($W$2:W1066,A81)=0,$D$9,""))</f>
        <v/>
      </c>
      <c r="I81" s="39" t="str">
        <f ca="1">IF(COUNTIF($X$2:X1066,INT(A81))=1,VLOOKUP(INT(A81),X:Y,2), IF(ISERROR(H81-2),"",I80*(1-$D$8*(H81-H80)*0.0001)))</f>
        <v/>
      </c>
      <c r="J81" s="39" t="str">
        <f t="shared" ca="1" si="16"/>
        <v/>
      </c>
      <c r="K81" s="41" t="str">
        <f t="shared" ca="1" si="17"/>
        <v/>
      </c>
      <c r="L81" s="41"/>
      <c r="M81" s="42" t="str">
        <f ca="1">IF(ISERROR(B81-2),"",C81+D81-F81-G81-K81+SUM($L$14:L81))</f>
        <v/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 t="str">
        <f t="shared" si="9"/>
        <v/>
      </c>
      <c r="V81" s="3" t="str">
        <f t="shared" si="10"/>
        <v/>
      </c>
      <c r="X81" s="3">
        <v>46156</v>
      </c>
      <c r="Y81" s="5">
        <v>266.41410000000002</v>
      </c>
      <c r="Z81" s="3">
        <v>45890</v>
      </c>
      <c r="AA81" s="4">
        <v>242.1087</v>
      </c>
      <c r="AB81" s="74">
        <v>45890</v>
      </c>
      <c r="AC81" s="4">
        <v>267.86399999999998</v>
      </c>
      <c r="AD81" s="6">
        <f t="shared" si="11"/>
        <v>45890</v>
      </c>
    </row>
    <row r="82" spans="1:30" x14ac:dyDescent="0.25">
      <c r="A82" s="37" t="str">
        <f t="shared" ca="1" si="12"/>
        <v/>
      </c>
      <c r="B82" s="38" t="str">
        <f ca="1">IF(COUNTIF($W$2:W1067,A82)=1,VLOOKUP(A82,O:P,2), IF(COUNTIF($W$2:W1067,A82)=0,$B$9,""))</f>
        <v/>
      </c>
      <c r="C82" s="2" t="str">
        <f t="shared" ca="1" si="13"/>
        <v/>
      </c>
      <c r="D82" s="41"/>
      <c r="E82" s="38" t="str">
        <f ca="1">IF(COUNTIF($W$2:W1067,A82)=1,VLOOKUP(A82,Q:R,2), IF(COUNTIF($W$2:W1067,A82)=0,$C$9,""))</f>
        <v/>
      </c>
      <c r="F82" s="2" t="str">
        <f t="shared" ca="1" si="14"/>
        <v/>
      </c>
      <c r="G82" s="41" t="str">
        <f t="shared" ca="1" si="15"/>
        <v/>
      </c>
      <c r="H82" s="38" t="str">
        <f ca="1">IF(COUNTIF($W$2:W1067,A82)=1,VLOOKUP(A82,S:T,2), IF(COUNTIF($W$2:W1067,A82)=0,$D$9,""))</f>
        <v/>
      </c>
      <c r="I82" s="39" t="str">
        <f ca="1">IF(COUNTIF($X$2:X1067,INT(A82))=1,VLOOKUP(INT(A82),X:Y,2), IF(ISERROR(H82-2),"",I81*(1-$D$8*(H82-H81)*0.0001)))</f>
        <v/>
      </c>
      <c r="J82" s="39" t="str">
        <f t="shared" ca="1" si="16"/>
        <v/>
      </c>
      <c r="K82" s="41" t="str">
        <f t="shared" ca="1" si="17"/>
        <v/>
      </c>
      <c r="L82" s="41"/>
      <c r="M82" s="42" t="str">
        <f ca="1">IF(ISERROR(B82-2),"",C82+D82-F82-G82-K82+SUM($L$14:L82))</f>
        <v/>
      </c>
      <c r="Q82" s="3">
        <v>46162.625</v>
      </c>
      <c r="R82" s="4">
        <v>99.39</v>
      </c>
      <c r="S82" s="3">
        <v>46162.625</v>
      </c>
      <c r="T82" s="4">
        <v>278.315</v>
      </c>
      <c r="U82" s="3" t="str">
        <f t="shared" si="9"/>
        <v/>
      </c>
      <c r="V82" s="3" t="str">
        <f t="shared" si="10"/>
        <v/>
      </c>
      <c r="X82" s="3">
        <v>46157</v>
      </c>
      <c r="Y82" s="5">
        <v>265.51639999999998</v>
      </c>
      <c r="Z82" s="3">
        <v>45891</v>
      </c>
      <c r="AA82" s="4">
        <v>242.8244</v>
      </c>
      <c r="AB82" s="74">
        <v>45891</v>
      </c>
      <c r="AC82" s="4">
        <v>260.35599999999999</v>
      </c>
      <c r="AD82" s="6">
        <f t="shared" si="11"/>
        <v>45891</v>
      </c>
    </row>
    <row r="83" spans="1:30" x14ac:dyDescent="0.25">
      <c r="A83" s="37" t="str">
        <f t="shared" ca="1" si="12"/>
        <v/>
      </c>
      <c r="B83" s="38" t="str">
        <f ca="1">IF(COUNTIF($W$2:W1068,A83)=1,VLOOKUP(A83,O:P,2), IF(COUNTIF($W$2:W1068,A83)=0,$B$9,""))</f>
        <v/>
      </c>
      <c r="C83" s="2" t="str">
        <f t="shared" ca="1" si="13"/>
        <v/>
      </c>
      <c r="D83" s="41"/>
      <c r="E83" s="38" t="str">
        <f ca="1">IF(COUNTIF($W$2:W1068,A83)=1,VLOOKUP(A83,Q:R,2), IF(COUNTIF($W$2:W1068,A83)=0,$C$9,""))</f>
        <v/>
      </c>
      <c r="F83" s="2" t="str">
        <f t="shared" ca="1" si="14"/>
        <v/>
      </c>
      <c r="G83" s="41" t="str">
        <f t="shared" ca="1" si="15"/>
        <v/>
      </c>
      <c r="H83" s="38" t="str">
        <f ca="1">IF(COUNTIF($W$2:W1068,A83)=1,VLOOKUP(A83,S:T,2), IF(COUNTIF($W$2:W1068,A83)=0,$D$9,""))</f>
        <v/>
      </c>
      <c r="I83" s="39" t="str">
        <f ca="1">IF(COUNTIF($X$2:X1068,INT(A83))=1,VLOOKUP(INT(A83),X:Y,2), IF(ISERROR(H83-2),"",I82*(1-$D$8*(H83-H82)*0.0001)))</f>
        <v/>
      </c>
      <c r="J83" s="39" t="str">
        <f t="shared" ca="1" si="16"/>
        <v/>
      </c>
      <c r="K83" s="41" t="str">
        <f t="shared" ca="1" si="17"/>
        <v/>
      </c>
      <c r="L83" s="41"/>
      <c r="M83" s="42" t="str">
        <f ca="1">IF(ISERROR(B83-2),"",C83+D83-F83-G83-K83+SUM($L$14:L83))</f>
        <v/>
      </c>
      <c r="Q83" s="3">
        <v>46163.625</v>
      </c>
      <c r="R83" s="4">
        <v>99.37</v>
      </c>
      <c r="S83" s="3">
        <v>46163.625</v>
      </c>
      <c r="T83" s="4">
        <v>279.541</v>
      </c>
      <c r="U83" s="3" t="str">
        <f t="shared" si="9"/>
        <v/>
      </c>
      <c r="V83" s="3" t="str">
        <f t="shared" si="10"/>
        <v/>
      </c>
      <c r="X83" s="3">
        <v>46160</v>
      </c>
      <c r="Y83" s="5">
        <v>265.6705</v>
      </c>
      <c r="Z83" s="3">
        <v>45895</v>
      </c>
      <c r="AA83" s="4">
        <v>242.22980000000001</v>
      </c>
      <c r="AB83" s="74">
        <v>45895</v>
      </c>
      <c r="AC83" s="4">
        <v>267.541</v>
      </c>
      <c r="AD83" s="6">
        <f t="shared" si="11"/>
        <v>45895</v>
      </c>
    </row>
    <row r="84" spans="1:30" x14ac:dyDescent="0.25">
      <c r="A84" s="37" t="str">
        <f t="shared" ca="1" si="12"/>
        <v/>
      </c>
      <c r="B84" s="38" t="str">
        <f ca="1">IF(COUNTIF($W$2:W1069,A84)=1,VLOOKUP(A84,O:P,2), IF(COUNTIF($W$2:W1069,A84)=0,$B$9,""))</f>
        <v/>
      </c>
      <c r="C84" s="2" t="str">
        <f t="shared" ca="1" si="13"/>
        <v/>
      </c>
      <c r="D84" s="41"/>
      <c r="E84" s="38" t="str">
        <f ca="1">IF(COUNTIF($W$2:W1069,A84)=1,VLOOKUP(A84,Q:R,2), IF(COUNTIF($W$2:W1069,A84)=0,$C$9,""))</f>
        <v/>
      </c>
      <c r="F84" s="2" t="str">
        <f t="shared" ca="1" si="14"/>
        <v/>
      </c>
      <c r="G84" s="41" t="str">
        <f t="shared" ca="1" si="15"/>
        <v/>
      </c>
      <c r="H84" s="38" t="str">
        <f ca="1">IF(COUNTIF($W$2:W1069,A84)=1,VLOOKUP(A84,S:T,2), IF(COUNTIF($W$2:W1069,A84)=0,$D$9,""))</f>
        <v/>
      </c>
      <c r="I84" s="39" t="str">
        <f ca="1">IF(COUNTIF($X$2:X1069,INT(A84))=1,VLOOKUP(INT(A84),X:Y,2), IF(ISERROR(H84-2),"",I83*(1-$D$8*(H84-H83)*0.0001)))</f>
        <v/>
      </c>
      <c r="J84" s="39" t="str">
        <f t="shared" ca="1" si="16"/>
        <v/>
      </c>
      <c r="K84" s="41" t="str">
        <f t="shared" ca="1" si="17"/>
        <v/>
      </c>
      <c r="L84" s="41"/>
      <c r="M84" s="42" t="str">
        <f ca="1">IF(ISERROR(B84-2),"",C84+D84-F84-G84-K84+SUM($L$14:L84))</f>
        <v/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 t="str">
        <f t="shared" si="9"/>
        <v/>
      </c>
      <c r="V84" s="3" t="str">
        <f t="shared" si="10"/>
        <v/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74">
        <v>45896</v>
      </c>
      <c r="AC84" s="4">
        <v>274.06099999999998</v>
      </c>
      <c r="AD84" s="6">
        <f t="shared" si="11"/>
        <v>45896</v>
      </c>
    </row>
    <row r="85" spans="1:30" x14ac:dyDescent="0.25">
      <c r="A85" s="37" t="str">
        <f t="shared" ca="1" si="12"/>
        <v/>
      </c>
      <c r="B85" s="38" t="str">
        <f ca="1">IF(COUNTIF($W$2:W1070,A85)=1,VLOOKUP(A85,O:P,2), IF(COUNTIF($W$2:W1070,A85)=0,$B$9,""))</f>
        <v/>
      </c>
      <c r="C85" s="2" t="str">
        <f t="shared" ca="1" si="13"/>
        <v/>
      </c>
      <c r="D85" s="41"/>
      <c r="E85" s="38" t="str">
        <f ca="1">IF(COUNTIF($W$2:W1070,A85)=1,VLOOKUP(A85,Q:R,2), IF(COUNTIF($W$2:W1070,A85)=0,$C$9,""))</f>
        <v/>
      </c>
      <c r="F85" s="2" t="str">
        <f t="shared" ca="1" si="14"/>
        <v/>
      </c>
      <c r="G85" s="41" t="str">
        <f t="shared" ca="1" si="15"/>
        <v/>
      </c>
      <c r="H85" s="38" t="str">
        <f ca="1">IF(COUNTIF($W$2:W1070,A85)=1,VLOOKUP(A85,S:T,2), IF(COUNTIF($W$2:W1070,A85)=0,$D$9,""))</f>
        <v/>
      </c>
      <c r="I85" s="39" t="str">
        <f ca="1">IF(COUNTIF($X$2:X1070,INT(A85))=1,VLOOKUP(INT(A85),X:Y,2), IF(ISERROR(H85-2),"",I84*(1-$D$8*(H85-H84)*0.0001)))</f>
        <v/>
      </c>
      <c r="J85" s="39" t="str">
        <f t="shared" ca="1" si="16"/>
        <v/>
      </c>
      <c r="K85" s="41" t="str">
        <f t="shared" ca="1" si="17"/>
        <v/>
      </c>
      <c r="L85" s="41"/>
      <c r="M85" s="42" t="str">
        <f ca="1">IF(ISERROR(B85-2),"",C85+D85-F85-G85-K85+SUM($L$14:L85))</f>
        <v/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 t="str">
        <f t="shared" si="9"/>
        <v/>
      </c>
      <c r="V85" s="3" t="str">
        <f t="shared" si="10"/>
        <v/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74">
        <v>45897</v>
      </c>
      <c r="AC85" s="4">
        <v>262.23500000000001</v>
      </c>
      <c r="AD85" s="6">
        <f t="shared" si="11"/>
        <v>45897</v>
      </c>
    </row>
    <row r="86" spans="1:30" x14ac:dyDescent="0.25">
      <c r="A86" s="37" t="str">
        <f t="shared" ca="1" si="12"/>
        <v/>
      </c>
      <c r="B86" s="38" t="str">
        <f ca="1">IF(COUNTIF($W$2:W1071,A86)=1,VLOOKUP(A86,O:P,2), IF(COUNTIF($W$2:W1071,A86)=0,$B$9,""))</f>
        <v/>
      </c>
      <c r="C86" s="2" t="str">
        <f t="shared" ca="1" si="13"/>
        <v/>
      </c>
      <c r="D86" s="41"/>
      <c r="E86" s="38" t="str">
        <f ca="1">IF(COUNTIF($W$2:W1071,A86)=1,VLOOKUP(A86,Q:R,2), IF(COUNTIF($W$2:W1071,A86)=0,$C$9,""))</f>
        <v/>
      </c>
      <c r="F86" s="2" t="str">
        <f t="shared" ca="1" si="14"/>
        <v/>
      </c>
      <c r="G86" s="41" t="str">
        <f t="shared" ca="1" si="15"/>
        <v/>
      </c>
      <c r="H86" s="38" t="str">
        <f ca="1">IF(COUNTIF($W$2:W1071,A86)=1,VLOOKUP(A86,S:T,2), IF(COUNTIF($W$2:W1071,A86)=0,$D$9,""))</f>
        <v/>
      </c>
      <c r="I86" s="39" t="str">
        <f ca="1">IF(COUNTIF($X$2:X1071,INT(A86))=1,VLOOKUP(INT(A86),X:Y,2), IF(ISERROR(H86-2),"",I85*(1-$D$8*(H86-H85)*0.0001)))</f>
        <v/>
      </c>
      <c r="J86" s="39" t="str">
        <f t="shared" ca="1" si="16"/>
        <v/>
      </c>
      <c r="K86" s="41" t="str">
        <f t="shared" ca="1" si="17"/>
        <v/>
      </c>
      <c r="L86" s="41"/>
      <c r="M86" s="42" t="str">
        <f ca="1">IF(ISERROR(B86-2),"",C86+D86-F86-G86-K86+SUM($L$14:L86))</f>
        <v/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 t="str">
        <f t="shared" si="9"/>
        <v/>
      </c>
      <c r="V86" s="3" t="str">
        <f t="shared" si="10"/>
        <v/>
      </c>
      <c r="X86" s="3">
        <v>46163</v>
      </c>
      <c r="Y86" s="5">
        <v>265.81610000000001</v>
      </c>
      <c r="Z86" s="3">
        <v>45898</v>
      </c>
      <c r="AA86" s="4">
        <v>241.4692</v>
      </c>
      <c r="AB86" s="74">
        <v>45898</v>
      </c>
      <c r="AC86" s="4">
        <v>267.947</v>
      </c>
      <c r="AD86" s="6">
        <f t="shared" si="11"/>
        <v>45898</v>
      </c>
    </row>
    <row r="87" spans="1:30" x14ac:dyDescent="0.25">
      <c r="A87" s="37" t="str">
        <f t="shared" ca="1" si="12"/>
        <v/>
      </c>
      <c r="B87" s="38" t="str">
        <f ca="1">IF(COUNTIF($W$2:W1072,A87)=1,VLOOKUP(A87,O:P,2), IF(COUNTIF($W$2:W1072,A87)=0,$B$9,""))</f>
        <v/>
      </c>
      <c r="C87" s="2" t="str">
        <f t="shared" ca="1" si="13"/>
        <v/>
      </c>
      <c r="D87" s="41"/>
      <c r="E87" s="38" t="str">
        <f ca="1">IF(COUNTIF($W$2:W1072,A87)=1,VLOOKUP(A87,Q:R,2), IF(COUNTIF($W$2:W1072,A87)=0,$C$9,""))</f>
        <v/>
      </c>
      <c r="F87" s="2" t="str">
        <f t="shared" ca="1" si="14"/>
        <v/>
      </c>
      <c r="G87" s="41" t="str">
        <f t="shared" ca="1" si="15"/>
        <v/>
      </c>
      <c r="H87" s="38" t="str">
        <f ca="1">IF(COUNTIF($W$2:W1072,A87)=1,VLOOKUP(A87,S:T,2), IF(COUNTIF($W$2:W1072,A87)=0,$D$9,""))</f>
        <v/>
      </c>
      <c r="I87" s="39" t="str">
        <f ca="1">IF(COUNTIF($X$2:X1072,INT(A87))=1,VLOOKUP(INT(A87),X:Y,2), IF(ISERROR(H87-2),"",I86*(1-$D$8*(H87-H86)*0.0001)))</f>
        <v/>
      </c>
      <c r="J87" s="39" t="str">
        <f t="shared" ca="1" si="16"/>
        <v/>
      </c>
      <c r="K87" s="41" t="str">
        <f t="shared" ca="1" si="17"/>
        <v/>
      </c>
      <c r="L87" s="41"/>
      <c r="M87" s="42" t="str">
        <f ca="1">IF(ISERROR(B87-2),"",C87+D87-F87-G87-K87+SUM($L$14:L87))</f>
        <v/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 t="str">
        <f t="shared" si="9"/>
        <v/>
      </c>
      <c r="V87" s="3" t="str">
        <f t="shared" si="10"/>
        <v/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74">
        <v>45901</v>
      </c>
      <c r="AC87" s="4">
        <v>268.048</v>
      </c>
      <c r="AD87" s="6">
        <f t="shared" si="11"/>
        <v>45901</v>
      </c>
    </row>
    <row r="88" spans="1:30" x14ac:dyDescent="0.25">
      <c r="A88" s="37" t="str">
        <f t="shared" ca="1" si="12"/>
        <v/>
      </c>
      <c r="B88" s="38" t="str">
        <f ca="1">IF(COUNTIF($W$2:W1073,A88)=1,VLOOKUP(A88,O:P,2), IF(COUNTIF($W$2:W1073,A88)=0,$B$9,""))</f>
        <v/>
      </c>
      <c r="C88" s="2" t="str">
        <f t="shared" ca="1" si="13"/>
        <v/>
      </c>
      <c r="D88" s="41"/>
      <c r="E88" s="38" t="str">
        <f ca="1">IF(COUNTIF($W$2:W1073,A88)=1,VLOOKUP(A88,Q:R,2), IF(COUNTIF($W$2:W1073,A88)=0,$C$9,""))</f>
        <v/>
      </c>
      <c r="F88" s="2" t="str">
        <f t="shared" ca="1" si="14"/>
        <v/>
      </c>
      <c r="G88" s="41" t="str">
        <f t="shared" ca="1" si="15"/>
        <v/>
      </c>
      <c r="H88" s="38" t="str">
        <f ca="1">IF(COUNTIF($W$2:W1073,A88)=1,VLOOKUP(A88,S:T,2), IF(COUNTIF($W$2:W1073,A88)=0,$D$9,""))</f>
        <v/>
      </c>
      <c r="I88" s="39" t="str">
        <f ca="1">IF(COUNTIF($X$2:X1073,INT(A88))=1,VLOOKUP(INT(A88),X:Y,2), IF(ISERROR(H88-2),"",I87*(1-$D$8*(H88-H87)*0.0001)))</f>
        <v/>
      </c>
      <c r="J88" s="39" t="str">
        <f t="shared" ca="1" si="16"/>
        <v/>
      </c>
      <c r="K88" s="41" t="str">
        <f t="shared" ca="1" si="17"/>
        <v/>
      </c>
      <c r="L88" s="41"/>
      <c r="M88" s="42" t="str">
        <f ca="1">IF(ISERROR(B88-2),"",C88+D88-F88-G88-K88+SUM($L$14:L88))</f>
        <v/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 t="str">
        <f t="shared" si="9"/>
        <v/>
      </c>
      <c r="V88" s="3" t="str">
        <f t="shared" si="10"/>
        <v/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74">
        <v>45902</v>
      </c>
      <c r="AC88" s="4">
        <v>274.36700000000002</v>
      </c>
      <c r="AD88" s="6">
        <f t="shared" si="11"/>
        <v>45902</v>
      </c>
    </row>
    <row r="89" spans="1:30" x14ac:dyDescent="0.25">
      <c r="A89" s="37" t="str">
        <f t="shared" ca="1" si="12"/>
        <v/>
      </c>
      <c r="B89" s="38" t="str">
        <f ca="1">IF(COUNTIF($W$2:W1074,A89)=1,VLOOKUP(A89,O:P,2), IF(COUNTIF($W$2:W1074,A89)=0,$B$9,""))</f>
        <v/>
      </c>
      <c r="C89" s="2" t="str">
        <f t="shared" ca="1" si="13"/>
        <v/>
      </c>
      <c r="D89" s="41"/>
      <c r="E89" s="38" t="str">
        <f ca="1">IF(COUNTIF($W$2:W1074,A89)=1,VLOOKUP(A89,Q:R,2), IF(COUNTIF($W$2:W1074,A89)=0,$C$9,""))</f>
        <v/>
      </c>
      <c r="F89" s="2" t="str">
        <f t="shared" ca="1" si="14"/>
        <v/>
      </c>
      <c r="G89" s="41" t="str">
        <f t="shared" ca="1" si="15"/>
        <v/>
      </c>
      <c r="H89" s="38" t="str">
        <f ca="1">IF(COUNTIF($W$2:W1074,A89)=1,VLOOKUP(A89,S:T,2), IF(COUNTIF($W$2:W1074,A89)=0,$D$9,""))</f>
        <v/>
      </c>
      <c r="I89" s="39" t="str">
        <f ca="1">IF(COUNTIF($X$2:X1074,INT(A89))=1,VLOOKUP(INT(A89),X:Y,2), IF(ISERROR(H89-2),"",I88*(1-$D$8*(H89-H88)*0.0001)))</f>
        <v/>
      </c>
      <c r="J89" s="39" t="str">
        <f t="shared" ca="1" si="16"/>
        <v/>
      </c>
      <c r="K89" s="41" t="str">
        <f t="shared" ca="1" si="17"/>
        <v/>
      </c>
      <c r="L89" s="41"/>
      <c r="M89" s="42" t="str">
        <f ca="1">IF(ISERROR(B89-2),"",C89+D89-F89-G89-K89+SUM($L$14:L89))</f>
        <v/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 t="str">
        <f t="shared" si="9"/>
        <v/>
      </c>
      <c r="V89" s="3" t="str">
        <f t="shared" si="10"/>
        <v/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74">
        <v>45903</v>
      </c>
      <c r="AC89" s="4">
        <v>267.29599999999999</v>
      </c>
      <c r="AD89" s="6">
        <f t="shared" si="11"/>
        <v>45903</v>
      </c>
    </row>
    <row r="90" spans="1:30" x14ac:dyDescent="0.25">
      <c r="A90" s="37" t="str">
        <f t="shared" ca="1" si="12"/>
        <v/>
      </c>
      <c r="B90" s="38" t="str">
        <f ca="1">IF(COUNTIF($W$2:W1075,A90)=1,VLOOKUP(A90,O:P,2), IF(COUNTIF($W$2:W1075,A90)=0,$B$9,""))</f>
        <v/>
      </c>
      <c r="C90" s="2" t="str">
        <f t="shared" ca="1" si="13"/>
        <v/>
      </c>
      <c r="D90" s="41"/>
      <c r="E90" s="38" t="str">
        <f ca="1">IF(COUNTIF($W$2:W1075,A90)=1,VLOOKUP(A90,Q:R,2), IF(COUNTIF($W$2:W1075,A90)=0,$C$9,""))</f>
        <v/>
      </c>
      <c r="F90" s="2" t="str">
        <f t="shared" ca="1" si="14"/>
        <v/>
      </c>
      <c r="G90" s="41" t="str">
        <f t="shared" ca="1" si="15"/>
        <v/>
      </c>
      <c r="H90" s="38" t="str">
        <f ca="1">IF(COUNTIF($W$2:W1075,A90)=1,VLOOKUP(A90,S:T,2), IF(COUNTIF($W$2:W1075,A90)=0,$D$9,""))</f>
        <v/>
      </c>
      <c r="I90" s="39" t="str">
        <f ca="1">IF(COUNTIF($X$2:X1075,INT(A90))=1,VLOOKUP(INT(A90),X:Y,2), IF(ISERROR(H90-2),"",I89*(1-$D$8*(H90-H89)*0.0001)))</f>
        <v/>
      </c>
      <c r="J90" s="39" t="str">
        <f t="shared" ca="1" si="16"/>
        <v/>
      </c>
      <c r="K90" s="41" t="str">
        <f t="shared" ca="1" si="17"/>
        <v/>
      </c>
      <c r="L90" s="41"/>
      <c r="M90" s="42" t="str">
        <f ca="1">IF(ISERROR(B90-2),"",C90+D90-F90-G90-K90+SUM($L$14:L90))</f>
        <v/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 t="str">
        <f t="shared" si="9"/>
        <v/>
      </c>
      <c r="V90" s="3" t="str">
        <f t="shared" si="10"/>
        <v/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74">
        <v>45904</v>
      </c>
      <c r="AC90" s="4">
        <v>262.767</v>
      </c>
      <c r="AD90" s="6">
        <f t="shared" si="11"/>
        <v>45904</v>
      </c>
    </row>
    <row r="91" spans="1:30" x14ac:dyDescent="0.25">
      <c r="A91" s="37" t="str">
        <f t="shared" ca="1" si="12"/>
        <v/>
      </c>
      <c r="B91" s="38" t="str">
        <f ca="1">IF(COUNTIF($W$2:W1076,A91)=1,VLOOKUP(A91,O:P,2), IF(COUNTIF($W$2:W1076,A91)=0,$B$9,""))</f>
        <v/>
      </c>
      <c r="C91" s="2" t="str">
        <f t="shared" ca="1" si="13"/>
        <v/>
      </c>
      <c r="D91" s="41"/>
      <c r="E91" s="38" t="str">
        <f ca="1">IF(COUNTIF($W$2:W1076,A91)=1,VLOOKUP(A91,Q:R,2), IF(COUNTIF($W$2:W1076,A91)=0,$C$9,""))</f>
        <v/>
      </c>
      <c r="F91" s="2" t="str">
        <f t="shared" ca="1" si="14"/>
        <v/>
      </c>
      <c r="G91" s="41" t="str">
        <f t="shared" ca="1" si="15"/>
        <v/>
      </c>
      <c r="H91" s="38" t="str">
        <f ca="1">IF(COUNTIF($W$2:W1076,A91)=1,VLOOKUP(A91,S:T,2), IF(COUNTIF($W$2:W1076,A91)=0,$D$9,""))</f>
        <v/>
      </c>
      <c r="I91" s="39" t="str">
        <f ca="1">IF(COUNTIF($X$2:X1076,INT(A91))=1,VLOOKUP(INT(A91),X:Y,2), IF(ISERROR(H91-2),"",I90*(1-$D$8*(H91-H90)*0.0001)))</f>
        <v/>
      </c>
      <c r="J91" s="39" t="str">
        <f t="shared" ca="1" si="16"/>
        <v/>
      </c>
      <c r="K91" s="41" t="str">
        <f t="shared" ca="1" si="17"/>
        <v/>
      </c>
      <c r="L91" s="41"/>
      <c r="M91" s="42" t="str">
        <f ca="1">IF(ISERROR(B91-2),"",C91+D91-F91-G91-K91+SUM($L$14:L91))</f>
        <v/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 t="str">
        <f t="shared" si="9"/>
        <v/>
      </c>
      <c r="V91" s="3" t="str">
        <f t="shared" si="10"/>
        <v/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74">
        <v>45905</v>
      </c>
      <c r="AC91" s="4">
        <v>262.98399999999998</v>
      </c>
      <c r="AD91" s="6">
        <f t="shared" si="11"/>
        <v>45905</v>
      </c>
    </row>
    <row r="92" spans="1:30" x14ac:dyDescent="0.25">
      <c r="A92" s="37" t="str">
        <f t="shared" ca="1" si="12"/>
        <v/>
      </c>
      <c r="B92" s="38" t="str">
        <f ca="1">IF(COUNTIF($W$2:W1077,A92)=1,VLOOKUP(A92,O:P,2), IF(COUNTIF($W$2:W1077,A92)=0,$B$9,""))</f>
        <v/>
      </c>
      <c r="C92" s="2" t="str">
        <f t="shared" ca="1" si="13"/>
        <v/>
      </c>
      <c r="D92" s="41"/>
      <c r="E92" s="38" t="str">
        <f ca="1">IF(COUNTIF($W$2:W1077,A92)=1,VLOOKUP(A92,Q:R,2), IF(COUNTIF($W$2:W1077,A92)=0,$C$9,""))</f>
        <v/>
      </c>
      <c r="F92" s="2" t="str">
        <f t="shared" ca="1" si="14"/>
        <v/>
      </c>
      <c r="G92" s="41" t="str">
        <f t="shared" ca="1" si="15"/>
        <v/>
      </c>
      <c r="H92" s="38" t="str">
        <f ca="1">IF(COUNTIF($W$2:W1077,A92)=1,VLOOKUP(A92,S:T,2), IF(COUNTIF($W$2:W1077,A92)=0,$D$9,""))</f>
        <v/>
      </c>
      <c r="I92" s="39" t="str">
        <f ca="1">IF(COUNTIF($X$2:X1077,INT(A92))=1,VLOOKUP(INT(A92),X:Y,2), IF(ISERROR(H92-2),"",I91*(1-$D$8*(H92-H91)*0.0001)))</f>
        <v/>
      </c>
      <c r="J92" s="39" t="str">
        <f t="shared" ca="1" si="16"/>
        <v/>
      </c>
      <c r="K92" s="41" t="str">
        <f t="shared" ca="1" si="17"/>
        <v/>
      </c>
      <c r="L92" s="41"/>
      <c r="M92" s="42" t="str">
        <f ca="1">IF(ISERROR(B92-2),"",C92+D92-F92-G92-K92+SUM($L$14:L92))</f>
        <v/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 t="str">
        <f t="shared" si="9"/>
        <v/>
      </c>
      <c r="V92" s="3" t="str">
        <f t="shared" si="10"/>
        <v/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74">
        <v>45908</v>
      </c>
      <c r="AC92" s="4">
        <v>260.62700000000001</v>
      </c>
      <c r="AD92" s="6">
        <f t="shared" si="11"/>
        <v>45908</v>
      </c>
    </row>
    <row r="93" spans="1:30" x14ac:dyDescent="0.25">
      <c r="A93" s="37" t="str">
        <f t="shared" ca="1" si="12"/>
        <v/>
      </c>
      <c r="B93" s="38" t="str">
        <f ca="1">IF(COUNTIF($W$2:W1078,A93)=1,VLOOKUP(A93,O:P,2), IF(COUNTIF($W$2:W1078,A93)=0,$B$9,""))</f>
        <v/>
      </c>
      <c r="C93" s="2" t="str">
        <f t="shared" ca="1" si="13"/>
        <v/>
      </c>
      <c r="D93" s="41"/>
      <c r="E93" s="38" t="str">
        <f ca="1">IF(COUNTIF($W$2:W1078,A93)=1,VLOOKUP(A93,Q:R,2), IF(COUNTIF($W$2:W1078,A93)=0,$C$9,""))</f>
        <v/>
      </c>
      <c r="F93" s="2" t="str">
        <f t="shared" ca="1" si="14"/>
        <v/>
      </c>
      <c r="G93" s="41" t="str">
        <f t="shared" ca="1" si="15"/>
        <v/>
      </c>
      <c r="H93" s="38" t="str">
        <f ca="1">IF(COUNTIF($W$2:W1078,A93)=1,VLOOKUP(A93,S:T,2), IF(COUNTIF($W$2:W1078,A93)=0,$D$9,""))</f>
        <v/>
      </c>
      <c r="I93" s="39" t="str">
        <f ca="1">IF(COUNTIF($X$2:X1078,INT(A93))=1,VLOOKUP(INT(A93),X:Y,2), IF(ISERROR(H93-2),"",I92*(1-$D$8*(H93-H92)*0.0001)))</f>
        <v/>
      </c>
      <c r="J93" s="39" t="str">
        <f t="shared" ca="1" si="16"/>
        <v/>
      </c>
      <c r="K93" s="41" t="str">
        <f t="shared" ca="1" si="17"/>
        <v/>
      </c>
      <c r="L93" s="41"/>
      <c r="M93" s="42" t="str">
        <f ca="1">IF(ISERROR(B93-2),"",C93+D93-F93-G93-K93+SUM($L$14:L93))</f>
        <v/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 t="str">
        <f t="shared" si="9"/>
        <v/>
      </c>
      <c r="V93" s="3" t="str">
        <f t="shared" si="10"/>
        <v/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74">
        <v>45909</v>
      </c>
      <c r="AC93" s="4">
        <v>260.81900000000002</v>
      </c>
      <c r="AD93" s="6">
        <f t="shared" si="11"/>
        <v>45909</v>
      </c>
    </row>
    <row r="94" spans="1:30" x14ac:dyDescent="0.25">
      <c r="A94" s="37" t="str">
        <f t="shared" ca="1" si="12"/>
        <v/>
      </c>
      <c r="B94" s="38" t="str">
        <f ca="1">IF(COUNTIF($W$2:W1079,A94)=1,VLOOKUP(A94,O:P,2), IF(COUNTIF($W$2:W1079,A94)=0,$B$9,""))</f>
        <v/>
      </c>
      <c r="C94" s="2" t="str">
        <f t="shared" ca="1" si="13"/>
        <v/>
      </c>
      <c r="D94" s="41"/>
      <c r="E94" s="38" t="str">
        <f ca="1">IF(COUNTIF($W$2:W1079,A94)=1,VLOOKUP(A94,Q:R,2), IF(COUNTIF($W$2:W1079,A94)=0,$C$9,""))</f>
        <v/>
      </c>
      <c r="F94" s="2" t="str">
        <f t="shared" ca="1" si="14"/>
        <v/>
      </c>
      <c r="G94" s="41" t="str">
        <f t="shared" ca="1" si="15"/>
        <v/>
      </c>
      <c r="H94" s="38" t="str">
        <f ca="1">IF(COUNTIF($W$2:W1079,A94)=1,VLOOKUP(A94,S:T,2), IF(COUNTIF($W$2:W1079,A94)=0,$D$9,""))</f>
        <v/>
      </c>
      <c r="I94" s="39" t="str">
        <f ca="1">IF(COUNTIF($X$2:X1079,INT(A94))=1,VLOOKUP(INT(A94),X:Y,2), IF(ISERROR(H94-2),"",I93*(1-$D$8*(H94-H93)*0.0001)))</f>
        <v/>
      </c>
      <c r="J94" s="39" t="str">
        <f t="shared" ca="1" si="16"/>
        <v/>
      </c>
      <c r="K94" s="41" t="str">
        <f t="shared" ca="1" si="17"/>
        <v/>
      </c>
      <c r="L94" s="41"/>
      <c r="M94" s="42" t="str">
        <f ca="1">IF(ISERROR(B94-2),"",C94+D94-F94-G94-K94+SUM($L$14:L94))</f>
        <v/>
      </c>
      <c r="Q94" s="3">
        <v>46178.625</v>
      </c>
      <c r="R94" s="4">
        <v>99.38</v>
      </c>
      <c r="S94" s="3">
        <v>46181.625</v>
      </c>
      <c r="T94" s="4">
        <v>263.755</v>
      </c>
      <c r="U94" s="3" t="str">
        <f t="shared" si="9"/>
        <v/>
      </c>
      <c r="V94" s="3" t="str">
        <f t="shared" si="10"/>
        <v/>
      </c>
      <c r="X94" s="3">
        <v>46176</v>
      </c>
      <c r="Y94" s="5">
        <v>268.40789999999998</v>
      </c>
      <c r="Z94" s="3">
        <v>45910</v>
      </c>
      <c r="AA94" s="4">
        <v>242.7055</v>
      </c>
      <c r="AB94" s="74">
        <v>45910</v>
      </c>
      <c r="AC94" s="4">
        <v>258.92</v>
      </c>
      <c r="AD94" s="6">
        <f t="shared" si="11"/>
        <v>45910</v>
      </c>
    </row>
    <row r="95" spans="1:30" x14ac:dyDescent="0.25">
      <c r="A95" s="37" t="str">
        <f t="shared" ca="1" si="12"/>
        <v/>
      </c>
      <c r="B95" s="38" t="str">
        <f ca="1">IF(COUNTIF($W$2:W1080,A95)=1,VLOOKUP(A95,O:P,2), IF(COUNTIF($W$2:W1080,A95)=0,$B$9,""))</f>
        <v/>
      </c>
      <c r="C95" s="2" t="str">
        <f t="shared" ca="1" si="13"/>
        <v/>
      </c>
      <c r="D95" s="41"/>
      <c r="E95" s="38" t="str">
        <f ca="1">IF(COUNTIF($W$2:W1080,A95)=1,VLOOKUP(A95,Q:R,2), IF(COUNTIF($W$2:W1080,A95)=0,$C$9,""))</f>
        <v/>
      </c>
      <c r="F95" s="2" t="str">
        <f t="shared" ca="1" si="14"/>
        <v/>
      </c>
      <c r="G95" s="41" t="str">
        <f t="shared" ca="1" si="15"/>
        <v/>
      </c>
      <c r="H95" s="38" t="str">
        <f ca="1">IF(COUNTIF($W$2:W1080,A95)=1,VLOOKUP(A95,S:T,2), IF(COUNTIF($W$2:W1080,A95)=0,$D$9,""))</f>
        <v/>
      </c>
      <c r="I95" s="39" t="str">
        <f ca="1">IF(COUNTIF($X$2:X1080,INT(A95))=1,VLOOKUP(INT(A95),X:Y,2), IF(ISERROR(H95-2),"",I94*(1-$D$8*(H95-H94)*0.0001)))</f>
        <v/>
      </c>
      <c r="J95" s="39" t="str">
        <f t="shared" ca="1" si="16"/>
        <v/>
      </c>
      <c r="K95" s="41" t="str">
        <f t="shared" ca="1" si="17"/>
        <v/>
      </c>
      <c r="L95" s="41"/>
      <c r="M95" s="42" t="str">
        <f ca="1">IF(ISERROR(B95-2),"",C95+D95-F95-G95-K95+SUM($L$14:L95))</f>
        <v/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 t="str">
        <f t="shared" si="9"/>
        <v/>
      </c>
      <c r="V95" s="3" t="str">
        <f t="shared" si="10"/>
        <v/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74">
        <v>45911</v>
      </c>
      <c r="AC95" s="4">
        <v>252.2</v>
      </c>
      <c r="AD95" s="6">
        <f t="shared" si="11"/>
        <v>45911</v>
      </c>
    </row>
    <row r="96" spans="1:30" x14ac:dyDescent="0.25">
      <c r="A96" s="37" t="str">
        <f t="shared" ca="1" si="12"/>
        <v/>
      </c>
      <c r="B96" s="38" t="str">
        <f ca="1">IF(COUNTIF($W$2:W1081,A96)=1,VLOOKUP(A96,O:P,2), IF(COUNTIF($W$2:W1081,A96)=0,$B$9,""))</f>
        <v/>
      </c>
      <c r="C96" s="2" t="str">
        <f t="shared" ca="1" si="13"/>
        <v/>
      </c>
      <c r="D96" s="41"/>
      <c r="E96" s="38" t="str">
        <f ca="1">IF(COUNTIF($W$2:W1081,A96)=1,VLOOKUP(A96,Q:R,2), IF(COUNTIF($W$2:W1081,A96)=0,$C$9,""))</f>
        <v/>
      </c>
      <c r="F96" s="2" t="str">
        <f t="shared" ca="1" si="14"/>
        <v/>
      </c>
      <c r="G96" s="41" t="str">
        <f t="shared" ca="1" si="15"/>
        <v/>
      </c>
      <c r="H96" s="38" t="str">
        <f ca="1">IF(COUNTIF($W$2:W1081,A96)=1,VLOOKUP(A96,S:T,2), IF(COUNTIF($W$2:W1081,A96)=0,$D$9,""))</f>
        <v/>
      </c>
      <c r="I96" s="39" t="str">
        <f ca="1">IF(COUNTIF($X$2:X1081,INT(A96))=1,VLOOKUP(INT(A96),X:Y,2), IF(ISERROR(H96-2),"",I95*(1-$D$8*(H96-H95)*0.0001)))</f>
        <v/>
      </c>
      <c r="J96" s="39" t="str">
        <f t="shared" ca="1" si="16"/>
        <v/>
      </c>
      <c r="K96" s="41" t="str">
        <f t="shared" ca="1" si="17"/>
        <v/>
      </c>
      <c r="L96" s="41"/>
      <c r="M96" s="42" t="str">
        <f ca="1">IF(ISERROR(B96-2),"",C96+D96-F96-G96-K96+SUM($L$14:L96))</f>
        <v/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 t="str">
        <f t="shared" si="9"/>
        <v/>
      </c>
      <c r="V96" s="3" t="str">
        <f t="shared" si="10"/>
        <v/>
      </c>
      <c r="X96" s="3">
        <v>46178</v>
      </c>
      <c r="Y96" s="5">
        <v>268.35000000000002</v>
      </c>
      <c r="Z96" s="3">
        <v>45912</v>
      </c>
      <c r="AA96" s="4">
        <v>243.55</v>
      </c>
      <c r="AB96" s="74">
        <v>45912</v>
      </c>
      <c r="AC96" s="4">
        <v>251.792</v>
      </c>
      <c r="AD96" s="6">
        <f t="shared" si="11"/>
        <v>45912</v>
      </c>
    </row>
    <row r="97" spans="1:30" x14ac:dyDescent="0.25">
      <c r="A97" s="37" t="str">
        <f t="shared" ca="1" si="12"/>
        <v/>
      </c>
      <c r="B97" s="38" t="str">
        <f ca="1">IF(COUNTIF($W$2:W1082,A97)=1,VLOOKUP(A97,O:P,2), IF(COUNTIF($W$2:W1082,A97)=0,$B$9,""))</f>
        <v/>
      </c>
      <c r="C97" s="2" t="str">
        <f t="shared" ca="1" si="13"/>
        <v/>
      </c>
      <c r="D97" s="41"/>
      <c r="E97" s="38" t="str">
        <f ca="1">IF(COUNTIF($W$2:W1082,A97)=1,VLOOKUP(A97,Q:R,2), IF(COUNTIF($W$2:W1082,A97)=0,$C$9,""))</f>
        <v/>
      </c>
      <c r="F97" s="2" t="str">
        <f t="shared" ca="1" si="14"/>
        <v/>
      </c>
      <c r="G97" s="41" t="str">
        <f t="shared" ca="1" si="15"/>
        <v/>
      </c>
      <c r="H97" s="38" t="str">
        <f ca="1">IF(COUNTIF($W$2:W1082,A97)=1,VLOOKUP(A97,S:T,2), IF(COUNTIF($W$2:W1082,A97)=0,$D$9,""))</f>
        <v/>
      </c>
      <c r="I97" s="39" t="str">
        <f ca="1">IF(COUNTIF($X$2:X1082,INT(A97))=1,VLOOKUP(INT(A97),X:Y,2), IF(ISERROR(H97-2),"",I96*(1-$D$8*(H97-H96)*0.0001)))</f>
        <v/>
      </c>
      <c r="J97" s="39" t="str">
        <f t="shared" ca="1" si="16"/>
        <v/>
      </c>
      <c r="K97" s="41" t="str">
        <f t="shared" ca="1" si="17"/>
        <v/>
      </c>
      <c r="L97" s="41"/>
      <c r="M97" s="42" t="str">
        <f ca="1">IF(ISERROR(B97-2),"",C97+D97-F97-G97-K97+SUM($L$14:L97))</f>
        <v/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 t="str">
        <f t="shared" si="9"/>
        <v/>
      </c>
      <c r="V97" s="3" t="str">
        <f t="shared" si="10"/>
        <v/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74">
        <v>45915</v>
      </c>
      <c r="AC97" s="4">
        <v>248.089</v>
      </c>
      <c r="AD97" s="6">
        <f t="shared" si="11"/>
        <v>45915</v>
      </c>
    </row>
    <row r="98" spans="1:30" x14ac:dyDescent="0.25">
      <c r="A98" s="37" t="str">
        <f t="shared" ca="1" si="12"/>
        <v/>
      </c>
      <c r="B98" s="38" t="str">
        <f ca="1">IF(COUNTIF($W$2:W1083,A98)=1,VLOOKUP(A98,O:P,2), IF(COUNTIF($W$2:W1083,A98)=0,$B$9,""))</f>
        <v/>
      </c>
      <c r="C98" s="2" t="str">
        <f t="shared" ca="1" si="13"/>
        <v/>
      </c>
      <c r="D98" s="41"/>
      <c r="E98" s="38" t="str">
        <f ca="1">IF(COUNTIF($W$2:W1083,A98)=1,VLOOKUP(A98,Q:R,2), IF(COUNTIF($W$2:W1083,A98)=0,$C$9,""))</f>
        <v/>
      </c>
      <c r="F98" s="2" t="str">
        <f t="shared" ca="1" si="14"/>
        <v/>
      </c>
      <c r="G98" s="41" t="str">
        <f t="shared" ca="1" si="15"/>
        <v/>
      </c>
      <c r="H98" s="38" t="str">
        <f ca="1">IF(COUNTIF($W$2:W1083,A98)=1,VLOOKUP(A98,S:T,2), IF(COUNTIF($W$2:W1083,A98)=0,$D$9,""))</f>
        <v/>
      </c>
      <c r="I98" s="39" t="str">
        <f ca="1">IF(COUNTIF($X$2:X1083,INT(A98))=1,VLOOKUP(INT(A98),X:Y,2), IF(ISERROR(H98-2),"",I97*(1-$D$8*(H98-H97)*0.0001)))</f>
        <v/>
      </c>
      <c r="J98" s="39" t="str">
        <f t="shared" ca="1" si="16"/>
        <v/>
      </c>
      <c r="K98" s="41" t="str">
        <f t="shared" ca="1" si="17"/>
        <v/>
      </c>
      <c r="L98" s="41"/>
      <c r="M98" s="42" t="str">
        <f ca="1">IF(ISERROR(B98-2),"",C98+D98-F98-G98-K98+SUM($L$14:L98))</f>
        <v/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 t="str">
        <f t="shared" si="9"/>
        <v/>
      </c>
      <c r="V98" s="3" t="str">
        <f t="shared" si="10"/>
        <v/>
      </c>
      <c r="X98" s="3">
        <v>46182</v>
      </c>
      <c r="Y98" s="5">
        <v>268.3329</v>
      </c>
      <c r="Z98" s="3">
        <v>45916</v>
      </c>
      <c r="AA98" s="4">
        <v>243.57589999999999</v>
      </c>
      <c r="AB98" s="74">
        <v>45916</v>
      </c>
      <c r="AC98" s="4">
        <v>252.04</v>
      </c>
      <c r="AD98" s="6">
        <f t="shared" si="11"/>
        <v>45916</v>
      </c>
    </row>
    <row r="99" spans="1:30" x14ac:dyDescent="0.25">
      <c r="A99" s="37" t="str">
        <f t="shared" ca="1" si="12"/>
        <v/>
      </c>
      <c r="B99" s="38" t="str">
        <f ca="1">IF(COUNTIF($W$2:W1084,A99)=1,VLOOKUP(A99,O:P,2), IF(COUNTIF($W$2:W1084,A99)=0,$B$9,""))</f>
        <v/>
      </c>
      <c r="C99" s="2" t="str">
        <f t="shared" ca="1" si="13"/>
        <v/>
      </c>
      <c r="D99" s="41"/>
      <c r="E99" s="38" t="str">
        <f ca="1">IF(COUNTIF($W$2:W1084,A99)=1,VLOOKUP(A99,Q:R,2), IF(COUNTIF($W$2:W1084,A99)=0,$C$9,""))</f>
        <v/>
      </c>
      <c r="F99" s="2" t="str">
        <f t="shared" ca="1" si="14"/>
        <v/>
      </c>
      <c r="G99" s="41" t="str">
        <f t="shared" ca="1" si="15"/>
        <v/>
      </c>
      <c r="H99" s="38" t="str">
        <f ca="1">IF(COUNTIF($W$2:W1084,A99)=1,VLOOKUP(A99,S:T,2), IF(COUNTIF($W$2:W1084,A99)=0,$D$9,""))</f>
        <v/>
      </c>
      <c r="I99" s="39" t="str">
        <f ca="1">IF(COUNTIF($X$2:X1084,INT(A99))=1,VLOOKUP(INT(A99),X:Y,2), IF(ISERROR(H99-2),"",I98*(1-$D$8*(H99-H98)*0.0001)))</f>
        <v/>
      </c>
      <c r="J99" s="39" t="str">
        <f t="shared" ca="1" si="16"/>
        <v/>
      </c>
      <c r="K99" s="41" t="str">
        <f t="shared" ca="1" si="17"/>
        <v/>
      </c>
      <c r="L99" s="41"/>
      <c r="M99" s="42" t="str">
        <f ca="1">IF(ISERROR(B99-2),"",C99+D99-F99-G99-K99+SUM($L$14:L99))</f>
        <v/>
      </c>
      <c r="Q99" s="3">
        <v>46185.625</v>
      </c>
      <c r="R99" s="4">
        <v>99.512</v>
      </c>
      <c r="S99" s="3">
        <v>46188.625</v>
      </c>
      <c r="T99" s="4">
        <v>248.518</v>
      </c>
      <c r="U99" s="3" t="str">
        <f t="shared" si="9"/>
        <v/>
      </c>
      <c r="V99" s="3" t="str">
        <f t="shared" si="10"/>
        <v/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74">
        <v>45917</v>
      </c>
      <c r="AC99" s="4">
        <v>250.89500000000001</v>
      </c>
      <c r="AD99" s="6">
        <f t="shared" si="11"/>
        <v>45917</v>
      </c>
    </row>
    <row r="100" spans="1:30" x14ac:dyDescent="0.25">
      <c r="A100" s="37" t="str">
        <f t="shared" ca="1" si="12"/>
        <v/>
      </c>
      <c r="B100" s="38" t="str">
        <f ca="1">IF(COUNTIF($W$2:W1085,A100)=1,VLOOKUP(A100,O:P,2), IF(COUNTIF($W$2:W1085,A100)=0,$B$9,""))</f>
        <v/>
      </c>
      <c r="C100" s="2" t="str">
        <f t="shared" ca="1" si="13"/>
        <v/>
      </c>
      <c r="D100" s="41"/>
      <c r="E100" s="38" t="str">
        <f ca="1">IF(COUNTIF($W$2:W1085,A100)=1,VLOOKUP(A100,Q:R,2), IF(COUNTIF($W$2:W1085,A100)=0,$C$9,""))</f>
        <v/>
      </c>
      <c r="F100" s="2" t="str">
        <f t="shared" ca="1" si="14"/>
        <v/>
      </c>
      <c r="G100" s="41" t="str">
        <f t="shared" ca="1" si="15"/>
        <v/>
      </c>
      <c r="H100" s="38" t="str">
        <f ca="1">IF(COUNTIF($W$2:W1085,A100)=1,VLOOKUP(A100,S:T,2), IF(COUNTIF($W$2:W1085,A100)=0,$D$9,""))</f>
        <v/>
      </c>
      <c r="I100" s="39" t="str">
        <f ca="1">IF(COUNTIF($X$2:X1085,INT(A100))=1,VLOOKUP(INT(A100),X:Y,2), IF(ISERROR(H100-2),"",I99*(1-$D$8*(H100-H99)*0.0001)))</f>
        <v/>
      </c>
      <c r="J100" s="39" t="str">
        <f t="shared" ca="1" si="16"/>
        <v/>
      </c>
      <c r="K100" s="41" t="str">
        <f t="shared" ca="1" si="17"/>
        <v/>
      </c>
      <c r="L100" s="41"/>
      <c r="M100" s="42" t="str">
        <f ca="1">IF(ISERROR(B100-2),"",C100+D100-F100-G100-K100+SUM($L$14:L100))</f>
        <v/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 t="str">
        <f t="shared" si="9"/>
        <v/>
      </c>
      <c r="V100" s="3" t="str">
        <f t="shared" si="10"/>
        <v/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74">
        <v>45918</v>
      </c>
      <c r="AC100" s="4">
        <v>247.65700000000001</v>
      </c>
      <c r="AD100" s="6">
        <f t="shared" si="11"/>
        <v>45918</v>
      </c>
    </row>
    <row r="101" spans="1:30" x14ac:dyDescent="0.25">
      <c r="A101" s="37" t="str">
        <f t="shared" ca="1" si="12"/>
        <v/>
      </c>
      <c r="B101" s="38" t="str">
        <f ca="1">IF(COUNTIF($W$2:W1086,A101)=1,VLOOKUP(A101,O:P,2), IF(COUNTIF($W$2:W1086,A101)=0,$B$9,""))</f>
        <v/>
      </c>
      <c r="C101" s="2" t="str">
        <f t="shared" ca="1" si="13"/>
        <v/>
      </c>
      <c r="D101" s="41"/>
      <c r="E101" s="38" t="str">
        <f ca="1">IF(COUNTIF($W$2:W1086,A101)=1,VLOOKUP(A101,Q:R,2), IF(COUNTIF($W$2:W1086,A101)=0,$C$9,""))</f>
        <v/>
      </c>
      <c r="F101" s="2" t="str">
        <f t="shared" ca="1" si="14"/>
        <v/>
      </c>
      <c r="G101" s="41" t="str">
        <f t="shared" ca="1" si="15"/>
        <v/>
      </c>
      <c r="H101" s="38" t="str">
        <f ca="1">IF(COUNTIF($W$2:W1086,A101)=1,VLOOKUP(A101,S:T,2), IF(COUNTIF($W$2:W1086,A101)=0,$D$9,""))</f>
        <v/>
      </c>
      <c r="I101" s="39" t="str">
        <f ca="1">IF(COUNTIF($X$2:X1086,INT(A101))=1,VLOOKUP(INT(A101),X:Y,2), IF(ISERROR(H101-2),"",I100*(1-$D$8*(H101-H100)*0.0001)))</f>
        <v/>
      </c>
      <c r="J101" s="39" t="str">
        <f t="shared" ca="1" si="16"/>
        <v/>
      </c>
      <c r="K101" s="41" t="str">
        <f t="shared" ca="1" si="17"/>
        <v/>
      </c>
      <c r="L101" s="41"/>
      <c r="M101" s="42" t="str">
        <f ca="1">IF(ISERROR(B101-2),"",C101+D101-F101-G101-K101+SUM($L$14:L101))</f>
        <v/>
      </c>
      <c r="Q101" s="3">
        <v>46189.625</v>
      </c>
      <c r="R101" s="4">
        <v>99.625</v>
      </c>
      <c r="S101" s="3">
        <v>46190.625</v>
      </c>
      <c r="T101" s="4">
        <v>252.459</v>
      </c>
      <c r="U101" s="3" t="str">
        <f t="shared" si="9"/>
        <v/>
      </c>
      <c r="V101" s="3" t="str">
        <f t="shared" si="10"/>
        <v/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74">
        <v>45919</v>
      </c>
      <c r="AC101" s="4">
        <v>248.416</v>
      </c>
      <c r="AD101" s="6">
        <f t="shared" si="11"/>
        <v>45919</v>
      </c>
    </row>
    <row r="102" spans="1:30" x14ac:dyDescent="0.25">
      <c r="A102" s="37" t="str">
        <f t="shared" ca="1" si="12"/>
        <v/>
      </c>
      <c r="B102" s="38" t="str">
        <f ca="1">IF(COUNTIF($W$2:W1087,A102)=1,VLOOKUP(A102,O:P,2), IF(COUNTIF($W$2:W1087,A102)=0,$B$9,""))</f>
        <v/>
      </c>
      <c r="C102" s="2" t="str">
        <f t="shared" ca="1" si="13"/>
        <v/>
      </c>
      <c r="D102" s="41"/>
      <c r="E102" s="38" t="str">
        <f ca="1">IF(COUNTIF($W$2:W1087,A102)=1,VLOOKUP(A102,Q:R,2), IF(COUNTIF($W$2:W1087,A102)=0,$C$9,""))</f>
        <v/>
      </c>
      <c r="F102" s="2" t="str">
        <f t="shared" ca="1" si="14"/>
        <v/>
      </c>
      <c r="G102" s="41" t="str">
        <f t="shared" ca="1" si="15"/>
        <v/>
      </c>
      <c r="H102" s="38" t="str">
        <f ca="1">IF(COUNTIF($W$2:W1087,A102)=1,VLOOKUP(A102,S:T,2), IF(COUNTIF($W$2:W1087,A102)=0,$D$9,""))</f>
        <v/>
      </c>
      <c r="I102" s="39" t="str">
        <f ca="1">IF(COUNTIF($X$2:X1087,INT(A102))=1,VLOOKUP(INT(A102),X:Y,2), IF(ISERROR(H102-2),"",I101*(1-$D$8*(H102-H101)*0.0001)))</f>
        <v/>
      </c>
      <c r="J102" s="39" t="str">
        <f t="shared" ca="1" si="16"/>
        <v/>
      </c>
      <c r="K102" s="41" t="str">
        <f t="shared" ca="1" si="17"/>
        <v/>
      </c>
      <c r="L102" s="41"/>
      <c r="M102" s="42" t="str">
        <f ca="1">IF(ISERROR(B102-2),"",C102+D102-F102-G102-K102+SUM($L$14:L102))</f>
        <v/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 t="str">
        <f t="shared" si="9"/>
        <v/>
      </c>
      <c r="V102" s="3" t="str">
        <f t="shared" si="10"/>
        <v/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74">
        <v>45922</v>
      </c>
      <c r="AC102" s="4">
        <v>268.25200000000001</v>
      </c>
      <c r="AD102" s="6">
        <f t="shared" si="11"/>
        <v>45922</v>
      </c>
    </row>
    <row r="103" spans="1:30" x14ac:dyDescent="0.25">
      <c r="A103" s="37" t="str">
        <f t="shared" ca="1" si="12"/>
        <v/>
      </c>
      <c r="B103" s="38" t="str">
        <f ca="1">IF(COUNTIF($W$2:W1088,A103)=1,VLOOKUP(A103,O:P,2), IF(COUNTIF($W$2:W1088,A103)=0,$B$9,""))</f>
        <v/>
      </c>
      <c r="C103" s="2" t="str">
        <f t="shared" ca="1" si="13"/>
        <v/>
      </c>
      <c r="D103" s="41"/>
      <c r="E103" s="38" t="str">
        <f ca="1">IF(COUNTIF($W$2:W1088,A103)=1,VLOOKUP(A103,Q:R,2), IF(COUNTIF($W$2:W1088,A103)=0,$C$9,""))</f>
        <v/>
      </c>
      <c r="F103" s="2" t="str">
        <f t="shared" ca="1" si="14"/>
        <v/>
      </c>
      <c r="G103" s="41" t="str">
        <f t="shared" ca="1" si="15"/>
        <v/>
      </c>
      <c r="H103" s="38" t="str">
        <f ca="1">IF(COUNTIF($W$2:W1088,A103)=1,VLOOKUP(A103,S:T,2), IF(COUNTIF($W$2:W1088,A103)=0,$D$9,""))</f>
        <v/>
      </c>
      <c r="I103" s="39" t="str">
        <f ca="1">IF(COUNTIF($X$2:X1088,INT(A103))=1,VLOOKUP(INT(A103),X:Y,2), IF(ISERROR(H103-2),"",I102*(1-$D$8*(H103-H102)*0.0001)))</f>
        <v/>
      </c>
      <c r="J103" s="39" t="str">
        <f t="shared" ca="1" si="16"/>
        <v/>
      </c>
      <c r="K103" s="41" t="str">
        <f t="shared" ca="1" si="17"/>
        <v/>
      </c>
      <c r="L103" s="41"/>
      <c r="M103" s="42" t="str">
        <f ca="1">IF(ISERROR(B103-2),"",C103+D103-F103-G103-K103+SUM($L$14:L103))</f>
        <v/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 t="str">
        <f t="shared" si="9"/>
        <v/>
      </c>
      <c r="V103" s="3" t="str">
        <f t="shared" si="10"/>
        <v/>
      </c>
      <c r="X103" s="3">
        <v>46189</v>
      </c>
      <c r="Y103" s="5">
        <v>270.3356</v>
      </c>
      <c r="Z103" s="3">
        <v>45923</v>
      </c>
      <c r="AA103" s="4">
        <v>244.0994</v>
      </c>
      <c r="AB103" s="74">
        <v>45923</v>
      </c>
      <c r="AC103" s="4">
        <v>264.339</v>
      </c>
      <c r="AD103" s="6">
        <f t="shared" si="11"/>
        <v>45923</v>
      </c>
    </row>
    <row r="104" spans="1:30" x14ac:dyDescent="0.25">
      <c r="A104" s="37" t="str">
        <f t="shared" ca="1" si="12"/>
        <v/>
      </c>
      <c r="B104" s="38" t="str">
        <f ca="1">IF(COUNTIF($W$2:W1089,A104)=1,VLOOKUP(A104,O:P,2), IF(COUNTIF($W$2:W1089,A104)=0,$B$9,""))</f>
        <v/>
      </c>
      <c r="C104" s="2" t="str">
        <f t="shared" ca="1" si="13"/>
        <v/>
      </c>
      <c r="D104" s="41"/>
      <c r="E104" s="38" t="str">
        <f ca="1">IF(COUNTIF($W$2:W1089,A104)=1,VLOOKUP(A104,Q:R,2), IF(COUNTIF($W$2:W1089,A104)=0,$C$9,""))</f>
        <v/>
      </c>
      <c r="F104" s="2" t="str">
        <f t="shared" ca="1" si="14"/>
        <v/>
      </c>
      <c r="G104" s="41" t="str">
        <f t="shared" ca="1" si="15"/>
        <v/>
      </c>
      <c r="H104" s="38" t="str">
        <f ca="1">IF(COUNTIF($W$2:W1089,A104)=1,VLOOKUP(A104,S:T,2), IF(COUNTIF($W$2:W1089,A104)=0,$D$9,""))</f>
        <v/>
      </c>
      <c r="I104" s="39" t="str">
        <f ca="1">IF(COUNTIF($X$2:X1089,INT(A104))=1,VLOOKUP(INT(A104),X:Y,2), IF(ISERROR(H104-2),"",I103*(1-$D$8*(H104-H103)*0.0001)))</f>
        <v/>
      </c>
      <c r="J104" s="39" t="str">
        <f t="shared" ca="1" si="16"/>
        <v/>
      </c>
      <c r="K104" s="41" t="str">
        <f t="shared" ca="1" si="17"/>
        <v/>
      </c>
      <c r="L104" s="41"/>
      <c r="M104" s="42" t="str">
        <f ca="1">IF(ISERROR(B104-2),"",C104+D104-F104-G104-K104+SUM($L$14:L104))</f>
        <v/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 t="str">
        <f t="shared" si="9"/>
        <v/>
      </c>
      <c r="V104" s="3" t="str">
        <f t="shared" si="10"/>
        <v/>
      </c>
      <c r="X104" s="3">
        <v>46190</v>
      </c>
      <c r="Y104" s="5">
        <v>270.1644</v>
      </c>
      <c r="Z104" s="3">
        <v>45924</v>
      </c>
      <c r="AA104" s="4">
        <v>244.1028</v>
      </c>
      <c r="AB104" s="74">
        <v>45924</v>
      </c>
      <c r="AC104" s="4">
        <v>264.625</v>
      </c>
      <c r="AD104" s="6">
        <f t="shared" si="11"/>
        <v>45924</v>
      </c>
    </row>
    <row r="105" spans="1:30" x14ac:dyDescent="0.25">
      <c r="A105" s="37" t="str">
        <f t="shared" ca="1" si="12"/>
        <v/>
      </c>
      <c r="B105" s="38" t="str">
        <f ca="1">IF(COUNTIF($W$2:W1090,A105)=1,VLOOKUP(A105,O:P,2), IF(COUNTIF($W$2:W1090,A105)=0,$B$9,""))</f>
        <v/>
      </c>
      <c r="C105" s="2" t="str">
        <f t="shared" ca="1" si="13"/>
        <v/>
      </c>
      <c r="D105" s="41"/>
      <c r="E105" s="38" t="str">
        <f ca="1">IF(COUNTIF($W$2:W1090,A105)=1,VLOOKUP(A105,Q:R,2), IF(COUNTIF($W$2:W1090,A105)=0,$C$9,""))</f>
        <v/>
      </c>
      <c r="F105" s="2" t="str">
        <f t="shared" ca="1" si="14"/>
        <v/>
      </c>
      <c r="G105" s="41" t="str">
        <f t="shared" ca="1" si="15"/>
        <v/>
      </c>
      <c r="H105" s="38" t="str">
        <f ca="1">IF(COUNTIF($W$2:W1090,A105)=1,VLOOKUP(A105,S:T,2), IF(COUNTIF($W$2:W1090,A105)=0,$D$9,""))</f>
        <v/>
      </c>
      <c r="I105" s="39" t="str">
        <f ca="1">IF(COUNTIF($X$2:X1090,INT(A105))=1,VLOOKUP(INT(A105),X:Y,2), IF(ISERROR(H105-2),"",I104*(1-$D$8*(H105-H104)*0.0001)))</f>
        <v/>
      </c>
      <c r="J105" s="39" t="str">
        <f t="shared" ca="1" si="16"/>
        <v/>
      </c>
      <c r="K105" s="41" t="str">
        <f t="shared" ca="1" si="17"/>
        <v/>
      </c>
      <c r="L105" s="41"/>
      <c r="M105" s="42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9"/>
        <v/>
      </c>
      <c r="V105" s="3" t="str">
        <f t="shared" si="10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74">
        <v>45925</v>
      </c>
      <c r="AC105" s="4">
        <v>268.18400000000003</v>
      </c>
      <c r="AD105" s="6">
        <f t="shared" si="11"/>
        <v>45925</v>
      </c>
    </row>
    <row r="106" spans="1:30" x14ac:dyDescent="0.25">
      <c r="A106" s="37" t="str">
        <f t="shared" ca="1" si="12"/>
        <v/>
      </c>
      <c r="B106" s="38" t="str">
        <f ca="1">IF(COUNTIF($W$2:W1091,A106)=1,VLOOKUP(A106,O:P,2), IF(COUNTIF($W$2:W1091,A106)=0,$B$9,""))</f>
        <v/>
      </c>
      <c r="C106" s="2" t="str">
        <f t="shared" ca="1" si="13"/>
        <v/>
      </c>
      <c r="D106" s="41"/>
      <c r="E106" s="38" t="str">
        <f ca="1">IF(COUNTIF($W$2:W1091,A106)=1,VLOOKUP(A106,Q:R,2), IF(COUNTIF($W$2:W1091,A106)=0,$C$9,""))</f>
        <v/>
      </c>
      <c r="F106" s="2" t="str">
        <f t="shared" ca="1" si="14"/>
        <v/>
      </c>
      <c r="G106" s="41" t="str">
        <f t="shared" ca="1" si="15"/>
        <v/>
      </c>
      <c r="H106" s="38" t="str">
        <f ca="1">IF(COUNTIF($W$2:W1091,A106)=1,VLOOKUP(A106,S:T,2), IF(COUNTIF($W$2:W1091,A106)=0,$D$9,""))</f>
        <v/>
      </c>
      <c r="I106" s="39" t="str">
        <f ca="1">IF(COUNTIF($X$2:X1091,INT(A106))=1,VLOOKUP(INT(A106),X:Y,2), IF(ISERROR(H106-2),"",I105*(1-$D$8*(H106-H105)*0.0001)))</f>
        <v/>
      </c>
      <c r="J106" s="39" t="str">
        <f t="shared" ca="1" si="16"/>
        <v/>
      </c>
      <c r="K106" s="41" t="str">
        <f t="shared" ca="1" si="17"/>
        <v/>
      </c>
      <c r="L106" s="41"/>
      <c r="M106" s="42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9"/>
        <v/>
      </c>
      <c r="V106" s="3" t="str">
        <f t="shared" si="10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74">
        <v>45926</v>
      </c>
      <c r="AC106" s="4">
        <v>265.48200000000003</v>
      </c>
      <c r="AD106" s="6">
        <f t="shared" si="11"/>
        <v>45926</v>
      </c>
    </row>
    <row r="107" spans="1:30" x14ac:dyDescent="0.25">
      <c r="A107" s="37" t="str">
        <f t="shared" ca="1" si="12"/>
        <v/>
      </c>
      <c r="B107" s="38" t="str">
        <f ca="1">IF(COUNTIF($W$2:W1092,A107)=1,VLOOKUP(A107,O:P,2), IF(COUNTIF($W$2:W1092,A107)=0,$B$9,""))</f>
        <v/>
      </c>
      <c r="C107" s="2" t="str">
        <f t="shared" ca="1" si="13"/>
        <v/>
      </c>
      <c r="D107" s="41"/>
      <c r="E107" s="38" t="str">
        <f ca="1">IF(COUNTIF($W$2:W1092,A107)=1,VLOOKUP(A107,Q:R,2), IF(COUNTIF($W$2:W1092,A107)=0,$C$9,""))</f>
        <v/>
      </c>
      <c r="F107" s="2" t="str">
        <f t="shared" ca="1" si="14"/>
        <v/>
      </c>
      <c r="G107" s="41" t="str">
        <f t="shared" ca="1" si="15"/>
        <v/>
      </c>
      <c r="H107" s="38" t="str">
        <f ca="1">IF(COUNTIF($W$2:W1092,A107)=1,VLOOKUP(A107,S:T,2), IF(COUNTIF($W$2:W1092,A107)=0,$D$9,""))</f>
        <v/>
      </c>
      <c r="I107" s="39" t="str">
        <f ca="1">IF(COUNTIF($X$2:X1092,INT(A107))=1,VLOOKUP(INT(A107),X:Y,2), IF(ISERROR(H107-2),"",I106*(1-$D$8*(H107-H106)*0.0001)))</f>
        <v/>
      </c>
      <c r="J107" s="39" t="str">
        <f t="shared" ca="1" si="16"/>
        <v/>
      </c>
      <c r="K107" s="41" t="str">
        <f t="shared" ca="1" si="17"/>
        <v/>
      </c>
      <c r="L107" s="41"/>
      <c r="M107" s="42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9"/>
        <v/>
      </c>
      <c r="V107" s="3" t="str">
        <f t="shared" si="10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74">
        <v>45929</v>
      </c>
      <c r="AC107" s="4">
        <v>262.72199999999998</v>
      </c>
      <c r="AD107" s="6">
        <f t="shared" si="11"/>
        <v>45929</v>
      </c>
    </row>
    <row r="108" spans="1:30" x14ac:dyDescent="0.25">
      <c r="A108" s="37" t="str">
        <f t="shared" ca="1" si="12"/>
        <v/>
      </c>
      <c r="B108" s="38" t="str">
        <f ca="1">IF(COUNTIF($W$2:W1093,A108)=1,VLOOKUP(A108,O:P,2), IF(COUNTIF($W$2:W1093,A108)=0,$B$9,""))</f>
        <v/>
      </c>
      <c r="C108" s="2" t="str">
        <f t="shared" ca="1" si="13"/>
        <v/>
      </c>
      <c r="D108" s="41"/>
      <c r="E108" s="38" t="str">
        <f ca="1">IF(COUNTIF($W$2:W1093,A108)=1,VLOOKUP(A108,Q:R,2), IF(COUNTIF($W$2:W1093,A108)=0,$C$9,""))</f>
        <v/>
      </c>
      <c r="F108" s="2" t="str">
        <f t="shared" ca="1" si="14"/>
        <v/>
      </c>
      <c r="G108" s="41" t="str">
        <f t="shared" ca="1" si="15"/>
        <v/>
      </c>
      <c r="H108" s="38" t="str">
        <f ca="1">IF(COUNTIF($W$2:W1093,A108)=1,VLOOKUP(A108,S:T,2), IF(COUNTIF($W$2:W1093,A108)=0,$D$9,""))</f>
        <v/>
      </c>
      <c r="I108" s="39" t="str">
        <f ca="1">IF(COUNTIF($X$2:X1093,INT(A108))=1,VLOOKUP(INT(A108),X:Y,2), IF(ISERROR(H108-2),"",I107*(1-$D$8*(H108-H107)*0.0001)))</f>
        <v/>
      </c>
      <c r="J108" s="39" t="str">
        <f t="shared" ca="1" si="16"/>
        <v/>
      </c>
      <c r="K108" s="41" t="str">
        <f t="shared" ca="1" si="17"/>
        <v/>
      </c>
      <c r="L108" s="41"/>
      <c r="M108" s="42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9"/>
        <v/>
      </c>
      <c r="V108" s="3" t="str">
        <f t="shared" si="10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74">
        <v>45930</v>
      </c>
      <c r="AC108" s="4">
        <v>262.26600000000002</v>
      </c>
      <c r="AD108" s="6">
        <f t="shared" si="11"/>
        <v>45930</v>
      </c>
    </row>
    <row r="109" spans="1:30" x14ac:dyDescent="0.25">
      <c r="A109" s="37" t="str">
        <f t="shared" ca="1" si="12"/>
        <v/>
      </c>
      <c r="B109" s="38" t="str">
        <f ca="1">IF(COUNTIF($W$2:W1094,A109)=1,VLOOKUP(A109,O:P,2), IF(COUNTIF($W$2:W1094,A109)=0,$B$9,""))</f>
        <v/>
      </c>
      <c r="C109" s="2" t="str">
        <f t="shared" ca="1" si="13"/>
        <v/>
      </c>
      <c r="D109" s="41"/>
      <c r="E109" s="38" t="str">
        <f ca="1">IF(COUNTIF($W$2:W1094,A109)=1,VLOOKUP(A109,Q:R,2), IF(COUNTIF($W$2:W1094,A109)=0,$C$9,""))</f>
        <v/>
      </c>
      <c r="F109" s="2" t="str">
        <f t="shared" ca="1" si="14"/>
        <v/>
      </c>
      <c r="G109" s="41" t="str">
        <f t="shared" ca="1" si="15"/>
        <v/>
      </c>
      <c r="H109" s="38" t="str">
        <f ca="1">IF(COUNTIF($W$2:W1094,A109)=1,VLOOKUP(A109,S:T,2), IF(COUNTIF($W$2:W1094,A109)=0,$D$9,""))</f>
        <v/>
      </c>
      <c r="I109" s="39" t="str">
        <f ca="1">IF(COUNTIF($X$2:X1094,INT(A109))=1,VLOOKUP(INT(A109),X:Y,2), IF(ISERROR(H109-2),"",I108*(1-$D$8*(H109-H108)*0.0001)))</f>
        <v/>
      </c>
      <c r="J109" s="39" t="str">
        <f t="shared" ca="1" si="16"/>
        <v/>
      </c>
      <c r="K109" s="41" t="str">
        <f t="shared" ca="1" si="17"/>
        <v/>
      </c>
      <c r="L109" s="41"/>
      <c r="M109" s="42" t="str">
        <f ca="1">IF(ISERROR(B109-2),"",C109+D109-F109-G109-K109+SUM($L$14:L109))</f>
        <v/>
      </c>
      <c r="U109" s="3" t="str">
        <f t="shared" si="9"/>
        <v/>
      </c>
      <c r="V109" s="3" t="str">
        <f t="shared" si="10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74">
        <v>45931</v>
      </c>
      <c r="AC109" s="4">
        <v>260.63</v>
      </c>
      <c r="AD109" s="6">
        <f t="shared" si="11"/>
        <v>45931</v>
      </c>
    </row>
    <row r="110" spans="1:30" x14ac:dyDescent="0.25">
      <c r="A110" s="37" t="str">
        <f t="shared" ca="1" si="12"/>
        <v/>
      </c>
      <c r="B110" s="38" t="str">
        <f ca="1">IF(COUNTIF($W$2:W1095,A110)=1,VLOOKUP(A110,O:P,2), IF(COUNTIF($W$2:W1095,A110)=0,$B$9,""))</f>
        <v/>
      </c>
      <c r="C110" s="2" t="str">
        <f t="shared" ca="1" si="13"/>
        <v/>
      </c>
      <c r="D110" s="41"/>
      <c r="E110" s="38" t="str">
        <f ca="1">IF(COUNTIF($W$2:W1095,A110)=1,VLOOKUP(A110,Q:R,2), IF(COUNTIF($W$2:W1095,A110)=0,$C$9,""))</f>
        <v/>
      </c>
      <c r="F110" s="2" t="str">
        <f t="shared" ca="1" si="14"/>
        <v/>
      </c>
      <c r="G110" s="41" t="str">
        <f t="shared" ca="1" si="15"/>
        <v/>
      </c>
      <c r="H110" s="38" t="str">
        <f ca="1">IF(COUNTIF($W$2:W1095,A110)=1,VLOOKUP(A110,S:T,2), IF(COUNTIF($W$2:W1095,A110)=0,$D$9,""))</f>
        <v/>
      </c>
      <c r="I110" s="39" t="str">
        <f ca="1">IF(COUNTIF($X$2:X1095,INT(A110))=1,VLOOKUP(INT(A110),X:Y,2), IF(ISERROR(H110-2),"",I109*(1-$D$8*(H110-H109)*0.0001)))</f>
        <v/>
      </c>
      <c r="J110" s="39" t="str">
        <f t="shared" ca="1" si="16"/>
        <v/>
      </c>
      <c r="K110" s="41" t="str">
        <f t="shared" ca="1" si="17"/>
        <v/>
      </c>
      <c r="L110" s="41"/>
      <c r="M110" s="42" t="str">
        <f ca="1">IF(ISERROR(B110-2),"",C110+D110-F110-G110-K110+SUM($L$14:L110))</f>
        <v/>
      </c>
      <c r="U110" s="3" t="str">
        <f t="shared" si="9"/>
        <v/>
      </c>
      <c r="V110" s="3" t="str">
        <f t="shared" si="10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74">
        <v>45932</v>
      </c>
      <c r="AC110" s="4">
        <v>257.88900000000001</v>
      </c>
      <c r="AD110" s="6">
        <f t="shared" si="11"/>
        <v>45932</v>
      </c>
    </row>
    <row r="111" spans="1:30" x14ac:dyDescent="0.25">
      <c r="A111" s="37" t="str">
        <f t="shared" ca="1" si="12"/>
        <v/>
      </c>
      <c r="B111" s="38" t="str">
        <f ca="1">IF(COUNTIF($W$2:W1096,A111)=1,VLOOKUP(A111,O:P,2), IF(COUNTIF($W$2:W1096,A111)=0,$B$9,""))</f>
        <v/>
      </c>
      <c r="C111" s="2" t="str">
        <f t="shared" ca="1" si="13"/>
        <v/>
      </c>
      <c r="D111" s="41"/>
      <c r="E111" s="38" t="str">
        <f ca="1">IF(COUNTIF($W$2:W1096,A111)=1,VLOOKUP(A111,Q:R,2), IF(COUNTIF($W$2:W1096,A111)=0,$C$9,""))</f>
        <v/>
      </c>
      <c r="F111" s="2" t="str">
        <f t="shared" ca="1" si="14"/>
        <v/>
      </c>
      <c r="G111" s="41" t="str">
        <f t="shared" ca="1" si="15"/>
        <v/>
      </c>
      <c r="H111" s="38" t="str">
        <f ca="1">IF(COUNTIF($W$2:W1096,A111)=1,VLOOKUP(A111,S:T,2), IF(COUNTIF($W$2:W1096,A111)=0,$D$9,""))</f>
        <v/>
      </c>
      <c r="I111" s="39" t="str">
        <f ca="1">IF(COUNTIF($X$2:X1096,INT(A111))=1,VLOOKUP(INT(A111),X:Y,2), IF(ISERROR(H111-2),"",I110*(1-$D$8*(H111-H110)*0.0001)))</f>
        <v/>
      </c>
      <c r="J111" s="39" t="str">
        <f t="shared" ca="1" si="16"/>
        <v/>
      </c>
      <c r="K111" s="41" t="str">
        <f t="shared" ca="1" si="17"/>
        <v/>
      </c>
      <c r="L111" s="41"/>
      <c r="M111" s="42" t="str">
        <f ca="1">IF(ISERROR(B111-2),"",C111+D111-F111-G111-K111+SUM($L$14:L111))</f>
        <v/>
      </c>
      <c r="U111" s="3" t="str">
        <f t="shared" si="9"/>
        <v/>
      </c>
      <c r="V111" s="3" t="str">
        <f t="shared" si="10"/>
        <v/>
      </c>
      <c r="Z111" s="3">
        <v>45933</v>
      </c>
      <c r="AA111" s="4">
        <v>244.96510000000001</v>
      </c>
      <c r="AB111" s="74">
        <v>45933</v>
      </c>
      <c r="AC111" s="4">
        <v>258.346</v>
      </c>
      <c r="AD111" s="6">
        <f t="shared" si="11"/>
        <v>45933</v>
      </c>
    </row>
    <row r="112" spans="1:30" x14ac:dyDescent="0.25">
      <c r="A112" s="37" t="str">
        <f t="shared" ca="1" si="12"/>
        <v/>
      </c>
      <c r="B112" s="38" t="str">
        <f ca="1">IF(COUNTIF($W$2:W1097,A112)=1,VLOOKUP(A112,O:P,2), IF(COUNTIF($W$2:W1097,A112)=0,$B$9,""))</f>
        <v/>
      </c>
      <c r="C112" s="2" t="str">
        <f t="shared" ca="1" si="13"/>
        <v/>
      </c>
      <c r="D112" s="41"/>
      <c r="E112" s="38" t="str">
        <f ca="1">IF(COUNTIF($W$2:W1097,A112)=1,VLOOKUP(A112,Q:R,2), IF(COUNTIF($W$2:W1097,A112)=0,$C$9,""))</f>
        <v/>
      </c>
      <c r="F112" s="2" t="str">
        <f t="shared" ca="1" si="14"/>
        <v/>
      </c>
      <c r="G112" s="41" t="str">
        <f t="shared" ca="1" si="15"/>
        <v/>
      </c>
      <c r="H112" s="38" t="str">
        <f ca="1">IF(COUNTIF($W$2:W1097,A112)=1,VLOOKUP(A112,S:T,2), IF(COUNTIF($W$2:W1097,A112)=0,$D$9,""))</f>
        <v/>
      </c>
      <c r="I112" s="39" t="str">
        <f ca="1">IF(COUNTIF($X$2:X1097,INT(A112))=1,VLOOKUP(INT(A112),X:Y,2), IF(ISERROR(H112-2),"",I111*(1-$D$8*(H112-H111)*0.0001)))</f>
        <v/>
      </c>
      <c r="J112" s="39" t="str">
        <f t="shared" ca="1" si="16"/>
        <v/>
      </c>
      <c r="K112" s="41" t="str">
        <f t="shared" ca="1" si="17"/>
        <v/>
      </c>
      <c r="L112" s="41"/>
      <c r="M112" s="42" t="str">
        <f ca="1">IF(ISERROR(B112-2),"",C112+D112-F112-G112-K112+SUM($L$14:L112))</f>
        <v/>
      </c>
      <c r="U112" s="3" t="str">
        <f t="shared" si="9"/>
        <v/>
      </c>
      <c r="V112" s="3" t="str">
        <f t="shared" si="10"/>
        <v/>
      </c>
      <c r="Z112" s="3">
        <v>45936</v>
      </c>
      <c r="AA112" s="4">
        <v>244.72149999999999</v>
      </c>
      <c r="AB112" s="74">
        <v>45936</v>
      </c>
      <c r="AC112" s="4">
        <v>261.209</v>
      </c>
      <c r="AD112" s="6">
        <f t="shared" si="11"/>
        <v>45936</v>
      </c>
    </row>
    <row r="113" spans="1:30" x14ac:dyDescent="0.25">
      <c r="A113" s="37" t="str">
        <f t="shared" ca="1" si="12"/>
        <v/>
      </c>
      <c r="B113" s="38" t="str">
        <f ca="1">IF(COUNTIF($W$2:W1098,A113)=1,VLOOKUP(A113,O:P,2), IF(COUNTIF($W$2:W1098,A113)=0,$B$9,""))</f>
        <v/>
      </c>
      <c r="C113" s="2" t="str">
        <f t="shared" ca="1" si="13"/>
        <v/>
      </c>
      <c r="D113" s="41"/>
      <c r="E113" s="38" t="str">
        <f ca="1">IF(COUNTIF($W$2:W1098,A113)=1,VLOOKUP(A113,Q:R,2), IF(COUNTIF($W$2:W1098,A113)=0,$C$9,""))</f>
        <v/>
      </c>
      <c r="F113" s="2" t="str">
        <f t="shared" ca="1" si="14"/>
        <v/>
      </c>
      <c r="G113" s="41" t="str">
        <f t="shared" ca="1" si="15"/>
        <v/>
      </c>
      <c r="H113" s="38" t="str">
        <f ca="1">IF(COUNTIF($W$2:W1098,A113)=1,VLOOKUP(A113,S:T,2), IF(COUNTIF($W$2:W1098,A113)=0,$D$9,""))</f>
        <v/>
      </c>
      <c r="I113" s="39" t="str">
        <f ca="1">IF(COUNTIF($X$2:X1098,INT(A113))=1,VLOOKUP(INT(A113),X:Y,2), IF(ISERROR(H113-2),"",I112*(1-$D$8*(H113-H112)*0.0001)))</f>
        <v/>
      </c>
      <c r="J113" s="39" t="str">
        <f t="shared" ca="1" si="16"/>
        <v/>
      </c>
      <c r="K113" s="41" t="str">
        <f t="shared" ca="1" si="17"/>
        <v/>
      </c>
      <c r="L113" s="41"/>
      <c r="M113" s="42" t="str">
        <f ca="1">IF(ISERROR(B113-2),"",C113+D113-F113-G113-K113+SUM($L$14:L113))</f>
        <v/>
      </c>
      <c r="U113" s="3" t="str">
        <f t="shared" si="9"/>
        <v/>
      </c>
      <c r="V113" s="3" t="str">
        <f t="shared" si="10"/>
        <v/>
      </c>
      <c r="Z113" s="3">
        <v>45937</v>
      </c>
      <c r="AA113" s="4">
        <v>244.3331</v>
      </c>
      <c r="AB113" s="74">
        <v>45937</v>
      </c>
      <c r="AC113" s="4">
        <v>265.35199999999998</v>
      </c>
      <c r="AD113" s="6">
        <f t="shared" si="11"/>
        <v>45937</v>
      </c>
    </row>
    <row r="114" spans="1:30" x14ac:dyDescent="0.25">
      <c r="A114" s="37" t="str">
        <f t="shared" ca="1" si="12"/>
        <v/>
      </c>
      <c r="B114" s="38" t="str">
        <f ca="1">IF(COUNTIF($W$2:W1099,A114)=1,VLOOKUP(A114,O:P,2), IF(COUNTIF($W$2:W1099,A114)=0,$B$9,""))</f>
        <v/>
      </c>
      <c r="C114" s="2" t="str">
        <f t="shared" ca="1" si="13"/>
        <v/>
      </c>
      <c r="D114" s="41"/>
      <c r="E114" s="38" t="str">
        <f ca="1">IF(COUNTIF($W$2:W1099,A114)=1,VLOOKUP(A114,Q:R,2), IF(COUNTIF($W$2:W1099,A114)=0,$C$9,""))</f>
        <v/>
      </c>
      <c r="F114" s="2" t="str">
        <f t="shared" ca="1" si="14"/>
        <v/>
      </c>
      <c r="G114" s="41" t="str">
        <f t="shared" ca="1" si="15"/>
        <v/>
      </c>
      <c r="H114" s="38" t="str">
        <f ca="1">IF(COUNTIF($W$2:W1099,A114)=1,VLOOKUP(A114,S:T,2), IF(COUNTIF($W$2:W1099,A114)=0,$D$9,""))</f>
        <v/>
      </c>
      <c r="I114" s="39" t="str">
        <f ca="1">IF(COUNTIF($X$2:X1099,INT(A114))=1,VLOOKUP(INT(A114),X:Y,2), IF(ISERROR(H114-2),"",I113*(1-$D$8*(H114-H113)*0.0001)))</f>
        <v/>
      </c>
      <c r="J114" s="39" t="str">
        <f t="shared" ca="1" si="16"/>
        <v/>
      </c>
      <c r="K114" s="41" t="str">
        <f t="shared" ca="1" si="17"/>
        <v/>
      </c>
      <c r="L114" s="41"/>
      <c r="M114" s="42" t="str">
        <f ca="1">IF(ISERROR(B114-2),"",C114+D114-F114-G114-K114+SUM($L$14:L114))</f>
        <v/>
      </c>
      <c r="U114" s="3" t="str">
        <f t="shared" si="9"/>
        <v/>
      </c>
      <c r="V114" s="3" t="str">
        <f t="shared" si="10"/>
        <v/>
      </c>
      <c r="Z114" s="3">
        <v>45938</v>
      </c>
      <c r="AA114" s="4">
        <v>244.23560000000001</v>
      </c>
      <c r="AB114" s="74">
        <v>45938</v>
      </c>
      <c r="AC114" s="4">
        <v>265.35300000000001</v>
      </c>
      <c r="AD114" s="6">
        <f t="shared" si="11"/>
        <v>45938</v>
      </c>
    </row>
    <row r="115" spans="1:30" x14ac:dyDescent="0.25">
      <c r="A115" s="37" t="str">
        <f t="shared" ca="1" si="12"/>
        <v/>
      </c>
      <c r="B115" s="38" t="str">
        <f ca="1">IF(COUNTIF($W$2:W1100,A115)=1,VLOOKUP(A115,O:P,2), IF(COUNTIF($W$2:W1100,A115)=0,$B$9,""))</f>
        <v/>
      </c>
      <c r="C115" s="2" t="str">
        <f t="shared" ca="1" si="13"/>
        <v/>
      </c>
      <c r="D115" s="41"/>
      <c r="E115" s="38" t="str">
        <f ca="1">IF(COUNTIF($W$2:W1100,A115)=1,VLOOKUP(A115,Q:R,2), IF(COUNTIF($W$2:W1100,A115)=0,$C$9,""))</f>
        <v/>
      </c>
      <c r="F115" s="2" t="str">
        <f t="shared" ca="1" si="14"/>
        <v/>
      </c>
      <c r="G115" s="41" t="str">
        <f t="shared" ca="1" si="15"/>
        <v/>
      </c>
      <c r="H115" s="38" t="str">
        <f ca="1">IF(COUNTIF($W$2:W1100,A115)=1,VLOOKUP(A115,S:T,2), IF(COUNTIF($W$2:W1100,A115)=0,$D$9,""))</f>
        <v/>
      </c>
      <c r="I115" s="39" t="str">
        <f ca="1">IF(COUNTIF($X$2:X1100,INT(A115))=1,VLOOKUP(INT(A115),X:Y,2), IF(ISERROR(H115-2),"",I114*(1-$D$8*(H115-H114)*0.0001)))</f>
        <v/>
      </c>
      <c r="J115" s="39" t="str">
        <f t="shared" ca="1" si="16"/>
        <v/>
      </c>
      <c r="K115" s="41" t="str">
        <f t="shared" ca="1" si="17"/>
        <v/>
      </c>
      <c r="L115" s="41"/>
      <c r="M115" s="42" t="str">
        <f ca="1">IF(ISERROR(B115-2),"",C115+D115-F115-G115-K115+SUM($L$14:L115))</f>
        <v/>
      </c>
      <c r="U115" s="3" t="str">
        <f t="shared" si="9"/>
        <v/>
      </c>
      <c r="V115" s="3" t="str">
        <f t="shared" si="10"/>
        <v/>
      </c>
      <c r="Z115" s="3">
        <v>45939</v>
      </c>
      <c r="AA115" s="4">
        <v>243.46870000000001</v>
      </c>
      <c r="AB115" s="74">
        <v>45939</v>
      </c>
      <c r="AC115" s="4">
        <v>271.95800000000003</v>
      </c>
      <c r="AD115" s="6">
        <f t="shared" si="11"/>
        <v>45939</v>
      </c>
    </row>
    <row r="116" spans="1:30" x14ac:dyDescent="0.25">
      <c r="A116" s="37" t="str">
        <f t="shared" ca="1" si="12"/>
        <v/>
      </c>
      <c r="B116" s="38" t="str">
        <f ca="1">IF(COUNTIF($W$2:W1101,A116)=1,VLOOKUP(A116,O:P,2), IF(COUNTIF($W$2:W1101,A116)=0,$B$9,""))</f>
        <v/>
      </c>
      <c r="C116" s="2" t="str">
        <f t="shared" ca="1" si="13"/>
        <v/>
      </c>
      <c r="D116" s="41"/>
      <c r="E116" s="38" t="str">
        <f ca="1">IF(COUNTIF($W$2:W1101,A116)=1,VLOOKUP(A116,Q:R,2), IF(COUNTIF($W$2:W1101,A116)=0,$C$9,""))</f>
        <v/>
      </c>
      <c r="F116" s="2" t="str">
        <f t="shared" ca="1" si="14"/>
        <v/>
      </c>
      <c r="G116" s="41" t="str">
        <f t="shared" ca="1" si="15"/>
        <v/>
      </c>
      <c r="H116" s="38" t="str">
        <f ca="1">IF(COUNTIF($W$2:W1101,A116)=1,VLOOKUP(A116,S:T,2), IF(COUNTIF($W$2:W1101,A116)=0,$D$9,""))</f>
        <v/>
      </c>
      <c r="I116" s="39" t="str">
        <f ca="1">IF(COUNTIF($X$2:X1101,INT(A116))=1,VLOOKUP(INT(A116),X:Y,2), IF(ISERROR(H116-2),"",I115*(1-$D$8*(H116-H115)*0.0001)))</f>
        <v/>
      </c>
      <c r="J116" s="39" t="str">
        <f t="shared" ca="1" si="16"/>
        <v/>
      </c>
      <c r="K116" s="41" t="str">
        <f t="shared" ca="1" si="17"/>
        <v/>
      </c>
      <c r="L116" s="41"/>
      <c r="M116" s="42" t="str">
        <f ca="1">IF(ISERROR(B116-2),"",C116+D116-F116-G116-K116+SUM($L$14:L116))</f>
        <v/>
      </c>
      <c r="U116" s="3" t="str">
        <f t="shared" si="9"/>
        <v/>
      </c>
      <c r="V116" s="3" t="str">
        <f t="shared" si="10"/>
        <v/>
      </c>
      <c r="Z116" s="3">
        <v>45940</v>
      </c>
      <c r="AA116" s="4">
        <v>242.13290000000001</v>
      </c>
      <c r="AB116" s="74">
        <v>45940</v>
      </c>
      <c r="AC116" s="4">
        <v>283.27499999999998</v>
      </c>
      <c r="AD116" s="6">
        <f t="shared" si="11"/>
        <v>45940</v>
      </c>
    </row>
    <row r="117" spans="1:30" x14ac:dyDescent="0.25">
      <c r="A117" s="37" t="str">
        <f t="shared" ca="1" si="12"/>
        <v/>
      </c>
      <c r="B117" s="38" t="str">
        <f ca="1">IF(COUNTIF($W$2:W1102,A117)=1,VLOOKUP(A117,O:P,2), IF(COUNTIF($W$2:W1102,A117)=0,$B$9,""))</f>
        <v/>
      </c>
      <c r="C117" s="2" t="str">
        <f t="shared" ca="1" si="13"/>
        <v/>
      </c>
      <c r="D117" s="41"/>
      <c r="E117" s="38" t="str">
        <f ca="1">IF(COUNTIF($W$2:W1102,A117)=1,VLOOKUP(A117,Q:R,2), IF(COUNTIF($W$2:W1102,A117)=0,$C$9,""))</f>
        <v/>
      </c>
      <c r="F117" s="2" t="str">
        <f t="shared" ca="1" si="14"/>
        <v/>
      </c>
      <c r="G117" s="41" t="str">
        <f t="shared" ca="1" si="15"/>
        <v/>
      </c>
      <c r="H117" s="38" t="str">
        <f ca="1">IF(COUNTIF($W$2:W1102,A117)=1,VLOOKUP(A117,S:T,2), IF(COUNTIF($W$2:W1102,A117)=0,$D$9,""))</f>
        <v/>
      </c>
      <c r="I117" s="39" t="str">
        <f ca="1">IF(COUNTIF($X$2:X1102,INT(A117))=1,VLOOKUP(INT(A117),X:Y,2), IF(ISERROR(H117-2),"",I116*(1-$D$8*(H117-H116)*0.0001)))</f>
        <v/>
      </c>
      <c r="J117" s="39" t="str">
        <f t="shared" ca="1" si="16"/>
        <v/>
      </c>
      <c r="K117" s="41" t="str">
        <f t="shared" ca="1" si="17"/>
        <v/>
      </c>
      <c r="L117" s="41"/>
      <c r="M117" s="42" t="str">
        <f ca="1">IF(ISERROR(B117-2),"",C117+D117-F117-G117-K117+SUM($L$14:L117))</f>
        <v/>
      </c>
      <c r="U117" s="3" t="str">
        <f t="shared" si="9"/>
        <v/>
      </c>
      <c r="V117" s="3" t="str">
        <f t="shared" si="10"/>
        <v/>
      </c>
      <c r="Z117" s="3">
        <v>45943</v>
      </c>
      <c r="AA117" s="4">
        <v>242.50720000000001</v>
      </c>
      <c r="AB117" s="74">
        <v>45943</v>
      </c>
      <c r="AC117" s="4">
        <v>280.70100000000002</v>
      </c>
      <c r="AD117" s="6">
        <f t="shared" si="11"/>
        <v>45943</v>
      </c>
    </row>
    <row r="118" spans="1:30" x14ac:dyDescent="0.25">
      <c r="A118" s="37" t="str">
        <f t="shared" ca="1" si="12"/>
        <v/>
      </c>
      <c r="B118" s="38" t="str">
        <f ca="1">IF(COUNTIF($W$2:W1103,A118)=1,VLOOKUP(A118,O:P,2), IF(COUNTIF($W$2:W1103,A118)=0,$B$9,""))</f>
        <v/>
      </c>
      <c r="C118" s="2" t="str">
        <f t="shared" ca="1" si="13"/>
        <v/>
      </c>
      <c r="D118" s="41"/>
      <c r="E118" s="38" t="str">
        <f ca="1">IF(COUNTIF($W$2:W1103,A118)=1,VLOOKUP(A118,Q:R,2), IF(COUNTIF($W$2:W1103,A118)=0,$C$9,""))</f>
        <v/>
      </c>
      <c r="F118" s="2" t="str">
        <f t="shared" ca="1" si="14"/>
        <v/>
      </c>
      <c r="G118" s="41" t="str">
        <f t="shared" ca="1" si="15"/>
        <v/>
      </c>
      <c r="H118" s="38" t="str">
        <f ca="1">IF(COUNTIF($W$2:W1103,A118)=1,VLOOKUP(A118,S:T,2), IF(COUNTIF($W$2:W1103,A118)=0,$D$9,""))</f>
        <v/>
      </c>
      <c r="I118" s="39" t="str">
        <f ca="1">IF(COUNTIF($X$2:X1103,INT(A118))=1,VLOOKUP(INT(A118),X:Y,2), IF(ISERROR(H118-2),"",I117*(1-$D$8*(H118-H117)*0.0001)))</f>
        <v/>
      </c>
      <c r="J118" s="39" t="str">
        <f t="shared" ca="1" si="16"/>
        <v/>
      </c>
      <c r="K118" s="41" t="str">
        <f t="shared" ca="1" si="17"/>
        <v/>
      </c>
      <c r="L118" s="41"/>
      <c r="M118" s="42" t="str">
        <f ca="1">IF(ISERROR(B118-2),"",C118+D118-F118-G118-K118+SUM($L$14:L118))</f>
        <v/>
      </c>
      <c r="U118" s="3" t="str">
        <f t="shared" si="9"/>
        <v/>
      </c>
      <c r="V118" s="3" t="str">
        <f t="shared" si="10"/>
        <v/>
      </c>
      <c r="Z118" s="3">
        <v>45944</v>
      </c>
      <c r="AA118" s="4">
        <v>242.9716</v>
      </c>
      <c r="AB118" s="74">
        <v>45944</v>
      </c>
      <c r="AC118" s="4">
        <v>275.89800000000002</v>
      </c>
      <c r="AD118" s="6">
        <f t="shared" si="11"/>
        <v>45944</v>
      </c>
    </row>
    <row r="119" spans="1:30" x14ac:dyDescent="0.25">
      <c r="A119" s="37" t="str">
        <f t="shared" ca="1" si="12"/>
        <v/>
      </c>
      <c r="B119" s="38" t="str">
        <f ca="1">IF(COUNTIF($W$2:W1104,A119)=1,VLOOKUP(A119,O:P,2), IF(COUNTIF($W$2:W1104,A119)=0,$B$9,""))</f>
        <v/>
      </c>
      <c r="C119" s="2" t="str">
        <f t="shared" ca="1" si="13"/>
        <v/>
      </c>
      <c r="D119" s="41"/>
      <c r="E119" s="38" t="str">
        <f ca="1">IF(COUNTIF($W$2:W1104,A119)=1,VLOOKUP(A119,Q:R,2), IF(COUNTIF($W$2:W1104,A119)=0,$C$9,""))</f>
        <v/>
      </c>
      <c r="F119" s="2" t="str">
        <f t="shared" ca="1" si="14"/>
        <v/>
      </c>
      <c r="G119" s="41" t="str">
        <f t="shared" ca="1" si="15"/>
        <v/>
      </c>
      <c r="H119" s="38" t="str">
        <f ca="1">IF(COUNTIF($W$2:W1104,A119)=1,VLOOKUP(A119,S:T,2), IF(COUNTIF($W$2:W1104,A119)=0,$D$9,""))</f>
        <v/>
      </c>
      <c r="I119" s="39" t="str">
        <f ca="1">IF(COUNTIF($X$2:X1104,INT(A119))=1,VLOOKUP(INT(A119),X:Y,2), IF(ISERROR(H119-2),"",I118*(1-$D$8*(H119-H118)*0.0001)))</f>
        <v/>
      </c>
      <c r="J119" s="39" t="str">
        <f t="shared" ca="1" si="16"/>
        <v/>
      </c>
      <c r="K119" s="41" t="str">
        <f t="shared" ca="1" si="17"/>
        <v/>
      </c>
      <c r="L119" s="41"/>
      <c r="M119" s="42" t="str">
        <f ca="1">IF(ISERROR(B119-2),"",C119+D119-F119-G119-K119+SUM($L$14:L119))</f>
        <v/>
      </c>
      <c r="U119" s="3" t="str">
        <f t="shared" si="9"/>
        <v/>
      </c>
      <c r="V119" s="3" t="str">
        <f t="shared" si="10"/>
        <v/>
      </c>
      <c r="Z119" s="3">
        <v>45945</v>
      </c>
      <c r="AA119" s="4">
        <v>244.08959999999999</v>
      </c>
      <c r="AB119" s="74">
        <v>45945</v>
      </c>
      <c r="AC119" s="4">
        <v>269.79700000000003</v>
      </c>
      <c r="AD119" s="6">
        <f t="shared" si="11"/>
        <v>45945</v>
      </c>
    </row>
    <row r="120" spans="1:30" x14ac:dyDescent="0.25">
      <c r="A120" s="37" t="str">
        <f t="shared" ca="1" si="12"/>
        <v/>
      </c>
      <c r="B120" s="38" t="str">
        <f ca="1">IF(COUNTIF($W$2:W1105,A120)=1,VLOOKUP(A120,O:P,2), IF(COUNTIF($W$2:W1105,A120)=0,$B$9,""))</f>
        <v/>
      </c>
      <c r="C120" s="2" t="str">
        <f t="shared" ca="1" si="13"/>
        <v/>
      </c>
      <c r="D120" s="41"/>
      <c r="E120" s="38" t="str">
        <f ca="1">IF(COUNTIF($W$2:W1105,A120)=1,VLOOKUP(A120,Q:R,2), IF(COUNTIF($W$2:W1105,A120)=0,$C$9,""))</f>
        <v/>
      </c>
      <c r="F120" s="2" t="str">
        <f t="shared" ca="1" si="14"/>
        <v/>
      </c>
      <c r="G120" s="41" t="str">
        <f t="shared" ca="1" si="15"/>
        <v/>
      </c>
      <c r="H120" s="38" t="str">
        <f ca="1">IF(COUNTIF($W$2:W1105,A120)=1,VLOOKUP(A120,S:T,2), IF(COUNTIF($W$2:W1105,A120)=0,$D$9,""))</f>
        <v/>
      </c>
      <c r="I120" s="39" t="str">
        <f ca="1">IF(COUNTIF($X$2:X1105,INT(A120))=1,VLOOKUP(INT(A120),X:Y,2), IF(ISERROR(H120-2),"",I119*(1-$D$8*(H120-H119)*0.0001)))</f>
        <v/>
      </c>
      <c r="J120" s="39" t="str">
        <f t="shared" ca="1" si="16"/>
        <v/>
      </c>
      <c r="K120" s="41" t="str">
        <f t="shared" ca="1" si="17"/>
        <v/>
      </c>
      <c r="L120" s="41"/>
      <c r="M120" s="42" t="str">
        <f ca="1">IF(ISERROR(B120-2),"",C120+D120-F120-G120-K120+SUM($L$14:L120))</f>
        <v/>
      </c>
      <c r="U120" s="3" t="str">
        <f t="shared" si="9"/>
        <v/>
      </c>
      <c r="V120" s="3" t="str">
        <f t="shared" si="10"/>
        <v/>
      </c>
      <c r="Z120" s="3">
        <v>45946</v>
      </c>
      <c r="AA120" s="4">
        <v>243.5917</v>
      </c>
      <c r="AB120" s="74">
        <v>45946</v>
      </c>
      <c r="AC120" s="4">
        <v>273.65499999999997</v>
      </c>
      <c r="AD120" s="6">
        <f t="shared" si="11"/>
        <v>45946</v>
      </c>
    </row>
    <row r="121" spans="1:30" x14ac:dyDescent="0.25">
      <c r="A121" s="37" t="str">
        <f t="shared" ca="1" si="12"/>
        <v/>
      </c>
      <c r="B121" s="38" t="str">
        <f ca="1">IF(COUNTIF($W$2:W1106,A121)=1,VLOOKUP(A121,O:P,2), IF(COUNTIF($W$2:W1106,A121)=0,$B$9,""))</f>
        <v/>
      </c>
      <c r="C121" s="2" t="str">
        <f t="shared" ca="1" si="13"/>
        <v/>
      </c>
      <c r="D121" s="41"/>
      <c r="E121" s="38" t="str">
        <f ca="1">IF(COUNTIF($W$2:W1106,A121)=1,VLOOKUP(A121,Q:R,2), IF(COUNTIF($W$2:W1106,A121)=0,$C$9,""))</f>
        <v/>
      </c>
      <c r="F121" s="2" t="str">
        <f t="shared" ca="1" si="14"/>
        <v/>
      </c>
      <c r="G121" s="41" t="str">
        <f t="shared" ca="1" si="15"/>
        <v/>
      </c>
      <c r="H121" s="38" t="str">
        <f ca="1">IF(COUNTIF($W$2:W1106,A121)=1,VLOOKUP(A121,S:T,2), IF(COUNTIF($W$2:W1106,A121)=0,$D$9,""))</f>
        <v/>
      </c>
      <c r="I121" s="39" t="str">
        <f ca="1">IF(COUNTIF($X$2:X1106,INT(A121))=1,VLOOKUP(INT(A121),X:Y,2), IF(ISERROR(H121-2),"",I120*(1-$D$8*(H121-H120)*0.0001)))</f>
        <v/>
      </c>
      <c r="J121" s="39" t="str">
        <f t="shared" ca="1" si="16"/>
        <v/>
      </c>
      <c r="K121" s="41" t="str">
        <f t="shared" ca="1" si="17"/>
        <v/>
      </c>
      <c r="L121" s="41"/>
      <c r="M121" s="42" t="str">
        <f ca="1">IF(ISERROR(B121-2),"",C121+D121-F121-G121-K121+SUM($L$14:L121))</f>
        <v/>
      </c>
      <c r="U121" s="3" t="str">
        <f t="shared" si="9"/>
        <v/>
      </c>
      <c r="V121" s="3" t="str">
        <f t="shared" si="10"/>
        <v/>
      </c>
      <c r="Z121" s="3">
        <v>45947</v>
      </c>
      <c r="AA121" s="4">
        <v>243.0658</v>
      </c>
      <c r="AB121" s="74">
        <v>45947</v>
      </c>
      <c r="AC121" s="4">
        <v>277.44600000000003</v>
      </c>
      <c r="AD121" s="6">
        <f t="shared" si="11"/>
        <v>45947</v>
      </c>
    </row>
    <row r="122" spans="1:30" x14ac:dyDescent="0.25">
      <c r="A122" s="37" t="str">
        <f t="shared" ca="1" si="12"/>
        <v/>
      </c>
      <c r="B122" s="38" t="str">
        <f ca="1">IF(COUNTIF($W$2:W1107,A122)=1,VLOOKUP(A122,O:P,2), IF(COUNTIF($W$2:W1107,A122)=0,$B$9,""))</f>
        <v/>
      </c>
      <c r="C122" s="2" t="str">
        <f t="shared" ca="1" si="13"/>
        <v/>
      </c>
      <c r="D122" s="41"/>
      <c r="E122" s="38" t="str">
        <f ca="1">IF(COUNTIF($W$2:W1107,A122)=1,VLOOKUP(A122,Q:R,2), IF(COUNTIF($W$2:W1107,A122)=0,$C$9,""))</f>
        <v/>
      </c>
      <c r="F122" s="2" t="str">
        <f t="shared" ca="1" si="14"/>
        <v/>
      </c>
      <c r="G122" s="41" t="str">
        <f t="shared" ca="1" si="15"/>
        <v/>
      </c>
      <c r="H122" s="38" t="str">
        <f ca="1">IF(COUNTIF($W$2:W1107,A122)=1,VLOOKUP(A122,S:T,2), IF(COUNTIF($W$2:W1107,A122)=0,$D$9,""))</f>
        <v/>
      </c>
      <c r="I122" s="39" t="str">
        <f ca="1">IF(COUNTIF($X$2:X1107,INT(A122))=1,VLOOKUP(INT(A122),X:Y,2), IF(ISERROR(H122-2),"",I121*(1-$D$8*(H122-H121)*0.0001)))</f>
        <v/>
      </c>
      <c r="J122" s="39" t="str">
        <f t="shared" ca="1" si="16"/>
        <v/>
      </c>
      <c r="K122" s="41" t="str">
        <f t="shared" ca="1" si="17"/>
        <v/>
      </c>
      <c r="L122" s="41"/>
      <c r="M122" s="42" t="str">
        <f ca="1">IF(ISERROR(B122-2),"",C122+D122-F122-G122-K122+SUM($L$14:L122))</f>
        <v/>
      </c>
      <c r="U122" s="3" t="str">
        <f t="shared" si="9"/>
        <v/>
      </c>
      <c r="V122" s="3" t="str">
        <f t="shared" si="10"/>
        <v/>
      </c>
      <c r="Z122" s="3">
        <v>45950</v>
      </c>
      <c r="AA122" s="4">
        <v>244.0598</v>
      </c>
      <c r="AB122" s="74">
        <v>45950</v>
      </c>
      <c r="AC122" s="4">
        <v>269.54399999999998</v>
      </c>
      <c r="AD122" s="6">
        <f t="shared" si="11"/>
        <v>45950</v>
      </c>
    </row>
    <row r="123" spans="1:30" x14ac:dyDescent="0.25">
      <c r="A123" s="37" t="str">
        <f t="shared" ca="1" si="12"/>
        <v/>
      </c>
      <c r="B123" s="38" t="str">
        <f ca="1">IF(COUNTIF($W$2:W1108,A123)=1,VLOOKUP(A123,O:P,2), IF(COUNTIF($W$2:W1108,A123)=0,$B$9,""))</f>
        <v/>
      </c>
      <c r="C123" s="2" t="str">
        <f t="shared" ca="1" si="13"/>
        <v/>
      </c>
      <c r="D123" s="41"/>
      <c r="E123" s="38" t="str">
        <f ca="1">IF(COUNTIF($W$2:W1108,A123)=1,VLOOKUP(A123,Q:R,2), IF(COUNTIF($W$2:W1108,A123)=0,$C$9,""))</f>
        <v/>
      </c>
      <c r="F123" s="2" t="str">
        <f t="shared" ca="1" si="14"/>
        <v/>
      </c>
      <c r="G123" s="41" t="str">
        <f t="shared" ca="1" si="15"/>
        <v/>
      </c>
      <c r="H123" s="38" t="str">
        <f ca="1">IF(COUNTIF($W$2:W1108,A123)=1,VLOOKUP(A123,S:T,2), IF(COUNTIF($W$2:W1108,A123)=0,$D$9,""))</f>
        <v/>
      </c>
      <c r="I123" s="39" t="str">
        <f ca="1">IF(COUNTIF($X$2:X1108,INT(A123))=1,VLOOKUP(INT(A123),X:Y,2), IF(ISERROR(H123-2),"",I122*(1-$D$8*(H123-H122)*0.0001)))</f>
        <v/>
      </c>
      <c r="J123" s="39" t="str">
        <f t="shared" ca="1" si="16"/>
        <v/>
      </c>
      <c r="K123" s="41" t="str">
        <f t="shared" ca="1" si="17"/>
        <v/>
      </c>
      <c r="L123" s="41"/>
      <c r="M123" s="42" t="str">
        <f ca="1">IF(ISERROR(B123-2),"",C123+D123-F123-G123-K123+SUM($L$14:L123))</f>
        <v/>
      </c>
      <c r="U123" s="3" t="str">
        <f t="shared" si="9"/>
        <v/>
      </c>
      <c r="V123" s="3" t="str">
        <f t="shared" si="10"/>
        <v/>
      </c>
      <c r="Z123" s="3">
        <v>45951</v>
      </c>
      <c r="AA123" s="4">
        <v>244.31870000000001</v>
      </c>
      <c r="AB123" s="74">
        <v>45951</v>
      </c>
      <c r="AC123" s="4">
        <v>267.43400000000003</v>
      </c>
      <c r="AD123" s="6">
        <f t="shared" si="11"/>
        <v>45951</v>
      </c>
    </row>
    <row r="124" spans="1:30" x14ac:dyDescent="0.25">
      <c r="A124" s="37" t="str">
        <f t="shared" ca="1" si="12"/>
        <v/>
      </c>
      <c r="B124" s="38" t="str">
        <f ca="1">IF(COUNTIF($W$2:W1109,A124)=1,VLOOKUP(A124,O:P,2), IF(COUNTIF($W$2:W1109,A124)=0,$B$9,""))</f>
        <v/>
      </c>
      <c r="C124" s="2" t="str">
        <f t="shared" ca="1" si="13"/>
        <v/>
      </c>
      <c r="D124" s="41"/>
      <c r="E124" s="38" t="str">
        <f ca="1">IF(COUNTIF($W$2:W1109,A124)=1,VLOOKUP(A124,Q:R,2), IF(COUNTIF($W$2:W1109,A124)=0,$C$9,""))</f>
        <v/>
      </c>
      <c r="F124" s="2" t="str">
        <f t="shared" ca="1" si="14"/>
        <v/>
      </c>
      <c r="G124" s="41" t="str">
        <f t="shared" ca="1" si="15"/>
        <v/>
      </c>
      <c r="H124" s="38" t="str">
        <f ca="1">IF(COUNTIF($W$2:W1109,A124)=1,VLOOKUP(A124,S:T,2), IF(COUNTIF($W$2:W1109,A124)=0,$D$9,""))</f>
        <v/>
      </c>
      <c r="I124" s="39" t="str">
        <f ca="1">IF(COUNTIF($X$2:X1109,INT(A124))=1,VLOOKUP(INT(A124),X:Y,2), IF(ISERROR(H124-2),"",I123*(1-$D$8*(H124-H123)*0.0001)))</f>
        <v/>
      </c>
      <c r="J124" s="39" t="str">
        <f t="shared" ca="1" si="16"/>
        <v/>
      </c>
      <c r="K124" s="41" t="str">
        <f t="shared" ca="1" si="17"/>
        <v/>
      </c>
      <c r="L124" s="41"/>
      <c r="M124" s="42" t="str">
        <f ca="1">IF(ISERROR(B124-2),"",C124+D124-F124-G124-K124+SUM($L$14:L124))</f>
        <v/>
      </c>
      <c r="U124" s="3" t="str">
        <f t="shared" si="9"/>
        <v/>
      </c>
      <c r="V124" s="3" t="str">
        <f t="shared" si="10"/>
        <v/>
      </c>
      <c r="Z124" s="3">
        <v>45952</v>
      </c>
      <c r="AA124" s="4">
        <v>244.07040000000001</v>
      </c>
      <c r="AB124" s="74">
        <v>45952</v>
      </c>
      <c r="AC124" s="4">
        <v>269.74599999999998</v>
      </c>
      <c r="AD124" s="6">
        <f t="shared" si="11"/>
        <v>45952</v>
      </c>
    </row>
    <row r="125" spans="1:30" x14ac:dyDescent="0.25">
      <c r="A125" s="37" t="str">
        <f t="shared" ca="1" si="12"/>
        <v/>
      </c>
      <c r="B125" s="38" t="str">
        <f ca="1">IF(COUNTIF($W$2:W1110,A125)=1,VLOOKUP(A125,O:P,2), IF(COUNTIF($W$2:W1110,A125)=0,$B$9,""))</f>
        <v/>
      </c>
      <c r="C125" s="2" t="str">
        <f t="shared" ca="1" si="13"/>
        <v/>
      </c>
      <c r="D125" s="41"/>
      <c r="E125" s="38" t="str">
        <f ca="1">IF(COUNTIF($W$2:W1110,A125)=1,VLOOKUP(A125,Q:R,2), IF(COUNTIF($W$2:W1110,A125)=0,$C$9,""))</f>
        <v/>
      </c>
      <c r="F125" s="2" t="str">
        <f t="shared" ca="1" si="14"/>
        <v/>
      </c>
      <c r="G125" s="41" t="str">
        <f t="shared" ca="1" si="15"/>
        <v/>
      </c>
      <c r="H125" s="38" t="str">
        <f ca="1">IF(COUNTIF($W$2:W1110,A125)=1,VLOOKUP(A125,S:T,2), IF(COUNTIF($W$2:W1110,A125)=0,$D$9,""))</f>
        <v/>
      </c>
      <c r="I125" s="39" t="str">
        <f ca="1">IF(COUNTIF($X$2:X1110,INT(A125))=1,VLOOKUP(INT(A125),X:Y,2), IF(ISERROR(H125-2),"",I124*(1-$D$8*(H125-H124)*0.0001)))</f>
        <v/>
      </c>
      <c r="J125" s="39" t="str">
        <f t="shared" ca="1" si="16"/>
        <v/>
      </c>
      <c r="K125" s="41" t="str">
        <f t="shared" ca="1" si="17"/>
        <v/>
      </c>
      <c r="L125" s="41"/>
      <c r="M125" s="42" t="str">
        <f ca="1">IF(ISERROR(B125-2),"",C125+D125-F125-G125-K125+SUM($L$14:L125))</f>
        <v/>
      </c>
      <c r="U125" s="3" t="str">
        <f t="shared" si="9"/>
        <v/>
      </c>
      <c r="V125" s="3" t="str">
        <f t="shared" si="10"/>
        <v/>
      </c>
      <c r="Z125" s="3">
        <v>45953</v>
      </c>
      <c r="AA125" s="4">
        <v>244.25409999999999</v>
      </c>
      <c r="AB125" s="74">
        <v>45953</v>
      </c>
      <c r="AC125" s="4">
        <v>268.49799999999999</v>
      </c>
      <c r="AD125" s="6">
        <f t="shared" si="11"/>
        <v>45953</v>
      </c>
    </row>
    <row r="126" spans="1:30" x14ac:dyDescent="0.25">
      <c r="A126" s="37" t="str">
        <f t="shared" ca="1" si="12"/>
        <v/>
      </c>
      <c r="B126" s="38" t="str">
        <f ca="1">IF(COUNTIF($W$2:W1111,A126)=1,VLOOKUP(A126,O:P,2), IF(COUNTIF($W$2:W1111,A126)=0,$B$9,""))</f>
        <v/>
      </c>
      <c r="C126" s="2" t="str">
        <f t="shared" ca="1" si="13"/>
        <v/>
      </c>
      <c r="D126" s="41"/>
      <c r="E126" s="38" t="str">
        <f ca="1">IF(COUNTIF($W$2:W1111,A126)=1,VLOOKUP(A126,Q:R,2), IF(COUNTIF($W$2:W1111,A126)=0,$C$9,""))</f>
        <v/>
      </c>
      <c r="F126" s="2" t="str">
        <f t="shared" ca="1" si="14"/>
        <v/>
      </c>
      <c r="G126" s="41" t="str">
        <f t="shared" ca="1" si="15"/>
        <v/>
      </c>
      <c r="H126" s="38" t="str">
        <f ca="1">IF(COUNTIF($W$2:W1111,A126)=1,VLOOKUP(A126,S:T,2), IF(COUNTIF($W$2:W1111,A126)=0,$D$9,""))</f>
        <v/>
      </c>
      <c r="I126" s="39" t="str">
        <f ca="1">IF(COUNTIF($X$2:X1111,INT(A126))=1,VLOOKUP(INT(A126),X:Y,2), IF(ISERROR(H126-2),"",I125*(1-$D$8*(H126-H125)*0.0001)))</f>
        <v/>
      </c>
      <c r="J126" s="39" t="str">
        <f t="shared" ca="1" si="16"/>
        <v/>
      </c>
      <c r="K126" s="41" t="str">
        <f t="shared" ca="1" si="17"/>
        <v/>
      </c>
      <c r="L126" s="41"/>
      <c r="M126" s="42" t="str">
        <f ca="1">IF(ISERROR(B126-2),"",C126+D126-F126-G126-K126+SUM($L$14:L126))</f>
        <v/>
      </c>
      <c r="U126" s="3" t="str">
        <f t="shared" si="9"/>
        <v/>
      </c>
      <c r="V126" s="3" t="str">
        <f t="shared" si="10"/>
        <v/>
      </c>
      <c r="Z126" s="3">
        <v>45954</v>
      </c>
      <c r="AA126" s="4">
        <v>244.79400000000001</v>
      </c>
      <c r="AB126" s="74">
        <v>45954</v>
      </c>
      <c r="AC126" s="4">
        <v>265.077</v>
      </c>
      <c r="AD126" s="6">
        <f t="shared" si="11"/>
        <v>45954</v>
      </c>
    </row>
    <row r="127" spans="1:30" x14ac:dyDescent="0.25">
      <c r="A127" s="37" t="str">
        <f t="shared" ca="1" si="12"/>
        <v/>
      </c>
      <c r="B127" s="38" t="str">
        <f ca="1">IF(COUNTIF($W$2:W1112,A127)=1,VLOOKUP(A127,O:P,2), IF(COUNTIF($W$2:W1112,A127)=0,$B$9,""))</f>
        <v/>
      </c>
      <c r="C127" s="2" t="str">
        <f t="shared" ca="1" si="13"/>
        <v/>
      </c>
      <c r="D127" s="41"/>
      <c r="E127" s="38" t="str">
        <f ca="1">IF(COUNTIF($W$2:W1112,A127)=1,VLOOKUP(A127,Q:R,2), IF(COUNTIF($W$2:W1112,A127)=0,$C$9,""))</f>
        <v/>
      </c>
      <c r="F127" s="2" t="str">
        <f t="shared" ca="1" si="14"/>
        <v/>
      </c>
      <c r="G127" s="41" t="str">
        <f t="shared" ca="1" si="15"/>
        <v/>
      </c>
      <c r="H127" s="38" t="str">
        <f ca="1">IF(COUNTIF($W$2:W1112,A127)=1,VLOOKUP(A127,S:T,2), IF(COUNTIF($W$2:W1112,A127)=0,$D$9,""))</f>
        <v/>
      </c>
      <c r="I127" s="39" t="str">
        <f ca="1">IF(COUNTIF($X$2:X1112,INT(A127))=1,VLOOKUP(INT(A127),X:Y,2), IF(ISERROR(H127-2),"",I126*(1-$D$8*(H127-H126)*0.0001)))</f>
        <v/>
      </c>
      <c r="J127" s="39" t="str">
        <f t="shared" ca="1" si="16"/>
        <v/>
      </c>
      <c r="K127" s="41" t="str">
        <f t="shared" ca="1" si="17"/>
        <v/>
      </c>
      <c r="L127" s="41"/>
      <c r="M127" s="42" t="str">
        <f ca="1">IF(ISERROR(B127-2),"",C127+D127-F127-G127-K127+SUM($L$14:L127))</f>
        <v/>
      </c>
      <c r="U127" s="3" t="str">
        <f t="shared" si="9"/>
        <v/>
      </c>
      <c r="V127" s="3" t="str">
        <f t="shared" si="10"/>
        <v/>
      </c>
      <c r="Z127" s="3">
        <v>45957</v>
      </c>
      <c r="AA127" s="4">
        <v>245.7517</v>
      </c>
      <c r="AB127" s="74">
        <v>45957</v>
      </c>
      <c r="AC127" s="4">
        <v>256.41899999999998</v>
      </c>
      <c r="AD127" s="6">
        <f t="shared" si="11"/>
        <v>45957</v>
      </c>
    </row>
    <row r="128" spans="1:30" x14ac:dyDescent="0.25">
      <c r="A128" s="37" t="str">
        <f t="shared" ca="1" si="12"/>
        <v/>
      </c>
      <c r="B128" s="38" t="str">
        <f ca="1">IF(COUNTIF($W$2:W1113,A128)=1,VLOOKUP(A128,O:P,2), IF(COUNTIF($W$2:W1113,A128)=0,$B$9,""))</f>
        <v/>
      </c>
      <c r="C128" s="2" t="str">
        <f t="shared" ca="1" si="13"/>
        <v/>
      </c>
      <c r="D128" s="41"/>
      <c r="E128" s="38" t="str">
        <f ca="1">IF(COUNTIF($W$2:W1113,A128)=1,VLOOKUP(A128,Q:R,2), IF(COUNTIF($W$2:W1113,A128)=0,$C$9,""))</f>
        <v/>
      </c>
      <c r="F128" s="2" t="str">
        <f t="shared" ca="1" si="14"/>
        <v/>
      </c>
      <c r="G128" s="41" t="str">
        <f t="shared" ca="1" si="15"/>
        <v/>
      </c>
      <c r="H128" s="38" t="str">
        <f ca="1">IF(COUNTIF($W$2:W1113,A128)=1,VLOOKUP(A128,S:T,2), IF(COUNTIF($W$2:W1113,A128)=0,$D$9,""))</f>
        <v/>
      </c>
      <c r="I128" s="39" t="str">
        <f ca="1">IF(COUNTIF($X$2:X1113,INT(A128))=1,VLOOKUP(INT(A128),X:Y,2), IF(ISERROR(H128-2),"",I127*(1-$D$8*(H128-H127)*0.0001)))</f>
        <v/>
      </c>
      <c r="J128" s="39" t="str">
        <f t="shared" ca="1" si="16"/>
        <v/>
      </c>
      <c r="K128" s="41" t="str">
        <f t="shared" ca="1" si="17"/>
        <v/>
      </c>
      <c r="L128" s="41"/>
      <c r="M128" s="42" t="str">
        <f ca="1">IF(ISERROR(B128-2),"",C128+D128-F128-G128-K128+SUM($L$14:L128))</f>
        <v/>
      </c>
      <c r="U128" s="3" t="str">
        <f t="shared" si="9"/>
        <v/>
      </c>
      <c r="V128" s="3" t="str">
        <f t="shared" si="10"/>
        <v/>
      </c>
      <c r="Z128" s="3">
        <v>45958</v>
      </c>
      <c r="AA128" s="4">
        <v>245.49199999999999</v>
      </c>
      <c r="AB128" s="74">
        <v>45958</v>
      </c>
      <c r="AC128" s="4">
        <v>258.21699999999998</v>
      </c>
      <c r="AD128" s="6">
        <f t="shared" si="11"/>
        <v>45958</v>
      </c>
    </row>
    <row r="129" spans="1:30" x14ac:dyDescent="0.25">
      <c r="A129" s="37" t="str">
        <f t="shared" ca="1" si="12"/>
        <v/>
      </c>
      <c r="B129" s="38" t="str">
        <f ca="1">IF(COUNTIF($W$2:W1114,A129)=1,VLOOKUP(A129,O:P,2), IF(COUNTIF($W$2:W1114,A129)=0,$B$9,""))</f>
        <v/>
      </c>
      <c r="C129" s="2" t="str">
        <f t="shared" ca="1" si="13"/>
        <v/>
      </c>
      <c r="D129" s="41"/>
      <c r="E129" s="38" t="str">
        <f ca="1">IF(COUNTIF($W$2:W1114,A129)=1,VLOOKUP(A129,Q:R,2), IF(COUNTIF($W$2:W1114,A129)=0,$C$9,""))</f>
        <v/>
      </c>
      <c r="F129" s="2" t="str">
        <f t="shared" ca="1" si="14"/>
        <v/>
      </c>
      <c r="G129" s="41" t="str">
        <f t="shared" ca="1" si="15"/>
        <v/>
      </c>
      <c r="H129" s="38" t="str">
        <f ca="1">IF(COUNTIF($W$2:W1114,A129)=1,VLOOKUP(A129,S:T,2), IF(COUNTIF($W$2:W1114,A129)=0,$D$9,""))</f>
        <v/>
      </c>
      <c r="I129" s="39" t="str">
        <f ca="1">IF(COUNTIF($X$2:X1114,INT(A129))=1,VLOOKUP(INT(A129),X:Y,2), IF(ISERROR(H129-2),"",I128*(1-$D$8*(H129-H128)*0.0001)))</f>
        <v/>
      </c>
      <c r="J129" s="39" t="str">
        <f t="shared" ca="1" si="16"/>
        <v/>
      </c>
      <c r="K129" s="41" t="str">
        <f t="shared" ca="1" si="17"/>
        <v/>
      </c>
      <c r="L129" s="41"/>
      <c r="M129" s="42" t="str">
        <f ca="1">IF(ISERROR(B129-2),"",C129+D129-F129-G129-K129+SUM($L$14:L129))</f>
        <v/>
      </c>
      <c r="U129" s="3" t="str">
        <f t="shared" si="9"/>
        <v/>
      </c>
      <c r="V129" s="3" t="str">
        <f t="shared" si="10"/>
        <v/>
      </c>
      <c r="Z129" s="3">
        <v>45959</v>
      </c>
      <c r="AA129" s="4">
        <v>245.55119999999999</v>
      </c>
      <c r="AB129" s="74">
        <v>45959</v>
      </c>
      <c r="AC129" s="4">
        <v>258.82100000000003</v>
      </c>
      <c r="AD129" s="6">
        <f t="shared" si="11"/>
        <v>45959</v>
      </c>
    </row>
    <row r="130" spans="1:30" x14ac:dyDescent="0.25">
      <c r="A130" s="37" t="str">
        <f t="shared" ca="1" si="12"/>
        <v/>
      </c>
      <c r="B130" s="38" t="str">
        <f ca="1">IF(COUNTIF($W$2:W1115,A130)=1,VLOOKUP(A130,O:P,2), IF(COUNTIF($W$2:W1115,A130)=0,$B$9,""))</f>
        <v/>
      </c>
      <c r="C130" s="2" t="str">
        <f t="shared" ca="1" si="13"/>
        <v/>
      </c>
      <c r="D130" s="41"/>
      <c r="E130" s="38" t="str">
        <f ca="1">IF(COUNTIF($W$2:W1115,A130)=1,VLOOKUP(A130,Q:R,2), IF(COUNTIF($W$2:W1115,A130)=0,$C$9,""))</f>
        <v/>
      </c>
      <c r="F130" s="2" t="str">
        <f t="shared" ca="1" si="14"/>
        <v/>
      </c>
      <c r="G130" s="41" t="str">
        <f t="shared" ca="1" si="15"/>
        <v/>
      </c>
      <c r="H130" s="38" t="str">
        <f ca="1">IF(COUNTIF($W$2:W1115,A130)=1,VLOOKUP(A130,S:T,2), IF(COUNTIF($W$2:W1115,A130)=0,$D$9,""))</f>
        <v/>
      </c>
      <c r="I130" s="39" t="str">
        <f ca="1">IF(COUNTIF($X$2:X1115,INT(A130))=1,VLOOKUP(INT(A130),X:Y,2), IF(ISERROR(H130-2),"",I129*(1-$D$8*(H130-H129)*0.0001)))</f>
        <v/>
      </c>
      <c r="J130" s="39" t="str">
        <f t="shared" ca="1" si="16"/>
        <v/>
      </c>
      <c r="K130" s="41" t="str">
        <f t="shared" ca="1" si="17"/>
        <v/>
      </c>
      <c r="L130" s="41"/>
      <c r="M130" s="42" t="str">
        <f ca="1">IF(ISERROR(B130-2),"",C130+D130-F130-G130-K130+SUM($L$14:L130))</f>
        <v/>
      </c>
      <c r="U130" s="3" t="str">
        <f t="shared" si="9"/>
        <v/>
      </c>
      <c r="V130" s="3" t="str">
        <f t="shared" si="10"/>
        <v/>
      </c>
      <c r="Z130" s="3">
        <v>45960</v>
      </c>
      <c r="AA130" s="4">
        <v>245.16900000000001</v>
      </c>
      <c r="AB130" s="74">
        <v>45960</v>
      </c>
      <c r="AC130" s="4">
        <v>262.49700000000001</v>
      </c>
      <c r="AD130" s="6">
        <f t="shared" si="11"/>
        <v>45960</v>
      </c>
    </row>
    <row r="131" spans="1:30" x14ac:dyDescent="0.25">
      <c r="A131" s="37" t="str">
        <f t="shared" ca="1" si="12"/>
        <v/>
      </c>
      <c r="B131" s="38" t="str">
        <f ca="1">IF(COUNTIF($W$2:W1116,A131)=1,VLOOKUP(A131,O:P,2), IF(COUNTIF($W$2:W1116,A131)=0,$B$9,""))</f>
        <v/>
      </c>
      <c r="C131" s="2" t="str">
        <f t="shared" ca="1" si="13"/>
        <v/>
      </c>
      <c r="D131" s="41"/>
      <c r="E131" s="38" t="str">
        <f ca="1">IF(COUNTIF($W$2:W1116,A131)=1,VLOOKUP(A131,Q:R,2), IF(COUNTIF($W$2:W1116,A131)=0,$C$9,""))</f>
        <v/>
      </c>
      <c r="F131" s="2" t="str">
        <f t="shared" ca="1" si="14"/>
        <v/>
      </c>
      <c r="G131" s="41" t="str">
        <f t="shared" ca="1" si="15"/>
        <v/>
      </c>
      <c r="H131" s="38" t="str">
        <f ca="1">IF(COUNTIF($W$2:W1116,A131)=1,VLOOKUP(A131,S:T,2), IF(COUNTIF($W$2:W1116,A131)=0,$D$9,""))</f>
        <v/>
      </c>
      <c r="I131" s="39" t="str">
        <f ca="1">IF(COUNTIF($X$2:X1116,INT(A131))=1,VLOOKUP(INT(A131),X:Y,2), IF(ISERROR(H131-2),"",I130*(1-$D$8*(H131-H130)*0.0001)))</f>
        <v/>
      </c>
      <c r="J131" s="39" t="str">
        <f t="shared" ca="1" si="16"/>
        <v/>
      </c>
      <c r="K131" s="41" t="str">
        <f t="shared" ca="1" si="17"/>
        <v/>
      </c>
      <c r="L131" s="41"/>
      <c r="M131" s="42" t="str">
        <f ca="1">IF(ISERROR(B131-2),"",C131+D131-F131-G131-K131+SUM($L$14:L131))</f>
        <v/>
      </c>
      <c r="U131" s="3" t="str">
        <f t="shared" si="9"/>
        <v/>
      </c>
      <c r="V131" s="3" t="str">
        <f t="shared" si="10"/>
        <v/>
      </c>
      <c r="Z131" s="3">
        <v>45961</v>
      </c>
      <c r="AA131" s="4">
        <v>244.8545</v>
      </c>
      <c r="AB131" s="74">
        <v>45961</v>
      </c>
      <c r="AC131" s="4">
        <v>265.971</v>
      </c>
      <c r="AD131" s="6">
        <f t="shared" si="11"/>
        <v>45961</v>
      </c>
    </row>
    <row r="132" spans="1:30" x14ac:dyDescent="0.25">
      <c r="A132" s="37" t="str">
        <f t="shared" ca="1" si="12"/>
        <v/>
      </c>
      <c r="B132" s="38" t="str">
        <f ca="1">IF(COUNTIF($W$2:W1117,A132)=1,VLOOKUP(A132,O:P,2), IF(COUNTIF($W$2:W1117,A132)=0,$B$9,""))</f>
        <v/>
      </c>
      <c r="C132" s="2" t="str">
        <f t="shared" ca="1" si="13"/>
        <v/>
      </c>
      <c r="D132" s="41"/>
      <c r="E132" s="38" t="str">
        <f ca="1">IF(COUNTIF($W$2:W1117,A132)=1,VLOOKUP(A132,Q:R,2), IF(COUNTIF($W$2:W1117,A132)=0,$C$9,""))</f>
        <v/>
      </c>
      <c r="F132" s="2" t="str">
        <f t="shared" ca="1" si="14"/>
        <v/>
      </c>
      <c r="G132" s="41" t="str">
        <f t="shared" ca="1" si="15"/>
        <v/>
      </c>
      <c r="H132" s="38" t="str">
        <f ca="1">IF(COUNTIF($W$2:W1117,A132)=1,VLOOKUP(A132,S:T,2), IF(COUNTIF($W$2:W1117,A132)=0,$D$9,""))</f>
        <v/>
      </c>
      <c r="I132" s="39" t="str">
        <f ca="1">IF(COUNTIF($X$2:X1117,INT(A132))=1,VLOOKUP(INT(A132),X:Y,2), IF(ISERROR(H132-2),"",I131*(1-$D$8*(H132-H131)*0.0001)))</f>
        <v/>
      </c>
      <c r="J132" s="39" t="str">
        <f t="shared" ca="1" si="16"/>
        <v/>
      </c>
      <c r="K132" s="41" t="str">
        <f t="shared" ca="1" si="17"/>
        <v/>
      </c>
      <c r="L132" s="41"/>
      <c r="M132" s="42" t="str">
        <f ca="1">IF(ISERROR(B132-2),"",C132+D132-F132-G132-K132+SUM($L$14:L132))</f>
        <v/>
      </c>
      <c r="U132" s="3" t="str">
        <f t="shared" ref="U132:U195" si="18">IF(COUNTIF(Q:Q,O132)*COUNTIF(S:S,O132),O132,"")</f>
        <v/>
      </c>
      <c r="V132" s="3" t="str">
        <f t="shared" ref="V132:V195" si="19">IF(U132&gt;$A$14,U132,"")</f>
        <v/>
      </c>
      <c r="Z132" s="3">
        <v>45964</v>
      </c>
      <c r="AA132" s="4">
        <v>244.89699999999999</v>
      </c>
      <c r="AB132" s="74">
        <v>45964</v>
      </c>
      <c r="AC132" s="4">
        <v>264.774</v>
      </c>
      <c r="AD132" s="6">
        <f t="shared" ref="AD132:AD195" si="20">IF(COUNTIF(AB:AB,Z132),Z132,"")</f>
        <v>45964</v>
      </c>
    </row>
    <row r="133" spans="1:30" x14ac:dyDescent="0.25">
      <c r="A133" s="37" t="str">
        <f t="shared" ca="1" si="12"/>
        <v/>
      </c>
      <c r="B133" s="38" t="str">
        <f ca="1">IF(COUNTIF($W$2:W1118,A133)=1,VLOOKUP(A133,O:P,2), IF(COUNTIF($W$2:W1118,A133)=0,$B$9,""))</f>
        <v/>
      </c>
      <c r="C133" s="2" t="str">
        <f t="shared" ca="1" si="13"/>
        <v/>
      </c>
      <c r="D133" s="41"/>
      <c r="E133" s="38" t="str">
        <f ca="1">IF(COUNTIF($W$2:W1118,A133)=1,VLOOKUP(A133,Q:R,2), IF(COUNTIF($W$2:W1118,A133)=0,$C$9,""))</f>
        <v/>
      </c>
      <c r="F133" s="2" t="str">
        <f t="shared" ca="1" si="14"/>
        <v/>
      </c>
      <c r="G133" s="41" t="str">
        <f t="shared" ca="1" si="15"/>
        <v/>
      </c>
      <c r="H133" s="38" t="str">
        <f ca="1">IF(COUNTIF($W$2:W1118,A133)=1,VLOOKUP(A133,S:T,2), IF(COUNTIF($W$2:W1118,A133)=0,$D$9,""))</f>
        <v/>
      </c>
      <c r="I133" s="39" t="str">
        <f ca="1">IF(COUNTIF($X$2:X1118,INT(A133))=1,VLOOKUP(INT(A133),X:Y,2), IF(ISERROR(H133-2),"",I132*(1-$D$8*(H133-H132)*0.0001)))</f>
        <v/>
      </c>
      <c r="J133" s="39" t="str">
        <f t="shared" ca="1" si="16"/>
        <v/>
      </c>
      <c r="K133" s="41" t="str">
        <f t="shared" ca="1" si="17"/>
        <v/>
      </c>
      <c r="L133" s="41"/>
      <c r="M133" s="42" t="str">
        <f ca="1">IF(ISERROR(B133-2),"",C133+D133-F133-G133-K133+SUM($L$14:L133))</f>
        <v/>
      </c>
      <c r="U133" s="3" t="str">
        <f t="shared" si="18"/>
        <v/>
      </c>
      <c r="V133" s="3" t="str">
        <f t="shared" si="19"/>
        <v/>
      </c>
      <c r="Z133" s="3">
        <v>45965</v>
      </c>
      <c r="AA133" s="4">
        <v>244.79839999999999</v>
      </c>
      <c r="AB133" s="74">
        <v>45965</v>
      </c>
      <c r="AC133" s="4">
        <v>265.75200000000001</v>
      </c>
      <c r="AD133" s="6">
        <f t="shared" si="20"/>
        <v>45965</v>
      </c>
    </row>
    <row r="134" spans="1:30" x14ac:dyDescent="0.25">
      <c r="A134" s="37" t="str">
        <f t="shared" ca="1" si="12"/>
        <v/>
      </c>
      <c r="B134" s="38" t="str">
        <f ca="1">IF(COUNTIF($W$2:W1119,A134)=1,VLOOKUP(A134,O:P,2), IF(COUNTIF($W$2:W1119,A134)=0,$B$9,""))</f>
        <v/>
      </c>
      <c r="C134" s="2" t="str">
        <f t="shared" ca="1" si="13"/>
        <v/>
      </c>
      <c r="D134" s="41"/>
      <c r="E134" s="38" t="str">
        <f ca="1">IF(COUNTIF($W$2:W1119,A134)=1,VLOOKUP(A134,Q:R,2), IF(COUNTIF($W$2:W1119,A134)=0,$C$9,""))</f>
        <v/>
      </c>
      <c r="F134" s="2" t="str">
        <f t="shared" ca="1" si="14"/>
        <v/>
      </c>
      <c r="G134" s="41" t="str">
        <f t="shared" ca="1" si="15"/>
        <v/>
      </c>
      <c r="H134" s="38" t="str">
        <f ca="1">IF(COUNTIF($W$2:W1119,A134)=1,VLOOKUP(A134,S:T,2), IF(COUNTIF($W$2:W1119,A134)=0,$D$9,""))</f>
        <v/>
      </c>
      <c r="I134" s="39" t="str">
        <f ca="1">IF(COUNTIF($X$2:X1119,INT(A134))=1,VLOOKUP(INT(A134),X:Y,2), IF(ISERROR(H134-2),"",I133*(1-$D$8*(H134-H133)*0.0001)))</f>
        <v/>
      </c>
      <c r="J134" s="39" t="str">
        <f t="shared" ca="1" si="16"/>
        <v/>
      </c>
      <c r="K134" s="41" t="str">
        <f t="shared" ca="1" si="17"/>
        <v/>
      </c>
      <c r="L134" s="41"/>
      <c r="M134" s="42" t="str">
        <f ca="1">IF(ISERROR(B134-2),"",C134+D134-F134-G134-K134+SUM($L$14:L134))</f>
        <v/>
      </c>
      <c r="U134" s="3" t="str">
        <f t="shared" si="18"/>
        <v/>
      </c>
      <c r="V134" s="3" t="str">
        <f t="shared" si="19"/>
        <v/>
      </c>
      <c r="Z134" s="3">
        <v>45966</v>
      </c>
      <c r="AA134" s="4">
        <v>245.10939999999999</v>
      </c>
      <c r="AB134" s="74">
        <v>45966</v>
      </c>
      <c r="AC134" s="4">
        <v>262.87900000000002</v>
      </c>
      <c r="AD134" s="6">
        <f t="shared" si="20"/>
        <v>45966</v>
      </c>
    </row>
    <row r="135" spans="1:30" x14ac:dyDescent="0.25">
      <c r="A135" s="37" t="str">
        <f t="shared" ca="1" si="12"/>
        <v/>
      </c>
      <c r="B135" s="38" t="str">
        <f ca="1">IF(COUNTIF($W$2:W1120,A135)=1,VLOOKUP(A135,O:P,2), IF(COUNTIF($W$2:W1120,A135)=0,$B$9,""))</f>
        <v/>
      </c>
      <c r="C135" s="2" t="str">
        <f t="shared" ca="1" si="13"/>
        <v/>
      </c>
      <c r="D135" s="41"/>
      <c r="E135" s="38" t="str">
        <f ca="1">IF(COUNTIF($W$2:W1120,A135)=1,VLOOKUP(A135,Q:R,2), IF(COUNTIF($W$2:W1120,A135)=0,$C$9,""))</f>
        <v/>
      </c>
      <c r="F135" s="2" t="str">
        <f t="shared" ca="1" si="14"/>
        <v/>
      </c>
      <c r="G135" s="41" t="str">
        <f t="shared" ca="1" si="15"/>
        <v/>
      </c>
      <c r="H135" s="38" t="str">
        <f ca="1">IF(COUNTIF($W$2:W1120,A135)=1,VLOOKUP(A135,S:T,2), IF(COUNTIF($W$2:W1120,A135)=0,$D$9,""))</f>
        <v/>
      </c>
      <c r="I135" s="39" t="str">
        <f ca="1">IF(COUNTIF($X$2:X1120,INT(A135))=1,VLOOKUP(INT(A135),X:Y,2), IF(ISERROR(H135-2),"",I134*(1-$D$8*(H135-H134)*0.0001)))</f>
        <v/>
      </c>
      <c r="J135" s="39" t="str">
        <f t="shared" ca="1" si="16"/>
        <v/>
      </c>
      <c r="K135" s="41" t="str">
        <f t="shared" ca="1" si="17"/>
        <v/>
      </c>
      <c r="L135" s="41"/>
      <c r="M135" s="42" t="str">
        <f ca="1">IF(ISERROR(B135-2),"",C135+D135-F135-G135-K135+SUM($L$14:L135))</f>
        <v/>
      </c>
      <c r="U135" s="3" t="str">
        <f t="shared" si="18"/>
        <v/>
      </c>
      <c r="V135" s="3" t="str">
        <f t="shared" si="19"/>
        <v/>
      </c>
      <c r="Z135" s="3">
        <v>45967</v>
      </c>
      <c r="AA135" s="4">
        <v>244.75219999999999</v>
      </c>
      <c r="AB135" s="74">
        <v>45967</v>
      </c>
      <c r="AC135" s="4">
        <v>268.62700000000001</v>
      </c>
      <c r="AD135" s="6">
        <f t="shared" si="20"/>
        <v>45967</v>
      </c>
    </row>
    <row r="136" spans="1:30" x14ac:dyDescent="0.25">
      <c r="A136" s="37" t="str">
        <f t="shared" ca="1" si="12"/>
        <v/>
      </c>
      <c r="B136" s="38" t="str">
        <f ca="1">IF(COUNTIF($W$2:W1121,A136)=1,VLOOKUP(A136,O:P,2), IF(COUNTIF($W$2:W1121,A136)=0,$B$9,""))</f>
        <v/>
      </c>
      <c r="C136" s="2" t="str">
        <f t="shared" ca="1" si="13"/>
        <v/>
      </c>
      <c r="D136" s="41"/>
      <c r="E136" s="38" t="str">
        <f ca="1">IF(COUNTIF($W$2:W1121,A136)=1,VLOOKUP(A136,Q:R,2), IF(COUNTIF($W$2:W1121,A136)=0,$C$9,""))</f>
        <v/>
      </c>
      <c r="F136" s="2" t="str">
        <f t="shared" ca="1" si="14"/>
        <v/>
      </c>
      <c r="G136" s="41" t="str">
        <f t="shared" ca="1" si="15"/>
        <v/>
      </c>
      <c r="H136" s="38" t="str">
        <f ca="1">IF(COUNTIF($W$2:W1121,A136)=1,VLOOKUP(A136,S:T,2), IF(COUNTIF($W$2:W1121,A136)=0,$D$9,""))</f>
        <v/>
      </c>
      <c r="I136" s="39" t="str">
        <f ca="1">IF(COUNTIF($X$2:X1121,INT(A136))=1,VLOOKUP(INT(A136),X:Y,2), IF(ISERROR(H136-2),"",I135*(1-$D$8*(H136-H135)*0.0001)))</f>
        <v/>
      </c>
      <c r="J136" s="39" t="str">
        <f t="shared" ca="1" si="16"/>
        <v/>
      </c>
      <c r="K136" s="41" t="str">
        <f t="shared" ca="1" si="17"/>
        <v/>
      </c>
      <c r="L136" s="41"/>
      <c r="M136" s="42" t="str">
        <f ca="1">IF(ISERROR(B136-2),"",C136+D136-F136-G136-K136+SUM($L$14:L136))</f>
        <v/>
      </c>
      <c r="U136" s="3" t="str">
        <f t="shared" si="18"/>
        <v/>
      </c>
      <c r="V136" s="3" t="str">
        <f t="shared" si="19"/>
        <v/>
      </c>
      <c r="Z136" s="3">
        <v>45968</v>
      </c>
      <c r="AA136" s="4">
        <v>244.27430000000001</v>
      </c>
      <c r="AB136" s="74">
        <v>45968</v>
      </c>
      <c r="AC136" s="4">
        <v>272.18799999999999</v>
      </c>
      <c r="AD136" s="6">
        <f t="shared" si="20"/>
        <v>45968</v>
      </c>
    </row>
    <row r="137" spans="1:30" x14ac:dyDescent="0.25">
      <c r="A137" s="37" t="str">
        <f t="shared" ca="1" si="12"/>
        <v/>
      </c>
      <c r="B137" s="38" t="str">
        <f ca="1">IF(COUNTIF($W$2:W1122,A137)=1,VLOOKUP(A137,O:P,2), IF(COUNTIF($W$2:W1122,A137)=0,$B$9,""))</f>
        <v/>
      </c>
      <c r="C137" s="2" t="str">
        <f t="shared" ca="1" si="13"/>
        <v/>
      </c>
      <c r="D137" s="41"/>
      <c r="E137" s="38" t="str">
        <f ca="1">IF(COUNTIF($W$2:W1122,A137)=1,VLOOKUP(A137,Q:R,2), IF(COUNTIF($W$2:W1122,A137)=0,$C$9,""))</f>
        <v/>
      </c>
      <c r="F137" s="2" t="str">
        <f t="shared" ca="1" si="14"/>
        <v/>
      </c>
      <c r="G137" s="41" t="str">
        <f t="shared" ca="1" si="15"/>
        <v/>
      </c>
      <c r="H137" s="38" t="str">
        <f ca="1">IF(COUNTIF($W$2:W1122,A137)=1,VLOOKUP(A137,S:T,2), IF(COUNTIF($W$2:W1122,A137)=0,$D$9,""))</f>
        <v/>
      </c>
      <c r="I137" s="39" t="str">
        <f ca="1">IF(COUNTIF($X$2:X1122,INT(A137))=1,VLOOKUP(INT(A137),X:Y,2), IF(ISERROR(H137-2),"",I136*(1-$D$8*(H137-H136)*0.0001)))</f>
        <v/>
      </c>
      <c r="J137" s="39" t="str">
        <f t="shared" ca="1" si="16"/>
        <v/>
      </c>
      <c r="K137" s="41" t="str">
        <f t="shared" ca="1" si="17"/>
        <v/>
      </c>
      <c r="L137" s="41"/>
      <c r="M137" s="42" t="str">
        <f ca="1">IF(ISERROR(B137-2),"",C137+D137-F137-G137-K137+SUM($L$14:L137))</f>
        <v/>
      </c>
      <c r="U137" s="3" t="str">
        <f t="shared" si="18"/>
        <v/>
      </c>
      <c r="V137" s="3" t="str">
        <f t="shared" si="19"/>
        <v/>
      </c>
      <c r="Z137" s="3">
        <v>45971</v>
      </c>
      <c r="AA137" s="4">
        <v>245.4716</v>
      </c>
      <c r="AB137" s="74">
        <v>45971</v>
      </c>
      <c r="AC137" s="4">
        <v>261.46800000000002</v>
      </c>
      <c r="AD137" s="6">
        <f t="shared" si="20"/>
        <v>45971</v>
      </c>
    </row>
    <row r="138" spans="1:30" x14ac:dyDescent="0.25">
      <c r="A138" s="37" t="str">
        <f t="shared" ca="1" si="12"/>
        <v/>
      </c>
      <c r="B138" s="38" t="str">
        <f ca="1">IF(COUNTIF($W$2:W1123,A138)=1,VLOOKUP(A138,O:P,2), IF(COUNTIF($W$2:W1123,A138)=0,$B$9,""))</f>
        <v/>
      </c>
      <c r="C138" s="2" t="str">
        <f t="shared" ca="1" si="13"/>
        <v/>
      </c>
      <c r="D138" s="41"/>
      <c r="E138" s="38" t="str">
        <f ca="1">IF(COUNTIF($W$2:W1123,A138)=1,VLOOKUP(A138,Q:R,2), IF(COUNTIF($W$2:W1123,A138)=0,$C$9,""))</f>
        <v/>
      </c>
      <c r="F138" s="2" t="str">
        <f t="shared" ca="1" si="14"/>
        <v/>
      </c>
      <c r="G138" s="41" t="str">
        <f t="shared" ca="1" si="15"/>
        <v/>
      </c>
      <c r="H138" s="38" t="str">
        <f ca="1">IF(COUNTIF($W$2:W1123,A138)=1,VLOOKUP(A138,S:T,2), IF(COUNTIF($W$2:W1123,A138)=0,$D$9,""))</f>
        <v/>
      </c>
      <c r="I138" s="39" t="str">
        <f ca="1">IF(COUNTIF($X$2:X1123,INT(A138))=1,VLOOKUP(INT(A138),X:Y,2), IF(ISERROR(H138-2),"",I137*(1-$D$8*(H138-H137)*0.0001)))</f>
        <v/>
      </c>
      <c r="J138" s="39" t="str">
        <f t="shared" ca="1" si="16"/>
        <v/>
      </c>
      <c r="K138" s="41" t="str">
        <f t="shared" ca="1" si="17"/>
        <v/>
      </c>
      <c r="L138" s="41"/>
      <c r="M138" s="42" t="str">
        <f ca="1">IF(ISERROR(B138-2),"",C138+D138-F138-G138-K138+SUM($L$14:L138))</f>
        <v/>
      </c>
      <c r="U138" s="3" t="str">
        <f t="shared" si="18"/>
        <v/>
      </c>
      <c r="V138" s="3" t="str">
        <f t="shared" si="19"/>
        <v/>
      </c>
      <c r="Z138" s="3">
        <v>45972</v>
      </c>
      <c r="AA138" s="4">
        <v>245.6224</v>
      </c>
      <c r="AB138" s="74">
        <v>45972</v>
      </c>
      <c r="AC138" s="4">
        <v>260.42200000000003</v>
      </c>
      <c r="AD138" s="6">
        <f t="shared" si="20"/>
        <v>45972</v>
      </c>
    </row>
    <row r="139" spans="1:30" x14ac:dyDescent="0.25">
      <c r="A139" s="37" t="str">
        <f t="shared" ca="1" si="12"/>
        <v/>
      </c>
      <c r="B139" s="38" t="str">
        <f ca="1">IF(COUNTIF($W$2:W1124,A139)=1,VLOOKUP(A139,O:P,2), IF(COUNTIF($W$2:W1124,A139)=0,$B$9,""))</f>
        <v/>
      </c>
      <c r="C139" s="2" t="str">
        <f t="shared" ca="1" si="13"/>
        <v/>
      </c>
      <c r="D139" s="41"/>
      <c r="E139" s="38" t="str">
        <f ca="1">IF(COUNTIF($W$2:W1124,A139)=1,VLOOKUP(A139,Q:R,2), IF(COUNTIF($W$2:W1124,A139)=0,$C$9,""))</f>
        <v/>
      </c>
      <c r="F139" s="2" t="str">
        <f t="shared" ca="1" si="14"/>
        <v/>
      </c>
      <c r="G139" s="41" t="str">
        <f t="shared" ca="1" si="15"/>
        <v/>
      </c>
      <c r="H139" s="38" t="str">
        <f ca="1">IF(COUNTIF($W$2:W1124,A139)=1,VLOOKUP(A139,S:T,2), IF(COUNTIF($W$2:W1124,A139)=0,$D$9,""))</f>
        <v/>
      </c>
      <c r="I139" s="39" t="str">
        <f ca="1">IF(COUNTIF($X$2:X1124,INT(A139))=1,VLOOKUP(INT(A139),X:Y,2), IF(ISERROR(H139-2),"",I138*(1-$D$8*(H139-H138)*0.0001)))</f>
        <v/>
      </c>
      <c r="J139" s="39" t="str">
        <f t="shared" ca="1" si="16"/>
        <v/>
      </c>
      <c r="K139" s="41" t="str">
        <f t="shared" ca="1" si="17"/>
        <v/>
      </c>
      <c r="L139" s="41"/>
      <c r="M139" s="42" t="str">
        <f ca="1">IF(ISERROR(B139-2),"",C139+D139-F139-G139-K139+SUM($L$14:L139))</f>
        <v/>
      </c>
      <c r="U139" s="3" t="str">
        <f t="shared" si="18"/>
        <v/>
      </c>
      <c r="V139" s="3" t="str">
        <f t="shared" si="19"/>
        <v/>
      </c>
      <c r="Z139" s="3">
        <v>45973</v>
      </c>
      <c r="AA139" s="4">
        <v>245.78739999999999</v>
      </c>
      <c r="AB139" s="74">
        <v>45973</v>
      </c>
      <c r="AC139" s="4">
        <v>259.49700000000001</v>
      </c>
      <c r="AD139" s="6">
        <f t="shared" si="20"/>
        <v>45973</v>
      </c>
    </row>
    <row r="140" spans="1:30" x14ac:dyDescent="0.25">
      <c r="A140" s="37" t="str">
        <f t="shared" ca="1" si="12"/>
        <v/>
      </c>
      <c r="B140" s="38" t="str">
        <f ca="1">IF(COUNTIF($W$2:W1125,A140)=1,VLOOKUP(A140,O:P,2), IF(COUNTIF($W$2:W1125,A140)=0,$B$9,""))</f>
        <v/>
      </c>
      <c r="C140" s="2" t="str">
        <f t="shared" ca="1" si="13"/>
        <v/>
      </c>
      <c r="D140" s="41"/>
      <c r="E140" s="38" t="str">
        <f ca="1">IF(COUNTIF($W$2:W1125,A140)=1,VLOOKUP(A140,Q:R,2), IF(COUNTIF($W$2:W1125,A140)=0,$C$9,""))</f>
        <v/>
      </c>
      <c r="F140" s="2" t="str">
        <f t="shared" ca="1" si="14"/>
        <v/>
      </c>
      <c r="G140" s="41" t="str">
        <f t="shared" ca="1" si="15"/>
        <v/>
      </c>
      <c r="H140" s="38" t="str">
        <f ca="1">IF(COUNTIF($W$2:W1125,A140)=1,VLOOKUP(A140,S:T,2), IF(COUNTIF($W$2:W1125,A140)=0,$D$9,""))</f>
        <v/>
      </c>
      <c r="I140" s="39" t="str">
        <f ca="1">IF(COUNTIF($X$2:X1125,INT(A140))=1,VLOOKUP(INT(A140),X:Y,2), IF(ISERROR(H140-2),"",I139*(1-$D$8*(H140-H139)*0.0001)))</f>
        <v/>
      </c>
      <c r="J140" s="39" t="str">
        <f t="shared" ca="1" si="16"/>
        <v/>
      </c>
      <c r="K140" s="41" t="str">
        <f t="shared" ca="1" si="17"/>
        <v/>
      </c>
      <c r="L140" s="41"/>
      <c r="M140" s="42" t="str">
        <f ca="1">IF(ISERROR(B140-2),"",C140+D140-F140-G140-K140+SUM($L$14:L140))</f>
        <v/>
      </c>
      <c r="U140" s="3" t="str">
        <f t="shared" si="18"/>
        <v/>
      </c>
      <c r="V140" s="3" t="str">
        <f t="shared" si="19"/>
        <v/>
      </c>
      <c r="Z140" s="3">
        <v>45974</v>
      </c>
      <c r="AA140" s="4">
        <v>245.34219999999999</v>
      </c>
      <c r="AB140" s="74">
        <v>45974</v>
      </c>
      <c r="AC140" s="4">
        <v>263.71800000000002</v>
      </c>
      <c r="AD140" s="6">
        <f t="shared" si="20"/>
        <v>45974</v>
      </c>
    </row>
    <row r="141" spans="1:30" x14ac:dyDescent="0.25">
      <c r="A141" s="37" t="str">
        <f t="shared" ca="1" si="12"/>
        <v/>
      </c>
      <c r="B141" s="38" t="str">
        <f ca="1">IF(COUNTIF($W$2:W1126,A141)=1,VLOOKUP(A141,O:P,2), IF(COUNTIF($W$2:W1126,A141)=0,$B$9,""))</f>
        <v/>
      </c>
      <c r="C141" s="2" t="str">
        <f t="shared" ca="1" si="13"/>
        <v/>
      </c>
      <c r="D141" s="41"/>
      <c r="E141" s="38" t="str">
        <f ca="1">IF(COUNTIF($W$2:W1126,A141)=1,VLOOKUP(A141,Q:R,2), IF(COUNTIF($W$2:W1126,A141)=0,$C$9,""))</f>
        <v/>
      </c>
      <c r="F141" s="2" t="str">
        <f t="shared" ca="1" si="14"/>
        <v/>
      </c>
      <c r="G141" s="41" t="str">
        <f t="shared" ca="1" si="15"/>
        <v/>
      </c>
      <c r="H141" s="38" t="str">
        <f ca="1">IF(COUNTIF($W$2:W1126,A141)=1,VLOOKUP(A141,S:T,2), IF(COUNTIF($W$2:W1126,A141)=0,$D$9,""))</f>
        <v/>
      </c>
      <c r="I141" s="39" t="str">
        <f ca="1">IF(COUNTIF($X$2:X1126,INT(A141))=1,VLOOKUP(INT(A141),X:Y,2), IF(ISERROR(H141-2),"",I140*(1-$D$8*(H141-H140)*0.0001)))</f>
        <v/>
      </c>
      <c r="J141" s="39" t="str">
        <f t="shared" ca="1" si="16"/>
        <v/>
      </c>
      <c r="K141" s="41" t="str">
        <f t="shared" ca="1" si="17"/>
        <v/>
      </c>
      <c r="L141" s="41"/>
      <c r="M141" s="42" t="str">
        <f ca="1">IF(ISERROR(B141-2),"",C141+D141-F141-G141-K141+SUM($L$14:L141))</f>
        <v/>
      </c>
      <c r="U141" s="3" t="str">
        <f t="shared" si="18"/>
        <v/>
      </c>
      <c r="V141" s="3" t="str">
        <f t="shared" si="19"/>
        <v/>
      </c>
      <c r="Z141" s="3">
        <v>45975</v>
      </c>
      <c r="AA141" s="4">
        <v>245.24520000000001</v>
      </c>
      <c r="AB141" s="74">
        <v>45975</v>
      </c>
      <c r="AC141" s="4">
        <v>263.74200000000002</v>
      </c>
      <c r="AD141" s="6">
        <f t="shared" si="20"/>
        <v>45975</v>
      </c>
    </row>
    <row r="142" spans="1:30" x14ac:dyDescent="0.25">
      <c r="A142" s="37" t="str">
        <f t="shared" ca="1" si="12"/>
        <v/>
      </c>
      <c r="B142" s="38" t="str">
        <f ca="1">IF(COUNTIF($W$2:W1127,A142)=1,VLOOKUP(A142,O:P,2), IF(COUNTIF($W$2:W1127,A142)=0,$B$9,""))</f>
        <v/>
      </c>
      <c r="C142" s="2" t="str">
        <f t="shared" ca="1" si="13"/>
        <v/>
      </c>
      <c r="D142" s="41"/>
      <c r="E142" s="38" t="str">
        <f ca="1">IF(COUNTIF($W$2:W1127,A142)=1,VLOOKUP(A142,Q:R,2), IF(COUNTIF($W$2:W1127,A142)=0,$C$9,""))</f>
        <v/>
      </c>
      <c r="F142" s="2" t="str">
        <f t="shared" ca="1" si="14"/>
        <v/>
      </c>
      <c r="G142" s="41" t="str">
        <f t="shared" ca="1" si="15"/>
        <v/>
      </c>
      <c r="H142" s="38" t="str">
        <f ca="1">IF(COUNTIF($W$2:W1127,A142)=1,VLOOKUP(A142,S:T,2), IF(COUNTIF($W$2:W1127,A142)=0,$D$9,""))</f>
        <v/>
      </c>
      <c r="I142" s="39" t="str">
        <f ca="1">IF(COUNTIF($X$2:X1127,INT(A142))=1,VLOOKUP(INT(A142),X:Y,2), IF(ISERROR(H142-2),"",I141*(1-$D$8*(H142-H141)*0.0001)))</f>
        <v/>
      </c>
      <c r="J142" s="39" t="str">
        <f t="shared" ca="1" si="16"/>
        <v/>
      </c>
      <c r="K142" s="41" t="str">
        <f t="shared" ca="1" si="17"/>
        <v/>
      </c>
      <c r="L142" s="41"/>
      <c r="M142" s="42" t="str">
        <f ca="1">IF(ISERROR(B142-2),"",C142+D142-F142-G142-K142+SUM($L$14:L142))</f>
        <v/>
      </c>
      <c r="U142" s="3" t="str">
        <f t="shared" si="18"/>
        <v/>
      </c>
      <c r="V142" s="3" t="str">
        <f t="shared" si="19"/>
        <v/>
      </c>
      <c r="Z142" s="3">
        <v>45978</v>
      </c>
      <c r="AA142" s="4">
        <v>244.98150000000001</v>
      </c>
      <c r="AB142" s="74">
        <v>45978</v>
      </c>
      <c r="AC142" s="4">
        <v>266.43900000000002</v>
      </c>
      <c r="AD142" s="6">
        <f t="shared" si="20"/>
        <v>45978</v>
      </c>
    </row>
    <row r="143" spans="1:30" x14ac:dyDescent="0.25">
      <c r="A143" s="37" t="str">
        <f t="shared" ref="A143:A167" ca="1" si="21">IF(AND(ISBLANK(W132), A142 = $W$1),NOW(),IF(ISBLANK(W132),"",W132))</f>
        <v/>
      </c>
      <c r="B143" s="38" t="str">
        <f ca="1">IF(COUNTIF($W$2:W1128,A143)=1,VLOOKUP(A143,O:P,2), IF(COUNTIF($W$2:W1128,A143)=0,$B$9,""))</f>
        <v/>
      </c>
      <c r="C143" s="2" t="str">
        <f t="shared" ca="1" si="13"/>
        <v/>
      </c>
      <c r="D143" s="41"/>
      <c r="E143" s="38" t="str">
        <f ca="1">IF(COUNTIF($W$2:W1128,A143)=1,VLOOKUP(A143,Q:R,2), IF(COUNTIF($W$2:W1128,A143)=0,$C$9,""))</f>
        <v/>
      </c>
      <c r="F143" s="2" t="str">
        <f t="shared" ca="1" si="14"/>
        <v/>
      </c>
      <c r="G143" s="41" t="str">
        <f t="shared" ca="1" si="15"/>
        <v/>
      </c>
      <c r="H143" s="38" t="str">
        <f ca="1">IF(COUNTIF($W$2:W1128,A143)=1,VLOOKUP(A143,S:T,2), IF(COUNTIF($W$2:W1128,A143)=0,$D$9,""))</f>
        <v/>
      </c>
      <c r="I143" s="39" t="str">
        <f ca="1">IF(COUNTIF($X$2:X1128,INT(A143))=1,VLOOKUP(INT(A143),X:Y,2), IF(ISERROR(H143-2),"",I142*(1-$D$8*(H143-H142)*0.0001)))</f>
        <v/>
      </c>
      <c r="J143" s="39" t="str">
        <f t="shared" ca="1" si="16"/>
        <v/>
      </c>
      <c r="K143" s="41" t="str">
        <f t="shared" ca="1" si="17"/>
        <v/>
      </c>
      <c r="L143" s="41"/>
      <c r="M143" s="42" t="str">
        <f ca="1">IF(ISERROR(B143-2),"",C143+D143-F143-G143-K143+SUM($L$14:L143))</f>
        <v/>
      </c>
      <c r="U143" s="3" t="str">
        <f t="shared" si="18"/>
        <v/>
      </c>
      <c r="V143" s="3" t="str">
        <f t="shared" si="19"/>
        <v/>
      </c>
      <c r="Z143" s="3">
        <v>45979</v>
      </c>
      <c r="AA143" s="4">
        <v>244.39429999999999</v>
      </c>
      <c r="AB143" s="74">
        <v>45979</v>
      </c>
      <c r="AC143" s="4">
        <v>272.28399999999999</v>
      </c>
      <c r="AD143" s="6">
        <f t="shared" si="20"/>
        <v>45979</v>
      </c>
    </row>
    <row r="144" spans="1:30" x14ac:dyDescent="0.25">
      <c r="A144" s="37" t="str">
        <f t="shared" ca="1" si="21"/>
        <v/>
      </c>
      <c r="B144" s="38" t="str">
        <f ca="1">IF(COUNTIF($W$2:W1129,A144)=1,VLOOKUP(A144,O:P,2), IF(COUNTIF($W$2:W1129,A144)=0,$B$9,""))</f>
        <v/>
      </c>
      <c r="C144" s="2" t="str">
        <f t="shared" ref="C144:C167" ca="1" si="22">IF(ISERROR(B144-2),"",(B144-$B$14)*$G$3*$I$3)</f>
        <v/>
      </c>
      <c r="D144" s="41"/>
      <c r="E144" s="38" t="str">
        <f ca="1">IF(COUNTIF($W$2:W1129,A144)=1,VLOOKUP(A144,Q:R,2), IF(COUNTIF($W$2:W1129,A144)=0,$C$9,""))</f>
        <v/>
      </c>
      <c r="F144" s="2" t="str">
        <f t="shared" ref="F144:F167" ca="1" si="23">IF(ISERROR(B144-2),"",(E144-$E$14)/100*$C$5)</f>
        <v/>
      </c>
      <c r="G144" s="41" t="str">
        <f t="shared" ref="G144:G167" ca="1" si="24">IF(ISERROR(B144-2),"",(INT(A144)-INT($A$14))/360*$C$6*$C$5-(INT(A144)-INT($A$14))/360*$C$7*$C$5*$E$14/100)</f>
        <v/>
      </c>
      <c r="H144" s="38" t="str">
        <f ca="1">IF(COUNTIF($W$2:W1129,A144)=1,VLOOKUP(A144,S:T,2), IF(COUNTIF($W$2:W1129,A144)=0,$D$9,""))</f>
        <v/>
      </c>
      <c r="I144" s="39" t="str">
        <f ca="1">IF(COUNTIF($X$2:X1129,INT(A144))=1,VLOOKUP(INT(A144),X:Y,2), IF(ISERROR(H144-2),"",I143*(1-$D$8*(H144-H143)*0.0001)))</f>
        <v/>
      </c>
      <c r="J144" s="39" t="str">
        <f t="shared" ref="J144:J167" ca="1" si="25">IF(ISERROR(H144-2),"",I144)</f>
        <v/>
      </c>
      <c r="K144" s="41" t="str">
        <f t="shared" ref="K144:K167" ca="1" si="26">IF(ISERROR(H144-2),"",(J144/$J$14-1)*$D$5)</f>
        <v/>
      </c>
      <c r="L144" s="41"/>
      <c r="M144" s="42" t="str">
        <f ca="1">IF(ISERROR(B144-2),"",C144+D144-F144-G144-K144+SUM($L$14:L144))</f>
        <v/>
      </c>
      <c r="U144" s="3" t="str">
        <f t="shared" si="18"/>
        <v/>
      </c>
      <c r="V144" s="3" t="str">
        <f t="shared" si="19"/>
        <v/>
      </c>
      <c r="Z144" s="3">
        <v>45980</v>
      </c>
      <c r="AA144" s="4">
        <v>244.95580000000001</v>
      </c>
      <c r="AB144" s="74">
        <v>45980</v>
      </c>
      <c r="AC144" s="4">
        <v>267.14499999999998</v>
      </c>
      <c r="AD144" s="6">
        <f t="shared" si="20"/>
        <v>45980</v>
      </c>
    </row>
    <row r="145" spans="1:30" x14ac:dyDescent="0.25">
      <c r="A145" s="37" t="str">
        <f t="shared" ca="1" si="21"/>
        <v/>
      </c>
      <c r="B145" s="38" t="str">
        <f ca="1">IF(COUNTIF($W$2:W1130,A145)=1,VLOOKUP(A145,O:P,2), IF(COUNTIF($W$2:W1130,A145)=0,$B$9,""))</f>
        <v/>
      </c>
      <c r="C145" s="2" t="str">
        <f t="shared" ca="1" si="22"/>
        <v/>
      </c>
      <c r="D145" s="41"/>
      <c r="E145" s="38" t="str">
        <f ca="1">IF(COUNTIF($W$2:W1130,A145)=1,VLOOKUP(A145,Q:R,2), IF(COUNTIF($W$2:W1130,A145)=0,$C$9,""))</f>
        <v/>
      </c>
      <c r="F145" s="2" t="str">
        <f t="shared" ca="1" si="23"/>
        <v/>
      </c>
      <c r="G145" s="41" t="str">
        <f t="shared" ca="1" si="24"/>
        <v/>
      </c>
      <c r="H145" s="38" t="str">
        <f ca="1">IF(COUNTIF($W$2:W1130,A145)=1,VLOOKUP(A145,S:T,2), IF(COUNTIF($W$2:W1130,A145)=0,$D$9,""))</f>
        <v/>
      </c>
      <c r="I145" s="39" t="str">
        <f ca="1">IF(COUNTIF($X$2:X1130,INT(A145))=1,VLOOKUP(INT(A145),X:Y,2), IF(ISERROR(H145-2),"",I144*(1-$D$8*(H145-H144)*0.0001)))</f>
        <v/>
      </c>
      <c r="J145" s="39" t="str">
        <f t="shared" ca="1" si="25"/>
        <v/>
      </c>
      <c r="K145" s="41" t="str">
        <f t="shared" ca="1" si="26"/>
        <v/>
      </c>
      <c r="L145" s="41"/>
      <c r="M145" s="42" t="str">
        <f ca="1">IF(ISERROR(B145-2),"",C145+D145-F145-G145-K145+SUM($L$14:L145))</f>
        <v/>
      </c>
      <c r="U145" s="3" t="str">
        <f t="shared" si="18"/>
        <v/>
      </c>
      <c r="V145" s="3" t="str">
        <f t="shared" si="19"/>
        <v/>
      </c>
      <c r="Z145" s="3">
        <v>45981</v>
      </c>
      <c r="AA145" s="4">
        <v>245.47790000000001</v>
      </c>
      <c r="AB145" s="74">
        <v>45981</v>
      </c>
      <c r="AC145" s="4">
        <v>265.76900000000001</v>
      </c>
      <c r="AD145" s="6">
        <f t="shared" si="20"/>
        <v>45981</v>
      </c>
    </row>
    <row r="146" spans="1:30" x14ac:dyDescent="0.25">
      <c r="A146" s="37" t="str">
        <f t="shared" ca="1" si="21"/>
        <v/>
      </c>
      <c r="B146" s="38" t="str">
        <f ca="1">IF(COUNTIF($W$2:W1131,A146)=1,VLOOKUP(A146,O:P,2), IF(COUNTIF($W$2:W1131,A146)=0,$B$9,""))</f>
        <v/>
      </c>
      <c r="C146" s="2" t="str">
        <f t="shared" ca="1" si="22"/>
        <v/>
      </c>
      <c r="D146" s="41"/>
      <c r="E146" s="38" t="str">
        <f ca="1">IF(COUNTIF($W$2:W1131,A146)=1,VLOOKUP(A146,Q:R,2), IF(COUNTIF($W$2:W1131,A146)=0,$C$9,""))</f>
        <v/>
      </c>
      <c r="F146" s="2" t="str">
        <f t="shared" ca="1" si="23"/>
        <v/>
      </c>
      <c r="G146" s="41" t="str">
        <f t="shared" ca="1" si="24"/>
        <v/>
      </c>
      <c r="H146" s="38" t="str">
        <f ca="1">IF(COUNTIF($W$2:W1131,A146)=1,VLOOKUP(A146,S:T,2), IF(COUNTIF($W$2:W1131,A146)=0,$D$9,""))</f>
        <v/>
      </c>
      <c r="I146" s="39" t="str">
        <f ca="1">IF(COUNTIF($X$2:X1131,INT(A146))=1,VLOOKUP(INT(A146),X:Y,2), IF(ISERROR(H146-2),"",I145*(1-$D$8*(H146-H145)*0.0001)))</f>
        <v/>
      </c>
      <c r="J146" s="39" t="str">
        <f t="shared" ca="1" si="25"/>
        <v/>
      </c>
      <c r="K146" s="41" t="str">
        <f t="shared" ca="1" si="26"/>
        <v/>
      </c>
      <c r="L146" s="41"/>
      <c r="M146" s="42" t="str">
        <f ca="1">IF(ISERROR(B146-2),"",C146+D146-F146-G146-K146+SUM($L$14:L146))</f>
        <v/>
      </c>
      <c r="U146" s="3" t="str">
        <f t="shared" si="18"/>
        <v/>
      </c>
      <c r="V146" s="3" t="str">
        <f t="shared" si="19"/>
        <v/>
      </c>
      <c r="Z146" s="3">
        <v>45982</v>
      </c>
      <c r="AA146" s="4">
        <v>244.55760000000001</v>
      </c>
      <c r="AB146" s="74">
        <v>45982</v>
      </c>
      <c r="AC146" s="4">
        <v>267.34800000000001</v>
      </c>
      <c r="AD146" s="6">
        <f t="shared" si="20"/>
        <v>45982</v>
      </c>
    </row>
    <row r="147" spans="1:30" x14ac:dyDescent="0.25">
      <c r="A147" s="37" t="str">
        <f t="shared" ca="1" si="21"/>
        <v/>
      </c>
      <c r="B147" s="38" t="str">
        <f ca="1">IF(COUNTIF($W$2:W1132,A147)=1,VLOOKUP(A147,O:P,2), IF(COUNTIF($W$2:W1132,A147)=0,$B$9,""))</f>
        <v/>
      </c>
      <c r="C147" s="2" t="str">
        <f t="shared" ca="1" si="22"/>
        <v/>
      </c>
      <c r="D147" s="41"/>
      <c r="E147" s="38" t="str">
        <f ca="1">IF(COUNTIF($W$2:W1132,A147)=1,VLOOKUP(A147,Q:R,2), IF(COUNTIF($W$2:W1132,A147)=0,$C$9,""))</f>
        <v/>
      </c>
      <c r="F147" s="2" t="str">
        <f t="shared" ca="1" si="23"/>
        <v/>
      </c>
      <c r="G147" s="41" t="str">
        <f t="shared" ca="1" si="24"/>
        <v/>
      </c>
      <c r="H147" s="38" t="str">
        <f ca="1">IF(COUNTIF($W$2:W1132,A147)=1,VLOOKUP(A147,S:T,2), IF(COUNTIF($W$2:W1132,A147)=0,$D$9,""))</f>
        <v/>
      </c>
      <c r="I147" s="39" t="str">
        <f ca="1">IF(COUNTIF($X$2:X1132,INT(A147))=1,VLOOKUP(INT(A147),X:Y,2), IF(ISERROR(H147-2),"",I146*(1-$D$8*(H147-H146)*0.0001)))</f>
        <v/>
      </c>
      <c r="J147" s="39" t="str">
        <f t="shared" ca="1" si="25"/>
        <v/>
      </c>
      <c r="K147" s="41" t="str">
        <f t="shared" ca="1" si="26"/>
        <v/>
      </c>
      <c r="L147" s="41"/>
      <c r="M147" s="42" t="str">
        <f ca="1">IF(ISERROR(B147-2),"",C147+D147-F147-G147-K147+SUM($L$14:L147))</f>
        <v/>
      </c>
      <c r="U147" s="3" t="str">
        <f t="shared" si="18"/>
        <v/>
      </c>
      <c r="V147" s="3" t="str">
        <f t="shared" si="19"/>
        <v/>
      </c>
      <c r="Z147" s="3">
        <v>45985</v>
      </c>
      <c r="AA147" s="4">
        <v>245.57339999999999</v>
      </c>
      <c r="AB147" s="74">
        <v>45985</v>
      </c>
      <c r="AC147" s="4">
        <v>264.28199999999998</v>
      </c>
      <c r="AD147" s="6">
        <f t="shared" si="20"/>
        <v>45985</v>
      </c>
    </row>
    <row r="148" spans="1:30" x14ac:dyDescent="0.25">
      <c r="A148" s="37" t="str">
        <f t="shared" ca="1" si="21"/>
        <v/>
      </c>
      <c r="B148" s="38" t="str">
        <f ca="1">IF(COUNTIF($W$2:W1133,A148)=1,VLOOKUP(A148,O:P,2), IF(COUNTIF($W$2:W1133,A148)=0,$B$9,""))</f>
        <v/>
      </c>
      <c r="C148" s="2" t="str">
        <f t="shared" ca="1" si="22"/>
        <v/>
      </c>
      <c r="D148" s="41"/>
      <c r="E148" s="38" t="str">
        <f ca="1">IF(COUNTIF($W$2:W1133,A148)=1,VLOOKUP(A148,Q:R,2), IF(COUNTIF($W$2:W1133,A148)=0,$C$9,""))</f>
        <v/>
      </c>
      <c r="F148" s="2" t="str">
        <f t="shared" ca="1" si="23"/>
        <v/>
      </c>
      <c r="G148" s="41" t="str">
        <f t="shared" ca="1" si="24"/>
        <v/>
      </c>
      <c r="H148" s="38" t="str">
        <f ca="1">IF(COUNTIF($W$2:W1133,A148)=1,VLOOKUP(A148,S:T,2), IF(COUNTIF($W$2:W1133,A148)=0,$D$9,""))</f>
        <v/>
      </c>
      <c r="I148" s="39" t="str">
        <f ca="1">IF(COUNTIF($X$2:X1133,INT(A148))=1,VLOOKUP(INT(A148),X:Y,2), IF(ISERROR(H148-2),"",I147*(1-$D$8*(H148-H147)*0.0001)))</f>
        <v/>
      </c>
      <c r="J148" s="39" t="str">
        <f t="shared" ca="1" si="25"/>
        <v/>
      </c>
      <c r="K148" s="41" t="str">
        <f t="shared" ca="1" si="26"/>
        <v/>
      </c>
      <c r="L148" s="41"/>
      <c r="M148" s="42" t="str">
        <f ca="1">IF(ISERROR(B148-2),"",C148+D148-F148-G148-K148+SUM($L$14:L148))</f>
        <v/>
      </c>
      <c r="U148" s="3" t="str">
        <f t="shared" si="18"/>
        <v/>
      </c>
      <c r="V148" s="3" t="str">
        <f t="shared" si="19"/>
        <v/>
      </c>
      <c r="Z148" s="3">
        <v>45986</v>
      </c>
      <c r="AA148" s="4">
        <v>245.78149999999999</v>
      </c>
      <c r="AB148" s="74">
        <v>45986</v>
      </c>
      <c r="AC148" s="4">
        <v>260.93599999999998</v>
      </c>
      <c r="AD148" s="6">
        <f t="shared" si="20"/>
        <v>45986</v>
      </c>
    </row>
    <row r="149" spans="1:30" x14ac:dyDescent="0.25">
      <c r="A149" s="37" t="str">
        <f t="shared" ca="1" si="21"/>
        <v/>
      </c>
      <c r="B149" s="38" t="str">
        <f ca="1">IF(COUNTIF($W$2:W1134,A149)=1,VLOOKUP(A149,O:P,2), IF(COUNTIF($W$2:W1134,A149)=0,$B$9,""))</f>
        <v/>
      </c>
      <c r="C149" s="2" t="str">
        <f t="shared" ca="1" si="22"/>
        <v/>
      </c>
      <c r="D149" s="41"/>
      <c r="E149" s="38" t="str">
        <f ca="1">IF(COUNTIF($W$2:W1134,A149)=1,VLOOKUP(A149,Q:R,2), IF(COUNTIF($W$2:W1134,A149)=0,$C$9,""))</f>
        <v/>
      </c>
      <c r="F149" s="2" t="str">
        <f t="shared" ca="1" si="23"/>
        <v/>
      </c>
      <c r="G149" s="41" t="str">
        <f t="shared" ca="1" si="24"/>
        <v/>
      </c>
      <c r="H149" s="38" t="str">
        <f ca="1">IF(COUNTIF($W$2:W1134,A149)=1,VLOOKUP(A149,S:T,2), IF(COUNTIF($W$2:W1134,A149)=0,$D$9,""))</f>
        <v/>
      </c>
      <c r="I149" s="39" t="str">
        <f ca="1">IF(COUNTIF($X$2:X1134,INT(A149))=1,VLOOKUP(INT(A149),X:Y,2), IF(ISERROR(H149-2),"",I148*(1-$D$8*(H149-H148)*0.0001)))</f>
        <v/>
      </c>
      <c r="J149" s="39" t="str">
        <f t="shared" ca="1" si="25"/>
        <v/>
      </c>
      <c r="K149" s="41" t="str">
        <f t="shared" ca="1" si="26"/>
        <v/>
      </c>
      <c r="L149" s="41"/>
      <c r="M149" s="42" t="str">
        <f ca="1">IF(ISERROR(B149-2),"",C149+D149-F149-G149-K149+SUM($L$14:L149))</f>
        <v/>
      </c>
      <c r="U149" s="3" t="str">
        <f t="shared" si="18"/>
        <v/>
      </c>
      <c r="V149" s="3" t="str">
        <f t="shared" si="19"/>
        <v/>
      </c>
      <c r="Z149" s="3">
        <v>45987</v>
      </c>
      <c r="AA149" s="4">
        <v>246.1097</v>
      </c>
      <c r="AB149" s="74">
        <v>45987</v>
      </c>
      <c r="AC149" s="4">
        <v>258.24200000000002</v>
      </c>
      <c r="AD149" s="6">
        <f t="shared" si="20"/>
        <v>45987</v>
      </c>
    </row>
    <row r="150" spans="1:30" x14ac:dyDescent="0.25">
      <c r="A150" s="37" t="str">
        <f t="shared" ca="1" si="21"/>
        <v/>
      </c>
      <c r="B150" s="38" t="str">
        <f ca="1">IF(COUNTIF($W$2:W1135,A150)=1,VLOOKUP(A150,O:P,2), IF(COUNTIF($W$2:W1135,A150)=0,$B$9,""))</f>
        <v/>
      </c>
      <c r="C150" s="2" t="str">
        <f t="shared" ca="1" si="22"/>
        <v/>
      </c>
      <c r="D150" s="41"/>
      <c r="E150" s="38" t="str">
        <f ca="1">IF(COUNTIF($W$2:W1135,A150)=1,VLOOKUP(A150,Q:R,2), IF(COUNTIF($W$2:W1135,A150)=0,$C$9,""))</f>
        <v/>
      </c>
      <c r="F150" s="2" t="str">
        <f t="shared" ca="1" si="23"/>
        <v/>
      </c>
      <c r="G150" s="41" t="str">
        <f t="shared" ca="1" si="24"/>
        <v/>
      </c>
      <c r="H150" s="38" t="str">
        <f ca="1">IF(COUNTIF($W$2:W1135,A150)=1,VLOOKUP(A150,S:T,2), IF(COUNTIF($W$2:W1135,A150)=0,$D$9,""))</f>
        <v/>
      </c>
      <c r="I150" s="39" t="str">
        <f ca="1">IF(COUNTIF($X$2:X1135,INT(A150))=1,VLOOKUP(INT(A150),X:Y,2), IF(ISERROR(H150-2),"",I149*(1-$D$8*(H150-H149)*0.0001)))</f>
        <v/>
      </c>
      <c r="J150" s="39" t="str">
        <f t="shared" ca="1" si="25"/>
        <v/>
      </c>
      <c r="K150" s="41" t="str">
        <f t="shared" ca="1" si="26"/>
        <v/>
      </c>
      <c r="L150" s="41"/>
      <c r="M150" s="42" t="str">
        <f ca="1">IF(ISERROR(B150-2),"",C150+D150-F150-G150-K150+SUM($L$14:L150))</f>
        <v/>
      </c>
      <c r="U150" s="3" t="str">
        <f t="shared" si="18"/>
        <v/>
      </c>
      <c r="V150" s="3" t="str">
        <f t="shared" si="19"/>
        <v/>
      </c>
      <c r="Z150" s="3">
        <v>45988</v>
      </c>
      <c r="AA150" s="4">
        <v>246.30340000000001</v>
      </c>
      <c r="AB150" s="74">
        <v>45988</v>
      </c>
      <c r="AC150" s="4">
        <v>257.72500000000002</v>
      </c>
      <c r="AD150" s="6">
        <f t="shared" si="20"/>
        <v>45988</v>
      </c>
    </row>
    <row r="151" spans="1:30" x14ac:dyDescent="0.25">
      <c r="A151" s="37" t="str">
        <f t="shared" ca="1" si="21"/>
        <v/>
      </c>
      <c r="B151" s="38" t="str">
        <f ca="1">IF(COUNTIF($W$2:W1136,A151)=1,VLOOKUP(A151,O:P,2), IF(COUNTIF($W$2:W1136,A151)=0,$B$9,""))</f>
        <v/>
      </c>
      <c r="C151" s="2" t="str">
        <f t="shared" ca="1" si="22"/>
        <v/>
      </c>
      <c r="D151" s="41"/>
      <c r="E151" s="38" t="str">
        <f ca="1">IF(COUNTIF($W$2:W1136,A151)=1,VLOOKUP(A151,Q:R,2), IF(COUNTIF($W$2:W1136,A151)=0,$C$9,""))</f>
        <v/>
      </c>
      <c r="F151" s="2" t="str">
        <f t="shared" ca="1" si="23"/>
        <v/>
      </c>
      <c r="G151" s="41" t="str">
        <f t="shared" ca="1" si="24"/>
        <v/>
      </c>
      <c r="H151" s="38" t="str">
        <f ca="1">IF(COUNTIF($W$2:W1136,A151)=1,VLOOKUP(A151,S:T,2), IF(COUNTIF($W$2:W1136,A151)=0,$D$9,""))</f>
        <v/>
      </c>
      <c r="I151" s="39" t="str">
        <f ca="1">IF(COUNTIF($X$2:X1136,INT(A151))=1,VLOOKUP(INT(A151),X:Y,2), IF(ISERROR(H151-2),"",I150*(1-$D$8*(H151-H150)*0.0001)))</f>
        <v/>
      </c>
      <c r="J151" s="39" t="str">
        <f t="shared" ca="1" si="25"/>
        <v/>
      </c>
      <c r="K151" s="41" t="str">
        <f t="shared" ca="1" si="26"/>
        <v/>
      </c>
      <c r="L151" s="41"/>
      <c r="M151" s="42" t="str">
        <f ca="1">IF(ISERROR(B151-2),"",C151+D151-F151-G151-K151+SUM($L$14:L151))</f>
        <v/>
      </c>
      <c r="U151" s="3" t="str">
        <f t="shared" si="18"/>
        <v/>
      </c>
      <c r="V151" s="3" t="str">
        <f t="shared" si="19"/>
        <v/>
      </c>
      <c r="Z151" s="3">
        <v>45989</v>
      </c>
      <c r="AA151" s="4">
        <v>246.51609999999999</v>
      </c>
      <c r="AB151" s="74">
        <v>45989</v>
      </c>
      <c r="AC151" s="4">
        <v>255.52199999999999</v>
      </c>
      <c r="AD151" s="6">
        <f t="shared" si="20"/>
        <v>45989</v>
      </c>
    </row>
    <row r="152" spans="1:30" x14ac:dyDescent="0.25">
      <c r="A152" s="37" t="str">
        <f t="shared" ca="1" si="21"/>
        <v/>
      </c>
      <c r="B152" s="38" t="str">
        <f ca="1">IF(COUNTIF($W$2:W1137,A152)=1,VLOOKUP(A152,O:P,2), IF(COUNTIF($W$2:W1137,A152)=0,$B$9,""))</f>
        <v/>
      </c>
      <c r="C152" s="2" t="str">
        <f t="shared" ca="1" si="22"/>
        <v/>
      </c>
      <c r="D152" s="41"/>
      <c r="E152" s="38" t="str">
        <f ca="1">IF(COUNTIF($W$2:W1137,A152)=1,VLOOKUP(A152,Q:R,2), IF(COUNTIF($W$2:W1137,A152)=0,$C$9,""))</f>
        <v/>
      </c>
      <c r="F152" s="2" t="str">
        <f t="shared" ca="1" si="23"/>
        <v/>
      </c>
      <c r="G152" s="41" t="str">
        <f t="shared" ca="1" si="24"/>
        <v/>
      </c>
      <c r="H152" s="38" t="str">
        <f ca="1">IF(COUNTIF($W$2:W1137,A152)=1,VLOOKUP(A152,S:T,2), IF(COUNTIF($W$2:W1137,A152)=0,$D$9,""))</f>
        <v/>
      </c>
      <c r="I152" s="39" t="str">
        <f ca="1">IF(COUNTIF($X$2:X1137,INT(A152))=1,VLOOKUP(INT(A152),X:Y,2), IF(ISERROR(H152-2),"",I151*(1-$D$8*(H152-H151)*0.0001)))</f>
        <v/>
      </c>
      <c r="J152" s="39" t="str">
        <f t="shared" ca="1" si="25"/>
        <v/>
      </c>
      <c r="K152" s="41" t="str">
        <f t="shared" ca="1" si="26"/>
        <v/>
      </c>
      <c r="L152" s="41"/>
      <c r="M152" s="42" t="str">
        <f ca="1">IF(ISERROR(B152-2),"",C152+D152-F152-G152-K152+SUM($L$14:L152))</f>
        <v/>
      </c>
      <c r="U152" s="3" t="str">
        <f t="shared" si="18"/>
        <v/>
      </c>
      <c r="V152" s="3" t="str">
        <f t="shared" si="19"/>
        <v/>
      </c>
      <c r="Z152" s="3">
        <v>45992</v>
      </c>
      <c r="AA152" s="4">
        <v>246.52199999999999</v>
      </c>
      <c r="AB152" s="74">
        <v>45992</v>
      </c>
      <c r="AC152" s="4">
        <v>256.12799999999999</v>
      </c>
      <c r="AD152" s="6">
        <f t="shared" si="20"/>
        <v>45992</v>
      </c>
    </row>
    <row r="153" spans="1:30" x14ac:dyDescent="0.25">
      <c r="A153" s="37" t="str">
        <f t="shared" ca="1" si="21"/>
        <v/>
      </c>
      <c r="B153" s="38" t="str">
        <f ca="1">IF(COUNTIF($W$2:W1138,A153)=1,VLOOKUP(A153,O:P,2), IF(COUNTIF($W$2:W1138,A153)=0,$B$9,""))</f>
        <v/>
      </c>
      <c r="C153" s="2" t="str">
        <f t="shared" ca="1" si="22"/>
        <v/>
      </c>
      <c r="D153" s="41"/>
      <c r="E153" s="38" t="str">
        <f ca="1">IF(COUNTIF($W$2:W1138,A153)=1,VLOOKUP(A153,Q:R,2), IF(COUNTIF($W$2:W1138,A153)=0,$C$9,""))</f>
        <v/>
      </c>
      <c r="F153" s="2" t="str">
        <f t="shared" ca="1" si="23"/>
        <v/>
      </c>
      <c r="G153" s="41" t="str">
        <f t="shared" ca="1" si="24"/>
        <v/>
      </c>
      <c r="H153" s="38" t="str">
        <f ca="1">IF(COUNTIF($W$2:W1138,A153)=1,VLOOKUP(A153,S:T,2), IF(COUNTIF($W$2:W1138,A153)=0,$D$9,""))</f>
        <v/>
      </c>
      <c r="I153" s="39" t="str">
        <f ca="1">IF(COUNTIF($X$2:X1138,INT(A153))=1,VLOOKUP(INT(A153),X:Y,2), IF(ISERROR(H153-2),"",I152*(1-$D$8*(H153-H152)*0.0001)))</f>
        <v/>
      </c>
      <c r="J153" s="39" t="str">
        <f t="shared" ca="1" si="25"/>
        <v/>
      </c>
      <c r="K153" s="41" t="str">
        <f t="shared" ca="1" si="26"/>
        <v/>
      </c>
      <c r="L153" s="41"/>
      <c r="M153" s="42" t="str">
        <f ca="1">IF(ISERROR(B153-2),"",C153+D153-F153-G153-K153+SUM($L$14:L153))</f>
        <v/>
      </c>
      <c r="U153" s="3" t="str">
        <f t="shared" si="18"/>
        <v/>
      </c>
      <c r="V153" s="3" t="str">
        <f t="shared" si="19"/>
        <v/>
      </c>
      <c r="Z153" s="3">
        <v>45993</v>
      </c>
      <c r="AA153" s="4">
        <v>246.64009999999999</v>
      </c>
      <c r="AB153" s="74">
        <v>45993</v>
      </c>
      <c r="AC153" s="4">
        <v>255.16499999999999</v>
      </c>
      <c r="AD153" s="6">
        <f t="shared" si="20"/>
        <v>45993</v>
      </c>
    </row>
    <row r="154" spans="1:30" x14ac:dyDescent="0.25">
      <c r="A154" s="37" t="str">
        <f t="shared" ca="1" si="21"/>
        <v/>
      </c>
      <c r="B154" s="38" t="str">
        <f ca="1">IF(COUNTIF($W$2:W1139,A154)=1,VLOOKUP(A154,O:P,2), IF(COUNTIF($W$2:W1139,A154)=0,$B$9,""))</f>
        <v/>
      </c>
      <c r="C154" s="2" t="str">
        <f t="shared" ca="1" si="22"/>
        <v/>
      </c>
      <c r="D154" s="41"/>
      <c r="E154" s="38" t="str">
        <f ca="1">IF(COUNTIF($W$2:W1139,A154)=1,VLOOKUP(A154,Q:R,2), IF(COUNTIF($W$2:W1139,A154)=0,$C$9,""))</f>
        <v/>
      </c>
      <c r="F154" s="2" t="str">
        <f t="shared" ca="1" si="23"/>
        <v/>
      </c>
      <c r="G154" s="41" t="str">
        <f t="shared" ca="1" si="24"/>
        <v/>
      </c>
      <c r="H154" s="38" t="str">
        <f ca="1">IF(COUNTIF($W$2:W1139,A154)=1,VLOOKUP(A154,S:T,2), IF(COUNTIF($W$2:W1139,A154)=0,$D$9,""))</f>
        <v/>
      </c>
      <c r="I154" s="39" t="str">
        <f ca="1">IF(COUNTIF($X$2:X1139,INT(A154))=1,VLOOKUP(INT(A154),X:Y,2), IF(ISERROR(H154-2),"",I153*(1-$D$8*(H154-H153)*0.0001)))</f>
        <v/>
      </c>
      <c r="J154" s="39" t="str">
        <f t="shared" ca="1" si="25"/>
        <v/>
      </c>
      <c r="K154" s="41" t="str">
        <f t="shared" ca="1" si="26"/>
        <v/>
      </c>
      <c r="L154" s="41"/>
      <c r="M154" s="42" t="str">
        <f ca="1">IF(ISERROR(B154-2),"",C154+D154-F154-G154-K154+SUM($L$14:L154))</f>
        <v/>
      </c>
      <c r="U154" s="3" t="str">
        <f t="shared" si="18"/>
        <v/>
      </c>
      <c r="V154" s="3" t="str">
        <f t="shared" si="19"/>
        <v/>
      </c>
      <c r="Z154" s="3">
        <v>45994</v>
      </c>
      <c r="AA154" s="4">
        <v>246.69659999999999</v>
      </c>
      <c r="AB154" s="74">
        <v>45994</v>
      </c>
      <c r="AC154" s="4">
        <v>254.90700000000001</v>
      </c>
      <c r="AD154" s="6">
        <f t="shared" si="20"/>
        <v>45994</v>
      </c>
    </row>
    <row r="155" spans="1:30" x14ac:dyDescent="0.25">
      <c r="A155" s="37" t="str">
        <f t="shared" ca="1" si="21"/>
        <v/>
      </c>
      <c r="B155" s="38" t="str">
        <f ca="1">IF(COUNTIF($W$2:W1140,A155)=1,VLOOKUP(A155,O:P,2), IF(COUNTIF($W$2:W1140,A155)=0,$B$9,""))</f>
        <v/>
      </c>
      <c r="C155" s="2" t="str">
        <f t="shared" ca="1" si="22"/>
        <v/>
      </c>
      <c r="D155" s="41"/>
      <c r="E155" s="38" t="str">
        <f ca="1">IF(COUNTIF($W$2:W1140,A155)=1,VLOOKUP(A155,Q:R,2), IF(COUNTIF($W$2:W1140,A155)=0,$C$9,""))</f>
        <v/>
      </c>
      <c r="F155" s="2" t="str">
        <f t="shared" ca="1" si="23"/>
        <v/>
      </c>
      <c r="G155" s="41" t="str">
        <f t="shared" ca="1" si="24"/>
        <v/>
      </c>
      <c r="H155" s="38" t="str">
        <f ca="1">IF(COUNTIF($W$2:W1140,A155)=1,VLOOKUP(A155,S:T,2), IF(COUNTIF($W$2:W1140,A155)=0,$D$9,""))</f>
        <v/>
      </c>
      <c r="I155" s="39" t="str">
        <f ca="1">IF(COUNTIF($X$2:X1140,INT(A155))=1,VLOOKUP(INT(A155),X:Y,2), IF(ISERROR(H155-2),"",I154*(1-$D$8*(H155-H154)*0.0001)))</f>
        <v/>
      </c>
      <c r="J155" s="39" t="str">
        <f t="shared" ca="1" si="25"/>
        <v/>
      </c>
      <c r="K155" s="41" t="str">
        <f t="shared" ca="1" si="26"/>
        <v/>
      </c>
      <c r="L155" s="41"/>
      <c r="M155" s="42" t="str">
        <f ca="1">IF(ISERROR(B155-2),"",C155+D155-F155-G155-K155+SUM($L$14:L155))</f>
        <v/>
      </c>
      <c r="U155" s="3" t="str">
        <f t="shared" si="18"/>
        <v/>
      </c>
      <c r="V155" s="3" t="str">
        <f t="shared" si="19"/>
        <v/>
      </c>
      <c r="Z155" s="3">
        <v>45995</v>
      </c>
      <c r="AA155" s="4">
        <v>246.7276</v>
      </c>
      <c r="AB155" s="74">
        <v>45995</v>
      </c>
      <c r="AC155" s="4">
        <v>254.619</v>
      </c>
      <c r="AD155" s="6">
        <f t="shared" si="20"/>
        <v>45995</v>
      </c>
    </row>
    <row r="156" spans="1:30" x14ac:dyDescent="0.25">
      <c r="A156" s="37" t="str">
        <f t="shared" ca="1" si="21"/>
        <v/>
      </c>
      <c r="B156" s="38" t="str">
        <f ca="1">IF(COUNTIF($W$2:W1141,A156)=1,VLOOKUP(A156,O:P,2), IF(COUNTIF($W$2:W1141,A156)=0,$B$9,""))</f>
        <v/>
      </c>
      <c r="C156" s="2" t="str">
        <f t="shared" ca="1" si="22"/>
        <v/>
      </c>
      <c r="D156" s="41"/>
      <c r="E156" s="38" t="str">
        <f ca="1">IF(COUNTIF($W$2:W1141,A156)=1,VLOOKUP(A156,Q:R,2), IF(COUNTIF($W$2:W1141,A156)=0,$C$9,""))</f>
        <v/>
      </c>
      <c r="F156" s="2" t="str">
        <f t="shared" ca="1" si="23"/>
        <v/>
      </c>
      <c r="G156" s="41" t="str">
        <f t="shared" ca="1" si="24"/>
        <v/>
      </c>
      <c r="H156" s="38" t="str">
        <f ca="1">IF(COUNTIF($W$2:W1141,A156)=1,VLOOKUP(A156,S:T,2), IF(COUNTIF($W$2:W1141,A156)=0,$D$9,""))</f>
        <v/>
      </c>
      <c r="I156" s="39" t="str">
        <f ca="1">IF(COUNTIF($X$2:X1141,INT(A156))=1,VLOOKUP(INT(A156),X:Y,2), IF(ISERROR(H156-2),"",I155*(1-$D$8*(H156-H155)*0.0001)))</f>
        <v/>
      </c>
      <c r="J156" s="39" t="str">
        <f t="shared" ca="1" si="25"/>
        <v/>
      </c>
      <c r="K156" s="41" t="str">
        <f t="shared" ca="1" si="26"/>
        <v/>
      </c>
      <c r="L156" s="41"/>
      <c r="M156" s="42" t="str">
        <f ca="1">IF(ISERROR(B156-2),"",C156+D156-F156-G156-K156+SUM($L$14:L156))</f>
        <v/>
      </c>
      <c r="U156" s="3" t="str">
        <f t="shared" si="18"/>
        <v/>
      </c>
      <c r="V156" s="3" t="str">
        <f t="shared" si="19"/>
        <v/>
      </c>
      <c r="Z156" s="3">
        <v>45996</v>
      </c>
      <c r="AA156" s="4">
        <v>246.92910000000001</v>
      </c>
      <c r="AB156" s="74">
        <v>45996</v>
      </c>
      <c r="AC156" s="4">
        <v>252.95500000000001</v>
      </c>
      <c r="AD156" s="6">
        <f t="shared" si="20"/>
        <v>45996</v>
      </c>
    </row>
    <row r="157" spans="1:30" x14ac:dyDescent="0.25">
      <c r="A157" s="37" t="str">
        <f t="shared" ca="1" si="21"/>
        <v/>
      </c>
      <c r="B157" s="38" t="str">
        <f ca="1">IF(COUNTIF($W$2:W1142,A157)=1,VLOOKUP(A157,O:P,2), IF(COUNTIF($W$2:W1142,A157)=0,$B$9,""))</f>
        <v/>
      </c>
      <c r="C157" s="2" t="str">
        <f t="shared" ca="1" si="22"/>
        <v/>
      </c>
      <c r="D157" s="41"/>
      <c r="E157" s="38" t="str">
        <f ca="1">IF(COUNTIF($W$2:W1142,A157)=1,VLOOKUP(A157,Q:R,2), IF(COUNTIF($W$2:W1142,A157)=0,$C$9,""))</f>
        <v/>
      </c>
      <c r="F157" s="2" t="str">
        <f t="shared" ca="1" si="23"/>
        <v/>
      </c>
      <c r="G157" s="41" t="str">
        <f t="shared" ca="1" si="24"/>
        <v/>
      </c>
      <c r="H157" s="38" t="str">
        <f ca="1">IF(COUNTIF($W$2:W1142,A157)=1,VLOOKUP(A157,S:T,2), IF(COUNTIF($W$2:W1142,A157)=0,$D$9,""))</f>
        <v/>
      </c>
      <c r="I157" s="39" t="str">
        <f ca="1">IF(COUNTIF($X$2:X1142,INT(A157))=1,VLOOKUP(INT(A157),X:Y,2), IF(ISERROR(H157-2),"",I156*(1-$D$8*(H157-H156)*0.0001)))</f>
        <v/>
      </c>
      <c r="J157" s="39" t="str">
        <f t="shared" ca="1" si="25"/>
        <v/>
      </c>
      <c r="K157" s="41" t="str">
        <f t="shared" ca="1" si="26"/>
        <v/>
      </c>
      <c r="L157" s="41"/>
      <c r="M157" s="42" t="str">
        <f ca="1">IF(ISERROR(B157-2),"",C157+D157-F157-G157-K157+SUM($L$14:L157))</f>
        <v/>
      </c>
      <c r="U157" s="3" t="str">
        <f t="shared" si="18"/>
        <v/>
      </c>
      <c r="V157" s="3" t="str">
        <f t="shared" si="19"/>
        <v/>
      </c>
      <c r="Z157" s="3">
        <v>45999</v>
      </c>
      <c r="AA157" s="4">
        <v>246.71809999999999</v>
      </c>
      <c r="AB157" s="74">
        <v>45999</v>
      </c>
      <c r="AC157" s="4">
        <v>256.38</v>
      </c>
      <c r="AD157" s="6">
        <f t="shared" si="20"/>
        <v>45999</v>
      </c>
    </row>
    <row r="158" spans="1:30" x14ac:dyDescent="0.25">
      <c r="A158" s="37" t="str">
        <f t="shared" ca="1" si="21"/>
        <v/>
      </c>
      <c r="B158" s="38" t="str">
        <f ca="1">IF(COUNTIF($W$2:W1143,A158)=1,VLOOKUP(A158,O:P,2), IF(COUNTIF($W$2:W1143,A158)=0,$B$9,""))</f>
        <v/>
      </c>
      <c r="C158" s="2" t="str">
        <f t="shared" ca="1" si="22"/>
        <v/>
      </c>
      <c r="D158" s="41"/>
      <c r="E158" s="38" t="str">
        <f ca="1">IF(COUNTIF($W$2:W1143,A158)=1,VLOOKUP(A158,Q:R,2), IF(COUNTIF($W$2:W1143,A158)=0,$C$9,""))</f>
        <v/>
      </c>
      <c r="F158" s="2" t="str">
        <f t="shared" ca="1" si="23"/>
        <v/>
      </c>
      <c r="G158" s="41" t="str">
        <f t="shared" ca="1" si="24"/>
        <v/>
      </c>
      <c r="H158" s="38" t="str">
        <f ca="1">IF(COUNTIF($W$2:W1143,A158)=1,VLOOKUP(A158,S:T,2), IF(COUNTIF($W$2:W1143,A158)=0,$D$9,""))</f>
        <v/>
      </c>
      <c r="I158" s="39" t="str">
        <f ca="1">IF(COUNTIF($X$2:X1143,INT(A158))=1,VLOOKUP(INT(A158),X:Y,2), IF(ISERROR(H158-2),"",I157*(1-$D$8*(H158-H157)*0.0001)))</f>
        <v/>
      </c>
      <c r="J158" s="39" t="str">
        <f t="shared" ca="1" si="25"/>
        <v/>
      </c>
      <c r="K158" s="41" t="str">
        <f t="shared" ca="1" si="26"/>
        <v/>
      </c>
      <c r="L158" s="41"/>
      <c r="M158" s="42" t="str">
        <f ca="1">IF(ISERROR(B158-2),"",C158+D158-F158-G158-K158+SUM($L$14:L158))</f>
        <v/>
      </c>
      <c r="U158" s="3" t="str">
        <f t="shared" si="18"/>
        <v/>
      </c>
      <c r="V158" s="3" t="str">
        <f t="shared" si="19"/>
        <v/>
      </c>
      <c r="Z158" s="3">
        <v>46000</v>
      </c>
      <c r="AA158" s="4">
        <v>246.76429999999999</v>
      </c>
      <c r="AB158" s="74">
        <v>46000</v>
      </c>
      <c r="AC158" s="4">
        <v>254.755</v>
      </c>
      <c r="AD158" s="6">
        <f t="shared" si="20"/>
        <v>46000</v>
      </c>
    </row>
    <row r="159" spans="1:30" x14ac:dyDescent="0.25">
      <c r="A159" s="37" t="str">
        <f t="shared" ca="1" si="21"/>
        <v/>
      </c>
      <c r="B159" s="38" t="str">
        <f ca="1">IF(COUNTIF($W$2:W1144,A159)=1,VLOOKUP(A159,O:P,2), IF(COUNTIF($W$2:W1144,A159)=0,$B$9,""))</f>
        <v/>
      </c>
      <c r="C159" s="2" t="str">
        <f t="shared" ca="1" si="22"/>
        <v/>
      </c>
      <c r="D159" s="41"/>
      <c r="E159" s="38" t="str">
        <f ca="1">IF(COUNTIF($W$2:W1144,A159)=1,VLOOKUP(A159,Q:R,2), IF(COUNTIF($W$2:W1144,A159)=0,$C$9,""))</f>
        <v/>
      </c>
      <c r="F159" s="2" t="str">
        <f t="shared" ca="1" si="23"/>
        <v/>
      </c>
      <c r="G159" s="41" t="str">
        <f t="shared" ca="1" si="24"/>
        <v/>
      </c>
      <c r="H159" s="38" t="str">
        <f ca="1">IF(COUNTIF($W$2:W1144,A159)=1,VLOOKUP(A159,S:T,2), IF(COUNTIF($W$2:W1144,A159)=0,$D$9,""))</f>
        <v/>
      </c>
      <c r="I159" s="39" t="str">
        <f ca="1">IF(COUNTIF($X$2:X1144,INT(A159))=1,VLOOKUP(INT(A159),X:Y,2), IF(ISERROR(H159-2),"",I158*(1-$D$8*(H159-H158)*0.0001)))</f>
        <v/>
      </c>
      <c r="J159" s="39" t="str">
        <f t="shared" ca="1" si="25"/>
        <v/>
      </c>
      <c r="K159" s="41" t="str">
        <f t="shared" ca="1" si="26"/>
        <v/>
      </c>
      <c r="L159" s="41"/>
      <c r="M159" s="42" t="str">
        <f ca="1">IF(ISERROR(B159-2),"",C159+D159-F159-G159-K159+SUM($L$14:L159))</f>
        <v/>
      </c>
      <c r="U159" s="3" t="str">
        <f t="shared" si="18"/>
        <v/>
      </c>
      <c r="V159" s="3" t="str">
        <f t="shared" si="19"/>
        <v/>
      </c>
      <c r="Z159" s="3">
        <v>46001</v>
      </c>
      <c r="AA159" s="4">
        <v>246.89660000000001</v>
      </c>
      <c r="AB159" s="74">
        <v>46001</v>
      </c>
      <c r="AC159" s="4">
        <v>253.602</v>
      </c>
      <c r="AD159" s="6">
        <f t="shared" si="20"/>
        <v>46001</v>
      </c>
    </row>
    <row r="160" spans="1:30" x14ac:dyDescent="0.25">
      <c r="A160" s="37" t="str">
        <f t="shared" ca="1" si="21"/>
        <v/>
      </c>
      <c r="B160" s="38" t="str">
        <f ca="1">IF(COUNTIF($W$2:W1145,A160)=1,VLOOKUP(A160,O:P,2), IF(COUNTIF($W$2:W1145,A160)=0,$B$9,""))</f>
        <v/>
      </c>
      <c r="C160" s="2" t="str">
        <f t="shared" ca="1" si="22"/>
        <v/>
      </c>
      <c r="D160" s="41"/>
      <c r="E160" s="38" t="str">
        <f ca="1">IF(COUNTIF($W$2:W1145,A160)=1,VLOOKUP(A160,Q:R,2), IF(COUNTIF($W$2:W1145,A160)=0,$C$9,""))</f>
        <v/>
      </c>
      <c r="F160" s="2" t="str">
        <f t="shared" ca="1" si="23"/>
        <v/>
      </c>
      <c r="G160" s="41" t="str">
        <f t="shared" ca="1" si="24"/>
        <v/>
      </c>
      <c r="H160" s="38" t="str">
        <f ca="1">IF(COUNTIF($W$2:W1145,A160)=1,VLOOKUP(A160,S:T,2), IF(COUNTIF($W$2:W1145,A160)=0,$D$9,""))</f>
        <v/>
      </c>
      <c r="I160" s="39" t="str">
        <f ca="1">IF(COUNTIF($X$2:X1145,INT(A160))=1,VLOOKUP(INT(A160),X:Y,2), IF(ISERROR(H160-2),"",I159*(1-$D$8*(H160-H159)*0.0001)))</f>
        <v/>
      </c>
      <c r="J160" s="39" t="str">
        <f t="shared" ca="1" si="25"/>
        <v/>
      </c>
      <c r="K160" s="41" t="str">
        <f t="shared" ca="1" si="26"/>
        <v/>
      </c>
      <c r="L160" s="41"/>
      <c r="M160" s="42" t="str">
        <f ca="1">IF(ISERROR(B160-2),"",C160+D160-F160-G160-K160+SUM($L$14:L160))</f>
        <v/>
      </c>
      <c r="U160" s="3" t="str">
        <f t="shared" si="18"/>
        <v/>
      </c>
      <c r="V160" s="3" t="str">
        <f t="shared" si="19"/>
        <v/>
      </c>
      <c r="Z160" s="3">
        <v>46002</v>
      </c>
      <c r="AA160" s="4">
        <v>247.6378</v>
      </c>
      <c r="AB160" s="74">
        <v>46002</v>
      </c>
      <c r="AC160" s="4">
        <v>247.48400000000001</v>
      </c>
      <c r="AD160" s="6">
        <f t="shared" si="20"/>
        <v>46002</v>
      </c>
    </row>
    <row r="161" spans="1:30" x14ac:dyDescent="0.25">
      <c r="A161" s="37" t="str">
        <f t="shared" ca="1" si="21"/>
        <v/>
      </c>
      <c r="B161" s="38" t="str">
        <f ca="1">IF(COUNTIF($W$2:W1146,A161)=1,VLOOKUP(A161,O:P,2), IF(COUNTIF($W$2:W1146,A161)=0,$B$9,""))</f>
        <v/>
      </c>
      <c r="C161" s="2" t="str">
        <f t="shared" ca="1" si="22"/>
        <v/>
      </c>
      <c r="D161" s="41"/>
      <c r="E161" s="38" t="str">
        <f ca="1">IF(COUNTIF($W$2:W1146,A161)=1,VLOOKUP(A161,Q:R,2), IF(COUNTIF($W$2:W1146,A161)=0,$C$9,""))</f>
        <v/>
      </c>
      <c r="F161" s="2" t="str">
        <f t="shared" ca="1" si="23"/>
        <v/>
      </c>
      <c r="G161" s="41" t="str">
        <f t="shared" ca="1" si="24"/>
        <v/>
      </c>
      <c r="H161" s="38" t="str">
        <f ca="1">IF(COUNTIF($W$2:W1146,A161)=1,VLOOKUP(A161,S:T,2), IF(COUNTIF($W$2:W1146,A161)=0,$D$9,""))</f>
        <v/>
      </c>
      <c r="I161" s="39" t="str">
        <f ca="1">IF(COUNTIF($X$2:X1146,INT(A161))=1,VLOOKUP(INT(A161),X:Y,2), IF(ISERROR(H161-2),"",I160*(1-$D$8*(H161-H160)*0.0001)))</f>
        <v/>
      </c>
      <c r="J161" s="39" t="str">
        <f t="shared" ca="1" si="25"/>
        <v/>
      </c>
      <c r="K161" s="41" t="str">
        <f t="shared" ca="1" si="26"/>
        <v/>
      </c>
      <c r="L161" s="41"/>
      <c r="M161" s="42" t="str">
        <f ca="1">IF(ISERROR(B161-2),"",C161+D161-F161-G161-K161+SUM($L$14:L161))</f>
        <v/>
      </c>
      <c r="U161" s="3" t="str">
        <f t="shared" si="18"/>
        <v/>
      </c>
      <c r="V161" s="3" t="str">
        <f t="shared" si="19"/>
        <v/>
      </c>
      <c r="Z161" s="3">
        <v>46003</v>
      </c>
      <c r="AA161" s="4">
        <v>247.29140000000001</v>
      </c>
      <c r="AB161" s="74">
        <v>46003</v>
      </c>
      <c r="AC161" s="4">
        <v>251.251</v>
      </c>
      <c r="AD161" s="6">
        <f t="shared" si="20"/>
        <v>46003</v>
      </c>
    </row>
    <row r="162" spans="1:30" x14ac:dyDescent="0.25">
      <c r="A162" s="37" t="str">
        <f t="shared" ca="1" si="21"/>
        <v/>
      </c>
      <c r="B162" s="38" t="str">
        <f ca="1">IF(COUNTIF($W$2:W1147,A162)=1,VLOOKUP(A162,O:P,2), IF(COUNTIF($W$2:W1147,A162)=0,$B$9,""))</f>
        <v/>
      </c>
      <c r="C162" s="2" t="str">
        <f t="shared" ca="1" si="22"/>
        <v/>
      </c>
      <c r="D162" s="41"/>
      <c r="E162" s="38" t="str">
        <f ca="1">IF(COUNTIF($W$2:W1147,A162)=1,VLOOKUP(A162,Q:R,2), IF(COUNTIF($W$2:W1147,A162)=0,$C$9,""))</f>
        <v/>
      </c>
      <c r="F162" s="2" t="str">
        <f t="shared" ca="1" si="23"/>
        <v/>
      </c>
      <c r="G162" s="41" t="str">
        <f t="shared" ca="1" si="24"/>
        <v/>
      </c>
      <c r="H162" s="38" t="str">
        <f ca="1">IF(COUNTIF($W$2:W1147,A162)=1,VLOOKUP(A162,S:T,2), IF(COUNTIF($W$2:W1147,A162)=0,$D$9,""))</f>
        <v/>
      </c>
      <c r="I162" s="39" t="str">
        <f ca="1">IF(COUNTIF($X$2:X1147,INT(A162))=1,VLOOKUP(INT(A162),X:Y,2), IF(ISERROR(H162-2),"",I161*(1-$D$8*(H162-H161)*0.0001)))</f>
        <v/>
      </c>
      <c r="J162" s="39" t="str">
        <f t="shared" ca="1" si="25"/>
        <v/>
      </c>
      <c r="K162" s="41" t="str">
        <f t="shared" ca="1" si="26"/>
        <v/>
      </c>
      <c r="L162" s="41"/>
      <c r="M162" s="42" t="str">
        <f ca="1">IF(ISERROR(B162-2),"",C162+D162-F162-G162-K162+SUM($L$14:L162))</f>
        <v/>
      </c>
      <c r="U162" s="3" t="str">
        <f t="shared" si="18"/>
        <v/>
      </c>
      <c r="V162" s="3" t="str">
        <f t="shared" si="19"/>
        <v/>
      </c>
      <c r="Z162" s="3">
        <v>46006</v>
      </c>
      <c r="AA162" s="4">
        <v>247.6292</v>
      </c>
      <c r="AB162" s="74">
        <v>46006</v>
      </c>
      <c r="AC162" s="4">
        <v>248.71100000000001</v>
      </c>
      <c r="AD162" s="6">
        <f t="shared" si="20"/>
        <v>46006</v>
      </c>
    </row>
    <row r="163" spans="1:30" x14ac:dyDescent="0.25">
      <c r="A163" s="37" t="str">
        <f t="shared" ca="1" si="21"/>
        <v/>
      </c>
      <c r="B163" s="38" t="str">
        <f ca="1">IF(COUNTIF($W$2:W1148,A163)=1,VLOOKUP(A163,O:P,2), IF(COUNTIF($W$2:W1148,A163)=0,$B$9,""))</f>
        <v/>
      </c>
      <c r="C163" s="2" t="str">
        <f t="shared" ca="1" si="22"/>
        <v/>
      </c>
      <c r="D163" s="41"/>
      <c r="E163" s="38" t="str">
        <f ca="1">IF(COUNTIF($W$2:W1148,A163)=1,VLOOKUP(A163,Q:R,2), IF(COUNTIF($W$2:W1148,A163)=0,$C$9,""))</f>
        <v/>
      </c>
      <c r="F163" s="2" t="str">
        <f t="shared" ca="1" si="23"/>
        <v/>
      </c>
      <c r="G163" s="41" t="str">
        <f t="shared" ca="1" si="24"/>
        <v/>
      </c>
      <c r="H163" s="38" t="str">
        <f ca="1">IF(COUNTIF($W$2:W1148,A163)=1,VLOOKUP(A163,S:T,2), IF(COUNTIF($W$2:W1148,A163)=0,$D$9,""))</f>
        <v/>
      </c>
      <c r="I163" s="39" t="str">
        <f ca="1">IF(COUNTIF($X$2:X1148,INT(A163))=1,VLOOKUP(INT(A163),X:Y,2), IF(ISERROR(H163-2),"",I162*(1-$D$8*(H163-H162)*0.0001)))</f>
        <v/>
      </c>
      <c r="J163" s="39" t="str">
        <f t="shared" ca="1" si="25"/>
        <v/>
      </c>
      <c r="K163" s="41" t="str">
        <f t="shared" ca="1" si="26"/>
        <v/>
      </c>
      <c r="L163" s="41"/>
      <c r="M163" s="42" t="str">
        <f ca="1">IF(ISERROR(B163-2),"",C163+D163-F163-G163-K163+SUM($L$14:L163))</f>
        <v/>
      </c>
      <c r="U163" s="3" t="str">
        <f t="shared" si="18"/>
        <v/>
      </c>
      <c r="V163" s="3" t="str">
        <f t="shared" si="19"/>
        <v/>
      </c>
      <c r="Z163" s="3">
        <v>46007</v>
      </c>
      <c r="AA163" s="4">
        <v>247.4761</v>
      </c>
      <c r="AB163" s="74">
        <v>46007</v>
      </c>
      <c r="AC163" s="4">
        <v>250.40600000000001</v>
      </c>
      <c r="AD163" s="6">
        <f t="shared" si="20"/>
        <v>46007</v>
      </c>
    </row>
    <row r="164" spans="1:30" x14ac:dyDescent="0.25">
      <c r="A164" s="37" t="str">
        <f t="shared" ca="1" si="21"/>
        <v/>
      </c>
      <c r="B164" s="38" t="str">
        <f ca="1">IF(COUNTIF($W$2:W1149,A164)=1,VLOOKUP(A164,O:P,2), IF(COUNTIF($W$2:W1149,A164)=0,$B$9,""))</f>
        <v/>
      </c>
      <c r="C164" s="2" t="str">
        <f t="shared" ca="1" si="22"/>
        <v/>
      </c>
      <c r="D164" s="41"/>
      <c r="E164" s="38" t="str">
        <f ca="1">IF(COUNTIF($W$2:W1149,A164)=1,VLOOKUP(A164,Q:R,2), IF(COUNTIF($W$2:W1149,A164)=0,$C$9,""))</f>
        <v/>
      </c>
      <c r="F164" s="2" t="str">
        <f t="shared" ca="1" si="23"/>
        <v/>
      </c>
      <c r="G164" s="41" t="str">
        <f t="shared" ca="1" si="24"/>
        <v/>
      </c>
      <c r="H164" s="38" t="str">
        <f ca="1">IF(COUNTIF($W$2:W1149,A164)=1,VLOOKUP(A164,S:T,2), IF(COUNTIF($W$2:W1149,A164)=0,$D$9,""))</f>
        <v/>
      </c>
      <c r="I164" s="39" t="str">
        <f ca="1">IF(COUNTIF($X$2:X1149,INT(A164))=1,VLOOKUP(INT(A164),X:Y,2), IF(ISERROR(H164-2),"",I163*(1-$D$8*(H164-H163)*0.0001)))</f>
        <v/>
      </c>
      <c r="J164" s="39" t="str">
        <f t="shared" ca="1" si="25"/>
        <v/>
      </c>
      <c r="K164" s="41" t="str">
        <f t="shared" ca="1" si="26"/>
        <v/>
      </c>
      <c r="L164" s="41"/>
      <c r="M164" s="42" t="str">
        <f ca="1">IF(ISERROR(B164-2),"",C164+D164-F164-G164-K164+SUM($L$14:L164))</f>
        <v/>
      </c>
      <c r="U164" s="3" t="str">
        <f t="shared" si="18"/>
        <v/>
      </c>
      <c r="V164" s="3" t="str">
        <f t="shared" si="19"/>
        <v/>
      </c>
      <c r="Z164" s="3">
        <v>46008</v>
      </c>
      <c r="AA164" s="4">
        <v>247.34719999999999</v>
      </c>
      <c r="AB164" s="74">
        <v>46008</v>
      </c>
      <c r="AC164" s="4">
        <v>251.99100000000001</v>
      </c>
      <c r="AD164" s="6">
        <f t="shared" si="20"/>
        <v>46008</v>
      </c>
    </row>
    <row r="165" spans="1:30" x14ac:dyDescent="0.25">
      <c r="A165" s="37" t="str">
        <f t="shared" ca="1" si="21"/>
        <v/>
      </c>
      <c r="B165" s="38" t="str">
        <f ca="1">IF(COUNTIF($W$2:W1150,A165)=1,VLOOKUP(A165,O:P,2), IF(COUNTIF($W$2:W1150,A165)=0,$B$9,""))</f>
        <v/>
      </c>
      <c r="C165" s="2" t="str">
        <f t="shared" ca="1" si="22"/>
        <v/>
      </c>
      <c r="D165" s="41"/>
      <c r="E165" s="38" t="str">
        <f ca="1">IF(COUNTIF($W$2:W1150,A165)=1,VLOOKUP(A165,Q:R,2), IF(COUNTIF($W$2:W1150,A165)=0,$C$9,""))</f>
        <v/>
      </c>
      <c r="F165" s="2" t="str">
        <f t="shared" ca="1" si="23"/>
        <v/>
      </c>
      <c r="G165" s="41" t="str">
        <f t="shared" ca="1" si="24"/>
        <v/>
      </c>
      <c r="H165" s="38" t="str">
        <f ca="1">IF(COUNTIF($W$2:W1150,A165)=1,VLOOKUP(A165,S:T,2), IF(COUNTIF($W$2:W1150,A165)=0,$D$9,""))</f>
        <v/>
      </c>
      <c r="I165" s="39" t="str">
        <f ca="1">IF(COUNTIF($X$2:X1150,INT(A165))=1,VLOOKUP(INT(A165),X:Y,2), IF(ISERROR(H165-2),"",I164*(1-$D$8*(H165-H164)*0.0001)))</f>
        <v/>
      </c>
      <c r="J165" s="39" t="str">
        <f t="shared" ca="1" si="25"/>
        <v/>
      </c>
      <c r="K165" s="41" t="str">
        <f t="shared" ca="1" si="26"/>
        <v/>
      </c>
      <c r="L165" s="41"/>
      <c r="M165" s="42" t="str">
        <f ca="1">IF(ISERROR(B165-2),"",C165+D165-F165-G165-K165+SUM($L$14:L165))</f>
        <v/>
      </c>
      <c r="U165" s="3" t="str">
        <f t="shared" si="18"/>
        <v/>
      </c>
      <c r="V165" s="3" t="str">
        <f t="shared" si="19"/>
        <v/>
      </c>
      <c r="Z165" s="3">
        <v>46009</v>
      </c>
      <c r="AA165" s="4">
        <v>248.1044</v>
      </c>
      <c r="AB165" s="74">
        <v>46009</v>
      </c>
      <c r="AC165" s="4">
        <v>245.59399999999999</v>
      </c>
      <c r="AD165" s="6">
        <f t="shared" si="20"/>
        <v>46009</v>
      </c>
    </row>
    <row r="166" spans="1:30" x14ac:dyDescent="0.25">
      <c r="A166" s="37" t="str">
        <f t="shared" ca="1" si="21"/>
        <v/>
      </c>
      <c r="B166" s="38" t="str">
        <f ca="1">IF(COUNTIF($W$2:W1151,A166)=1,VLOOKUP(A166,O:P,2), IF(COUNTIF($W$2:W1151,A166)=0,$B$9,""))</f>
        <v/>
      </c>
      <c r="C166" s="2" t="str">
        <f t="shared" ca="1" si="22"/>
        <v/>
      </c>
      <c r="D166" s="41"/>
      <c r="E166" s="38" t="str">
        <f ca="1">IF(COUNTIF($W$2:W1151,A166)=1,VLOOKUP(A166,Q:R,2), IF(COUNTIF($W$2:W1151,A166)=0,$C$9,""))</f>
        <v/>
      </c>
      <c r="F166" s="2" t="str">
        <f t="shared" ca="1" si="23"/>
        <v/>
      </c>
      <c r="G166" s="41" t="str">
        <f t="shared" ca="1" si="24"/>
        <v/>
      </c>
      <c r="H166" s="38" t="str">
        <f ca="1">IF(COUNTIF($W$2:W1151,A166)=1,VLOOKUP(A166,S:T,2), IF(COUNTIF($W$2:W1151,A166)=0,$D$9,""))</f>
        <v/>
      </c>
      <c r="I166" s="39" t="str">
        <f ca="1">IF(COUNTIF($X$2:X1151,INT(A166))=1,VLOOKUP(INT(A166),X:Y,2), IF(ISERROR(H166-2),"",I165*(1-$D$8*(H166-H165)*0.0001)))</f>
        <v/>
      </c>
      <c r="J166" s="39" t="str">
        <f t="shared" ca="1" si="25"/>
        <v/>
      </c>
      <c r="K166" s="41" t="str">
        <f t="shared" ca="1" si="26"/>
        <v/>
      </c>
      <c r="L166" s="41"/>
      <c r="M166" s="42" t="str">
        <f ca="1">IF(ISERROR(B166-2),"",C166+D166-F166-G166-K166+SUM($L$14:L166))</f>
        <v/>
      </c>
      <c r="U166" s="3" t="str">
        <f t="shared" si="18"/>
        <v/>
      </c>
      <c r="V166" s="3" t="str">
        <f t="shared" si="19"/>
        <v/>
      </c>
      <c r="Z166" s="3">
        <v>46010</v>
      </c>
      <c r="AA166" s="4">
        <v>248.1113</v>
      </c>
      <c r="AB166" s="74">
        <v>46010</v>
      </c>
      <c r="AC166" s="4">
        <v>245.69</v>
      </c>
      <c r="AD166" s="6">
        <f t="shared" si="20"/>
        <v>46010</v>
      </c>
    </row>
    <row r="167" spans="1:30" x14ac:dyDescent="0.25">
      <c r="A167" s="37" t="str">
        <f t="shared" ca="1" si="21"/>
        <v/>
      </c>
      <c r="B167" s="38" t="str">
        <f ca="1">IF(COUNTIF($W$2:W1152,A167)=1,VLOOKUP(A167,O:P,2), IF(COUNTIF($W$2:W1152,A167)=0,$B$9,""))</f>
        <v/>
      </c>
      <c r="C167" s="2" t="str">
        <f t="shared" ca="1" si="22"/>
        <v/>
      </c>
      <c r="D167" s="41"/>
      <c r="E167" s="38" t="str">
        <f ca="1">IF(COUNTIF($W$2:W1152,A167)=1,VLOOKUP(A167,Q:R,2), IF(COUNTIF($W$2:W1152,A167)=0,$C$9,""))</f>
        <v/>
      </c>
      <c r="F167" s="2" t="str">
        <f t="shared" ca="1" si="23"/>
        <v/>
      </c>
      <c r="G167" s="41" t="str">
        <f t="shared" ca="1" si="24"/>
        <v/>
      </c>
      <c r="H167" s="38" t="str">
        <f ca="1">IF(COUNTIF($W$2:W1152,A167)=1,VLOOKUP(A167,S:T,2), IF(COUNTIF($W$2:W1152,A167)=0,$D$9,""))</f>
        <v/>
      </c>
      <c r="I167" s="39" t="str">
        <f ca="1">IF(COUNTIF($X$2:X1152,INT(A167))=1,VLOOKUP(INT(A167),X:Y,2), IF(ISERROR(H167-2),"",I166*(1-$D$8*(H167-H166)*0.0001)))</f>
        <v/>
      </c>
      <c r="J167" s="39" t="str">
        <f t="shared" ca="1" si="25"/>
        <v/>
      </c>
      <c r="K167" s="41" t="str">
        <f t="shared" ca="1" si="26"/>
        <v/>
      </c>
      <c r="L167" s="41"/>
      <c r="M167" s="42" t="str">
        <f ca="1">IF(ISERROR(B167-2),"",C167+D167-F167-G167-K167+SUM($L$14:L167))</f>
        <v/>
      </c>
      <c r="U167" s="3" t="str">
        <f t="shared" si="18"/>
        <v/>
      </c>
      <c r="V167" s="3" t="str">
        <f t="shared" si="19"/>
        <v/>
      </c>
      <c r="Z167" s="3">
        <v>46013</v>
      </c>
      <c r="AA167" s="4">
        <v>248.3845</v>
      </c>
      <c r="AB167" s="74">
        <v>46013</v>
      </c>
      <c r="AC167" s="4">
        <v>244.00800000000001</v>
      </c>
      <c r="AD167" s="6">
        <f t="shared" si="20"/>
        <v>46013</v>
      </c>
    </row>
    <row r="168" spans="1:30" x14ac:dyDescent="0.25">
      <c r="A168" s="37"/>
      <c r="B168" s="38"/>
      <c r="C168" s="2"/>
      <c r="D168" s="41"/>
      <c r="E168" s="38"/>
      <c r="F168" s="2"/>
      <c r="G168" s="41"/>
      <c r="H168" s="38"/>
      <c r="I168" s="39"/>
      <c r="J168" s="39"/>
      <c r="K168" s="41"/>
      <c r="L168" s="41"/>
      <c r="M168" s="42"/>
      <c r="U168" s="3" t="str">
        <f t="shared" si="18"/>
        <v/>
      </c>
      <c r="V168" s="3" t="str">
        <f t="shared" si="19"/>
        <v/>
      </c>
      <c r="Z168" s="3">
        <v>46014</v>
      </c>
      <c r="AA168" s="4">
        <v>248.27979999999999</v>
      </c>
      <c r="AB168" s="74">
        <v>46014</v>
      </c>
      <c r="AC168" s="4">
        <v>244.649</v>
      </c>
      <c r="AD168" s="6">
        <f t="shared" si="20"/>
        <v>46014</v>
      </c>
    </row>
    <row r="169" spans="1:30" x14ac:dyDescent="0.25">
      <c r="A169" s="37"/>
      <c r="B169" s="38"/>
      <c r="C169" s="2"/>
      <c r="D169" s="41"/>
      <c r="E169" s="38"/>
      <c r="F169" s="2"/>
      <c r="G169" s="41"/>
      <c r="H169" s="38"/>
      <c r="I169" s="39"/>
      <c r="J169" s="39"/>
      <c r="K169" s="41"/>
      <c r="L169" s="41"/>
      <c r="M169" s="42"/>
      <c r="U169" s="3" t="str">
        <f t="shared" si="18"/>
        <v/>
      </c>
      <c r="V169" s="3" t="str">
        <f t="shared" si="19"/>
        <v/>
      </c>
      <c r="Z169" s="3">
        <v>46015</v>
      </c>
      <c r="AA169" s="4">
        <v>248.3295</v>
      </c>
      <c r="AB169" s="74">
        <v>46015</v>
      </c>
      <c r="AC169" s="4">
        <v>244.44200000000001</v>
      </c>
      <c r="AD169" s="6">
        <f t="shared" si="20"/>
        <v>46015</v>
      </c>
    </row>
    <row r="170" spans="1:30" x14ac:dyDescent="0.25">
      <c r="A170" s="37"/>
      <c r="B170" s="38"/>
      <c r="C170" s="2"/>
      <c r="D170" s="41"/>
      <c r="E170" s="38"/>
      <c r="F170" s="2"/>
      <c r="G170" s="41"/>
      <c r="H170" s="38"/>
      <c r="I170" s="39"/>
      <c r="J170" s="39"/>
      <c r="K170" s="41"/>
      <c r="L170" s="41"/>
      <c r="M170" s="42"/>
      <c r="U170" s="3" t="str">
        <f t="shared" si="18"/>
        <v/>
      </c>
      <c r="V170" s="3" t="str">
        <f t="shared" si="19"/>
        <v/>
      </c>
      <c r="Z170" s="3">
        <v>46020</v>
      </c>
      <c r="AA170" s="4">
        <v>248.321</v>
      </c>
      <c r="AB170" s="74">
        <v>46020</v>
      </c>
      <c r="AC170" s="4">
        <v>245.09</v>
      </c>
      <c r="AD170" s="6">
        <f t="shared" si="20"/>
        <v>46020</v>
      </c>
    </row>
    <row r="171" spans="1:30" x14ac:dyDescent="0.25">
      <c r="A171" s="37"/>
      <c r="B171" s="38"/>
      <c r="C171" s="2"/>
      <c r="D171" s="41"/>
      <c r="E171" s="38"/>
      <c r="F171" s="2"/>
      <c r="G171" s="41"/>
      <c r="H171" s="38"/>
      <c r="I171" s="39"/>
      <c r="J171" s="39"/>
      <c r="K171" s="41"/>
      <c r="L171" s="41"/>
      <c r="M171" s="42"/>
      <c r="U171" s="3" t="str">
        <f t="shared" si="18"/>
        <v/>
      </c>
      <c r="V171" s="3" t="str">
        <f t="shared" si="19"/>
        <v/>
      </c>
      <c r="Z171" s="3">
        <v>46021</v>
      </c>
      <c r="AA171" s="4">
        <v>248.6404</v>
      </c>
      <c r="AB171" s="74">
        <v>46021</v>
      </c>
      <c r="AC171" s="4">
        <v>244.19900000000001</v>
      </c>
      <c r="AD171" s="6">
        <f t="shared" si="20"/>
        <v>46021</v>
      </c>
    </row>
    <row r="172" spans="1:30" x14ac:dyDescent="0.25">
      <c r="A172" s="37"/>
      <c r="B172" s="38"/>
      <c r="C172" s="2"/>
      <c r="D172" s="41"/>
      <c r="E172" s="38"/>
      <c r="F172" s="2"/>
      <c r="G172" s="41"/>
      <c r="H172" s="38"/>
      <c r="I172" s="39"/>
      <c r="J172" s="39"/>
      <c r="K172" s="41"/>
      <c r="L172" s="41"/>
      <c r="M172" s="42"/>
      <c r="U172" s="3" t="str">
        <f t="shared" si="18"/>
        <v/>
      </c>
      <c r="V172" s="3" t="str">
        <f t="shared" si="19"/>
        <v/>
      </c>
      <c r="Z172" s="3">
        <v>46022</v>
      </c>
      <c r="AA172" s="4">
        <v>248.5951</v>
      </c>
      <c r="AB172" s="74">
        <v>46022</v>
      </c>
      <c r="AC172" s="4">
        <v>244.239</v>
      </c>
      <c r="AD172" s="6">
        <f t="shared" si="20"/>
        <v>46022</v>
      </c>
    </row>
    <row r="173" spans="1:30" x14ac:dyDescent="0.25">
      <c r="A173" s="37"/>
      <c r="B173" s="38"/>
      <c r="C173" s="2"/>
      <c r="D173" s="41"/>
      <c r="E173" s="38"/>
      <c r="F173" s="2"/>
      <c r="G173" s="41"/>
      <c r="H173" s="38"/>
      <c r="I173" s="39"/>
      <c r="J173" s="39"/>
      <c r="K173" s="41"/>
      <c r="L173" s="41"/>
      <c r="M173" s="42"/>
      <c r="U173" s="3" t="str">
        <f t="shared" si="18"/>
        <v/>
      </c>
      <c r="V173" s="3" t="str">
        <f t="shared" si="19"/>
        <v/>
      </c>
      <c r="Z173" s="3">
        <v>46024</v>
      </c>
      <c r="AA173" s="4">
        <v>248.6541</v>
      </c>
      <c r="AB173" s="74">
        <v>46024</v>
      </c>
      <c r="AC173" s="4">
        <v>243.732</v>
      </c>
      <c r="AD173" s="6">
        <f t="shared" si="20"/>
        <v>46024</v>
      </c>
    </row>
    <row r="174" spans="1:30" x14ac:dyDescent="0.25">
      <c r="A174" s="37"/>
      <c r="B174" s="38"/>
      <c r="C174" s="2"/>
      <c r="D174" s="41"/>
      <c r="E174" s="38"/>
      <c r="F174" s="2"/>
      <c r="G174" s="41"/>
      <c r="H174" s="38"/>
      <c r="I174" s="39"/>
      <c r="J174" s="39"/>
      <c r="K174" s="41"/>
      <c r="L174" s="41"/>
      <c r="M174" s="42"/>
      <c r="U174" s="3" t="str">
        <f t="shared" si="18"/>
        <v/>
      </c>
      <c r="V174" s="3" t="str">
        <f t="shared" si="19"/>
        <v/>
      </c>
      <c r="Z174" s="3">
        <v>46027</v>
      </c>
      <c r="AA174" s="4">
        <v>248.83519999999999</v>
      </c>
      <c r="AB174" s="74">
        <v>46027</v>
      </c>
      <c r="AC174" s="4">
        <v>242.14599999999999</v>
      </c>
      <c r="AD174" s="6">
        <f t="shared" si="20"/>
        <v>46027</v>
      </c>
    </row>
    <row r="175" spans="1:30" x14ac:dyDescent="0.25">
      <c r="A175" s="37"/>
      <c r="B175" s="38"/>
      <c r="C175" s="2"/>
      <c r="D175" s="41"/>
      <c r="E175" s="38"/>
      <c r="F175" s="2"/>
      <c r="G175" s="41"/>
      <c r="H175" s="38"/>
      <c r="I175" s="39"/>
      <c r="J175" s="39"/>
      <c r="K175" s="41"/>
      <c r="L175" s="41"/>
      <c r="M175" s="42"/>
      <c r="U175" s="3" t="str">
        <f t="shared" si="18"/>
        <v/>
      </c>
      <c r="V175" s="3" t="str">
        <f t="shared" si="19"/>
        <v/>
      </c>
      <c r="Z175" s="3">
        <v>46028</v>
      </c>
      <c r="AA175" s="4">
        <v>248.91249999999999</v>
      </c>
      <c r="AB175" s="74">
        <v>46028</v>
      </c>
      <c r="AC175" s="4">
        <v>242.20400000000001</v>
      </c>
      <c r="AD175" s="6">
        <f t="shared" si="20"/>
        <v>46028</v>
      </c>
    </row>
    <row r="176" spans="1:30" x14ac:dyDescent="0.25">
      <c r="A176" s="37"/>
      <c r="B176" s="38"/>
      <c r="C176" s="2"/>
      <c r="D176" s="41"/>
      <c r="E176" s="38"/>
      <c r="F176" s="2"/>
      <c r="G176" s="41"/>
      <c r="H176" s="38"/>
      <c r="I176" s="39"/>
      <c r="J176" s="39"/>
      <c r="K176" s="41"/>
      <c r="L176" s="41"/>
      <c r="M176" s="42"/>
      <c r="U176" s="3" t="str">
        <f t="shared" si="18"/>
        <v/>
      </c>
      <c r="V176" s="3" t="str">
        <f t="shared" si="19"/>
        <v/>
      </c>
      <c r="Z176" s="3">
        <v>46029</v>
      </c>
      <c r="AA176" s="4">
        <v>248.8612</v>
      </c>
      <c r="AB176" s="74">
        <v>46029</v>
      </c>
      <c r="AC176" s="4">
        <v>242.517</v>
      </c>
      <c r="AD176" s="6">
        <f t="shared" si="20"/>
        <v>46029</v>
      </c>
    </row>
    <row r="177" spans="1:30" x14ac:dyDescent="0.25">
      <c r="A177" s="37"/>
      <c r="B177" s="38"/>
      <c r="C177" s="2"/>
      <c r="D177" s="41"/>
      <c r="E177" s="38"/>
      <c r="F177" s="2"/>
      <c r="G177" s="41"/>
      <c r="H177" s="38"/>
      <c r="I177" s="39"/>
      <c r="J177" s="39"/>
      <c r="K177" s="41"/>
      <c r="L177" s="41"/>
      <c r="M177" s="42"/>
      <c r="U177" s="3" t="str">
        <f t="shared" si="18"/>
        <v/>
      </c>
      <c r="V177" s="3" t="str">
        <f t="shared" si="19"/>
        <v/>
      </c>
      <c r="Z177" s="3">
        <v>46030</v>
      </c>
      <c r="AA177" s="4">
        <v>248.84979999999999</v>
      </c>
      <c r="AB177" s="74">
        <v>46030</v>
      </c>
      <c r="AC177" s="4">
        <v>242.678</v>
      </c>
      <c r="AD177" s="6">
        <f t="shared" si="20"/>
        <v>46030</v>
      </c>
    </row>
    <row r="178" spans="1:30" x14ac:dyDescent="0.25">
      <c r="A178" s="37"/>
      <c r="B178" s="38"/>
      <c r="C178" s="2"/>
      <c r="D178" s="41"/>
      <c r="E178" s="38"/>
      <c r="F178" s="2"/>
      <c r="G178" s="41"/>
      <c r="H178" s="38"/>
      <c r="I178" s="39"/>
      <c r="J178" s="39"/>
      <c r="K178" s="41"/>
      <c r="L178" s="41"/>
      <c r="M178" s="42"/>
      <c r="U178" s="3" t="str">
        <f t="shared" si="18"/>
        <v/>
      </c>
      <c r="V178" s="3" t="str">
        <f t="shared" si="19"/>
        <v/>
      </c>
      <c r="Z178" s="3">
        <v>46031</v>
      </c>
      <c r="AA178" s="4">
        <v>249.13050000000001</v>
      </c>
      <c r="AB178" s="74">
        <v>46031</v>
      </c>
      <c r="AC178" s="4">
        <v>240.93600000000001</v>
      </c>
      <c r="AD178" s="6">
        <f t="shared" si="20"/>
        <v>46031</v>
      </c>
    </row>
    <row r="179" spans="1:30" x14ac:dyDescent="0.25">
      <c r="A179" s="37"/>
      <c r="B179" s="38"/>
      <c r="C179" s="2"/>
      <c r="D179" s="41"/>
      <c r="E179" s="38"/>
      <c r="F179" s="2"/>
      <c r="G179" s="41"/>
      <c r="H179" s="38"/>
      <c r="I179" s="39"/>
      <c r="J179" s="39"/>
      <c r="K179" s="41"/>
      <c r="L179" s="41"/>
      <c r="M179" s="42"/>
      <c r="U179" s="3" t="str">
        <f t="shared" si="18"/>
        <v/>
      </c>
      <c r="V179" s="3" t="str">
        <f t="shared" si="19"/>
        <v/>
      </c>
      <c r="Z179" s="3">
        <v>46034</v>
      </c>
      <c r="AA179" s="4">
        <v>249.25470000000001</v>
      </c>
      <c r="AB179" s="74">
        <v>46034</v>
      </c>
      <c r="AC179" s="4">
        <v>240.25800000000001</v>
      </c>
      <c r="AD179" s="6">
        <f t="shared" si="20"/>
        <v>46034</v>
      </c>
    </row>
    <row r="180" spans="1:30" x14ac:dyDescent="0.25">
      <c r="A180" s="37"/>
      <c r="B180" s="38"/>
      <c r="C180" s="2"/>
      <c r="D180" s="41"/>
      <c r="E180" s="38"/>
      <c r="F180" s="2"/>
      <c r="G180" s="41"/>
      <c r="H180" s="38"/>
      <c r="I180" s="39"/>
      <c r="J180" s="39"/>
      <c r="K180" s="41"/>
      <c r="L180" s="41"/>
      <c r="M180" s="42"/>
      <c r="U180" s="3" t="str">
        <f t="shared" si="18"/>
        <v/>
      </c>
      <c r="V180" s="3" t="str">
        <f t="shared" si="19"/>
        <v/>
      </c>
      <c r="Z180" s="3">
        <v>46035</v>
      </c>
      <c r="AA180" s="4">
        <v>249.17660000000001</v>
      </c>
      <c r="AB180" s="74">
        <v>46035</v>
      </c>
      <c r="AC180" s="4">
        <v>240.88900000000001</v>
      </c>
      <c r="AD180" s="6">
        <f t="shared" si="20"/>
        <v>46035</v>
      </c>
    </row>
    <row r="181" spans="1:30" x14ac:dyDescent="0.25">
      <c r="A181" s="37"/>
      <c r="B181" s="38"/>
      <c r="C181" s="2"/>
      <c r="D181" s="41"/>
      <c r="E181" s="38"/>
      <c r="F181" s="2"/>
      <c r="G181" s="41"/>
      <c r="H181" s="38"/>
      <c r="I181" s="39"/>
      <c r="J181" s="39"/>
      <c r="K181" s="41"/>
      <c r="L181" s="41"/>
      <c r="M181" s="42"/>
      <c r="U181" s="3" t="str">
        <f t="shared" si="18"/>
        <v/>
      </c>
      <c r="V181" s="3" t="str">
        <f t="shared" si="19"/>
        <v/>
      </c>
      <c r="Z181" s="3">
        <v>46036</v>
      </c>
      <c r="AA181" s="4">
        <v>248.81209999999999</v>
      </c>
      <c r="AB181" s="74">
        <v>46036</v>
      </c>
      <c r="AC181" s="4">
        <v>244.88200000000001</v>
      </c>
      <c r="AD181" s="6">
        <f t="shared" si="20"/>
        <v>46036</v>
      </c>
    </row>
    <row r="182" spans="1:30" x14ac:dyDescent="0.25">
      <c r="A182" s="37"/>
      <c r="B182" s="38"/>
      <c r="C182" s="2"/>
      <c r="D182" s="41"/>
      <c r="E182" s="38"/>
      <c r="F182" s="2"/>
      <c r="G182" s="41"/>
      <c r="H182" s="38"/>
      <c r="I182" s="39"/>
      <c r="J182" s="39"/>
      <c r="K182" s="41"/>
      <c r="L182" s="41"/>
      <c r="M182" s="42"/>
      <c r="U182" s="3" t="str">
        <f t="shared" si="18"/>
        <v/>
      </c>
      <c r="V182" s="3" t="str">
        <f t="shared" si="19"/>
        <v/>
      </c>
      <c r="Z182" s="3">
        <v>46037</v>
      </c>
      <c r="AA182" s="4">
        <v>249.15880000000001</v>
      </c>
      <c r="AB182" s="74">
        <v>46037</v>
      </c>
      <c r="AC182" s="4">
        <v>241.666</v>
      </c>
      <c r="AD182" s="6">
        <f t="shared" si="20"/>
        <v>46037</v>
      </c>
    </row>
    <row r="183" spans="1:30" x14ac:dyDescent="0.25">
      <c r="A183" s="37"/>
      <c r="B183" s="38"/>
      <c r="C183" s="2"/>
      <c r="D183" s="41"/>
      <c r="E183" s="38"/>
      <c r="F183" s="2"/>
      <c r="G183" s="41"/>
      <c r="H183" s="38"/>
      <c r="I183" s="39"/>
      <c r="J183" s="39"/>
      <c r="K183" s="41"/>
      <c r="L183" s="41"/>
      <c r="M183" s="42"/>
      <c r="U183" s="3" t="str">
        <f t="shared" si="18"/>
        <v/>
      </c>
      <c r="V183" s="3" t="str">
        <f t="shared" si="19"/>
        <v/>
      </c>
      <c r="Z183" s="3">
        <v>46038</v>
      </c>
      <c r="AA183" s="4">
        <v>249.01169999999999</v>
      </c>
      <c r="AB183" s="74">
        <v>46038</v>
      </c>
      <c r="AC183" s="4">
        <v>243.13399999999999</v>
      </c>
      <c r="AD183" s="6">
        <f t="shared" si="20"/>
        <v>46038</v>
      </c>
    </row>
    <row r="184" spans="1:30" x14ac:dyDescent="0.25">
      <c r="A184" s="37"/>
      <c r="B184" s="38"/>
      <c r="C184" s="2"/>
      <c r="D184" s="41"/>
      <c r="E184" s="38"/>
      <c r="F184" s="2"/>
      <c r="G184" s="41"/>
      <c r="H184" s="38"/>
      <c r="I184" s="39"/>
      <c r="J184" s="39"/>
      <c r="K184" s="41"/>
      <c r="L184" s="41"/>
      <c r="M184" s="42"/>
      <c r="U184" s="3" t="str">
        <f t="shared" si="18"/>
        <v/>
      </c>
      <c r="V184" s="3" t="str">
        <f t="shared" si="19"/>
        <v/>
      </c>
      <c r="Z184" s="3">
        <v>46041</v>
      </c>
      <c r="AA184" s="4">
        <v>248.35810000000001</v>
      </c>
      <c r="AB184" s="74">
        <v>46041</v>
      </c>
      <c r="AC184" s="4">
        <v>250.24199999999999</v>
      </c>
      <c r="AD184" s="6">
        <f t="shared" si="20"/>
        <v>46041</v>
      </c>
    </row>
    <row r="185" spans="1:30" x14ac:dyDescent="0.25">
      <c r="A185" s="37"/>
      <c r="B185" s="38"/>
      <c r="C185" s="2"/>
      <c r="D185" s="41"/>
      <c r="E185" s="38"/>
      <c r="F185" s="2"/>
      <c r="G185" s="41"/>
      <c r="H185" s="38"/>
      <c r="I185" s="39"/>
      <c r="J185" s="39"/>
      <c r="K185" s="41"/>
      <c r="L185" s="41"/>
      <c r="M185" s="42"/>
      <c r="U185" s="3" t="str">
        <f t="shared" si="18"/>
        <v/>
      </c>
      <c r="V185" s="3" t="str">
        <f t="shared" si="19"/>
        <v/>
      </c>
      <c r="Z185" s="3">
        <v>46042</v>
      </c>
      <c r="AA185" s="4">
        <v>248.08500000000001</v>
      </c>
      <c r="AB185" s="74">
        <v>46042</v>
      </c>
      <c r="AC185" s="4">
        <v>252.017</v>
      </c>
      <c r="AD185" s="6">
        <f t="shared" si="20"/>
        <v>46042</v>
      </c>
    </row>
    <row r="186" spans="1:30" x14ac:dyDescent="0.25">
      <c r="A186" s="37"/>
      <c r="B186" s="38"/>
      <c r="C186" s="2"/>
      <c r="D186" s="41"/>
      <c r="E186" s="38"/>
      <c r="F186" s="2"/>
      <c r="G186" s="41"/>
      <c r="H186" s="38"/>
      <c r="I186" s="39"/>
      <c r="J186" s="39"/>
      <c r="K186" s="41"/>
      <c r="L186" s="41"/>
      <c r="M186" s="42"/>
      <c r="U186" s="3" t="str">
        <f t="shared" si="18"/>
        <v/>
      </c>
      <c r="V186" s="3" t="str">
        <f t="shared" si="19"/>
        <v/>
      </c>
      <c r="Z186" s="3">
        <v>46043</v>
      </c>
      <c r="AA186" s="4">
        <v>248.64510000000001</v>
      </c>
      <c r="AB186" s="74">
        <v>46043</v>
      </c>
      <c r="AC186" s="4">
        <v>248.50399999999999</v>
      </c>
      <c r="AD186" s="6">
        <f t="shared" si="20"/>
        <v>46043</v>
      </c>
    </row>
    <row r="187" spans="1:30" x14ac:dyDescent="0.25">
      <c r="A187" s="37"/>
      <c r="B187" s="38"/>
      <c r="C187" s="2"/>
      <c r="D187" s="41"/>
      <c r="E187" s="38"/>
      <c r="F187" s="2"/>
      <c r="G187" s="41"/>
      <c r="H187" s="38"/>
      <c r="I187" s="39"/>
      <c r="J187" s="39"/>
      <c r="K187" s="41"/>
      <c r="L187" s="41"/>
      <c r="M187" s="42"/>
      <c r="U187" s="3" t="str">
        <f t="shared" si="18"/>
        <v/>
      </c>
      <c r="V187" s="3" t="str">
        <f t="shared" si="19"/>
        <v/>
      </c>
      <c r="Z187" s="3">
        <v>46044</v>
      </c>
      <c r="AA187" s="4">
        <v>249.4425</v>
      </c>
      <c r="AB187" s="74">
        <v>46044</v>
      </c>
      <c r="AC187" s="4">
        <v>240.483</v>
      </c>
      <c r="AD187" s="6">
        <f t="shared" si="20"/>
        <v>46044</v>
      </c>
    </row>
    <row r="188" spans="1:30" x14ac:dyDescent="0.25">
      <c r="A188" s="37"/>
      <c r="B188" s="38"/>
      <c r="C188" s="2"/>
      <c r="D188" s="41"/>
      <c r="E188" s="38"/>
      <c r="F188" s="2"/>
      <c r="G188" s="41"/>
      <c r="H188" s="38"/>
      <c r="I188" s="39"/>
      <c r="J188" s="39"/>
      <c r="K188" s="41"/>
      <c r="L188" s="41"/>
      <c r="M188" s="42"/>
      <c r="U188" s="3" t="str">
        <f t="shared" si="18"/>
        <v/>
      </c>
      <c r="V188" s="3" t="str">
        <f t="shared" si="19"/>
        <v/>
      </c>
      <c r="Z188" s="3">
        <v>46045</v>
      </c>
      <c r="AA188" s="4">
        <v>249.2397</v>
      </c>
      <c r="AB188" s="74">
        <v>46045</v>
      </c>
      <c r="AC188" s="4">
        <v>242.67099999999999</v>
      </c>
      <c r="AD188" s="6">
        <f t="shared" si="20"/>
        <v>46045</v>
      </c>
    </row>
    <row r="189" spans="1:30" x14ac:dyDescent="0.25">
      <c r="A189" s="37"/>
      <c r="B189" s="38"/>
      <c r="C189" s="2"/>
      <c r="D189" s="41"/>
      <c r="E189" s="38"/>
      <c r="F189" s="2"/>
      <c r="G189" s="41"/>
      <c r="H189" s="38"/>
      <c r="I189" s="39"/>
      <c r="J189" s="39"/>
      <c r="K189" s="41"/>
      <c r="L189" s="41"/>
      <c r="M189" s="42"/>
      <c r="U189" s="3" t="str">
        <f t="shared" si="18"/>
        <v/>
      </c>
      <c r="V189" s="3" t="str">
        <f t="shared" si="19"/>
        <v/>
      </c>
      <c r="Z189" s="3">
        <v>46048</v>
      </c>
      <c r="AA189" s="4">
        <v>249.3184</v>
      </c>
      <c r="AB189" s="74">
        <v>46048</v>
      </c>
      <c r="AC189" s="4">
        <v>242.38300000000001</v>
      </c>
      <c r="AD189" s="6">
        <f t="shared" si="20"/>
        <v>46048</v>
      </c>
    </row>
    <row r="190" spans="1:30" x14ac:dyDescent="0.25">
      <c r="A190" s="37"/>
      <c r="B190" s="38"/>
      <c r="C190" s="2"/>
      <c r="D190" s="41"/>
      <c r="E190" s="38"/>
      <c r="F190" s="2"/>
      <c r="G190" s="41"/>
      <c r="H190" s="38"/>
      <c r="I190" s="39"/>
      <c r="J190" s="39"/>
      <c r="K190" s="41"/>
      <c r="L190" s="41"/>
      <c r="M190" s="42"/>
      <c r="U190" s="3" t="str">
        <f t="shared" si="18"/>
        <v/>
      </c>
      <c r="V190" s="3" t="str">
        <f t="shared" si="19"/>
        <v/>
      </c>
      <c r="Z190" s="3">
        <v>46049</v>
      </c>
      <c r="AA190" s="4">
        <v>249.45769999999999</v>
      </c>
      <c r="AB190" s="74">
        <v>46049</v>
      </c>
      <c r="AC190" s="4">
        <v>241.536</v>
      </c>
      <c r="AD190" s="6">
        <f t="shared" si="20"/>
        <v>46049</v>
      </c>
    </row>
    <row r="191" spans="1:30" x14ac:dyDescent="0.25">
      <c r="A191" s="37"/>
      <c r="B191" s="38"/>
      <c r="C191" s="2"/>
      <c r="D191" s="41"/>
      <c r="E191" s="38"/>
      <c r="F191" s="2"/>
      <c r="G191" s="41"/>
      <c r="H191" s="38"/>
      <c r="I191" s="39"/>
      <c r="J191" s="39"/>
      <c r="K191" s="41"/>
      <c r="L191" s="41"/>
      <c r="M191" s="42"/>
      <c r="U191" s="3" t="str">
        <f t="shared" si="18"/>
        <v/>
      </c>
      <c r="V191" s="3" t="str">
        <f t="shared" si="19"/>
        <v/>
      </c>
      <c r="Z191" s="3">
        <v>46050</v>
      </c>
      <c r="AA191" s="4">
        <v>249.07820000000001</v>
      </c>
      <c r="AB191" s="74">
        <v>46050</v>
      </c>
      <c r="AC191" s="4">
        <v>245.107</v>
      </c>
      <c r="AD191" s="6">
        <f t="shared" si="20"/>
        <v>46050</v>
      </c>
    </row>
    <row r="192" spans="1:30" x14ac:dyDescent="0.25">
      <c r="A192" s="37"/>
      <c r="B192" s="38"/>
      <c r="C192" s="2"/>
      <c r="D192" s="41"/>
      <c r="E192" s="38"/>
      <c r="F192" s="2"/>
      <c r="G192" s="41"/>
      <c r="H192" s="38"/>
      <c r="I192" s="39"/>
      <c r="J192" s="39"/>
      <c r="K192" s="41"/>
      <c r="L192" s="41"/>
      <c r="M192" s="42"/>
      <c r="U192" s="3" t="str">
        <f t="shared" si="18"/>
        <v/>
      </c>
      <c r="V192" s="3" t="str">
        <f t="shared" si="19"/>
        <v/>
      </c>
      <c r="Z192" s="3">
        <v>46051</v>
      </c>
      <c r="AA192" s="4">
        <v>248.7859</v>
      </c>
      <c r="AB192" s="74">
        <v>46051</v>
      </c>
      <c r="AC192" s="4">
        <v>247.57400000000001</v>
      </c>
      <c r="AD192" s="6">
        <f t="shared" si="20"/>
        <v>46051</v>
      </c>
    </row>
    <row r="193" spans="1:30" x14ac:dyDescent="0.25">
      <c r="A193" s="37"/>
      <c r="B193" s="38"/>
      <c r="C193" s="2"/>
      <c r="D193" s="41"/>
      <c r="E193" s="38"/>
      <c r="F193" s="2"/>
      <c r="G193" s="41"/>
      <c r="H193" s="38"/>
      <c r="I193" s="39"/>
      <c r="J193" s="39"/>
      <c r="K193" s="41"/>
      <c r="L193" s="41"/>
      <c r="M193" s="42"/>
      <c r="U193" s="3" t="str">
        <f t="shared" si="18"/>
        <v/>
      </c>
      <c r="V193" s="3" t="str">
        <f t="shared" si="19"/>
        <v/>
      </c>
      <c r="Z193" s="3">
        <v>46052</v>
      </c>
      <c r="AA193" s="4">
        <v>248.92789999999999</v>
      </c>
      <c r="AB193" s="74">
        <v>46052</v>
      </c>
      <c r="AC193" s="4">
        <v>247.31899999999999</v>
      </c>
      <c r="AD193" s="6">
        <f t="shared" si="20"/>
        <v>46052</v>
      </c>
    </row>
    <row r="194" spans="1:30" x14ac:dyDescent="0.25">
      <c r="A194" s="37"/>
      <c r="B194" s="38"/>
      <c r="C194" s="2"/>
      <c r="D194" s="41"/>
      <c r="E194" s="38"/>
      <c r="F194" s="2"/>
      <c r="G194" s="41"/>
      <c r="H194" s="38"/>
      <c r="I194" s="39"/>
      <c r="J194" s="39"/>
      <c r="K194" s="41"/>
      <c r="L194" s="41"/>
      <c r="M194" s="42"/>
      <c r="U194" s="3" t="str">
        <f t="shared" si="18"/>
        <v/>
      </c>
      <c r="V194" s="3" t="str">
        <f t="shared" si="19"/>
        <v/>
      </c>
      <c r="Z194" s="3">
        <v>46055</v>
      </c>
      <c r="AA194" s="4">
        <v>249.41380000000001</v>
      </c>
      <c r="AB194" s="74">
        <v>46055</v>
      </c>
      <c r="AC194" s="4">
        <v>242.94800000000001</v>
      </c>
      <c r="AD194" s="6">
        <f t="shared" si="20"/>
        <v>46055</v>
      </c>
    </row>
    <row r="195" spans="1:30" x14ac:dyDescent="0.25">
      <c r="A195" s="37"/>
      <c r="B195" s="38"/>
      <c r="C195" s="2"/>
      <c r="D195" s="41"/>
      <c r="E195" s="38"/>
      <c r="F195" s="2"/>
      <c r="G195" s="41"/>
      <c r="H195" s="38"/>
      <c r="I195" s="39"/>
      <c r="J195" s="39"/>
      <c r="K195" s="41"/>
      <c r="L195" s="41"/>
      <c r="M195" s="42"/>
      <c r="U195" s="3" t="str">
        <f t="shared" si="18"/>
        <v/>
      </c>
      <c r="V195" s="3" t="str">
        <f t="shared" si="19"/>
        <v/>
      </c>
      <c r="Z195" s="3">
        <v>46056</v>
      </c>
      <c r="AA195" s="4">
        <v>249.29150000000001</v>
      </c>
      <c r="AB195" s="74">
        <v>46056</v>
      </c>
      <c r="AC195" s="4">
        <v>244.75399999999999</v>
      </c>
      <c r="AD195" s="6">
        <f t="shared" si="20"/>
        <v>46056</v>
      </c>
    </row>
    <row r="196" spans="1:30" x14ac:dyDescent="0.25">
      <c r="A196" s="37"/>
      <c r="B196" s="38"/>
      <c r="C196" s="2"/>
      <c r="D196" s="41"/>
      <c r="E196" s="38"/>
      <c r="F196" s="2"/>
      <c r="G196" s="41"/>
      <c r="H196" s="38"/>
      <c r="I196" s="39"/>
      <c r="J196" s="39"/>
      <c r="K196" s="41"/>
      <c r="L196" s="41"/>
      <c r="M196" s="42"/>
      <c r="U196" s="3" t="str">
        <f t="shared" ref="U196:U259" si="27">IF(COUNTIF(Q:Q,O196)*COUNTIF(S:S,O196),O196,"")</f>
        <v/>
      </c>
      <c r="V196" s="3" t="str">
        <f t="shared" ref="V196:V259" si="28">IF(U196&gt;$A$14,U196,"")</f>
        <v/>
      </c>
      <c r="Z196" s="3">
        <v>46057</v>
      </c>
      <c r="AA196" s="4">
        <v>249.12110000000001</v>
      </c>
      <c r="AB196" s="74">
        <v>46057</v>
      </c>
      <c r="AC196" s="4">
        <v>246.44200000000001</v>
      </c>
      <c r="AD196" s="6">
        <f t="shared" ref="AD196:AD259" si="29">IF(COUNTIF(AB:AB,Z196),Z196,"")</f>
        <v>46057</v>
      </c>
    </row>
    <row r="197" spans="1:30" x14ac:dyDescent="0.25">
      <c r="A197" s="37"/>
      <c r="B197" s="38"/>
      <c r="C197" s="2"/>
      <c r="D197" s="41"/>
      <c r="E197" s="38"/>
      <c r="F197" s="2"/>
      <c r="G197" s="41"/>
      <c r="H197" s="38"/>
      <c r="I197" s="39"/>
      <c r="J197" s="39"/>
      <c r="K197" s="41"/>
      <c r="L197" s="41"/>
      <c r="M197" s="42"/>
      <c r="U197" s="3" t="str">
        <f t="shared" si="27"/>
        <v/>
      </c>
      <c r="V197" s="3" t="str">
        <f t="shared" si="28"/>
        <v/>
      </c>
      <c r="Z197" s="3">
        <v>46058</v>
      </c>
      <c r="AA197" s="4">
        <v>248.86420000000001</v>
      </c>
      <c r="AB197" s="74">
        <v>46058</v>
      </c>
      <c r="AC197" s="4">
        <v>247.72399999999999</v>
      </c>
      <c r="AD197" s="6">
        <f t="shared" si="29"/>
        <v>46058</v>
      </c>
    </row>
    <row r="198" spans="1:30" x14ac:dyDescent="0.25">
      <c r="A198" s="37"/>
      <c r="B198" s="38"/>
      <c r="C198" s="2"/>
      <c r="D198" s="41"/>
      <c r="E198" s="38"/>
      <c r="F198" s="2"/>
      <c r="G198" s="41"/>
      <c r="H198" s="38"/>
      <c r="I198" s="39"/>
      <c r="J198" s="39"/>
      <c r="K198" s="41"/>
      <c r="L198" s="41"/>
      <c r="M198" s="42"/>
      <c r="U198" s="3" t="str">
        <f t="shared" si="27"/>
        <v/>
      </c>
      <c r="V198" s="3" t="str">
        <f t="shared" si="28"/>
        <v/>
      </c>
      <c r="Z198" s="3">
        <v>46059</v>
      </c>
      <c r="AA198" s="4">
        <v>249.4572</v>
      </c>
      <c r="AB198" s="74">
        <v>46059</v>
      </c>
      <c r="AC198" s="4">
        <v>243.90799999999999</v>
      </c>
      <c r="AD198" s="6">
        <f t="shared" si="29"/>
        <v>46059</v>
      </c>
    </row>
    <row r="199" spans="1:30" x14ac:dyDescent="0.25">
      <c r="A199" s="37"/>
      <c r="B199" s="38"/>
      <c r="C199" s="2"/>
      <c r="D199" s="41"/>
      <c r="E199" s="38"/>
      <c r="F199" s="2"/>
      <c r="G199" s="41"/>
      <c r="H199" s="38"/>
      <c r="I199" s="39"/>
      <c r="J199" s="39"/>
      <c r="K199" s="41"/>
      <c r="L199" s="41"/>
      <c r="M199" s="42"/>
      <c r="U199" s="3" t="str">
        <f t="shared" si="27"/>
        <v/>
      </c>
      <c r="V199" s="3" t="str">
        <f t="shared" si="28"/>
        <v/>
      </c>
      <c r="Z199" s="3">
        <v>46062</v>
      </c>
      <c r="AA199" s="4">
        <v>249.82130000000001</v>
      </c>
      <c r="AB199" s="74">
        <v>46062</v>
      </c>
      <c r="AC199" s="4">
        <v>240.52</v>
      </c>
      <c r="AD199" s="6">
        <f t="shared" si="29"/>
        <v>46062</v>
      </c>
    </row>
    <row r="200" spans="1:30" x14ac:dyDescent="0.25">
      <c r="A200" s="37"/>
      <c r="B200" s="38"/>
      <c r="C200" s="2"/>
      <c r="D200" s="41"/>
      <c r="E200" s="38"/>
      <c r="F200" s="2"/>
      <c r="G200" s="41"/>
      <c r="H200" s="38"/>
      <c r="I200" s="39"/>
      <c r="J200" s="39"/>
      <c r="K200" s="41"/>
      <c r="L200" s="41"/>
      <c r="M200" s="42"/>
      <c r="U200" s="3" t="str">
        <f t="shared" si="27"/>
        <v/>
      </c>
      <c r="V200" s="3" t="str">
        <f t="shared" si="28"/>
        <v/>
      </c>
      <c r="Z200" s="3">
        <v>46063</v>
      </c>
      <c r="AA200" s="4">
        <v>249.73419999999999</v>
      </c>
      <c r="AB200" s="74">
        <v>46063</v>
      </c>
      <c r="AC200" s="4">
        <v>241.834</v>
      </c>
      <c r="AD200" s="6">
        <f t="shared" si="29"/>
        <v>46063</v>
      </c>
    </row>
    <row r="201" spans="1:30" x14ac:dyDescent="0.25">
      <c r="A201" s="37"/>
      <c r="B201" s="38"/>
      <c r="C201" s="2"/>
      <c r="D201" s="41"/>
      <c r="E201" s="38"/>
      <c r="F201" s="2"/>
      <c r="G201" s="41"/>
      <c r="H201" s="38"/>
      <c r="I201" s="39"/>
      <c r="J201" s="39"/>
      <c r="K201" s="41"/>
      <c r="L201" s="41"/>
      <c r="M201" s="42"/>
      <c r="U201" s="3" t="str">
        <f t="shared" si="27"/>
        <v/>
      </c>
      <c r="V201" s="3" t="str">
        <f t="shared" si="28"/>
        <v/>
      </c>
      <c r="Z201" s="3">
        <v>46064</v>
      </c>
      <c r="AA201" s="4">
        <v>249.6275</v>
      </c>
      <c r="AB201" s="74">
        <v>46064</v>
      </c>
      <c r="AC201" s="4">
        <v>243.429</v>
      </c>
      <c r="AD201" s="6">
        <f t="shared" si="29"/>
        <v>46064</v>
      </c>
    </row>
    <row r="202" spans="1:30" x14ac:dyDescent="0.25">
      <c r="A202" s="37"/>
      <c r="B202" s="38"/>
      <c r="C202" s="2"/>
      <c r="D202" s="41"/>
      <c r="E202" s="38"/>
      <c r="F202" s="2"/>
      <c r="G202" s="41"/>
      <c r="H202" s="38"/>
      <c r="I202" s="39"/>
      <c r="J202" s="39"/>
      <c r="K202" s="41"/>
      <c r="L202" s="41"/>
      <c r="M202" s="42"/>
      <c r="U202" s="3" t="str">
        <f t="shared" si="27"/>
        <v/>
      </c>
      <c r="V202" s="3" t="str">
        <f t="shared" si="28"/>
        <v/>
      </c>
      <c r="Z202" s="3">
        <v>46065</v>
      </c>
      <c r="AA202" s="4">
        <v>249.3349</v>
      </c>
      <c r="AB202" s="74">
        <v>46065</v>
      </c>
      <c r="AC202" s="4">
        <v>246.203</v>
      </c>
      <c r="AD202" s="6">
        <f t="shared" si="29"/>
        <v>46065</v>
      </c>
    </row>
    <row r="203" spans="1:30" x14ac:dyDescent="0.25">
      <c r="A203" s="37"/>
      <c r="B203" s="38"/>
      <c r="C203" s="2"/>
      <c r="D203" s="41"/>
      <c r="E203" s="38"/>
      <c r="F203" s="2"/>
      <c r="G203" s="41"/>
      <c r="H203" s="38"/>
      <c r="I203" s="39"/>
      <c r="J203" s="39"/>
      <c r="K203" s="41"/>
      <c r="L203" s="41"/>
      <c r="M203" s="42"/>
      <c r="U203" s="3" t="str">
        <f t="shared" si="27"/>
        <v/>
      </c>
      <c r="V203" s="3" t="str">
        <f t="shared" si="28"/>
        <v/>
      </c>
      <c r="Z203" s="3">
        <v>46066</v>
      </c>
      <c r="AA203" s="4">
        <v>249.1874</v>
      </c>
      <c r="AB203" s="74">
        <v>46066</v>
      </c>
      <c r="AC203" s="4">
        <v>247.685</v>
      </c>
      <c r="AD203" s="6">
        <f t="shared" si="29"/>
        <v>46066</v>
      </c>
    </row>
    <row r="204" spans="1:30" x14ac:dyDescent="0.25">
      <c r="A204" s="37"/>
      <c r="B204" s="38"/>
      <c r="C204" s="2"/>
      <c r="D204" s="41"/>
      <c r="E204" s="38"/>
      <c r="F204" s="2"/>
      <c r="G204" s="41"/>
      <c r="H204" s="38"/>
      <c r="I204" s="39"/>
      <c r="J204" s="39"/>
      <c r="K204" s="41"/>
      <c r="L204" s="41"/>
      <c r="M204" s="42"/>
      <c r="U204" s="3" t="str">
        <f t="shared" si="27"/>
        <v/>
      </c>
      <c r="V204" s="3" t="str">
        <f t="shared" si="28"/>
        <v/>
      </c>
      <c r="Z204" s="3">
        <v>46069</v>
      </c>
      <c r="AA204" s="4">
        <v>249.0668</v>
      </c>
      <c r="AB204" s="74">
        <v>46069</v>
      </c>
      <c r="AC204" s="4">
        <v>249.32300000000001</v>
      </c>
      <c r="AD204" s="6">
        <f t="shared" si="29"/>
        <v>46069</v>
      </c>
    </row>
    <row r="205" spans="1:30" x14ac:dyDescent="0.25">
      <c r="A205" s="37"/>
      <c r="B205" s="38"/>
      <c r="C205" s="2"/>
      <c r="D205" s="41"/>
      <c r="E205" s="38"/>
      <c r="F205" s="2"/>
      <c r="G205" s="41"/>
      <c r="H205" s="38"/>
      <c r="I205" s="39"/>
      <c r="J205" s="39"/>
      <c r="K205" s="41"/>
      <c r="L205" s="41"/>
      <c r="M205" s="42"/>
      <c r="U205" s="3" t="str">
        <f t="shared" si="27"/>
        <v/>
      </c>
      <c r="V205" s="3" t="str">
        <f t="shared" si="28"/>
        <v/>
      </c>
      <c r="Z205" s="3">
        <v>46070</v>
      </c>
      <c r="AA205" s="4">
        <v>248.9178</v>
      </c>
      <c r="AB205" s="74">
        <v>46070</v>
      </c>
      <c r="AC205" s="4">
        <v>250.65299999999999</v>
      </c>
      <c r="AD205" s="6">
        <f t="shared" si="29"/>
        <v>46070</v>
      </c>
    </row>
    <row r="206" spans="1:30" x14ac:dyDescent="0.25">
      <c r="A206" s="37"/>
      <c r="B206" s="38"/>
      <c r="C206" s="2"/>
      <c r="D206" s="41"/>
      <c r="E206" s="38"/>
      <c r="F206" s="2"/>
      <c r="G206" s="41"/>
      <c r="H206" s="38"/>
      <c r="I206" s="39"/>
      <c r="J206" s="39"/>
      <c r="K206" s="41"/>
      <c r="L206" s="41"/>
      <c r="M206" s="42"/>
      <c r="U206" s="3" t="str">
        <f t="shared" si="27"/>
        <v/>
      </c>
      <c r="V206" s="3" t="str">
        <f t="shared" si="28"/>
        <v/>
      </c>
      <c r="Z206" s="3">
        <v>46071</v>
      </c>
      <c r="AA206" s="4">
        <v>249.54349999999999</v>
      </c>
      <c r="AB206" s="74">
        <v>46071</v>
      </c>
      <c r="AC206" s="4">
        <v>245.28100000000001</v>
      </c>
      <c r="AD206" s="6">
        <f t="shared" si="29"/>
        <v>46071</v>
      </c>
    </row>
    <row r="207" spans="1:30" x14ac:dyDescent="0.25">
      <c r="A207" s="37"/>
      <c r="B207" s="38"/>
      <c r="C207" s="2"/>
      <c r="D207" s="41"/>
      <c r="E207" s="38"/>
      <c r="F207" s="2"/>
      <c r="G207" s="41"/>
      <c r="H207" s="38"/>
      <c r="I207" s="39"/>
      <c r="J207" s="39"/>
      <c r="K207" s="41"/>
      <c r="L207" s="41"/>
      <c r="M207" s="42"/>
      <c r="U207" s="3" t="str">
        <f t="shared" si="27"/>
        <v/>
      </c>
      <c r="V207" s="3" t="str">
        <f t="shared" si="28"/>
        <v/>
      </c>
      <c r="Z207" s="3">
        <v>46072</v>
      </c>
      <c r="AA207" s="4">
        <v>249.05619999999999</v>
      </c>
      <c r="AB207" s="74">
        <v>46072</v>
      </c>
      <c r="AC207" s="4">
        <v>249.80099999999999</v>
      </c>
      <c r="AD207" s="6">
        <f t="shared" si="29"/>
        <v>46072</v>
      </c>
    </row>
    <row r="208" spans="1:30" x14ac:dyDescent="0.25">
      <c r="A208" s="37"/>
      <c r="B208" s="38"/>
      <c r="C208" s="2"/>
      <c r="D208" s="41"/>
      <c r="E208" s="38"/>
      <c r="F208" s="2"/>
      <c r="G208" s="41"/>
      <c r="H208" s="38"/>
      <c r="I208" s="39"/>
      <c r="J208" s="39"/>
      <c r="K208" s="41"/>
      <c r="L208" s="41"/>
      <c r="M208" s="42"/>
      <c r="U208" s="3" t="str">
        <f t="shared" si="27"/>
        <v/>
      </c>
      <c r="V208" s="3" t="str">
        <f t="shared" si="28"/>
        <v/>
      </c>
      <c r="Z208" s="3">
        <v>46073</v>
      </c>
      <c r="AA208" s="4">
        <v>249.35589999999999</v>
      </c>
      <c r="AB208" s="74">
        <v>46073</v>
      </c>
      <c r="AC208" s="4">
        <v>247.39400000000001</v>
      </c>
      <c r="AD208" s="6">
        <f t="shared" si="29"/>
        <v>46073</v>
      </c>
    </row>
    <row r="209" spans="1:30" x14ac:dyDescent="0.25">
      <c r="A209" s="37"/>
      <c r="B209" s="38"/>
      <c r="C209" s="2"/>
      <c r="D209" s="41"/>
      <c r="E209" s="38"/>
      <c r="F209" s="2"/>
      <c r="G209" s="41"/>
      <c r="H209" s="38"/>
      <c r="I209" s="39"/>
      <c r="J209" s="39"/>
      <c r="K209" s="41"/>
      <c r="L209" s="41"/>
      <c r="M209" s="42"/>
      <c r="U209" s="3" t="str">
        <f t="shared" si="27"/>
        <v/>
      </c>
      <c r="V209" s="3" t="str">
        <f t="shared" si="28"/>
        <v/>
      </c>
      <c r="Z209" s="3">
        <v>46076</v>
      </c>
      <c r="AA209" s="4">
        <v>249.17140000000001</v>
      </c>
      <c r="AB209" s="74">
        <v>46076</v>
      </c>
      <c r="AC209" s="4">
        <v>249.6</v>
      </c>
      <c r="AD209" s="6">
        <f t="shared" si="29"/>
        <v>46076</v>
      </c>
    </row>
    <row r="210" spans="1:30" x14ac:dyDescent="0.25">
      <c r="A210" s="37"/>
      <c r="B210" s="38"/>
      <c r="C210" s="2"/>
      <c r="D210" s="41"/>
      <c r="E210" s="38"/>
      <c r="F210" s="2"/>
      <c r="G210" s="41"/>
      <c r="H210" s="38"/>
      <c r="I210" s="39"/>
      <c r="J210" s="39"/>
      <c r="K210" s="41"/>
      <c r="L210" s="41"/>
      <c r="M210" s="42"/>
      <c r="U210" s="3" t="str">
        <f t="shared" si="27"/>
        <v/>
      </c>
      <c r="V210" s="3" t="str">
        <f t="shared" si="28"/>
        <v/>
      </c>
      <c r="Z210" s="3">
        <v>46077</v>
      </c>
      <c r="AA210" s="4">
        <v>248.90289999999999</v>
      </c>
      <c r="AB210" s="74">
        <v>46077</v>
      </c>
      <c r="AC210" s="4">
        <v>251.95099999999999</v>
      </c>
      <c r="AD210" s="6">
        <f t="shared" si="29"/>
        <v>46077</v>
      </c>
    </row>
    <row r="211" spans="1:30" x14ac:dyDescent="0.25">
      <c r="A211" s="37"/>
      <c r="B211" s="38"/>
      <c r="C211" s="2"/>
      <c r="D211" s="41"/>
      <c r="E211" s="38"/>
      <c r="F211" s="2"/>
      <c r="G211" s="41"/>
      <c r="H211" s="38"/>
      <c r="I211" s="39"/>
      <c r="J211" s="39"/>
      <c r="K211" s="41"/>
      <c r="L211" s="41"/>
      <c r="M211" s="42"/>
      <c r="U211" s="3" t="str">
        <f t="shared" si="27"/>
        <v/>
      </c>
      <c r="V211" s="3" t="str">
        <f t="shared" si="28"/>
        <v/>
      </c>
      <c r="Z211" s="3">
        <v>46078</v>
      </c>
      <c r="AA211" s="4">
        <v>249.0966</v>
      </c>
      <c r="AB211" s="74">
        <v>46078</v>
      </c>
      <c r="AC211" s="4">
        <v>250.364</v>
      </c>
      <c r="AD211" s="6">
        <f t="shared" si="29"/>
        <v>46078</v>
      </c>
    </row>
    <row r="212" spans="1:30" x14ac:dyDescent="0.25">
      <c r="A212" s="37"/>
      <c r="B212" s="38"/>
      <c r="C212" s="2"/>
      <c r="D212" s="41"/>
      <c r="E212" s="38"/>
      <c r="F212" s="2"/>
      <c r="G212" s="41"/>
      <c r="H212" s="38"/>
      <c r="I212" s="39"/>
      <c r="J212" s="39"/>
      <c r="K212" s="41"/>
      <c r="L212" s="41"/>
      <c r="M212" s="42"/>
      <c r="U212" s="3" t="str">
        <f t="shared" si="27"/>
        <v/>
      </c>
      <c r="V212" s="3" t="str">
        <f t="shared" si="28"/>
        <v/>
      </c>
      <c r="Z212" s="3">
        <v>46079</v>
      </c>
      <c r="AA212" s="4">
        <v>248.75470000000001</v>
      </c>
      <c r="AB212" s="74">
        <v>46079</v>
      </c>
      <c r="AC212" s="4">
        <v>255.23400000000001</v>
      </c>
      <c r="AD212" s="6">
        <f t="shared" si="29"/>
        <v>46079</v>
      </c>
    </row>
    <row r="213" spans="1:30" x14ac:dyDescent="0.25">
      <c r="A213" s="37"/>
      <c r="B213" s="38"/>
      <c r="C213" s="2"/>
      <c r="D213" s="41"/>
      <c r="E213" s="38"/>
      <c r="F213" s="2"/>
      <c r="G213" s="41"/>
      <c r="H213" s="38"/>
      <c r="I213" s="39"/>
      <c r="J213" s="39"/>
      <c r="K213" s="41"/>
      <c r="L213" s="41"/>
      <c r="M213" s="42"/>
      <c r="U213" s="3" t="str">
        <f t="shared" si="27"/>
        <v/>
      </c>
      <c r="V213" s="3" t="str">
        <f t="shared" si="28"/>
        <v/>
      </c>
      <c r="Z213" s="3">
        <v>46080</v>
      </c>
      <c r="AA213" s="4">
        <v>248.09289999999999</v>
      </c>
      <c r="AB213" s="74">
        <v>46080</v>
      </c>
      <c r="AC213" s="4">
        <v>260.47699999999998</v>
      </c>
      <c r="AD213" s="6">
        <f t="shared" si="29"/>
        <v>46080</v>
      </c>
    </row>
    <row r="214" spans="1:30" x14ac:dyDescent="0.25">
      <c r="A214" s="37"/>
      <c r="B214" s="38"/>
      <c r="C214" s="2"/>
      <c r="D214" s="41"/>
      <c r="E214" s="38"/>
      <c r="F214" s="2"/>
      <c r="G214" s="41"/>
      <c r="H214" s="38"/>
      <c r="I214" s="39"/>
      <c r="J214" s="39"/>
      <c r="K214" s="41"/>
      <c r="L214" s="41"/>
      <c r="M214" s="42"/>
      <c r="U214" s="3" t="str">
        <f t="shared" si="27"/>
        <v/>
      </c>
      <c r="V214" s="3" t="str">
        <f t="shared" si="28"/>
        <v/>
      </c>
      <c r="Z214" s="3">
        <v>46083</v>
      </c>
      <c r="AA214" s="4">
        <v>247.5763</v>
      </c>
      <c r="AB214" s="74">
        <v>46083</v>
      </c>
      <c r="AC214" s="4">
        <v>263.697</v>
      </c>
      <c r="AD214" s="6">
        <f t="shared" si="29"/>
        <v>46083</v>
      </c>
    </row>
    <row r="215" spans="1:30" x14ac:dyDescent="0.25">
      <c r="A215" s="37"/>
      <c r="B215" s="38"/>
      <c r="C215" s="2"/>
      <c r="D215" s="41"/>
      <c r="E215" s="38"/>
      <c r="F215" s="2"/>
      <c r="G215" s="41"/>
      <c r="H215" s="38"/>
      <c r="I215" s="39"/>
      <c r="J215" s="39"/>
      <c r="K215" s="41"/>
      <c r="L215" s="41"/>
      <c r="M215" s="42"/>
      <c r="U215" s="3" t="str">
        <f t="shared" si="27"/>
        <v/>
      </c>
      <c r="V215" s="3" t="str">
        <f t="shared" si="28"/>
        <v/>
      </c>
      <c r="Z215" s="3">
        <v>46084</v>
      </c>
      <c r="AA215" s="4">
        <v>246.2878</v>
      </c>
      <c r="AB215" s="74">
        <v>46084</v>
      </c>
      <c r="AC215" s="4">
        <v>274.05799999999999</v>
      </c>
      <c r="AD215" s="6">
        <f t="shared" si="29"/>
        <v>46084</v>
      </c>
    </row>
    <row r="216" spans="1:30" x14ac:dyDescent="0.25">
      <c r="A216" s="37"/>
      <c r="B216" s="38"/>
      <c r="C216" s="2"/>
      <c r="D216" s="41"/>
      <c r="E216" s="38"/>
      <c r="F216" s="2"/>
      <c r="G216" s="41"/>
      <c r="H216" s="38"/>
      <c r="I216" s="39"/>
      <c r="J216" s="39"/>
      <c r="K216" s="41"/>
      <c r="L216" s="41"/>
      <c r="M216" s="42"/>
      <c r="U216" s="3" t="str">
        <f t="shared" si="27"/>
        <v/>
      </c>
      <c r="V216" s="3" t="str">
        <f t="shared" si="28"/>
        <v/>
      </c>
      <c r="Z216" s="3">
        <v>46085</v>
      </c>
      <c r="AA216" s="4">
        <v>247.53190000000001</v>
      </c>
      <c r="AB216" s="74">
        <v>46085</v>
      </c>
      <c r="AC216" s="4">
        <v>264.47800000000001</v>
      </c>
      <c r="AD216" s="6">
        <f t="shared" si="29"/>
        <v>46085</v>
      </c>
    </row>
    <row r="217" spans="1:30" x14ac:dyDescent="0.25">
      <c r="A217" s="37"/>
      <c r="B217" s="38"/>
      <c r="C217" s="2"/>
      <c r="D217" s="41"/>
      <c r="E217" s="38"/>
      <c r="F217" s="2"/>
      <c r="G217" s="41"/>
      <c r="H217" s="38"/>
      <c r="I217" s="39"/>
      <c r="J217" s="39"/>
      <c r="K217" s="41"/>
      <c r="L217" s="41"/>
      <c r="M217" s="42"/>
      <c r="U217" s="3" t="str">
        <f t="shared" si="27"/>
        <v/>
      </c>
      <c r="V217" s="3" t="str">
        <f t="shared" si="28"/>
        <v/>
      </c>
      <c r="Z217" s="3">
        <v>46086</v>
      </c>
      <c r="AA217" s="4">
        <v>246.4889</v>
      </c>
      <c r="AB217" s="74">
        <v>46086</v>
      </c>
      <c r="AC217" s="4">
        <v>273.99700000000001</v>
      </c>
      <c r="AD217" s="6">
        <f t="shared" si="29"/>
        <v>46086</v>
      </c>
    </row>
    <row r="218" spans="1:30" x14ac:dyDescent="0.25">
      <c r="A218" s="37"/>
      <c r="B218" s="38"/>
      <c r="C218" s="2"/>
      <c r="D218" s="41"/>
      <c r="E218" s="38"/>
      <c r="F218" s="2"/>
      <c r="G218" s="41"/>
      <c r="H218" s="38"/>
      <c r="I218" s="39"/>
      <c r="J218" s="39"/>
      <c r="K218" s="41"/>
      <c r="L218" s="41"/>
      <c r="M218" s="42"/>
      <c r="U218" s="3" t="str">
        <f t="shared" si="27"/>
        <v/>
      </c>
      <c r="V218" s="3" t="str">
        <f t="shared" si="28"/>
        <v/>
      </c>
      <c r="Z218" s="3">
        <v>46087</v>
      </c>
      <c r="AA218" s="4">
        <v>244.8614</v>
      </c>
      <c r="AB218" s="74">
        <v>46087</v>
      </c>
      <c r="AC218" s="4">
        <v>288.99400000000003</v>
      </c>
      <c r="AD218" s="6">
        <f t="shared" si="29"/>
        <v>46087</v>
      </c>
    </row>
    <row r="219" spans="1:30" x14ac:dyDescent="0.25">
      <c r="A219" s="37"/>
      <c r="B219" s="38"/>
      <c r="C219" s="2"/>
      <c r="D219" s="41"/>
      <c r="E219" s="38"/>
      <c r="F219" s="2"/>
      <c r="G219" s="41"/>
      <c r="H219" s="38"/>
      <c r="I219" s="39"/>
      <c r="J219" s="39"/>
      <c r="K219" s="41"/>
      <c r="L219" s="41"/>
      <c r="M219" s="42"/>
      <c r="U219" s="3" t="str">
        <f t="shared" si="27"/>
        <v/>
      </c>
      <c r="V219" s="3" t="str">
        <f t="shared" si="28"/>
        <v/>
      </c>
      <c r="Z219" s="3">
        <v>46090</v>
      </c>
      <c r="AA219" s="4">
        <v>244.64580000000001</v>
      </c>
      <c r="AB219" s="74">
        <v>46090</v>
      </c>
      <c r="AC219" s="4">
        <v>291.28300000000002</v>
      </c>
      <c r="AD219" s="6">
        <f t="shared" si="29"/>
        <v>46090</v>
      </c>
    </row>
    <row r="220" spans="1:30" x14ac:dyDescent="0.25">
      <c r="A220" s="37"/>
      <c r="B220" s="38"/>
      <c r="C220" s="2"/>
      <c r="D220" s="41"/>
      <c r="E220" s="38"/>
      <c r="F220" s="2"/>
      <c r="G220" s="41"/>
      <c r="H220" s="38"/>
      <c r="I220" s="39"/>
      <c r="J220" s="39"/>
      <c r="K220" s="41"/>
      <c r="L220" s="41"/>
      <c r="M220" s="42"/>
      <c r="U220" s="3" t="str">
        <f t="shared" si="27"/>
        <v/>
      </c>
      <c r="V220" s="3" t="str">
        <f t="shared" si="28"/>
        <v/>
      </c>
      <c r="Z220" s="3">
        <v>46091</v>
      </c>
      <c r="AA220" s="4">
        <v>246.5496</v>
      </c>
      <c r="AB220" s="74">
        <v>46091</v>
      </c>
      <c r="AC220" s="4">
        <v>273.73200000000003</v>
      </c>
      <c r="AD220" s="6">
        <f t="shared" si="29"/>
        <v>46091</v>
      </c>
    </row>
    <row r="221" spans="1:30" x14ac:dyDescent="0.25">
      <c r="A221" s="37"/>
      <c r="B221" s="38"/>
      <c r="C221" s="2"/>
      <c r="D221" s="41"/>
      <c r="E221" s="38"/>
      <c r="F221" s="2"/>
      <c r="G221" s="41"/>
      <c r="H221" s="38"/>
      <c r="I221" s="39"/>
      <c r="J221" s="39"/>
      <c r="K221" s="41"/>
      <c r="L221" s="41"/>
      <c r="M221" s="42"/>
      <c r="U221" s="3" t="str">
        <f t="shared" si="27"/>
        <v/>
      </c>
      <c r="V221" s="3" t="str">
        <f t="shared" si="28"/>
        <v/>
      </c>
      <c r="Z221" s="3">
        <v>46092</v>
      </c>
      <c r="AA221" s="4">
        <v>245.137</v>
      </c>
      <c r="AB221" s="74">
        <v>46092</v>
      </c>
      <c r="AC221" s="4">
        <v>286.94400000000002</v>
      </c>
      <c r="AD221" s="6">
        <f t="shared" si="29"/>
        <v>46092</v>
      </c>
    </row>
    <row r="222" spans="1:30" x14ac:dyDescent="0.25">
      <c r="A222" s="37"/>
      <c r="B222" s="38"/>
      <c r="C222" s="2"/>
      <c r="D222" s="41"/>
      <c r="E222" s="38"/>
      <c r="F222" s="2"/>
      <c r="G222" s="41"/>
      <c r="H222" s="38"/>
      <c r="I222" s="39"/>
      <c r="J222" s="39"/>
      <c r="K222" s="41"/>
      <c r="L222" s="41"/>
      <c r="M222" s="42"/>
      <c r="U222" s="3" t="str">
        <f t="shared" si="27"/>
        <v/>
      </c>
      <c r="V222" s="3" t="str">
        <f t="shared" si="28"/>
        <v/>
      </c>
      <c r="Z222" s="3">
        <v>46093</v>
      </c>
      <c r="AA222" s="4">
        <v>244.11789999999999</v>
      </c>
      <c r="AB222" s="74">
        <v>46093</v>
      </c>
      <c r="AC222" s="4">
        <v>296.94900000000001</v>
      </c>
      <c r="AD222" s="6">
        <f t="shared" si="29"/>
        <v>46093</v>
      </c>
    </row>
    <row r="223" spans="1:30" x14ac:dyDescent="0.25">
      <c r="A223" s="37"/>
      <c r="B223" s="38"/>
      <c r="C223" s="2"/>
      <c r="D223" s="41"/>
      <c r="E223" s="38"/>
      <c r="F223" s="2"/>
      <c r="G223" s="41"/>
      <c r="H223" s="38"/>
      <c r="I223" s="39"/>
      <c r="J223" s="39"/>
      <c r="K223" s="41"/>
      <c r="L223" s="41"/>
      <c r="M223" s="42"/>
      <c r="U223" s="3" t="str">
        <f t="shared" si="27"/>
        <v/>
      </c>
      <c r="V223" s="3" t="str">
        <f t="shared" si="28"/>
        <v/>
      </c>
      <c r="Z223" s="3">
        <v>46094</v>
      </c>
      <c r="AA223" s="4">
        <v>243.1234</v>
      </c>
      <c r="AB223" s="74">
        <v>46094</v>
      </c>
      <c r="AC223" s="4">
        <v>306.91699999999997</v>
      </c>
      <c r="AD223" s="6">
        <f t="shared" si="29"/>
        <v>46094</v>
      </c>
    </row>
    <row r="224" spans="1:30" x14ac:dyDescent="0.25">
      <c r="A224" s="37"/>
      <c r="B224" s="38"/>
      <c r="C224" s="2"/>
      <c r="D224" s="41"/>
      <c r="E224" s="38"/>
      <c r="F224" s="2"/>
      <c r="G224" s="41"/>
      <c r="H224" s="38"/>
      <c r="I224" s="39"/>
      <c r="J224" s="39"/>
      <c r="K224" s="41"/>
      <c r="L224" s="41"/>
      <c r="M224" s="42"/>
      <c r="U224" s="3" t="str">
        <f t="shared" si="27"/>
        <v/>
      </c>
      <c r="V224" s="3" t="str">
        <f t="shared" si="28"/>
        <v/>
      </c>
      <c r="Z224" s="3">
        <v>46097</v>
      </c>
      <c r="AA224" s="4">
        <v>243.46899999999999</v>
      </c>
      <c r="AB224" s="74">
        <v>46097</v>
      </c>
      <c r="AC224" s="4">
        <v>303.91500000000002</v>
      </c>
      <c r="AD224" s="6">
        <f t="shared" si="29"/>
        <v>46097</v>
      </c>
    </row>
    <row r="225" spans="1:30" x14ac:dyDescent="0.25">
      <c r="A225" s="37"/>
      <c r="B225" s="38"/>
      <c r="C225" s="2"/>
      <c r="D225" s="41"/>
      <c r="E225" s="38"/>
      <c r="F225" s="2"/>
      <c r="G225" s="41"/>
      <c r="H225" s="38"/>
      <c r="I225" s="39"/>
      <c r="J225" s="39"/>
      <c r="K225" s="41"/>
      <c r="L225" s="41"/>
      <c r="M225" s="42"/>
      <c r="U225" s="3" t="str">
        <f t="shared" si="27"/>
        <v/>
      </c>
      <c r="V225" s="3" t="str">
        <f t="shared" si="28"/>
        <v/>
      </c>
      <c r="Z225" s="3">
        <v>46098</v>
      </c>
      <c r="AA225" s="4">
        <v>244.42140000000001</v>
      </c>
      <c r="AB225" s="74">
        <v>46098</v>
      </c>
      <c r="AC225" s="4">
        <v>294.67</v>
      </c>
      <c r="AD225" s="6">
        <f t="shared" si="29"/>
        <v>46098</v>
      </c>
    </row>
    <row r="226" spans="1:30" x14ac:dyDescent="0.25">
      <c r="A226" s="37"/>
      <c r="B226" s="38"/>
      <c r="C226" s="2"/>
      <c r="D226" s="41"/>
      <c r="E226" s="38"/>
      <c r="F226" s="2"/>
      <c r="G226" s="41"/>
      <c r="H226" s="38"/>
      <c r="I226" s="39"/>
      <c r="J226" s="39"/>
      <c r="K226" s="41"/>
      <c r="L226" s="41"/>
      <c r="M226" s="42"/>
      <c r="U226" s="3" t="str">
        <f t="shared" si="27"/>
        <v/>
      </c>
      <c r="V226" s="3" t="str">
        <f t="shared" si="28"/>
        <v/>
      </c>
      <c r="Z226" s="3">
        <v>46099</v>
      </c>
      <c r="AA226" s="4">
        <v>244.00810000000001</v>
      </c>
      <c r="AB226" s="74">
        <v>46099</v>
      </c>
      <c r="AC226" s="4">
        <v>298.87400000000002</v>
      </c>
      <c r="AD226" s="6">
        <f t="shared" si="29"/>
        <v>46099</v>
      </c>
    </row>
    <row r="227" spans="1:30" x14ac:dyDescent="0.25">
      <c r="A227" s="37"/>
      <c r="B227" s="38"/>
      <c r="C227" s="2"/>
      <c r="D227" s="41"/>
      <c r="E227" s="38"/>
      <c r="F227" s="2"/>
      <c r="G227" s="41"/>
      <c r="H227" s="38"/>
      <c r="I227" s="39"/>
      <c r="J227" s="39"/>
      <c r="K227" s="41"/>
      <c r="L227" s="41"/>
      <c r="M227" s="42"/>
      <c r="U227" s="3" t="str">
        <f t="shared" si="27"/>
        <v/>
      </c>
      <c r="V227" s="3" t="str">
        <f t="shared" si="28"/>
        <v/>
      </c>
      <c r="Z227" s="3">
        <v>46100</v>
      </c>
      <c r="AA227" s="4">
        <v>242.7533</v>
      </c>
      <c r="AB227" s="74">
        <v>46100</v>
      </c>
      <c r="AC227" s="4">
        <v>310.92399999999998</v>
      </c>
      <c r="AD227" s="6">
        <f t="shared" si="29"/>
        <v>46100</v>
      </c>
    </row>
    <row r="228" spans="1:30" x14ac:dyDescent="0.25">
      <c r="A228" s="37"/>
      <c r="B228" s="38"/>
      <c r="C228" s="2"/>
      <c r="D228" s="41"/>
      <c r="E228" s="38"/>
      <c r="F228" s="2"/>
      <c r="G228" s="41"/>
      <c r="H228" s="38"/>
      <c r="I228" s="39"/>
      <c r="J228" s="39"/>
      <c r="K228" s="41"/>
      <c r="L228" s="41"/>
      <c r="M228" s="42"/>
      <c r="U228" s="3" t="str">
        <f t="shared" si="27"/>
        <v/>
      </c>
      <c r="V228" s="3" t="str">
        <f t="shared" si="28"/>
        <v/>
      </c>
      <c r="Z228" s="3">
        <v>46101</v>
      </c>
      <c r="AA228" s="4">
        <v>241.26779999999999</v>
      </c>
      <c r="AB228" s="74">
        <v>46101</v>
      </c>
      <c r="AC228" s="4">
        <v>349.96800000000002</v>
      </c>
      <c r="AD228" s="6">
        <f t="shared" si="29"/>
        <v>46101</v>
      </c>
    </row>
    <row r="229" spans="1:30" x14ac:dyDescent="0.25">
      <c r="A229" s="37"/>
      <c r="B229" s="38"/>
      <c r="C229" s="2"/>
      <c r="D229" s="41"/>
      <c r="E229" s="38"/>
      <c r="F229" s="2"/>
      <c r="G229" s="41"/>
      <c r="H229" s="38"/>
      <c r="I229" s="39"/>
      <c r="J229" s="39"/>
      <c r="K229" s="41"/>
      <c r="L229" s="41"/>
      <c r="M229" s="42"/>
      <c r="U229" s="3" t="str">
        <f t="shared" si="27"/>
        <v/>
      </c>
      <c r="V229" s="3" t="str">
        <f t="shared" si="28"/>
        <v/>
      </c>
      <c r="Z229" s="3">
        <v>46104</v>
      </c>
      <c r="AA229" s="4">
        <v>242.08969999999999</v>
      </c>
      <c r="AB229" s="74">
        <v>46104</v>
      </c>
      <c r="AC229" s="4">
        <v>341.77300000000002</v>
      </c>
      <c r="AD229" s="6">
        <f t="shared" si="29"/>
        <v>46104</v>
      </c>
    </row>
    <row r="230" spans="1:30" x14ac:dyDescent="0.25">
      <c r="A230" s="37"/>
      <c r="B230" s="38"/>
      <c r="C230" s="2"/>
      <c r="D230" s="41"/>
      <c r="E230" s="38"/>
      <c r="F230" s="2"/>
      <c r="G230" s="41"/>
      <c r="H230" s="38"/>
      <c r="I230" s="39"/>
      <c r="J230" s="39"/>
      <c r="K230" s="41"/>
      <c r="L230" s="41"/>
      <c r="M230" s="42"/>
      <c r="U230" s="3" t="str">
        <f t="shared" si="27"/>
        <v/>
      </c>
      <c r="V230" s="3" t="str">
        <f t="shared" si="28"/>
        <v/>
      </c>
      <c r="Z230" s="3">
        <v>46105</v>
      </c>
      <c r="AA230" s="4">
        <v>242.32900000000001</v>
      </c>
      <c r="AB230" s="74">
        <v>46105</v>
      </c>
      <c r="AC230" s="4">
        <v>342.03300000000002</v>
      </c>
      <c r="AD230" s="6">
        <f t="shared" si="29"/>
        <v>46105</v>
      </c>
    </row>
    <row r="231" spans="1:30" x14ac:dyDescent="0.25">
      <c r="A231" s="37"/>
      <c r="B231" s="38"/>
      <c r="C231" s="2"/>
      <c r="D231" s="41"/>
      <c r="E231" s="38"/>
      <c r="F231" s="2"/>
      <c r="G231" s="41"/>
      <c r="H231" s="38"/>
      <c r="I231" s="39"/>
      <c r="J231" s="39"/>
      <c r="K231" s="41"/>
      <c r="L231" s="41"/>
      <c r="M231" s="42"/>
      <c r="U231" s="3" t="str">
        <f t="shared" si="27"/>
        <v/>
      </c>
      <c r="V231" s="3" t="str">
        <f t="shared" si="28"/>
        <v/>
      </c>
      <c r="Z231" s="3">
        <v>46106</v>
      </c>
      <c r="AA231" s="4">
        <v>243.4736</v>
      </c>
      <c r="AB231" s="74">
        <v>46106</v>
      </c>
      <c r="AC231" s="4">
        <v>330.851</v>
      </c>
      <c r="AD231" s="6">
        <f t="shared" si="29"/>
        <v>46106</v>
      </c>
    </row>
    <row r="232" spans="1:30" x14ac:dyDescent="0.25">
      <c r="A232" s="37"/>
      <c r="B232" s="38"/>
      <c r="C232" s="2"/>
      <c r="D232" s="41"/>
      <c r="E232" s="38"/>
      <c r="F232" s="2"/>
      <c r="G232" s="41"/>
      <c r="H232" s="38"/>
      <c r="I232" s="39"/>
      <c r="J232" s="39"/>
      <c r="K232" s="41"/>
      <c r="L232" s="41"/>
      <c r="M232" s="42"/>
      <c r="U232" s="3" t="str">
        <f t="shared" si="27"/>
        <v/>
      </c>
      <c r="V232" s="3" t="str">
        <f t="shared" si="28"/>
        <v/>
      </c>
      <c r="Z232" s="3">
        <v>46107</v>
      </c>
      <c r="AA232" s="4">
        <v>241.38650000000001</v>
      </c>
      <c r="AB232" s="74">
        <v>46107</v>
      </c>
      <c r="AC232" s="4">
        <v>351.12799999999999</v>
      </c>
      <c r="AD232" s="6">
        <f t="shared" si="29"/>
        <v>46107</v>
      </c>
    </row>
    <row r="233" spans="1:30" x14ac:dyDescent="0.25">
      <c r="A233" s="37"/>
      <c r="B233" s="38"/>
      <c r="C233" s="2"/>
      <c r="D233" s="41"/>
      <c r="E233" s="38"/>
      <c r="F233" s="2"/>
      <c r="G233" s="41"/>
      <c r="H233" s="38"/>
      <c r="I233" s="39"/>
      <c r="J233" s="39"/>
      <c r="K233" s="41"/>
      <c r="L233" s="41"/>
      <c r="M233" s="42"/>
      <c r="U233" s="3" t="str">
        <f t="shared" si="27"/>
        <v/>
      </c>
      <c r="V233" s="3" t="str">
        <f t="shared" si="28"/>
        <v/>
      </c>
      <c r="Z233" s="3">
        <v>46108</v>
      </c>
      <c r="AA233" s="4">
        <v>240.04679999999999</v>
      </c>
      <c r="AB233" s="74">
        <v>46108</v>
      </c>
      <c r="AC233" s="4">
        <v>361.84800000000001</v>
      </c>
      <c r="AD233" s="6">
        <f t="shared" si="29"/>
        <v>46108</v>
      </c>
    </row>
    <row r="234" spans="1:30" x14ac:dyDescent="0.25">
      <c r="A234" s="37"/>
      <c r="B234" s="38"/>
      <c r="C234" s="2"/>
      <c r="D234" s="41"/>
      <c r="E234" s="38"/>
      <c r="F234" s="2"/>
      <c r="G234" s="41"/>
      <c r="H234" s="38"/>
      <c r="I234" s="39"/>
      <c r="J234" s="39"/>
      <c r="K234" s="41"/>
      <c r="L234" s="41"/>
      <c r="M234" s="42"/>
      <c r="U234" s="3" t="str">
        <f t="shared" si="27"/>
        <v/>
      </c>
      <c r="V234" s="3" t="str">
        <f t="shared" si="28"/>
        <v/>
      </c>
      <c r="Z234" s="3">
        <v>46111</v>
      </c>
      <c r="AA234" s="4">
        <v>240.15790000000001</v>
      </c>
      <c r="AB234" s="74">
        <v>46111</v>
      </c>
      <c r="AC234" s="4">
        <v>361.5</v>
      </c>
      <c r="AD234" s="6">
        <f t="shared" si="29"/>
        <v>46111</v>
      </c>
    </row>
    <row r="235" spans="1:30" x14ac:dyDescent="0.25">
      <c r="A235" s="37"/>
      <c r="B235" s="38"/>
      <c r="C235" s="2"/>
      <c r="D235" s="41"/>
      <c r="E235" s="38"/>
      <c r="F235" s="2"/>
      <c r="G235" s="41"/>
      <c r="H235" s="38"/>
      <c r="I235" s="39"/>
      <c r="J235" s="39"/>
      <c r="K235" s="41"/>
      <c r="L235" s="41"/>
      <c r="M235" s="42"/>
      <c r="U235" s="3" t="str">
        <f t="shared" si="27"/>
        <v/>
      </c>
      <c r="V235" s="3" t="str">
        <f t="shared" si="28"/>
        <v/>
      </c>
      <c r="Z235" s="3">
        <v>46112</v>
      </c>
      <c r="AA235" s="4">
        <v>241.21780000000001</v>
      </c>
      <c r="AB235" s="74">
        <v>46112</v>
      </c>
      <c r="AC235" s="4">
        <v>353.01900000000001</v>
      </c>
      <c r="AD235" s="6">
        <f t="shared" si="29"/>
        <v>46112</v>
      </c>
    </row>
    <row r="236" spans="1:30" x14ac:dyDescent="0.25">
      <c r="A236" s="37"/>
      <c r="B236" s="38"/>
      <c r="C236" s="2"/>
      <c r="D236" s="41"/>
      <c r="E236" s="38"/>
      <c r="F236" s="2"/>
      <c r="G236" s="41"/>
      <c r="H236" s="38"/>
      <c r="I236" s="39"/>
      <c r="J236" s="39"/>
      <c r="K236" s="41"/>
      <c r="L236" s="41"/>
      <c r="M236" s="42"/>
      <c r="U236" s="3" t="str">
        <f t="shared" si="27"/>
        <v/>
      </c>
      <c r="V236" s="3" t="str">
        <f t="shared" si="28"/>
        <v/>
      </c>
      <c r="Z236" s="3">
        <v>46113</v>
      </c>
      <c r="AA236" s="4">
        <v>244.02869999999999</v>
      </c>
      <c r="AB236" s="74">
        <v>46113</v>
      </c>
      <c r="AC236" s="4">
        <v>327.18900000000002</v>
      </c>
      <c r="AD236" s="6">
        <f t="shared" si="29"/>
        <v>46113</v>
      </c>
    </row>
    <row r="237" spans="1:30" x14ac:dyDescent="0.25">
      <c r="A237" s="37"/>
      <c r="B237" s="38"/>
      <c r="C237" s="2"/>
      <c r="D237" s="41"/>
      <c r="E237" s="38"/>
      <c r="F237" s="2"/>
      <c r="G237" s="41"/>
      <c r="H237" s="38"/>
      <c r="I237" s="39"/>
      <c r="J237" s="39"/>
      <c r="K237" s="41"/>
      <c r="L237" s="41"/>
      <c r="M237" s="42"/>
      <c r="U237" s="3" t="str">
        <f t="shared" si="27"/>
        <v/>
      </c>
      <c r="V237" s="3" t="str">
        <f t="shared" si="28"/>
        <v/>
      </c>
      <c r="Z237" s="3">
        <v>46114</v>
      </c>
      <c r="AA237" s="4">
        <v>244.23920000000001</v>
      </c>
      <c r="AB237" s="74">
        <v>46114</v>
      </c>
      <c r="AC237" s="4">
        <v>325.447</v>
      </c>
      <c r="AD237" s="6">
        <f t="shared" si="29"/>
        <v>46114</v>
      </c>
    </row>
    <row r="238" spans="1:30" x14ac:dyDescent="0.25">
      <c r="A238" s="37"/>
      <c r="B238" s="38"/>
      <c r="C238" s="2"/>
      <c r="D238" s="41"/>
      <c r="E238" s="38"/>
      <c r="F238" s="2"/>
      <c r="G238" s="41"/>
      <c r="H238" s="38"/>
      <c r="I238" s="39"/>
      <c r="J238" s="39"/>
      <c r="K238" s="41"/>
      <c r="L238" s="41"/>
      <c r="M238" s="42"/>
      <c r="U238" s="3" t="str">
        <f t="shared" si="27"/>
        <v/>
      </c>
      <c r="V238" s="3" t="str">
        <f t="shared" si="28"/>
        <v/>
      </c>
      <c r="Z238" s="3">
        <v>46119</v>
      </c>
      <c r="AA238" s="4">
        <v>243.34200000000001</v>
      </c>
      <c r="AB238" s="74">
        <v>46119</v>
      </c>
      <c r="AC238" s="4">
        <v>335.255</v>
      </c>
      <c r="AD238" s="6">
        <f t="shared" si="29"/>
        <v>46119</v>
      </c>
    </row>
    <row r="239" spans="1:30" x14ac:dyDescent="0.25">
      <c r="A239" s="37"/>
      <c r="B239" s="38"/>
      <c r="C239" s="2"/>
      <c r="D239" s="41"/>
      <c r="E239" s="38"/>
      <c r="F239" s="2"/>
      <c r="G239" s="41"/>
      <c r="H239" s="38"/>
      <c r="I239" s="39"/>
      <c r="J239" s="39"/>
      <c r="K239" s="41"/>
      <c r="L239" s="41"/>
      <c r="M239" s="42"/>
      <c r="U239" s="3" t="str">
        <f t="shared" si="27"/>
        <v/>
      </c>
      <c r="V239" s="3" t="str">
        <f t="shared" si="28"/>
        <v/>
      </c>
      <c r="Z239" s="3">
        <v>46120</v>
      </c>
      <c r="AA239" s="4">
        <v>247.41990000000001</v>
      </c>
      <c r="AB239" s="74">
        <v>46120</v>
      </c>
      <c r="AC239" s="4">
        <v>297.39699999999999</v>
      </c>
      <c r="AD239" s="6">
        <f t="shared" si="29"/>
        <v>46120</v>
      </c>
    </row>
    <row r="240" spans="1:30" x14ac:dyDescent="0.25">
      <c r="A240" s="37"/>
      <c r="B240" s="38"/>
      <c r="C240" s="2"/>
      <c r="D240" s="41"/>
      <c r="E240" s="38"/>
      <c r="F240" s="2"/>
      <c r="G240" s="41"/>
      <c r="H240" s="38"/>
      <c r="I240" s="39"/>
      <c r="J240" s="39"/>
      <c r="K240" s="41"/>
      <c r="L240" s="41"/>
      <c r="M240" s="42"/>
      <c r="U240" s="3" t="str">
        <f t="shared" si="27"/>
        <v/>
      </c>
      <c r="V240" s="3" t="str">
        <f t="shared" si="28"/>
        <v/>
      </c>
      <c r="Z240" s="3">
        <v>46121</v>
      </c>
      <c r="AA240" s="4">
        <v>248.24930000000001</v>
      </c>
      <c r="AB240" s="74">
        <v>46121</v>
      </c>
      <c r="AC240" s="4">
        <v>290.79300000000001</v>
      </c>
      <c r="AD240" s="6">
        <f t="shared" si="29"/>
        <v>46121</v>
      </c>
    </row>
    <row r="241" spans="1:30" x14ac:dyDescent="0.25">
      <c r="A241" s="37"/>
      <c r="B241" s="38"/>
      <c r="C241" s="2"/>
      <c r="D241" s="41"/>
      <c r="E241" s="38"/>
      <c r="F241" s="2"/>
      <c r="G241" s="41"/>
      <c r="H241" s="38"/>
      <c r="I241" s="39"/>
      <c r="J241" s="39"/>
      <c r="K241" s="41"/>
      <c r="L241" s="41"/>
      <c r="M241" s="42"/>
      <c r="U241" s="3" t="str">
        <f t="shared" si="27"/>
        <v/>
      </c>
      <c r="V241" s="3" t="str">
        <f t="shared" si="28"/>
        <v/>
      </c>
      <c r="Z241" s="3">
        <v>46122</v>
      </c>
      <c r="AA241" s="4">
        <v>248.2782</v>
      </c>
      <c r="AB241" s="74">
        <v>46122</v>
      </c>
      <c r="AC241" s="4">
        <v>294.03300000000002</v>
      </c>
      <c r="AD241" s="6">
        <f t="shared" si="29"/>
        <v>46122</v>
      </c>
    </row>
    <row r="242" spans="1:30" x14ac:dyDescent="0.25">
      <c r="A242" s="37"/>
      <c r="B242" s="38"/>
      <c r="C242" s="2"/>
      <c r="D242" s="41"/>
      <c r="E242" s="38"/>
      <c r="F242" s="2"/>
      <c r="G242" s="41"/>
      <c r="H242" s="38"/>
      <c r="I242" s="39"/>
      <c r="J242" s="39"/>
      <c r="K242" s="41"/>
      <c r="L242" s="41"/>
      <c r="M242" s="42"/>
      <c r="U242" s="3" t="str">
        <f t="shared" si="27"/>
        <v/>
      </c>
      <c r="V242" s="3" t="str">
        <f t="shared" si="28"/>
        <v/>
      </c>
      <c r="Z242" s="3">
        <v>46125</v>
      </c>
      <c r="AA242" s="4">
        <v>248.03890000000001</v>
      </c>
      <c r="AB242" s="74">
        <v>46125</v>
      </c>
      <c r="AC242" s="4">
        <v>295.34500000000003</v>
      </c>
      <c r="AD242" s="6">
        <f t="shared" si="29"/>
        <v>46125</v>
      </c>
    </row>
    <row r="243" spans="1:30" x14ac:dyDescent="0.25">
      <c r="A243" s="37"/>
      <c r="B243" s="38"/>
      <c r="C243" s="2"/>
      <c r="D243" s="41"/>
      <c r="E243" s="38"/>
      <c r="F243" s="2"/>
      <c r="G243" s="41"/>
      <c r="H243" s="38"/>
      <c r="I243" s="39"/>
      <c r="J243" s="39"/>
      <c r="K243" s="41"/>
      <c r="L243" s="41"/>
      <c r="M243" s="42"/>
      <c r="U243" s="3" t="str">
        <f t="shared" si="27"/>
        <v/>
      </c>
      <c r="V243" s="3" t="str">
        <f t="shared" si="28"/>
        <v/>
      </c>
      <c r="Z243" s="3">
        <v>46126</v>
      </c>
      <c r="AA243" s="4">
        <v>249.5992</v>
      </c>
      <c r="AB243" s="74">
        <v>46126</v>
      </c>
      <c r="AC243" s="4">
        <v>281.303</v>
      </c>
      <c r="AD243" s="6">
        <f t="shared" si="29"/>
        <v>46126</v>
      </c>
    </row>
    <row r="244" spans="1:30" x14ac:dyDescent="0.25">
      <c r="A244" s="37"/>
      <c r="B244" s="38"/>
      <c r="C244" s="2"/>
      <c r="D244" s="41"/>
      <c r="E244" s="38"/>
      <c r="F244" s="2"/>
      <c r="G244" s="41"/>
      <c r="H244" s="38"/>
      <c r="I244" s="39"/>
      <c r="J244" s="39"/>
      <c r="K244" s="41"/>
      <c r="L244" s="41"/>
      <c r="M244" s="42"/>
      <c r="U244" s="3" t="str">
        <f t="shared" si="27"/>
        <v/>
      </c>
      <c r="V244" s="3" t="str">
        <f t="shared" si="28"/>
        <v/>
      </c>
      <c r="Z244" s="3">
        <v>46127</v>
      </c>
      <c r="AA244" s="4">
        <v>249.53909999999999</v>
      </c>
      <c r="AB244" s="74">
        <v>46127</v>
      </c>
      <c r="AC244" s="4">
        <v>283.45699999999999</v>
      </c>
      <c r="AD244" s="6">
        <f t="shared" si="29"/>
        <v>46127</v>
      </c>
    </row>
    <row r="245" spans="1:30" x14ac:dyDescent="0.25">
      <c r="A245" s="37"/>
      <c r="B245" s="38"/>
      <c r="C245" s="2"/>
      <c r="D245" s="41"/>
      <c r="E245" s="38"/>
      <c r="F245" s="2"/>
      <c r="G245" s="41"/>
      <c r="H245" s="38"/>
      <c r="I245" s="39"/>
      <c r="J245" s="39"/>
      <c r="K245" s="41"/>
      <c r="L245" s="41"/>
      <c r="M245" s="42"/>
      <c r="U245" s="3" t="str">
        <f t="shared" si="27"/>
        <v/>
      </c>
      <c r="V245" s="3" t="str">
        <f t="shared" si="28"/>
        <v/>
      </c>
      <c r="Z245" s="3">
        <v>46128</v>
      </c>
      <c r="AA245" s="4">
        <v>249.1765</v>
      </c>
      <c r="AB245" s="74">
        <v>46128</v>
      </c>
      <c r="AC245" s="4">
        <v>287.08800000000002</v>
      </c>
      <c r="AD245" s="6">
        <f t="shared" si="29"/>
        <v>46128</v>
      </c>
    </row>
    <row r="246" spans="1:30" x14ac:dyDescent="0.25">
      <c r="A246" s="37"/>
      <c r="B246" s="38"/>
      <c r="C246" s="2"/>
      <c r="D246" s="41"/>
      <c r="E246" s="38"/>
      <c r="F246" s="2"/>
      <c r="G246" s="41"/>
      <c r="H246" s="38"/>
      <c r="I246" s="39"/>
      <c r="J246" s="39"/>
      <c r="K246" s="41"/>
      <c r="L246" s="41"/>
      <c r="M246" s="42"/>
      <c r="U246" s="3" t="str">
        <f t="shared" si="27"/>
        <v/>
      </c>
      <c r="V246" s="3" t="str">
        <f t="shared" si="28"/>
        <v/>
      </c>
      <c r="Z246" s="3">
        <v>46129</v>
      </c>
      <c r="AA246" s="4">
        <v>250.45760000000001</v>
      </c>
      <c r="AB246" s="74">
        <v>46129</v>
      </c>
      <c r="AC246" s="4">
        <v>275.86700000000002</v>
      </c>
      <c r="AD246" s="6">
        <f t="shared" si="29"/>
        <v>46129</v>
      </c>
    </row>
    <row r="247" spans="1:30" x14ac:dyDescent="0.25">
      <c r="A247" s="37"/>
      <c r="B247" s="38"/>
      <c r="C247" s="2"/>
      <c r="D247" s="41"/>
      <c r="E247" s="38"/>
      <c r="F247" s="2"/>
      <c r="G247" s="41"/>
      <c r="H247" s="38"/>
      <c r="I247" s="39"/>
      <c r="J247" s="39"/>
      <c r="K247" s="41"/>
      <c r="L247" s="41"/>
      <c r="M247" s="42"/>
      <c r="U247" s="3" t="str">
        <f t="shared" si="27"/>
        <v/>
      </c>
      <c r="V247" s="3" t="str">
        <f t="shared" si="28"/>
        <v/>
      </c>
      <c r="Z247" s="3">
        <v>46132</v>
      </c>
      <c r="AA247" s="4">
        <v>250.11789999999999</v>
      </c>
      <c r="AB247" s="74">
        <v>46132</v>
      </c>
      <c r="AC247" s="4">
        <v>279.73</v>
      </c>
      <c r="AD247" s="6">
        <f t="shared" si="29"/>
        <v>46132</v>
      </c>
    </row>
    <row r="248" spans="1:30" x14ac:dyDescent="0.25">
      <c r="A248" s="37"/>
      <c r="B248" s="38"/>
      <c r="C248" s="2"/>
      <c r="D248" s="41"/>
      <c r="E248" s="38"/>
      <c r="F248" s="2"/>
      <c r="G248" s="41"/>
      <c r="H248" s="38"/>
      <c r="I248" s="39"/>
      <c r="J248" s="39"/>
      <c r="K248" s="41"/>
      <c r="L248" s="41"/>
      <c r="M248" s="42"/>
      <c r="U248" s="3" t="str">
        <f t="shared" si="27"/>
        <v/>
      </c>
      <c r="V248" s="3" t="str">
        <f t="shared" si="28"/>
        <v/>
      </c>
      <c r="Z248" s="3">
        <v>46133</v>
      </c>
      <c r="AA248" s="4">
        <v>249.51689999999999</v>
      </c>
      <c r="AB248" s="74">
        <v>46133</v>
      </c>
      <c r="AC248" s="4">
        <v>285.02300000000002</v>
      </c>
      <c r="AD248" s="6">
        <f t="shared" si="29"/>
        <v>46133</v>
      </c>
    </row>
    <row r="249" spans="1:30" x14ac:dyDescent="0.25">
      <c r="A249" s="37"/>
      <c r="B249" s="38"/>
      <c r="C249" s="2"/>
      <c r="D249" s="41"/>
      <c r="E249" s="38"/>
      <c r="F249" s="2"/>
      <c r="G249" s="41"/>
      <c r="H249" s="38"/>
      <c r="I249" s="39"/>
      <c r="J249" s="39"/>
      <c r="K249" s="41"/>
      <c r="L249" s="41"/>
      <c r="M249" s="42"/>
      <c r="U249" s="3" t="str">
        <f t="shared" si="27"/>
        <v/>
      </c>
      <c r="V249" s="3" t="str">
        <f t="shared" si="28"/>
        <v/>
      </c>
      <c r="Z249" s="3">
        <v>46134</v>
      </c>
      <c r="AA249" s="4">
        <v>249.46960000000001</v>
      </c>
      <c r="AB249" s="74">
        <v>46134</v>
      </c>
      <c r="AC249" s="4">
        <v>285.94499999999999</v>
      </c>
      <c r="AD249" s="6">
        <f t="shared" si="29"/>
        <v>46134</v>
      </c>
    </row>
    <row r="250" spans="1:30" x14ac:dyDescent="0.25">
      <c r="A250" s="37"/>
      <c r="B250" s="38"/>
      <c r="C250" s="2"/>
      <c r="D250" s="41"/>
      <c r="E250" s="38"/>
      <c r="F250" s="2"/>
      <c r="G250" s="41"/>
      <c r="H250" s="38"/>
      <c r="I250" s="39"/>
      <c r="J250" s="39"/>
      <c r="K250" s="41"/>
      <c r="L250" s="41"/>
      <c r="M250" s="42"/>
      <c r="U250" s="3" t="str">
        <f t="shared" si="27"/>
        <v/>
      </c>
      <c r="V250" s="3" t="str">
        <f t="shared" si="28"/>
        <v/>
      </c>
      <c r="Z250" s="3">
        <v>46135</v>
      </c>
      <c r="AA250" s="4">
        <v>249.30770000000001</v>
      </c>
      <c r="AB250" s="74">
        <v>46135</v>
      </c>
      <c r="AC250" s="4">
        <v>288.49599999999998</v>
      </c>
      <c r="AD250" s="6">
        <f t="shared" si="29"/>
        <v>46135</v>
      </c>
    </row>
    <row r="251" spans="1:30" x14ac:dyDescent="0.25">
      <c r="A251" s="37"/>
      <c r="B251" s="38"/>
      <c r="C251" s="2"/>
      <c r="D251" s="41"/>
      <c r="E251" s="38"/>
      <c r="F251" s="2"/>
      <c r="G251" s="41"/>
      <c r="H251" s="38"/>
      <c r="I251" s="39"/>
      <c r="J251" s="39"/>
      <c r="K251" s="41"/>
      <c r="L251" s="41"/>
      <c r="M251" s="42"/>
      <c r="U251" s="3" t="str">
        <f t="shared" si="27"/>
        <v/>
      </c>
      <c r="V251" s="3" t="str">
        <f t="shared" si="28"/>
        <v/>
      </c>
      <c r="Z251" s="3">
        <v>46136</v>
      </c>
      <c r="AA251" s="4">
        <v>249.20050000000001</v>
      </c>
      <c r="AB251" s="74">
        <v>46136</v>
      </c>
      <c r="AC251" s="4">
        <v>287.25799999999998</v>
      </c>
      <c r="AD251" s="6">
        <f t="shared" si="29"/>
        <v>46136</v>
      </c>
    </row>
    <row r="252" spans="1:30" x14ac:dyDescent="0.25">
      <c r="A252" s="37"/>
      <c r="B252" s="38"/>
      <c r="C252" s="2"/>
      <c r="D252" s="41"/>
      <c r="E252" s="38"/>
      <c r="F252" s="2"/>
      <c r="G252" s="41"/>
      <c r="H252" s="38"/>
      <c r="I252" s="39"/>
      <c r="J252" s="39"/>
      <c r="K252" s="41"/>
      <c r="L252" s="41"/>
      <c r="M252" s="42"/>
      <c r="U252" s="3" t="str">
        <f t="shared" si="27"/>
        <v/>
      </c>
      <c r="V252" s="3" t="str">
        <f t="shared" si="28"/>
        <v/>
      </c>
      <c r="Z252" s="3">
        <v>46139</v>
      </c>
      <c r="AA252" s="4">
        <v>249.10599999999999</v>
      </c>
      <c r="AB252" s="74">
        <v>46139</v>
      </c>
      <c r="AC252" s="4">
        <v>288.53300000000002</v>
      </c>
      <c r="AD252" s="6">
        <f t="shared" si="29"/>
        <v>46139</v>
      </c>
    </row>
    <row r="253" spans="1:30" x14ac:dyDescent="0.25">
      <c r="A253" s="37"/>
      <c r="B253" s="38"/>
      <c r="C253" s="2"/>
      <c r="D253" s="41"/>
      <c r="E253" s="38"/>
      <c r="F253" s="2"/>
      <c r="G253" s="41"/>
      <c r="H253" s="38"/>
      <c r="I253" s="39"/>
      <c r="J253" s="39"/>
      <c r="K253" s="41"/>
      <c r="L253" s="41"/>
      <c r="M253" s="42"/>
      <c r="U253" s="3" t="str">
        <f t="shared" si="27"/>
        <v/>
      </c>
      <c r="V253" s="3" t="str">
        <f t="shared" si="28"/>
        <v/>
      </c>
      <c r="Z253" s="3">
        <v>46140</v>
      </c>
      <c r="AA253" s="4">
        <v>248.827</v>
      </c>
      <c r="AB253" s="74">
        <v>46140</v>
      </c>
      <c r="AC253" s="4">
        <v>292.154</v>
      </c>
      <c r="AD253" s="6">
        <f t="shared" si="29"/>
        <v>46140</v>
      </c>
    </row>
    <row r="254" spans="1:30" x14ac:dyDescent="0.25">
      <c r="A254" s="37"/>
      <c r="B254" s="38"/>
      <c r="C254" s="2"/>
      <c r="D254" s="41"/>
      <c r="E254" s="38"/>
      <c r="F254" s="2"/>
      <c r="G254" s="41"/>
      <c r="H254" s="38"/>
      <c r="I254" s="39"/>
      <c r="J254" s="39"/>
      <c r="K254" s="41"/>
      <c r="L254" s="41"/>
      <c r="M254" s="42"/>
      <c r="U254" s="3" t="str">
        <f t="shared" si="27"/>
        <v/>
      </c>
      <c r="V254" s="3" t="str">
        <f t="shared" si="28"/>
        <v/>
      </c>
      <c r="Z254" s="3">
        <v>46141</v>
      </c>
      <c r="AA254" s="4">
        <v>248.28469999999999</v>
      </c>
      <c r="AB254" s="74">
        <v>46141</v>
      </c>
      <c r="AC254" s="4">
        <v>297.69</v>
      </c>
      <c r="AD254" s="6">
        <f t="shared" si="29"/>
        <v>46141</v>
      </c>
    </row>
    <row r="255" spans="1:30" x14ac:dyDescent="0.25">
      <c r="A255" s="37"/>
      <c r="B255" s="38"/>
      <c r="C255" s="2"/>
      <c r="D255" s="41"/>
      <c r="E255" s="38"/>
      <c r="F255" s="2"/>
      <c r="G255" s="41"/>
      <c r="H255" s="38"/>
      <c r="I255" s="39"/>
      <c r="J255" s="39"/>
      <c r="K255" s="41"/>
      <c r="L255" s="41"/>
      <c r="M255" s="42"/>
      <c r="U255" s="3" t="str">
        <f t="shared" si="27"/>
        <v/>
      </c>
      <c r="V255" s="3" t="str">
        <f t="shared" si="28"/>
        <v/>
      </c>
      <c r="Z255" s="3">
        <v>46142</v>
      </c>
      <c r="AA255" s="4">
        <v>248.685</v>
      </c>
      <c r="AB255" s="74">
        <v>46142</v>
      </c>
      <c r="AC255" s="4">
        <v>292.53100000000001</v>
      </c>
      <c r="AD255" s="6">
        <f t="shared" si="29"/>
        <v>46142</v>
      </c>
    </row>
    <row r="256" spans="1:30" x14ac:dyDescent="0.25">
      <c r="A256" s="37"/>
      <c r="B256" s="38"/>
      <c r="C256" s="2"/>
      <c r="D256" s="41"/>
      <c r="E256" s="38"/>
      <c r="F256" s="2"/>
      <c r="G256" s="41"/>
      <c r="H256" s="38"/>
      <c r="I256" s="39"/>
      <c r="J256" s="39"/>
      <c r="K256" s="41"/>
      <c r="L256" s="41"/>
      <c r="M256" s="42"/>
      <c r="U256" s="3" t="str">
        <f t="shared" si="27"/>
        <v/>
      </c>
      <c r="V256" s="3" t="str">
        <f t="shared" si="28"/>
        <v/>
      </c>
      <c r="Z256" s="3">
        <v>46143</v>
      </c>
      <c r="AA256" s="4">
        <v>249.75620000000001</v>
      </c>
      <c r="AB256" s="74">
        <v>46143</v>
      </c>
      <c r="AC256" s="4">
        <v>284.60300000000001</v>
      </c>
      <c r="AD256" s="6">
        <f t="shared" si="29"/>
        <v>46143</v>
      </c>
    </row>
    <row r="257" spans="1:30" x14ac:dyDescent="0.25">
      <c r="A257" s="37"/>
      <c r="B257" s="38"/>
      <c r="C257" s="2"/>
      <c r="D257" s="41"/>
      <c r="E257" s="38"/>
      <c r="F257" s="2"/>
      <c r="G257" s="41"/>
      <c r="H257" s="38"/>
      <c r="I257" s="39"/>
      <c r="J257" s="39"/>
      <c r="K257" s="41"/>
      <c r="L257" s="41"/>
      <c r="M257" s="42"/>
      <c r="U257" s="3" t="str">
        <f t="shared" si="27"/>
        <v/>
      </c>
      <c r="V257" s="3" t="str">
        <f t="shared" si="28"/>
        <v/>
      </c>
      <c r="Z257" s="3">
        <v>46147</v>
      </c>
      <c r="AA257" s="4">
        <v>249.4753</v>
      </c>
      <c r="AB257" s="74">
        <v>46147</v>
      </c>
      <c r="AC257" s="4">
        <v>287.411</v>
      </c>
      <c r="AD257" s="6">
        <f t="shared" si="29"/>
        <v>46147</v>
      </c>
    </row>
    <row r="258" spans="1:30" x14ac:dyDescent="0.25">
      <c r="A258" s="37"/>
      <c r="B258" s="38"/>
      <c r="C258" s="2"/>
      <c r="D258" s="41"/>
      <c r="E258" s="38"/>
      <c r="F258" s="2"/>
      <c r="G258" s="41"/>
      <c r="H258" s="38"/>
      <c r="I258" s="39"/>
      <c r="J258" s="39"/>
      <c r="K258" s="41"/>
      <c r="L258" s="41"/>
      <c r="M258" s="42"/>
      <c r="U258" s="3" t="str">
        <f t="shared" si="27"/>
        <v/>
      </c>
      <c r="V258" s="3" t="str">
        <f t="shared" si="28"/>
        <v/>
      </c>
      <c r="Z258" s="3">
        <v>46148</v>
      </c>
      <c r="AA258" s="4">
        <v>250.94749999999999</v>
      </c>
      <c r="AB258" s="74">
        <v>46148</v>
      </c>
      <c r="AC258" s="4">
        <v>275.23200000000003</v>
      </c>
      <c r="AD258" s="6">
        <f t="shared" si="29"/>
        <v>46148</v>
      </c>
    </row>
    <row r="259" spans="1:30" x14ac:dyDescent="0.25">
      <c r="A259" s="37"/>
      <c r="B259" s="38"/>
      <c r="C259" s="2"/>
      <c r="D259" s="41"/>
      <c r="E259" s="38"/>
      <c r="F259" s="2"/>
      <c r="G259" s="41"/>
      <c r="H259" s="38"/>
      <c r="I259" s="39"/>
      <c r="J259" s="39"/>
      <c r="K259" s="41"/>
      <c r="L259" s="41"/>
      <c r="M259" s="42"/>
      <c r="U259" s="3" t="str">
        <f t="shared" si="27"/>
        <v/>
      </c>
      <c r="V259" s="3" t="str">
        <f t="shared" si="28"/>
        <v/>
      </c>
      <c r="Z259" s="3">
        <v>46149</v>
      </c>
      <c r="AA259" s="4">
        <v>250.63929999999999</v>
      </c>
      <c r="AB259" s="74">
        <v>46149</v>
      </c>
      <c r="AC259" s="4">
        <v>278.976</v>
      </c>
      <c r="AD259" s="6">
        <f t="shared" si="29"/>
        <v>46149</v>
      </c>
    </row>
    <row r="260" spans="1:30" x14ac:dyDescent="0.25">
      <c r="A260" s="37"/>
      <c r="B260" s="38"/>
      <c r="C260" s="2"/>
      <c r="D260" s="41"/>
      <c r="E260" s="38"/>
      <c r="F260" s="2"/>
      <c r="G260" s="41"/>
      <c r="H260" s="38"/>
      <c r="I260" s="39"/>
      <c r="J260" s="39"/>
      <c r="K260" s="41"/>
      <c r="L260" s="41"/>
      <c r="M260" s="42"/>
      <c r="U260" s="3" t="str">
        <f t="shared" ref="U260:U323" si="30">IF(COUNTIF(Q:Q,O260)*COUNTIF(S:S,O260),O260,"")</f>
        <v/>
      </c>
      <c r="V260" s="3" t="str">
        <f t="shared" ref="V260:V323" si="31">IF(U260&gt;$A$14,U260,"")</f>
        <v/>
      </c>
      <c r="Z260" s="3">
        <v>46150</v>
      </c>
      <c r="AA260" s="4">
        <v>250.6848</v>
      </c>
      <c r="AB260" s="74">
        <v>46150</v>
      </c>
      <c r="AC260" s="4">
        <v>277.91800000000001</v>
      </c>
      <c r="AD260" s="6">
        <f t="shared" ref="AD260:AD323" si="32">IF(COUNTIF(AB:AB,Z260),Z260,"")</f>
        <v>46150</v>
      </c>
    </row>
    <row r="261" spans="1:30" x14ac:dyDescent="0.25">
      <c r="A261" s="37"/>
      <c r="B261" s="38"/>
      <c r="C261" s="2"/>
      <c r="D261" s="41"/>
      <c r="E261" s="38"/>
      <c r="F261" s="2"/>
      <c r="G261" s="41"/>
      <c r="H261" s="38"/>
      <c r="I261" s="39"/>
      <c r="J261" s="39"/>
      <c r="K261" s="41"/>
      <c r="L261" s="41"/>
      <c r="M261" s="42"/>
      <c r="U261" s="3" t="str">
        <f t="shared" si="30"/>
        <v/>
      </c>
      <c r="V261" s="3" t="str">
        <f t="shared" si="31"/>
        <v/>
      </c>
      <c r="Z261" s="3">
        <v>46153</v>
      </c>
      <c r="AA261" s="4">
        <v>250.97389999999999</v>
      </c>
      <c r="AB261" s="74">
        <v>46153</v>
      </c>
      <c r="AC261" s="4">
        <v>276.47399999999999</v>
      </c>
      <c r="AD261" s="6">
        <f t="shared" si="32"/>
        <v>46153</v>
      </c>
    </row>
    <row r="262" spans="1:30" x14ac:dyDescent="0.25">
      <c r="A262" s="37"/>
      <c r="B262" s="38"/>
      <c r="C262" s="2"/>
      <c r="D262" s="41"/>
      <c r="E262" s="38"/>
      <c r="F262" s="2"/>
      <c r="G262" s="41"/>
      <c r="H262" s="38"/>
      <c r="I262" s="39"/>
      <c r="J262" s="39"/>
      <c r="K262" s="41"/>
      <c r="L262" s="41"/>
      <c r="M262" s="42"/>
      <c r="U262" s="3" t="str">
        <f t="shared" si="30"/>
        <v/>
      </c>
      <c r="V262" s="3" t="str">
        <f t="shared" si="31"/>
        <v/>
      </c>
      <c r="Z262" s="3">
        <v>46154</v>
      </c>
      <c r="AA262" s="4">
        <v>250.0761</v>
      </c>
      <c r="AB262" s="74">
        <v>46154</v>
      </c>
      <c r="AC262" s="4">
        <v>284.12599999999998</v>
      </c>
      <c r="AD262" s="6">
        <f t="shared" si="32"/>
        <v>46154</v>
      </c>
    </row>
    <row r="263" spans="1:30" x14ac:dyDescent="0.25">
      <c r="A263" s="37"/>
      <c r="B263" s="38"/>
      <c r="C263" s="2"/>
      <c r="D263" s="41"/>
      <c r="E263" s="38"/>
      <c r="F263" s="2"/>
      <c r="G263" s="41"/>
      <c r="H263" s="38"/>
      <c r="I263" s="39"/>
      <c r="J263" s="39"/>
      <c r="K263" s="41"/>
      <c r="L263" s="41"/>
      <c r="M263" s="42"/>
      <c r="U263" s="3" t="str">
        <f t="shared" si="30"/>
        <v/>
      </c>
      <c r="V263" s="3" t="str">
        <f t="shared" si="31"/>
        <v/>
      </c>
      <c r="Z263" s="3">
        <v>46155</v>
      </c>
      <c r="AA263" s="4">
        <v>250.61799999999999</v>
      </c>
      <c r="AB263" s="74">
        <v>46155</v>
      </c>
      <c r="AC263" s="4">
        <v>278.68400000000003</v>
      </c>
      <c r="AD263" s="6">
        <f t="shared" si="32"/>
        <v>46155</v>
      </c>
    </row>
    <row r="264" spans="1:30" x14ac:dyDescent="0.25">
      <c r="A264" s="37"/>
      <c r="B264" s="38"/>
      <c r="C264" s="2"/>
      <c r="D264" s="41"/>
      <c r="E264" s="38"/>
      <c r="F264" s="2"/>
      <c r="G264" s="41"/>
      <c r="H264" s="38"/>
      <c r="I264" s="39"/>
      <c r="J264" s="39"/>
      <c r="K264" s="41"/>
      <c r="L264" s="41"/>
      <c r="M264" s="42"/>
      <c r="U264" s="3" t="str">
        <f t="shared" si="30"/>
        <v/>
      </c>
      <c r="V264" s="3" t="str">
        <f t="shared" si="31"/>
        <v/>
      </c>
      <c r="Z264" s="3">
        <v>46156</v>
      </c>
      <c r="AA264" s="4">
        <v>251.22890000000001</v>
      </c>
      <c r="AB264" s="74">
        <v>46156</v>
      </c>
      <c r="AC264" s="4">
        <v>273.61</v>
      </c>
      <c r="AD264" s="6">
        <f t="shared" si="32"/>
        <v>46156</v>
      </c>
    </row>
    <row r="265" spans="1:30" x14ac:dyDescent="0.25">
      <c r="A265" s="37"/>
      <c r="B265" s="38"/>
      <c r="C265" s="2"/>
      <c r="D265" s="41"/>
      <c r="E265" s="38"/>
      <c r="F265" s="2"/>
      <c r="G265" s="41"/>
      <c r="H265" s="38"/>
      <c r="I265" s="39"/>
      <c r="J265" s="39"/>
      <c r="K265" s="41"/>
      <c r="L265" s="41"/>
      <c r="M265" s="42"/>
      <c r="U265" s="3" t="str">
        <f t="shared" si="30"/>
        <v/>
      </c>
      <c r="V265" s="3" t="str">
        <f t="shared" si="31"/>
        <v/>
      </c>
      <c r="Z265" s="3">
        <v>46157</v>
      </c>
      <c r="AA265" s="4">
        <v>250.38300000000001</v>
      </c>
      <c r="AB265" s="74">
        <v>46157</v>
      </c>
      <c r="AC265" s="4">
        <v>282.07</v>
      </c>
      <c r="AD265" s="6">
        <f t="shared" si="32"/>
        <v>46157</v>
      </c>
    </row>
    <row r="266" spans="1:30" x14ac:dyDescent="0.25">
      <c r="A266" s="37"/>
      <c r="B266" s="38"/>
      <c r="C266" s="2"/>
      <c r="D266" s="41"/>
      <c r="E266" s="38"/>
      <c r="F266" s="2"/>
      <c r="G266" s="41"/>
      <c r="H266" s="38"/>
      <c r="I266" s="39"/>
      <c r="J266" s="39"/>
      <c r="K266" s="41"/>
      <c r="L266" s="41"/>
      <c r="M266" s="42"/>
      <c r="U266" s="3" t="str">
        <f t="shared" si="30"/>
        <v/>
      </c>
      <c r="V266" s="3" t="str">
        <f t="shared" si="31"/>
        <v/>
      </c>
      <c r="Z266" s="3">
        <v>46160</v>
      </c>
      <c r="AA266" s="4">
        <v>250.5284</v>
      </c>
      <c r="AB266" s="74">
        <v>46160</v>
      </c>
      <c r="AC266" s="4">
        <v>280.35000000000002</v>
      </c>
      <c r="AD266" s="6">
        <f t="shared" si="32"/>
        <v>46160</v>
      </c>
    </row>
    <row r="267" spans="1:30" x14ac:dyDescent="0.25">
      <c r="A267" s="37"/>
      <c r="B267" s="38"/>
      <c r="C267" s="2"/>
      <c r="D267" s="41"/>
      <c r="E267" s="38"/>
      <c r="F267" s="2"/>
      <c r="G267" s="41"/>
      <c r="H267" s="38"/>
      <c r="I267" s="39"/>
      <c r="J267" s="39"/>
      <c r="K267" s="41"/>
      <c r="L267" s="41"/>
      <c r="M267" s="42"/>
      <c r="U267" s="3" t="str">
        <f t="shared" si="30"/>
        <v/>
      </c>
      <c r="V267" s="3" t="str">
        <f t="shared" si="31"/>
        <v/>
      </c>
      <c r="Z267" s="3">
        <v>46161</v>
      </c>
      <c r="AA267" s="4">
        <v>249.98050000000001</v>
      </c>
      <c r="AB267" s="74">
        <v>46161</v>
      </c>
      <c r="AC267" s="4">
        <v>285.892</v>
      </c>
      <c r="AD267" s="6">
        <f t="shared" si="32"/>
        <v>46161</v>
      </c>
    </row>
    <row r="268" spans="1:30" x14ac:dyDescent="0.25">
      <c r="A268" s="37"/>
      <c r="B268" s="38"/>
      <c r="C268" s="2"/>
      <c r="D268" s="41"/>
      <c r="E268" s="38"/>
      <c r="F268" s="2"/>
      <c r="G268" s="41"/>
      <c r="H268" s="38"/>
      <c r="I268" s="39"/>
      <c r="J268" s="39"/>
      <c r="K268" s="41"/>
      <c r="L268" s="41"/>
      <c r="M268" s="42"/>
      <c r="U268" s="3" t="str">
        <f t="shared" si="30"/>
        <v/>
      </c>
      <c r="V268" s="3" t="str">
        <f t="shared" si="31"/>
        <v/>
      </c>
      <c r="Z268" s="3">
        <v>46162</v>
      </c>
      <c r="AA268" s="4">
        <v>251.0129</v>
      </c>
      <c r="AB268" s="74">
        <v>46162</v>
      </c>
      <c r="AC268" s="4">
        <v>276.52</v>
      </c>
      <c r="AD268" s="6">
        <f t="shared" si="32"/>
        <v>46162</v>
      </c>
    </row>
    <row r="269" spans="1:30" x14ac:dyDescent="0.25">
      <c r="A269" s="37"/>
      <c r="B269" s="38"/>
      <c r="C269" s="2"/>
      <c r="D269" s="41"/>
      <c r="E269" s="38"/>
      <c r="F269" s="2"/>
      <c r="G269" s="41"/>
      <c r="H269" s="38"/>
      <c r="I269" s="39"/>
      <c r="J269" s="39"/>
      <c r="K269" s="41"/>
      <c r="L269" s="41"/>
      <c r="M269" s="42"/>
      <c r="U269" s="3" t="str">
        <f t="shared" si="30"/>
        <v/>
      </c>
      <c r="V269" s="3" t="str">
        <f t="shared" si="31"/>
        <v/>
      </c>
      <c r="Z269" s="3">
        <v>46163</v>
      </c>
      <c r="AA269" s="4">
        <v>250.6669</v>
      </c>
      <c r="AB269" s="74">
        <v>46163</v>
      </c>
      <c r="AC269" s="4">
        <v>279.66300000000001</v>
      </c>
      <c r="AD269" s="6">
        <f t="shared" si="32"/>
        <v>46163</v>
      </c>
    </row>
    <row r="270" spans="1:30" x14ac:dyDescent="0.25">
      <c r="A270" s="37"/>
      <c r="B270" s="38"/>
      <c r="C270" s="2"/>
      <c r="D270" s="41"/>
      <c r="E270" s="38"/>
      <c r="F270" s="2"/>
      <c r="G270" s="41"/>
      <c r="H270" s="38"/>
      <c r="I270" s="39"/>
      <c r="J270" s="39"/>
      <c r="K270" s="41"/>
      <c r="L270" s="41"/>
      <c r="M270" s="42"/>
      <c r="U270" s="3" t="str">
        <f t="shared" si="30"/>
        <v/>
      </c>
      <c r="V270" s="3" t="str">
        <f t="shared" si="31"/>
        <v/>
      </c>
      <c r="Z270" s="3">
        <v>46164</v>
      </c>
      <c r="AA270" s="4">
        <v>251.4649</v>
      </c>
      <c r="AB270" s="74">
        <v>46164</v>
      </c>
      <c r="AC270" s="4">
        <v>273.38799999999998</v>
      </c>
      <c r="AD270" s="6">
        <f t="shared" si="32"/>
        <v>46164</v>
      </c>
    </row>
    <row r="271" spans="1:30" x14ac:dyDescent="0.25">
      <c r="A271" s="37"/>
      <c r="B271" s="38"/>
      <c r="C271" s="2"/>
      <c r="D271" s="41"/>
      <c r="E271" s="38"/>
      <c r="F271" s="2"/>
      <c r="G271" s="41"/>
      <c r="H271" s="38"/>
      <c r="I271" s="39"/>
      <c r="J271" s="39"/>
      <c r="K271" s="41"/>
      <c r="L271" s="41"/>
      <c r="M271" s="42"/>
      <c r="U271" s="3" t="str">
        <f t="shared" si="30"/>
        <v/>
      </c>
      <c r="V271" s="3" t="str">
        <f t="shared" si="31"/>
        <v/>
      </c>
      <c r="Z271" s="3">
        <v>46168</v>
      </c>
      <c r="AA271" s="4">
        <v>252.1686</v>
      </c>
      <c r="AB271" s="74">
        <v>46168</v>
      </c>
      <c r="AC271" s="4">
        <v>269.02600000000001</v>
      </c>
      <c r="AD271" s="6">
        <f t="shared" si="32"/>
        <v>46168</v>
      </c>
    </row>
    <row r="272" spans="1:30" x14ac:dyDescent="0.25">
      <c r="A272" s="37"/>
      <c r="B272" s="38"/>
      <c r="C272" s="2"/>
      <c r="D272" s="41"/>
      <c r="E272" s="38"/>
      <c r="F272" s="2"/>
      <c r="G272" s="41"/>
      <c r="H272" s="38"/>
      <c r="I272" s="39"/>
      <c r="J272" s="39"/>
      <c r="K272" s="41"/>
      <c r="L272" s="41"/>
      <c r="M272" s="42"/>
      <c r="U272" s="3" t="str">
        <f t="shared" si="30"/>
        <v/>
      </c>
      <c r="V272" s="3" t="str">
        <f t="shared" si="31"/>
        <v/>
      </c>
      <c r="Z272" s="3">
        <v>46169</v>
      </c>
      <c r="AA272" s="4">
        <v>252.41059999999999</v>
      </c>
      <c r="AB272" s="74">
        <v>46169</v>
      </c>
      <c r="AC272" s="4">
        <v>267.50200000000001</v>
      </c>
      <c r="AD272" s="6">
        <f t="shared" si="32"/>
        <v>46169</v>
      </c>
    </row>
    <row r="273" spans="1:30" x14ac:dyDescent="0.25">
      <c r="A273" s="37"/>
      <c r="B273" s="38"/>
      <c r="C273" s="2"/>
      <c r="D273" s="41"/>
      <c r="E273" s="38"/>
      <c r="F273" s="2"/>
      <c r="G273" s="41"/>
      <c r="H273" s="38"/>
      <c r="I273" s="39"/>
      <c r="J273" s="39"/>
      <c r="K273" s="41"/>
      <c r="L273" s="41"/>
      <c r="M273" s="42"/>
      <c r="U273" s="3" t="str">
        <f t="shared" si="30"/>
        <v/>
      </c>
      <c r="V273" s="3" t="str">
        <f t="shared" si="31"/>
        <v/>
      </c>
      <c r="Z273" s="3">
        <v>46170</v>
      </c>
      <c r="AA273" s="4">
        <v>252.9316</v>
      </c>
      <c r="AB273" s="74">
        <v>46170</v>
      </c>
      <c r="AC273" s="4">
        <v>263.03699999999998</v>
      </c>
      <c r="AD273" s="6">
        <f t="shared" si="32"/>
        <v>46170</v>
      </c>
    </row>
    <row r="274" spans="1:30" x14ac:dyDescent="0.25">
      <c r="A274" s="37"/>
      <c r="B274" s="38"/>
      <c r="C274" s="2"/>
      <c r="D274" s="41"/>
      <c r="E274" s="38"/>
      <c r="F274" s="2"/>
      <c r="G274" s="41"/>
      <c r="H274" s="38"/>
      <c r="I274" s="39"/>
      <c r="J274" s="39"/>
      <c r="K274" s="41"/>
      <c r="L274" s="41"/>
      <c r="M274" s="42"/>
      <c r="U274" s="3" t="str">
        <f t="shared" si="30"/>
        <v/>
      </c>
      <c r="V274" s="3" t="str">
        <f t="shared" si="31"/>
        <v/>
      </c>
      <c r="Z274" s="3">
        <v>46171</v>
      </c>
      <c r="AA274" s="4">
        <v>253.4469</v>
      </c>
      <c r="AB274" s="74">
        <v>46171</v>
      </c>
      <c r="AC274" s="4">
        <v>258.964</v>
      </c>
      <c r="AD274" s="6">
        <f t="shared" si="32"/>
        <v>46171</v>
      </c>
    </row>
    <row r="275" spans="1:30" x14ac:dyDescent="0.25">
      <c r="A275" s="37"/>
      <c r="B275" s="38"/>
      <c r="C275" s="2"/>
      <c r="D275" s="41"/>
      <c r="E275" s="38"/>
      <c r="F275" s="2"/>
      <c r="G275" s="41"/>
      <c r="H275" s="38"/>
      <c r="I275" s="39"/>
      <c r="J275" s="39"/>
      <c r="K275" s="41"/>
      <c r="L275" s="41"/>
      <c r="M275" s="42"/>
      <c r="U275" s="3" t="str">
        <f t="shared" si="30"/>
        <v/>
      </c>
      <c r="V275" s="3" t="str">
        <f t="shared" si="31"/>
        <v/>
      </c>
      <c r="Z275" s="3">
        <v>46174</v>
      </c>
      <c r="AA275" s="4">
        <v>253.10400000000001</v>
      </c>
      <c r="AB275" s="74">
        <v>46174</v>
      </c>
      <c r="AC275" s="4">
        <v>262.60300000000001</v>
      </c>
      <c r="AD275" s="6">
        <f t="shared" si="32"/>
        <v>46174</v>
      </c>
    </row>
    <row r="276" spans="1:30" x14ac:dyDescent="0.25">
      <c r="A276" s="37"/>
      <c r="B276" s="38"/>
      <c r="C276" s="2"/>
      <c r="D276" s="41"/>
      <c r="E276" s="38"/>
      <c r="F276" s="2"/>
      <c r="G276" s="41"/>
      <c r="H276" s="38"/>
      <c r="I276" s="39"/>
      <c r="J276" s="39"/>
      <c r="K276" s="41"/>
      <c r="L276" s="41"/>
      <c r="M276" s="42"/>
      <c r="U276" s="3" t="str">
        <f t="shared" si="30"/>
        <v/>
      </c>
      <c r="V276" s="3" t="str">
        <f t="shared" si="31"/>
        <v/>
      </c>
      <c r="Z276" s="3">
        <v>46175</v>
      </c>
      <c r="AA276" s="4">
        <v>253.5762</v>
      </c>
      <c r="AB276" s="74">
        <v>46175</v>
      </c>
      <c r="AC276" s="4">
        <v>258.23399999999998</v>
      </c>
      <c r="AD276" s="6">
        <f t="shared" si="32"/>
        <v>46175</v>
      </c>
    </row>
    <row r="277" spans="1:30" x14ac:dyDescent="0.25">
      <c r="A277" s="37"/>
      <c r="B277" s="38"/>
      <c r="C277" s="2"/>
      <c r="D277" s="41"/>
      <c r="E277" s="38"/>
      <c r="F277" s="2"/>
      <c r="G277" s="41"/>
      <c r="H277" s="38"/>
      <c r="I277" s="39"/>
      <c r="J277" s="39"/>
      <c r="K277" s="41"/>
      <c r="L277" s="41"/>
      <c r="M277" s="42"/>
      <c r="U277" s="3" t="str">
        <f t="shared" si="30"/>
        <v/>
      </c>
      <c r="V277" s="3" t="str">
        <f t="shared" si="31"/>
        <v/>
      </c>
      <c r="Z277" s="3">
        <v>46176</v>
      </c>
      <c r="AA277" s="4">
        <v>253.11359999999999</v>
      </c>
      <c r="AB277" s="74">
        <v>46176</v>
      </c>
      <c r="AC277" s="4">
        <v>263.00799999999998</v>
      </c>
      <c r="AD277" s="6">
        <f t="shared" si="32"/>
        <v>46176</v>
      </c>
    </row>
    <row r="278" spans="1:30" x14ac:dyDescent="0.25">
      <c r="A278" s="37"/>
      <c r="B278" s="38"/>
      <c r="C278" s="2"/>
      <c r="D278" s="41"/>
      <c r="E278" s="38"/>
      <c r="F278" s="2"/>
      <c r="G278" s="41"/>
      <c r="H278" s="38"/>
      <c r="I278" s="39"/>
      <c r="J278" s="39"/>
      <c r="K278" s="41"/>
      <c r="L278" s="41"/>
      <c r="M278" s="42"/>
      <c r="U278" s="3" t="str">
        <f t="shared" si="30"/>
        <v/>
      </c>
      <c r="V278" s="3" t="str">
        <f t="shared" si="31"/>
        <v/>
      </c>
      <c r="Z278" s="3">
        <v>46177</v>
      </c>
      <c r="AA278" s="4">
        <v>253.3374</v>
      </c>
      <c r="AB278" s="74">
        <v>46177</v>
      </c>
      <c r="AC278" s="4">
        <v>260.78100000000001</v>
      </c>
      <c r="AD278" s="6">
        <f t="shared" si="32"/>
        <v>46177</v>
      </c>
    </row>
    <row r="279" spans="1:30" x14ac:dyDescent="0.25">
      <c r="A279" s="37"/>
      <c r="B279" s="38"/>
      <c r="C279" s="2"/>
      <c r="D279" s="41"/>
      <c r="E279" s="38"/>
      <c r="F279" s="2"/>
      <c r="G279" s="41"/>
      <c r="H279" s="38"/>
      <c r="I279" s="39"/>
      <c r="J279" s="39"/>
      <c r="K279" s="41"/>
      <c r="L279" s="41"/>
      <c r="M279" s="42"/>
      <c r="U279" s="3" t="str">
        <f t="shared" si="30"/>
        <v/>
      </c>
      <c r="V279" s="3" t="str">
        <f t="shared" si="31"/>
        <v/>
      </c>
      <c r="Z279" s="3">
        <v>46178</v>
      </c>
      <c r="AA279" s="4">
        <v>253.05930000000001</v>
      </c>
      <c r="AB279" s="74">
        <v>46178</v>
      </c>
      <c r="AC279" s="4">
        <v>263.12099999999998</v>
      </c>
      <c r="AD279" s="6">
        <f t="shared" si="32"/>
        <v>46178</v>
      </c>
    </row>
    <row r="280" spans="1:30" x14ac:dyDescent="0.25">
      <c r="A280" s="37"/>
      <c r="B280" s="38"/>
      <c r="C280" s="2"/>
      <c r="D280" s="41"/>
      <c r="E280" s="38"/>
      <c r="F280" s="2"/>
      <c r="G280" s="41"/>
      <c r="H280" s="38"/>
      <c r="I280" s="39"/>
      <c r="J280" s="39"/>
      <c r="K280" s="41"/>
      <c r="L280" s="41"/>
      <c r="M280" s="42"/>
      <c r="U280" s="3" t="str">
        <f t="shared" si="30"/>
        <v/>
      </c>
      <c r="V280" s="3" t="str">
        <f t="shared" si="31"/>
        <v/>
      </c>
      <c r="Z280" s="3">
        <v>46181</v>
      </c>
      <c r="AA280" s="4">
        <v>253.00890000000001</v>
      </c>
      <c r="AB280" s="74">
        <v>46181</v>
      </c>
      <c r="AC280" s="4">
        <v>264.17899999999997</v>
      </c>
      <c r="AD280" s="6">
        <f t="shared" si="32"/>
        <v>46181</v>
      </c>
    </row>
    <row r="281" spans="1:30" x14ac:dyDescent="0.25">
      <c r="A281" s="37"/>
      <c r="B281" s="38"/>
      <c r="C281" s="2"/>
      <c r="D281" s="41"/>
      <c r="E281" s="38"/>
      <c r="F281" s="2"/>
      <c r="G281" s="41"/>
      <c r="H281" s="38"/>
      <c r="I281" s="39"/>
      <c r="J281" s="39"/>
      <c r="K281" s="41"/>
      <c r="L281" s="41"/>
      <c r="M281" s="42"/>
      <c r="U281" s="3" t="str">
        <f t="shared" si="30"/>
        <v/>
      </c>
      <c r="V281" s="3" t="str">
        <f t="shared" si="31"/>
        <v/>
      </c>
      <c r="Z281" s="3">
        <v>46182</v>
      </c>
      <c r="AA281" s="4">
        <v>253.04320000000001</v>
      </c>
      <c r="AB281" s="74">
        <v>46182</v>
      </c>
      <c r="AC281" s="4">
        <v>264.78399999999999</v>
      </c>
      <c r="AD281" s="6">
        <f t="shared" si="32"/>
        <v>46182</v>
      </c>
    </row>
    <row r="282" spans="1:30" x14ac:dyDescent="0.25">
      <c r="A282" s="37"/>
      <c r="B282" s="38"/>
      <c r="C282" s="2"/>
      <c r="D282" s="41"/>
      <c r="E282" s="38"/>
      <c r="F282" s="2"/>
      <c r="G282" s="41"/>
      <c r="H282" s="38"/>
      <c r="I282" s="39"/>
      <c r="J282" s="39"/>
      <c r="K282" s="41"/>
      <c r="L282" s="41"/>
      <c r="M282" s="42"/>
      <c r="U282" s="3" t="str">
        <f t="shared" si="30"/>
        <v/>
      </c>
      <c r="V282" s="3" t="str">
        <f t="shared" si="31"/>
        <v/>
      </c>
      <c r="Z282" s="3">
        <v>46183</v>
      </c>
      <c r="AA282" s="4">
        <v>252.767</v>
      </c>
      <c r="AB282" s="74">
        <v>46183</v>
      </c>
      <c r="AC282" s="4">
        <v>266.137</v>
      </c>
      <c r="AD282" s="6">
        <f t="shared" si="32"/>
        <v>46183</v>
      </c>
    </row>
    <row r="283" spans="1:30" x14ac:dyDescent="0.25">
      <c r="A283" s="37"/>
      <c r="B283" s="38"/>
      <c r="C283" s="2"/>
      <c r="D283" s="41"/>
      <c r="E283" s="38"/>
      <c r="F283" s="2"/>
      <c r="G283" s="41"/>
      <c r="H283" s="38"/>
      <c r="I283" s="39"/>
      <c r="J283" s="39"/>
      <c r="K283" s="41"/>
      <c r="L283" s="41"/>
      <c r="M283" s="42"/>
      <c r="U283" s="3" t="str">
        <f t="shared" si="30"/>
        <v/>
      </c>
      <c r="V283" s="3" t="str">
        <f t="shared" si="31"/>
        <v/>
      </c>
      <c r="Z283" s="3">
        <v>46184</v>
      </c>
      <c r="AA283" s="4">
        <v>253.1474</v>
      </c>
      <c r="AB283" s="74">
        <v>46184</v>
      </c>
      <c r="AC283" s="4">
        <v>263.45299999999997</v>
      </c>
      <c r="AD283" s="6">
        <f t="shared" si="32"/>
        <v>46184</v>
      </c>
    </row>
    <row r="284" spans="1:30" x14ac:dyDescent="0.25">
      <c r="A284" s="37"/>
      <c r="B284" s="38"/>
      <c r="C284" s="2"/>
      <c r="D284" s="41"/>
      <c r="E284" s="38"/>
      <c r="F284" s="2"/>
      <c r="G284" s="41"/>
      <c r="H284" s="38"/>
      <c r="I284" s="39"/>
      <c r="J284" s="39"/>
      <c r="K284" s="41"/>
      <c r="L284" s="41"/>
      <c r="M284" s="42"/>
      <c r="U284" s="3" t="str">
        <f t="shared" si="30"/>
        <v/>
      </c>
      <c r="V284" s="3" t="str">
        <f t="shared" si="31"/>
        <v/>
      </c>
      <c r="Z284" s="3">
        <v>46185</v>
      </c>
      <c r="AA284" s="4">
        <v>254.38560000000001</v>
      </c>
      <c r="AB284" s="74">
        <v>46185</v>
      </c>
      <c r="AC284" s="4">
        <v>253.41399999999999</v>
      </c>
      <c r="AD284" s="6">
        <f t="shared" si="32"/>
        <v>46185</v>
      </c>
    </row>
    <row r="285" spans="1:30" x14ac:dyDescent="0.25">
      <c r="A285" s="37"/>
      <c r="B285" s="38"/>
      <c r="C285" s="2"/>
      <c r="D285" s="41"/>
      <c r="E285" s="38"/>
      <c r="F285" s="2"/>
      <c r="G285" s="41"/>
      <c r="H285" s="38"/>
      <c r="I285" s="39"/>
      <c r="J285" s="39"/>
      <c r="K285" s="41"/>
      <c r="L285" s="41"/>
      <c r="M285" s="42"/>
      <c r="U285" s="3" t="str">
        <f t="shared" si="30"/>
        <v/>
      </c>
      <c r="V285" s="3" t="str">
        <f t="shared" si="31"/>
        <v/>
      </c>
      <c r="Z285" s="3">
        <v>46188</v>
      </c>
      <c r="AA285" s="4">
        <v>255.0607</v>
      </c>
      <c r="AB285" s="74">
        <v>46188</v>
      </c>
      <c r="AC285" s="4">
        <v>247.93899999999999</v>
      </c>
      <c r="AD285" s="6">
        <f t="shared" si="32"/>
        <v>46188</v>
      </c>
    </row>
    <row r="286" spans="1:30" x14ac:dyDescent="0.25">
      <c r="A286" s="37"/>
      <c r="B286" s="38"/>
      <c r="C286" s="2"/>
      <c r="D286" s="41"/>
      <c r="E286" s="38"/>
      <c r="F286" s="2"/>
      <c r="G286" s="41"/>
      <c r="H286" s="38"/>
      <c r="I286" s="39"/>
      <c r="J286" s="39"/>
      <c r="K286" s="41"/>
      <c r="L286" s="41"/>
      <c r="M286" s="42"/>
      <c r="U286" s="3" t="str">
        <f t="shared" si="30"/>
        <v/>
      </c>
      <c r="V286" s="3" t="str">
        <f t="shared" si="31"/>
        <v/>
      </c>
      <c r="Z286" s="3">
        <v>46189</v>
      </c>
      <c r="AA286" s="4">
        <v>254.93340000000001</v>
      </c>
      <c r="AB286" s="74">
        <v>46189</v>
      </c>
      <c r="AC286" s="4">
        <v>249.708</v>
      </c>
      <c r="AD286" s="6">
        <f t="shared" si="32"/>
        <v>46189</v>
      </c>
    </row>
    <row r="287" spans="1:30" x14ac:dyDescent="0.25">
      <c r="A287" s="37"/>
      <c r="B287" s="38"/>
      <c r="C287" s="2"/>
      <c r="D287" s="41"/>
      <c r="E287" s="38"/>
      <c r="F287" s="2"/>
      <c r="G287" s="41"/>
      <c r="H287" s="38"/>
      <c r="I287" s="39"/>
      <c r="J287" s="39"/>
      <c r="K287" s="41"/>
      <c r="L287" s="41"/>
      <c r="M287" s="42"/>
      <c r="U287" s="3" t="str">
        <f t="shared" si="30"/>
        <v/>
      </c>
      <c r="V287" s="3" t="str">
        <f t="shared" si="31"/>
        <v/>
      </c>
      <c r="Z287" s="3">
        <v>46190</v>
      </c>
      <c r="AA287" s="4">
        <v>254.77209999999999</v>
      </c>
      <c r="AB287" s="74">
        <v>46190</v>
      </c>
      <c r="AC287" s="4">
        <v>251.36</v>
      </c>
      <c r="AD287" s="6">
        <f t="shared" si="32"/>
        <v>46190</v>
      </c>
    </row>
    <row r="288" spans="1:30" x14ac:dyDescent="0.25">
      <c r="A288" s="37"/>
      <c r="B288" s="38"/>
      <c r="C288" s="2"/>
      <c r="D288" s="41"/>
      <c r="E288" s="38"/>
      <c r="F288" s="2"/>
      <c r="G288" s="41"/>
      <c r="H288" s="38"/>
      <c r="I288" s="39"/>
      <c r="J288" s="39"/>
      <c r="K288" s="41"/>
      <c r="L288" s="41"/>
      <c r="M288" s="42"/>
      <c r="U288" s="3" t="str">
        <f t="shared" si="30"/>
        <v/>
      </c>
      <c r="V288" s="3" t="str">
        <f t="shared" si="31"/>
        <v/>
      </c>
      <c r="Z288" s="3">
        <v>46191</v>
      </c>
      <c r="AA288" s="4">
        <v>255.09270000000001</v>
      </c>
      <c r="AB288" s="74">
        <v>46191</v>
      </c>
      <c r="AC288" s="4">
        <v>248.715</v>
      </c>
      <c r="AD288" s="6">
        <f t="shared" si="32"/>
        <v>46191</v>
      </c>
    </row>
    <row r="289" spans="1:30" x14ac:dyDescent="0.25">
      <c r="A289" s="37"/>
      <c r="B289" s="38"/>
      <c r="C289" s="2"/>
      <c r="D289" s="41"/>
      <c r="E289" s="38"/>
      <c r="F289" s="2"/>
      <c r="G289" s="41"/>
      <c r="H289" s="38"/>
      <c r="I289" s="39"/>
      <c r="J289" s="39"/>
      <c r="K289" s="41"/>
      <c r="L289" s="41"/>
      <c r="M289" s="42"/>
      <c r="U289" s="3" t="str">
        <f t="shared" si="30"/>
        <v/>
      </c>
      <c r="V289" s="3" t="str">
        <f t="shared" si="31"/>
        <v/>
      </c>
      <c r="Z289" s="3">
        <v>46192</v>
      </c>
      <c r="AA289" s="4">
        <v>255.0326</v>
      </c>
      <c r="AB289" s="74">
        <v>46192</v>
      </c>
      <c r="AC289" s="4">
        <v>249.94499999999999</v>
      </c>
      <c r="AD289" s="6">
        <f t="shared" si="32"/>
        <v>46192</v>
      </c>
    </row>
    <row r="290" spans="1:30" x14ac:dyDescent="0.25">
      <c r="A290" s="37"/>
      <c r="B290" s="38"/>
      <c r="C290" s="2"/>
      <c r="D290" s="41"/>
      <c r="E290" s="38"/>
      <c r="F290" s="2"/>
      <c r="G290" s="41"/>
      <c r="H290" s="38"/>
      <c r="I290" s="39"/>
      <c r="J290" s="39"/>
      <c r="K290" s="41"/>
      <c r="L290" s="41"/>
      <c r="M290" s="42"/>
      <c r="U290" s="3" t="str">
        <f t="shared" si="30"/>
        <v/>
      </c>
      <c r="V290" s="3" t="str">
        <f t="shared" si="31"/>
        <v/>
      </c>
      <c r="Z290" s="3">
        <v>46195</v>
      </c>
      <c r="AA290" s="4">
        <v>255.42699999999999</v>
      </c>
      <c r="AB290" s="74">
        <v>46195</v>
      </c>
      <c r="AC290" s="4">
        <v>246.82499999999999</v>
      </c>
      <c r="AD290" s="6">
        <f t="shared" si="32"/>
        <v>46195</v>
      </c>
    </row>
    <row r="291" spans="1:30" x14ac:dyDescent="0.25">
      <c r="A291" s="37"/>
      <c r="B291" s="38"/>
      <c r="C291" s="2"/>
      <c r="D291" s="41"/>
      <c r="E291" s="38"/>
      <c r="F291" s="2"/>
      <c r="G291" s="41"/>
      <c r="H291" s="38"/>
      <c r="I291" s="39"/>
      <c r="J291" s="39"/>
      <c r="K291" s="41"/>
      <c r="L291" s="41"/>
      <c r="M291" s="42"/>
      <c r="U291" s="3" t="str">
        <f t="shared" si="30"/>
        <v/>
      </c>
      <c r="V291" s="3" t="str">
        <f t="shared" si="31"/>
        <v/>
      </c>
      <c r="Z291" s="3">
        <v>46196</v>
      </c>
      <c r="AA291" s="4">
        <v>255.2808</v>
      </c>
      <c r="AB291" s="74">
        <v>46196</v>
      </c>
      <c r="AC291" s="4">
        <v>248.11</v>
      </c>
      <c r="AD291" s="6">
        <f t="shared" si="32"/>
        <v>46196</v>
      </c>
    </row>
    <row r="292" spans="1:30" x14ac:dyDescent="0.25">
      <c r="A292" s="37"/>
      <c r="B292" s="38"/>
      <c r="C292" s="2"/>
      <c r="D292" s="41"/>
      <c r="E292" s="38"/>
      <c r="F292" s="2"/>
      <c r="G292" s="41"/>
      <c r="H292" s="38"/>
      <c r="I292" s="39"/>
      <c r="J292" s="39"/>
      <c r="K292" s="41"/>
      <c r="L292" s="41"/>
      <c r="M292" s="42"/>
      <c r="U292" s="3" t="str">
        <f t="shared" si="30"/>
        <v/>
      </c>
      <c r="V292" s="3" t="str">
        <f t="shared" si="31"/>
        <v/>
      </c>
      <c r="Z292" s="3">
        <v>46197</v>
      </c>
      <c r="AA292" s="4">
        <v>255.37479999999999</v>
      </c>
      <c r="AB292" s="74">
        <v>46197</v>
      </c>
      <c r="AC292" s="4">
        <v>247.75700000000001</v>
      </c>
      <c r="AD292" s="6">
        <f t="shared" si="32"/>
        <v>46197</v>
      </c>
    </row>
    <row r="293" spans="1:30" x14ac:dyDescent="0.25">
      <c r="A293" s="37"/>
      <c r="B293" s="38"/>
      <c r="C293" s="2"/>
      <c r="D293" s="41"/>
      <c r="E293" s="38"/>
      <c r="F293" s="2"/>
      <c r="G293" s="41"/>
      <c r="H293" s="38"/>
      <c r="I293" s="39"/>
      <c r="J293" s="39"/>
      <c r="K293" s="41"/>
      <c r="L293" s="41"/>
      <c r="M293" s="42"/>
      <c r="U293" s="3" t="str">
        <f t="shared" si="30"/>
        <v/>
      </c>
      <c r="V293" s="3" t="str">
        <f t="shared" si="31"/>
        <v/>
      </c>
      <c r="Z293" s="3">
        <v>46198</v>
      </c>
      <c r="AA293" s="4">
        <v>255.54130000000001</v>
      </c>
      <c r="AB293" s="74">
        <v>46198</v>
      </c>
      <c r="AC293" s="4">
        <v>247.30699999999999</v>
      </c>
      <c r="AD293" s="6">
        <f t="shared" si="32"/>
        <v>46198</v>
      </c>
    </row>
    <row r="294" spans="1:30" x14ac:dyDescent="0.25">
      <c r="A294" s="37"/>
      <c r="B294" s="38"/>
      <c r="C294" s="2"/>
      <c r="D294" s="41"/>
      <c r="E294" s="38"/>
      <c r="F294" s="2"/>
      <c r="G294" s="41"/>
      <c r="H294" s="38"/>
      <c r="I294" s="39"/>
      <c r="J294" s="39"/>
      <c r="K294" s="41"/>
      <c r="L294" s="41"/>
      <c r="M294" s="42"/>
      <c r="U294" s="3" t="str">
        <f t="shared" si="30"/>
        <v/>
      </c>
      <c r="V294" s="3" t="str">
        <f t="shared" si="31"/>
        <v/>
      </c>
      <c r="AB294" s="74">
        <v>46199</v>
      </c>
      <c r="AC294" s="4">
        <v>249.30799999999999</v>
      </c>
      <c r="AD294" s="6" t="str">
        <f t="shared" si="32"/>
        <v/>
      </c>
    </row>
    <row r="295" spans="1:30" x14ac:dyDescent="0.25">
      <c r="A295" s="37"/>
      <c r="B295" s="38"/>
      <c r="C295" s="2"/>
      <c r="D295" s="41"/>
      <c r="E295" s="38"/>
      <c r="F295" s="2"/>
      <c r="G295" s="41"/>
      <c r="H295" s="38"/>
      <c r="I295" s="39"/>
      <c r="J295" s="39"/>
      <c r="K295" s="41"/>
      <c r="L295" s="41"/>
      <c r="M295" s="42"/>
      <c r="U295" s="3" t="str">
        <f t="shared" si="30"/>
        <v/>
      </c>
      <c r="V295" s="3" t="str">
        <f t="shared" si="31"/>
        <v/>
      </c>
      <c r="AD295" s="6" t="str">
        <f t="shared" si="32"/>
        <v/>
      </c>
    </row>
    <row r="296" spans="1:30" x14ac:dyDescent="0.25">
      <c r="A296" s="37"/>
      <c r="B296" s="38"/>
      <c r="C296" s="2"/>
      <c r="D296" s="41"/>
      <c r="E296" s="38"/>
      <c r="F296" s="2"/>
      <c r="G296" s="41"/>
      <c r="H296" s="38"/>
      <c r="I296" s="39"/>
      <c r="J296" s="39"/>
      <c r="K296" s="41"/>
      <c r="L296" s="41"/>
      <c r="M296" s="42"/>
      <c r="U296" s="3" t="str">
        <f t="shared" si="30"/>
        <v/>
      </c>
      <c r="V296" s="3" t="str">
        <f t="shared" si="31"/>
        <v/>
      </c>
      <c r="AD296" s="6" t="str">
        <f t="shared" si="32"/>
        <v/>
      </c>
    </row>
    <row r="297" spans="1:30" x14ac:dyDescent="0.25">
      <c r="A297" s="37"/>
      <c r="B297" s="38"/>
      <c r="C297" s="2"/>
      <c r="D297" s="41"/>
      <c r="E297" s="38"/>
      <c r="F297" s="2"/>
      <c r="G297" s="41"/>
      <c r="H297" s="38"/>
      <c r="I297" s="39"/>
      <c r="J297" s="39"/>
      <c r="K297" s="41"/>
      <c r="L297" s="41"/>
      <c r="M297" s="42"/>
      <c r="U297" s="3" t="str">
        <f t="shared" si="30"/>
        <v/>
      </c>
      <c r="V297" s="3" t="str">
        <f t="shared" si="31"/>
        <v/>
      </c>
      <c r="AD297" s="6" t="str">
        <f t="shared" si="32"/>
        <v/>
      </c>
    </row>
    <row r="298" spans="1:30" x14ac:dyDescent="0.25">
      <c r="A298" s="37"/>
      <c r="B298" s="38"/>
      <c r="C298" s="2"/>
      <c r="D298" s="41"/>
      <c r="E298" s="38"/>
      <c r="F298" s="2"/>
      <c r="G298" s="41"/>
      <c r="H298" s="38"/>
      <c r="I298" s="39"/>
      <c r="J298" s="39"/>
      <c r="K298" s="41"/>
      <c r="L298" s="41"/>
      <c r="M298" s="42"/>
      <c r="U298" s="3" t="str">
        <f t="shared" si="30"/>
        <v/>
      </c>
      <c r="V298" s="3" t="str">
        <f t="shared" si="31"/>
        <v/>
      </c>
      <c r="AD298" s="6" t="str">
        <f t="shared" si="32"/>
        <v/>
      </c>
    </row>
    <row r="299" spans="1:30" x14ac:dyDescent="0.25">
      <c r="A299" s="37"/>
      <c r="B299" s="38"/>
      <c r="C299" s="2"/>
      <c r="D299" s="41"/>
      <c r="E299" s="38"/>
      <c r="F299" s="2"/>
      <c r="G299" s="41"/>
      <c r="H299" s="38"/>
      <c r="I299" s="39"/>
      <c r="J299" s="39"/>
      <c r="K299" s="41"/>
      <c r="L299" s="41"/>
      <c r="M299" s="42"/>
      <c r="U299" s="3" t="str">
        <f t="shared" si="30"/>
        <v/>
      </c>
      <c r="V299" s="3" t="str">
        <f t="shared" si="31"/>
        <v/>
      </c>
      <c r="AD299" s="6" t="str">
        <f t="shared" si="32"/>
        <v/>
      </c>
    </row>
    <row r="300" spans="1:30" x14ac:dyDescent="0.25">
      <c r="A300" s="37"/>
      <c r="B300" s="38"/>
      <c r="C300" s="2"/>
      <c r="D300" s="41"/>
      <c r="E300" s="38"/>
      <c r="F300" s="2"/>
      <c r="G300" s="41"/>
      <c r="H300" s="38"/>
      <c r="I300" s="39"/>
      <c r="J300" s="39"/>
      <c r="K300" s="41"/>
      <c r="L300" s="41"/>
      <c r="M300" s="42"/>
      <c r="U300" s="3" t="str">
        <f t="shared" si="30"/>
        <v/>
      </c>
      <c r="V300" s="3" t="str">
        <f t="shared" si="31"/>
        <v/>
      </c>
      <c r="AD300" s="6" t="str">
        <f t="shared" si="32"/>
        <v/>
      </c>
    </row>
    <row r="301" spans="1:30" x14ac:dyDescent="0.25">
      <c r="A301" s="37"/>
      <c r="B301" s="38"/>
      <c r="C301" s="2"/>
      <c r="D301" s="41"/>
      <c r="E301" s="38"/>
      <c r="F301" s="2"/>
      <c r="G301" s="41"/>
      <c r="H301" s="38"/>
      <c r="I301" s="39"/>
      <c r="J301" s="39"/>
      <c r="K301" s="41"/>
      <c r="L301" s="41"/>
      <c r="M301" s="42"/>
      <c r="U301" s="3" t="str">
        <f t="shared" si="30"/>
        <v/>
      </c>
      <c r="V301" s="3" t="str">
        <f t="shared" si="31"/>
        <v/>
      </c>
      <c r="AD301" s="6" t="str">
        <f t="shared" si="32"/>
        <v/>
      </c>
    </row>
    <row r="302" spans="1:30" x14ac:dyDescent="0.25">
      <c r="A302" s="37"/>
      <c r="B302" s="38"/>
      <c r="C302" s="2"/>
      <c r="D302" s="41"/>
      <c r="E302" s="38"/>
      <c r="F302" s="2"/>
      <c r="G302" s="41"/>
      <c r="H302" s="38"/>
      <c r="I302" s="39"/>
      <c r="J302" s="39"/>
      <c r="K302" s="41"/>
      <c r="L302" s="41"/>
      <c r="M302" s="42"/>
      <c r="U302" s="3" t="str">
        <f t="shared" si="30"/>
        <v/>
      </c>
      <c r="V302" s="3" t="str">
        <f t="shared" si="31"/>
        <v/>
      </c>
      <c r="AD302" s="6" t="str">
        <f t="shared" si="32"/>
        <v/>
      </c>
    </row>
    <row r="303" spans="1:30" x14ac:dyDescent="0.25">
      <c r="A303" s="37"/>
      <c r="B303" s="38"/>
      <c r="C303" s="2"/>
      <c r="D303" s="41"/>
      <c r="E303" s="38"/>
      <c r="F303" s="2"/>
      <c r="G303" s="41"/>
      <c r="H303" s="38"/>
      <c r="I303" s="39"/>
      <c r="J303" s="39"/>
      <c r="K303" s="41"/>
      <c r="L303" s="41"/>
      <c r="M303" s="42"/>
      <c r="U303" s="3" t="str">
        <f t="shared" si="30"/>
        <v/>
      </c>
      <c r="V303" s="3" t="str">
        <f t="shared" si="31"/>
        <v/>
      </c>
      <c r="AD303" s="6" t="str">
        <f t="shared" si="32"/>
        <v/>
      </c>
    </row>
    <row r="304" spans="1:30" x14ac:dyDescent="0.25">
      <c r="A304" s="37"/>
      <c r="B304" s="38"/>
      <c r="C304" s="2"/>
      <c r="D304" s="41"/>
      <c r="E304" s="38"/>
      <c r="F304" s="2"/>
      <c r="G304" s="41"/>
      <c r="H304" s="38"/>
      <c r="I304" s="39"/>
      <c r="J304" s="39"/>
      <c r="K304" s="41"/>
      <c r="L304" s="41"/>
      <c r="M304" s="42"/>
      <c r="U304" s="3" t="str">
        <f t="shared" si="30"/>
        <v/>
      </c>
      <c r="V304" s="3" t="str">
        <f t="shared" si="31"/>
        <v/>
      </c>
      <c r="AD304" s="6" t="str">
        <f t="shared" si="32"/>
        <v/>
      </c>
    </row>
    <row r="305" spans="1:30" x14ac:dyDescent="0.25">
      <c r="A305" s="37"/>
      <c r="B305" s="38"/>
      <c r="C305" s="2"/>
      <c r="D305" s="41"/>
      <c r="E305" s="38"/>
      <c r="F305" s="2"/>
      <c r="G305" s="41"/>
      <c r="H305" s="38"/>
      <c r="I305" s="39"/>
      <c r="J305" s="39"/>
      <c r="K305" s="41"/>
      <c r="L305" s="41"/>
      <c r="M305" s="42"/>
      <c r="U305" s="3" t="str">
        <f t="shared" si="30"/>
        <v/>
      </c>
      <c r="V305" s="3" t="str">
        <f t="shared" si="31"/>
        <v/>
      </c>
      <c r="AD305" s="6" t="str">
        <f t="shared" si="32"/>
        <v/>
      </c>
    </row>
    <row r="306" spans="1:30" x14ac:dyDescent="0.25">
      <c r="A306" s="37"/>
      <c r="B306" s="38"/>
      <c r="C306" s="2"/>
      <c r="D306" s="41"/>
      <c r="E306" s="38"/>
      <c r="F306" s="2"/>
      <c r="G306" s="41"/>
      <c r="H306" s="38"/>
      <c r="I306" s="39"/>
      <c r="J306" s="39"/>
      <c r="K306" s="41"/>
      <c r="L306" s="41"/>
      <c r="M306" s="42"/>
      <c r="U306" s="3" t="str">
        <f t="shared" si="30"/>
        <v/>
      </c>
      <c r="V306" s="3" t="str">
        <f t="shared" si="31"/>
        <v/>
      </c>
      <c r="AD306" s="6" t="str">
        <f t="shared" si="32"/>
        <v/>
      </c>
    </row>
    <row r="307" spans="1:30" x14ac:dyDescent="0.25">
      <c r="A307" s="37"/>
      <c r="B307" s="38"/>
      <c r="C307" s="2"/>
      <c r="D307" s="41"/>
      <c r="E307" s="38"/>
      <c r="F307" s="2"/>
      <c r="G307" s="41"/>
      <c r="H307" s="38"/>
      <c r="I307" s="39"/>
      <c r="J307" s="39"/>
      <c r="K307" s="41"/>
      <c r="L307" s="41"/>
      <c r="M307" s="42"/>
      <c r="U307" s="3" t="str">
        <f t="shared" si="30"/>
        <v/>
      </c>
      <c r="V307" s="3" t="str">
        <f t="shared" si="31"/>
        <v/>
      </c>
      <c r="AD307" s="6" t="str">
        <f t="shared" si="32"/>
        <v/>
      </c>
    </row>
    <row r="308" spans="1:30" x14ac:dyDescent="0.25">
      <c r="A308" s="37"/>
      <c r="B308" s="38"/>
      <c r="C308" s="2"/>
      <c r="D308" s="41"/>
      <c r="E308" s="38"/>
      <c r="F308" s="2"/>
      <c r="G308" s="41"/>
      <c r="H308" s="38"/>
      <c r="I308" s="39"/>
      <c r="J308" s="39"/>
      <c r="K308" s="41"/>
      <c r="L308" s="41"/>
      <c r="M308" s="42"/>
      <c r="U308" s="3" t="str">
        <f t="shared" si="30"/>
        <v/>
      </c>
      <c r="V308" s="3" t="str">
        <f t="shared" si="31"/>
        <v/>
      </c>
      <c r="AD308" s="6" t="str">
        <f t="shared" si="32"/>
        <v/>
      </c>
    </row>
    <row r="309" spans="1:30" x14ac:dyDescent="0.25">
      <c r="A309" s="37"/>
      <c r="B309" s="38"/>
      <c r="C309" s="2"/>
      <c r="D309" s="41"/>
      <c r="E309" s="38"/>
      <c r="F309" s="2"/>
      <c r="G309" s="41"/>
      <c r="H309" s="38"/>
      <c r="I309" s="39"/>
      <c r="J309" s="39"/>
      <c r="K309" s="41"/>
      <c r="L309" s="41"/>
      <c r="M309" s="42"/>
      <c r="U309" s="3" t="str">
        <f t="shared" si="30"/>
        <v/>
      </c>
      <c r="V309" s="3" t="str">
        <f t="shared" si="31"/>
        <v/>
      </c>
      <c r="AD309" s="6" t="str">
        <f t="shared" si="32"/>
        <v/>
      </c>
    </row>
    <row r="310" spans="1:30" x14ac:dyDescent="0.25">
      <c r="A310" s="37"/>
      <c r="B310" s="38"/>
      <c r="C310" s="2"/>
      <c r="D310" s="41"/>
      <c r="E310" s="38"/>
      <c r="F310" s="2"/>
      <c r="G310" s="41"/>
      <c r="H310" s="38"/>
      <c r="I310" s="39"/>
      <c r="J310" s="39"/>
      <c r="K310" s="41"/>
      <c r="L310" s="41"/>
      <c r="M310" s="42"/>
      <c r="U310" s="3" t="str">
        <f t="shared" si="30"/>
        <v/>
      </c>
      <c r="V310" s="3" t="str">
        <f t="shared" si="31"/>
        <v/>
      </c>
      <c r="AD310" s="6" t="str">
        <f t="shared" si="32"/>
        <v/>
      </c>
    </row>
    <row r="311" spans="1:30" x14ac:dyDescent="0.25">
      <c r="A311" s="37"/>
      <c r="B311" s="38"/>
      <c r="C311" s="2"/>
      <c r="D311" s="41"/>
      <c r="E311" s="38"/>
      <c r="F311" s="2"/>
      <c r="G311" s="41"/>
      <c r="H311" s="38"/>
      <c r="I311" s="39"/>
      <c r="J311" s="39"/>
      <c r="K311" s="41"/>
      <c r="L311" s="41"/>
      <c r="M311" s="42"/>
      <c r="U311" s="3" t="str">
        <f t="shared" si="30"/>
        <v/>
      </c>
      <c r="V311" s="3" t="str">
        <f t="shared" si="31"/>
        <v/>
      </c>
      <c r="AD311" s="6" t="str">
        <f t="shared" si="32"/>
        <v/>
      </c>
    </row>
    <row r="312" spans="1:30" x14ac:dyDescent="0.25">
      <c r="A312" s="37"/>
      <c r="B312" s="38"/>
      <c r="C312" s="2"/>
      <c r="D312" s="41"/>
      <c r="E312" s="38"/>
      <c r="F312" s="2"/>
      <c r="G312" s="41"/>
      <c r="H312" s="38"/>
      <c r="I312" s="39"/>
      <c r="J312" s="39"/>
      <c r="K312" s="41"/>
      <c r="L312" s="41"/>
      <c r="M312" s="42"/>
      <c r="U312" s="3" t="str">
        <f t="shared" si="30"/>
        <v/>
      </c>
      <c r="V312" s="3" t="str">
        <f t="shared" si="31"/>
        <v/>
      </c>
      <c r="AD312" s="6" t="str">
        <f t="shared" si="32"/>
        <v/>
      </c>
    </row>
    <row r="313" spans="1:30" x14ac:dyDescent="0.25">
      <c r="A313" s="37"/>
      <c r="B313" s="38"/>
      <c r="C313" s="2"/>
      <c r="D313" s="41"/>
      <c r="E313" s="38"/>
      <c r="F313" s="2"/>
      <c r="G313" s="41"/>
      <c r="H313" s="38"/>
      <c r="I313" s="39"/>
      <c r="J313" s="39"/>
      <c r="K313" s="41"/>
      <c r="L313" s="41"/>
      <c r="M313" s="42"/>
      <c r="U313" s="3" t="str">
        <f t="shared" si="30"/>
        <v/>
      </c>
      <c r="V313" s="3" t="str">
        <f t="shared" si="31"/>
        <v/>
      </c>
      <c r="AD313" s="6" t="str">
        <f t="shared" si="32"/>
        <v/>
      </c>
    </row>
    <row r="314" spans="1:30" x14ac:dyDescent="0.25">
      <c r="A314" s="37"/>
      <c r="B314" s="38"/>
      <c r="C314" s="2"/>
      <c r="D314" s="41"/>
      <c r="E314" s="38"/>
      <c r="F314" s="2"/>
      <c r="G314" s="41"/>
      <c r="H314" s="38"/>
      <c r="I314" s="39"/>
      <c r="J314" s="39"/>
      <c r="K314" s="41"/>
      <c r="L314" s="41"/>
      <c r="M314" s="42"/>
      <c r="U314" s="3" t="str">
        <f t="shared" si="30"/>
        <v/>
      </c>
      <c r="V314" s="3" t="str">
        <f t="shared" si="31"/>
        <v/>
      </c>
      <c r="AD314" s="6" t="str">
        <f t="shared" si="32"/>
        <v/>
      </c>
    </row>
    <row r="315" spans="1:30" x14ac:dyDescent="0.25">
      <c r="A315" s="37"/>
      <c r="B315" s="38"/>
      <c r="C315" s="2"/>
      <c r="D315" s="41"/>
      <c r="E315" s="38"/>
      <c r="F315" s="2"/>
      <c r="G315" s="41"/>
      <c r="H315" s="38"/>
      <c r="I315" s="39"/>
      <c r="J315" s="39"/>
      <c r="K315" s="41"/>
      <c r="L315" s="41"/>
      <c r="M315" s="42"/>
      <c r="U315" s="3" t="str">
        <f t="shared" si="30"/>
        <v/>
      </c>
      <c r="V315" s="3" t="str">
        <f t="shared" si="31"/>
        <v/>
      </c>
      <c r="AD315" s="6" t="str">
        <f t="shared" si="32"/>
        <v/>
      </c>
    </row>
    <row r="316" spans="1:30" x14ac:dyDescent="0.25">
      <c r="A316" s="37"/>
      <c r="B316" s="38"/>
      <c r="C316" s="2"/>
      <c r="D316" s="41"/>
      <c r="E316" s="38"/>
      <c r="F316" s="2"/>
      <c r="G316" s="41"/>
      <c r="H316" s="38"/>
      <c r="I316" s="39"/>
      <c r="J316" s="39"/>
      <c r="K316" s="41"/>
      <c r="L316" s="41"/>
      <c r="M316" s="42"/>
      <c r="U316" s="3" t="str">
        <f t="shared" si="30"/>
        <v/>
      </c>
      <c r="V316" s="3" t="str">
        <f t="shared" si="31"/>
        <v/>
      </c>
      <c r="AD316" s="6" t="str">
        <f t="shared" si="32"/>
        <v/>
      </c>
    </row>
    <row r="317" spans="1:30" x14ac:dyDescent="0.25">
      <c r="A317" s="37"/>
      <c r="B317" s="38"/>
      <c r="C317" s="2"/>
      <c r="D317" s="41"/>
      <c r="E317" s="38"/>
      <c r="F317" s="2"/>
      <c r="G317" s="41"/>
      <c r="H317" s="38"/>
      <c r="I317" s="39"/>
      <c r="J317" s="39"/>
      <c r="K317" s="41"/>
      <c r="L317" s="41"/>
      <c r="M317" s="42"/>
      <c r="U317" s="3" t="str">
        <f t="shared" si="30"/>
        <v/>
      </c>
      <c r="V317" s="3" t="str">
        <f t="shared" si="31"/>
        <v/>
      </c>
      <c r="AD317" s="6" t="str">
        <f t="shared" si="32"/>
        <v/>
      </c>
    </row>
    <row r="318" spans="1:30" x14ac:dyDescent="0.25">
      <c r="A318" s="37"/>
      <c r="B318" s="38"/>
      <c r="C318" s="2"/>
      <c r="D318" s="41"/>
      <c r="E318" s="38"/>
      <c r="F318" s="2"/>
      <c r="G318" s="41"/>
      <c r="H318" s="38"/>
      <c r="I318" s="39"/>
      <c r="J318" s="39"/>
      <c r="K318" s="41"/>
      <c r="L318" s="41"/>
      <c r="M318" s="42"/>
      <c r="U318" s="3" t="str">
        <f t="shared" si="30"/>
        <v/>
      </c>
      <c r="V318" s="3" t="str">
        <f t="shared" si="31"/>
        <v/>
      </c>
      <c r="AD318" s="6" t="str">
        <f t="shared" si="32"/>
        <v/>
      </c>
    </row>
    <row r="319" spans="1:30" x14ac:dyDescent="0.25">
      <c r="A319" s="37"/>
      <c r="B319" s="38"/>
      <c r="C319" s="2"/>
      <c r="D319" s="41"/>
      <c r="E319" s="38"/>
      <c r="F319" s="2"/>
      <c r="G319" s="41"/>
      <c r="H319" s="38"/>
      <c r="I319" s="39"/>
      <c r="J319" s="39"/>
      <c r="K319" s="41"/>
      <c r="L319" s="41"/>
      <c r="M319" s="42"/>
      <c r="U319" s="3" t="str">
        <f t="shared" si="30"/>
        <v/>
      </c>
      <c r="V319" s="3" t="str">
        <f t="shared" si="31"/>
        <v/>
      </c>
      <c r="AD319" s="6" t="str">
        <f t="shared" si="32"/>
        <v/>
      </c>
    </row>
    <row r="320" spans="1:30" x14ac:dyDescent="0.25">
      <c r="A320" s="37"/>
      <c r="B320" s="38"/>
      <c r="C320" s="2"/>
      <c r="D320" s="41"/>
      <c r="E320" s="38"/>
      <c r="F320" s="2"/>
      <c r="G320" s="41"/>
      <c r="H320" s="38"/>
      <c r="I320" s="39"/>
      <c r="J320" s="39"/>
      <c r="K320" s="41"/>
      <c r="L320" s="41"/>
      <c r="M320" s="42"/>
      <c r="U320" s="3" t="str">
        <f t="shared" si="30"/>
        <v/>
      </c>
      <c r="V320" s="3" t="str">
        <f t="shared" si="31"/>
        <v/>
      </c>
      <c r="AD320" s="6" t="str">
        <f t="shared" si="32"/>
        <v/>
      </c>
    </row>
    <row r="321" spans="1:30" x14ac:dyDescent="0.25">
      <c r="A321" s="37"/>
      <c r="B321" s="38"/>
      <c r="C321" s="2"/>
      <c r="D321" s="41"/>
      <c r="E321" s="38"/>
      <c r="F321" s="2"/>
      <c r="G321" s="41"/>
      <c r="H321" s="38"/>
      <c r="I321" s="39"/>
      <c r="J321" s="39"/>
      <c r="K321" s="41"/>
      <c r="L321" s="41"/>
      <c r="M321" s="42"/>
      <c r="U321" s="3" t="str">
        <f t="shared" si="30"/>
        <v/>
      </c>
      <c r="V321" s="3" t="str">
        <f t="shared" si="31"/>
        <v/>
      </c>
      <c r="AD321" s="6" t="str">
        <f t="shared" si="32"/>
        <v/>
      </c>
    </row>
    <row r="322" spans="1:30" x14ac:dyDescent="0.25">
      <c r="A322" s="37"/>
      <c r="B322" s="38"/>
      <c r="C322" s="2"/>
      <c r="D322" s="41"/>
      <c r="E322" s="38"/>
      <c r="F322" s="2"/>
      <c r="G322" s="41"/>
      <c r="H322" s="38"/>
      <c r="I322" s="39"/>
      <c r="J322" s="39"/>
      <c r="K322" s="41"/>
      <c r="L322" s="41"/>
      <c r="M322" s="42"/>
      <c r="U322" s="3" t="str">
        <f t="shared" si="30"/>
        <v/>
      </c>
      <c r="V322" s="3" t="str">
        <f t="shared" si="31"/>
        <v/>
      </c>
      <c r="AD322" s="6" t="str">
        <f t="shared" si="32"/>
        <v/>
      </c>
    </row>
    <row r="323" spans="1:30" x14ac:dyDescent="0.25">
      <c r="A323" s="37"/>
      <c r="B323" s="38"/>
      <c r="C323" s="2"/>
      <c r="D323" s="41"/>
      <c r="E323" s="38"/>
      <c r="F323" s="2"/>
      <c r="G323" s="41"/>
      <c r="H323" s="38"/>
      <c r="I323" s="39"/>
      <c r="J323" s="39"/>
      <c r="K323" s="41"/>
      <c r="L323" s="41"/>
      <c r="M323" s="42"/>
      <c r="U323" s="3" t="str">
        <f t="shared" si="30"/>
        <v/>
      </c>
      <c r="V323" s="3" t="str">
        <f t="shared" si="31"/>
        <v/>
      </c>
      <c r="AD323" s="6" t="str">
        <f t="shared" si="32"/>
        <v/>
      </c>
    </row>
    <row r="324" spans="1:30" x14ac:dyDescent="0.25">
      <c r="A324" s="37"/>
      <c r="B324" s="38"/>
      <c r="C324" s="2"/>
      <c r="D324" s="41"/>
      <c r="E324" s="38"/>
      <c r="F324" s="2"/>
      <c r="G324" s="41"/>
      <c r="H324" s="38"/>
      <c r="I324" s="39"/>
      <c r="J324" s="39"/>
      <c r="K324" s="41"/>
      <c r="L324" s="41"/>
      <c r="M324" s="42"/>
      <c r="U324" s="3" t="str">
        <f t="shared" ref="U324:U387" si="33">IF(COUNTIF(Q:Q,O324)*COUNTIF(S:S,O324),O324,"")</f>
        <v/>
      </c>
      <c r="V324" s="3" t="str">
        <f t="shared" ref="V324:V387" si="34">IF(U324&gt;$A$14,U324,"")</f>
        <v/>
      </c>
      <c r="AD324" s="6" t="str">
        <f t="shared" ref="AD324:AD387" si="35">IF(COUNTIF(AB:AB,Z324),Z324,"")</f>
        <v/>
      </c>
    </row>
    <row r="325" spans="1:30" x14ac:dyDescent="0.25">
      <c r="A325" s="37"/>
      <c r="B325" s="38"/>
      <c r="C325" s="2"/>
      <c r="D325" s="41"/>
      <c r="E325" s="38"/>
      <c r="F325" s="2"/>
      <c r="G325" s="41"/>
      <c r="H325" s="38"/>
      <c r="I325" s="39"/>
      <c r="J325" s="39"/>
      <c r="K325" s="41"/>
      <c r="L325" s="41"/>
      <c r="M325" s="42"/>
      <c r="U325" s="3" t="str">
        <f t="shared" si="33"/>
        <v/>
      </c>
      <c r="V325" s="3" t="str">
        <f t="shared" si="34"/>
        <v/>
      </c>
      <c r="AD325" s="6" t="str">
        <f t="shared" si="35"/>
        <v/>
      </c>
    </row>
    <row r="326" spans="1:30" x14ac:dyDescent="0.25">
      <c r="A326" s="37"/>
      <c r="B326" s="38"/>
      <c r="C326" s="2"/>
      <c r="D326" s="41"/>
      <c r="E326" s="38"/>
      <c r="F326" s="2"/>
      <c r="G326" s="41"/>
      <c r="H326" s="38"/>
      <c r="I326" s="39"/>
      <c r="J326" s="39"/>
      <c r="K326" s="41"/>
      <c r="L326" s="41"/>
      <c r="M326" s="42"/>
      <c r="U326" s="3" t="str">
        <f t="shared" si="33"/>
        <v/>
      </c>
      <c r="V326" s="3" t="str">
        <f t="shared" si="34"/>
        <v/>
      </c>
      <c r="AD326" s="6" t="str">
        <f t="shared" si="35"/>
        <v/>
      </c>
    </row>
    <row r="327" spans="1:30" x14ac:dyDescent="0.25">
      <c r="A327" s="37"/>
      <c r="B327" s="38"/>
      <c r="C327" s="2"/>
      <c r="D327" s="41"/>
      <c r="E327" s="38"/>
      <c r="F327" s="2"/>
      <c r="G327" s="41"/>
      <c r="H327" s="38"/>
      <c r="I327" s="39"/>
      <c r="J327" s="39"/>
      <c r="K327" s="41"/>
      <c r="L327" s="41"/>
      <c r="M327" s="42"/>
      <c r="U327" s="3" t="str">
        <f t="shared" si="33"/>
        <v/>
      </c>
      <c r="V327" s="3" t="str">
        <f t="shared" si="34"/>
        <v/>
      </c>
      <c r="AD327" s="6" t="str">
        <f t="shared" si="35"/>
        <v/>
      </c>
    </row>
    <row r="328" spans="1:30" x14ac:dyDescent="0.25">
      <c r="A328" s="37"/>
      <c r="B328" s="38"/>
      <c r="C328" s="2"/>
      <c r="D328" s="41"/>
      <c r="E328" s="38"/>
      <c r="F328" s="2"/>
      <c r="G328" s="41"/>
      <c r="H328" s="38"/>
      <c r="I328" s="39"/>
      <c r="J328" s="39"/>
      <c r="K328" s="41"/>
      <c r="L328" s="41"/>
      <c r="M328" s="42"/>
      <c r="U328" s="3" t="str">
        <f t="shared" si="33"/>
        <v/>
      </c>
      <c r="V328" s="3" t="str">
        <f t="shared" si="34"/>
        <v/>
      </c>
      <c r="AD328" s="6" t="str">
        <f t="shared" si="35"/>
        <v/>
      </c>
    </row>
    <row r="329" spans="1:30" x14ac:dyDescent="0.25">
      <c r="A329" s="37"/>
      <c r="B329" s="38"/>
      <c r="C329" s="2"/>
      <c r="D329" s="41"/>
      <c r="E329" s="38"/>
      <c r="F329" s="2"/>
      <c r="G329" s="41"/>
      <c r="H329" s="38"/>
      <c r="I329" s="39"/>
      <c r="J329" s="39"/>
      <c r="K329" s="41"/>
      <c r="L329" s="41"/>
      <c r="M329" s="42"/>
      <c r="U329" s="3" t="str">
        <f t="shared" si="33"/>
        <v/>
      </c>
      <c r="V329" s="3" t="str">
        <f t="shared" si="34"/>
        <v/>
      </c>
      <c r="AD329" s="6" t="str">
        <f t="shared" si="35"/>
        <v/>
      </c>
    </row>
    <row r="330" spans="1:30" x14ac:dyDescent="0.25">
      <c r="A330" s="37"/>
      <c r="B330" s="38"/>
      <c r="C330" s="2"/>
      <c r="D330" s="41"/>
      <c r="E330" s="38"/>
      <c r="F330" s="2"/>
      <c r="G330" s="41"/>
      <c r="H330" s="38"/>
      <c r="I330" s="39"/>
      <c r="J330" s="39"/>
      <c r="K330" s="41"/>
      <c r="L330" s="41"/>
      <c r="M330" s="42"/>
      <c r="U330" s="3" t="str">
        <f t="shared" si="33"/>
        <v/>
      </c>
      <c r="V330" s="3" t="str">
        <f t="shared" si="34"/>
        <v/>
      </c>
      <c r="AD330" s="6" t="str">
        <f t="shared" si="35"/>
        <v/>
      </c>
    </row>
    <row r="331" spans="1:30" x14ac:dyDescent="0.25">
      <c r="A331" s="37"/>
      <c r="B331" s="38"/>
      <c r="C331" s="2"/>
      <c r="D331" s="41"/>
      <c r="E331" s="38"/>
      <c r="F331" s="2"/>
      <c r="G331" s="41"/>
      <c r="H331" s="38"/>
      <c r="I331" s="39"/>
      <c r="J331" s="39"/>
      <c r="K331" s="41"/>
      <c r="L331" s="41"/>
      <c r="M331" s="42"/>
      <c r="U331" s="3" t="str">
        <f t="shared" si="33"/>
        <v/>
      </c>
      <c r="V331" s="3" t="str">
        <f t="shared" si="34"/>
        <v/>
      </c>
      <c r="AD331" s="6" t="str">
        <f t="shared" si="35"/>
        <v/>
      </c>
    </row>
    <row r="332" spans="1:30" x14ac:dyDescent="0.25">
      <c r="A332" s="37"/>
      <c r="B332" s="38"/>
      <c r="C332" s="2"/>
      <c r="D332" s="41"/>
      <c r="E332" s="38"/>
      <c r="F332" s="2"/>
      <c r="G332" s="41"/>
      <c r="H332" s="38"/>
      <c r="I332" s="39"/>
      <c r="J332" s="39"/>
      <c r="K332" s="41"/>
      <c r="L332" s="41"/>
      <c r="M332" s="42"/>
      <c r="U332" s="3" t="str">
        <f t="shared" si="33"/>
        <v/>
      </c>
      <c r="V332" s="3" t="str">
        <f t="shared" si="34"/>
        <v/>
      </c>
      <c r="AD332" s="6" t="str">
        <f t="shared" si="35"/>
        <v/>
      </c>
    </row>
    <row r="333" spans="1:30" x14ac:dyDescent="0.25">
      <c r="A333" s="37"/>
      <c r="B333" s="38"/>
      <c r="C333" s="2"/>
      <c r="D333" s="41"/>
      <c r="E333" s="38"/>
      <c r="F333" s="2"/>
      <c r="G333" s="41"/>
      <c r="H333" s="38"/>
      <c r="I333" s="39"/>
      <c r="J333" s="39"/>
      <c r="K333" s="41"/>
      <c r="L333" s="41"/>
      <c r="M333" s="42"/>
      <c r="U333" s="3" t="str">
        <f t="shared" si="33"/>
        <v/>
      </c>
      <c r="V333" s="3" t="str">
        <f t="shared" si="34"/>
        <v/>
      </c>
      <c r="AD333" s="6" t="str">
        <f t="shared" si="35"/>
        <v/>
      </c>
    </row>
    <row r="334" spans="1:30" x14ac:dyDescent="0.25">
      <c r="A334" s="37"/>
      <c r="B334" s="38"/>
      <c r="C334" s="2"/>
      <c r="D334" s="41"/>
      <c r="E334" s="38"/>
      <c r="F334" s="2"/>
      <c r="G334" s="41"/>
      <c r="H334" s="38"/>
      <c r="I334" s="39"/>
      <c r="J334" s="39"/>
      <c r="K334" s="41"/>
      <c r="L334" s="41"/>
      <c r="M334" s="42"/>
      <c r="U334" s="3" t="str">
        <f t="shared" si="33"/>
        <v/>
      </c>
      <c r="V334" s="3" t="str">
        <f t="shared" si="34"/>
        <v/>
      </c>
      <c r="AD334" s="6" t="str">
        <f t="shared" si="35"/>
        <v/>
      </c>
    </row>
    <row r="335" spans="1:30" x14ac:dyDescent="0.25">
      <c r="A335" s="37"/>
      <c r="B335" s="38"/>
      <c r="C335" s="2"/>
      <c r="D335" s="41"/>
      <c r="E335" s="38"/>
      <c r="F335" s="2"/>
      <c r="G335" s="41"/>
      <c r="H335" s="38"/>
      <c r="I335" s="39"/>
      <c r="J335" s="39"/>
      <c r="K335" s="41"/>
      <c r="L335" s="41"/>
      <c r="M335" s="42"/>
      <c r="U335" s="3" t="str">
        <f t="shared" si="33"/>
        <v/>
      </c>
      <c r="V335" s="3" t="str">
        <f t="shared" si="34"/>
        <v/>
      </c>
      <c r="AD335" s="6" t="str">
        <f t="shared" si="35"/>
        <v/>
      </c>
    </row>
    <row r="336" spans="1:30" x14ac:dyDescent="0.25">
      <c r="A336" s="37"/>
      <c r="B336" s="38"/>
      <c r="C336" s="2"/>
      <c r="D336" s="41"/>
      <c r="E336" s="38"/>
      <c r="F336" s="2"/>
      <c r="G336" s="41"/>
      <c r="H336" s="38"/>
      <c r="I336" s="39"/>
      <c r="J336" s="39"/>
      <c r="K336" s="41"/>
      <c r="L336" s="41"/>
      <c r="M336" s="42"/>
      <c r="U336" s="3" t="str">
        <f t="shared" si="33"/>
        <v/>
      </c>
      <c r="V336" s="3" t="str">
        <f t="shared" si="34"/>
        <v/>
      </c>
      <c r="AD336" s="6" t="str">
        <f t="shared" si="35"/>
        <v/>
      </c>
    </row>
    <row r="337" spans="1:30" x14ac:dyDescent="0.25">
      <c r="A337" s="37"/>
      <c r="B337" s="38"/>
      <c r="C337" s="2"/>
      <c r="D337" s="41"/>
      <c r="E337" s="38"/>
      <c r="F337" s="2"/>
      <c r="G337" s="41"/>
      <c r="H337" s="38"/>
      <c r="I337" s="39"/>
      <c r="J337" s="39"/>
      <c r="K337" s="41"/>
      <c r="L337" s="41"/>
      <c r="M337" s="42"/>
      <c r="U337" s="3" t="str">
        <f t="shared" si="33"/>
        <v/>
      </c>
      <c r="V337" s="3" t="str">
        <f t="shared" si="34"/>
        <v/>
      </c>
      <c r="AD337" s="6" t="str">
        <f t="shared" si="35"/>
        <v/>
      </c>
    </row>
    <row r="338" spans="1:30" x14ac:dyDescent="0.25">
      <c r="A338" s="37"/>
      <c r="B338" s="38"/>
      <c r="C338" s="2"/>
      <c r="D338" s="41"/>
      <c r="E338" s="38"/>
      <c r="F338" s="2"/>
      <c r="G338" s="41"/>
      <c r="H338" s="38"/>
      <c r="I338" s="39"/>
      <c r="J338" s="39"/>
      <c r="K338" s="41"/>
      <c r="L338" s="41"/>
      <c r="M338" s="42"/>
      <c r="U338" s="3" t="str">
        <f t="shared" si="33"/>
        <v/>
      </c>
      <c r="V338" s="3" t="str">
        <f t="shared" si="34"/>
        <v/>
      </c>
      <c r="AD338" s="6" t="str">
        <f t="shared" si="35"/>
        <v/>
      </c>
    </row>
    <row r="339" spans="1:30" x14ac:dyDescent="0.25">
      <c r="A339" s="37"/>
      <c r="B339" s="38"/>
      <c r="C339" s="2"/>
      <c r="D339" s="41"/>
      <c r="E339" s="38"/>
      <c r="F339" s="2"/>
      <c r="G339" s="41"/>
      <c r="H339" s="38"/>
      <c r="I339" s="39"/>
      <c r="J339" s="39"/>
      <c r="K339" s="41"/>
      <c r="L339" s="41"/>
      <c r="M339" s="42"/>
      <c r="U339" s="3" t="str">
        <f t="shared" si="33"/>
        <v/>
      </c>
      <c r="V339" s="3" t="str">
        <f t="shared" si="34"/>
        <v/>
      </c>
      <c r="AD339" s="6" t="str">
        <f t="shared" si="35"/>
        <v/>
      </c>
    </row>
    <row r="340" spans="1:30" x14ac:dyDescent="0.25">
      <c r="A340" s="37"/>
      <c r="B340" s="38"/>
      <c r="C340" s="2"/>
      <c r="D340" s="41"/>
      <c r="E340" s="38"/>
      <c r="F340" s="2"/>
      <c r="G340" s="41"/>
      <c r="H340" s="38"/>
      <c r="I340" s="39"/>
      <c r="J340" s="39"/>
      <c r="K340" s="41"/>
      <c r="L340" s="41"/>
      <c r="M340" s="42"/>
      <c r="U340" s="3" t="str">
        <f t="shared" si="33"/>
        <v/>
      </c>
      <c r="V340" s="3" t="str">
        <f t="shared" si="34"/>
        <v/>
      </c>
      <c r="AD340" s="6" t="str">
        <f t="shared" si="35"/>
        <v/>
      </c>
    </row>
    <row r="341" spans="1:30" x14ac:dyDescent="0.25">
      <c r="A341" s="37"/>
      <c r="B341" s="38"/>
      <c r="C341" s="2"/>
      <c r="D341" s="41"/>
      <c r="E341" s="38"/>
      <c r="F341" s="2"/>
      <c r="G341" s="41"/>
      <c r="H341" s="38"/>
      <c r="I341" s="39"/>
      <c r="J341" s="39"/>
      <c r="K341" s="41"/>
      <c r="L341" s="41"/>
      <c r="M341" s="42"/>
      <c r="U341" s="3" t="str">
        <f t="shared" si="33"/>
        <v/>
      </c>
      <c r="V341" s="3" t="str">
        <f t="shared" si="34"/>
        <v/>
      </c>
      <c r="AD341" s="6" t="str">
        <f t="shared" si="35"/>
        <v/>
      </c>
    </row>
    <row r="342" spans="1:30" x14ac:dyDescent="0.25">
      <c r="A342" s="37"/>
      <c r="B342" s="38"/>
      <c r="C342" s="2"/>
      <c r="D342" s="41"/>
      <c r="E342" s="38"/>
      <c r="F342" s="2"/>
      <c r="G342" s="41"/>
      <c r="H342" s="38"/>
      <c r="I342" s="39"/>
      <c r="J342" s="39"/>
      <c r="K342" s="41"/>
      <c r="L342" s="41"/>
      <c r="M342" s="42"/>
      <c r="U342" s="3" t="str">
        <f t="shared" si="33"/>
        <v/>
      </c>
      <c r="V342" s="3" t="str">
        <f t="shared" si="34"/>
        <v/>
      </c>
      <c r="AD342" s="6" t="str">
        <f t="shared" si="35"/>
        <v/>
      </c>
    </row>
    <row r="343" spans="1:30" x14ac:dyDescent="0.25">
      <c r="A343" s="37"/>
      <c r="B343" s="38"/>
      <c r="C343" s="2"/>
      <c r="D343" s="41"/>
      <c r="E343" s="38"/>
      <c r="F343" s="2"/>
      <c r="G343" s="41"/>
      <c r="H343" s="38"/>
      <c r="I343" s="39"/>
      <c r="J343" s="39"/>
      <c r="K343" s="41"/>
      <c r="L343" s="41"/>
      <c r="M343" s="42"/>
      <c r="U343" s="3" t="str">
        <f t="shared" si="33"/>
        <v/>
      </c>
      <c r="V343" s="3" t="str">
        <f t="shared" si="34"/>
        <v/>
      </c>
      <c r="AD343" s="6" t="str">
        <f t="shared" si="35"/>
        <v/>
      </c>
    </row>
    <row r="344" spans="1:30" x14ac:dyDescent="0.25">
      <c r="A344" s="37"/>
      <c r="B344" s="38"/>
      <c r="C344" s="2"/>
      <c r="D344" s="41"/>
      <c r="E344" s="38"/>
      <c r="F344" s="2"/>
      <c r="G344" s="41"/>
      <c r="H344" s="38"/>
      <c r="I344" s="39"/>
      <c r="J344" s="39"/>
      <c r="K344" s="41"/>
      <c r="L344" s="41"/>
      <c r="M344" s="42"/>
      <c r="U344" s="3" t="str">
        <f t="shared" si="33"/>
        <v/>
      </c>
      <c r="V344" s="3" t="str">
        <f t="shared" si="34"/>
        <v/>
      </c>
      <c r="AD344" s="6" t="str">
        <f t="shared" si="35"/>
        <v/>
      </c>
    </row>
    <row r="345" spans="1:30" x14ac:dyDescent="0.25">
      <c r="A345" s="37"/>
      <c r="B345" s="38"/>
      <c r="C345" s="2"/>
      <c r="D345" s="41"/>
      <c r="E345" s="38"/>
      <c r="F345" s="2"/>
      <c r="G345" s="41"/>
      <c r="H345" s="38"/>
      <c r="I345" s="39"/>
      <c r="J345" s="39"/>
      <c r="K345" s="41"/>
      <c r="L345" s="41"/>
      <c r="M345" s="42"/>
      <c r="U345" s="3" t="str">
        <f t="shared" si="33"/>
        <v/>
      </c>
      <c r="V345" s="3" t="str">
        <f t="shared" si="34"/>
        <v/>
      </c>
      <c r="AD345" s="6" t="str">
        <f t="shared" si="35"/>
        <v/>
      </c>
    </row>
    <row r="346" spans="1:30" x14ac:dyDescent="0.25">
      <c r="A346" s="37"/>
      <c r="B346" s="38"/>
      <c r="C346" s="2"/>
      <c r="D346" s="41"/>
      <c r="E346" s="38"/>
      <c r="F346" s="2"/>
      <c r="G346" s="41"/>
      <c r="H346" s="38"/>
      <c r="I346" s="39"/>
      <c r="J346" s="39"/>
      <c r="K346" s="41"/>
      <c r="L346" s="41"/>
      <c r="M346" s="42"/>
      <c r="U346" s="3" t="str">
        <f t="shared" si="33"/>
        <v/>
      </c>
      <c r="V346" s="3" t="str">
        <f t="shared" si="34"/>
        <v/>
      </c>
      <c r="AD346" s="6" t="str">
        <f t="shared" si="35"/>
        <v/>
      </c>
    </row>
    <row r="347" spans="1:30" x14ac:dyDescent="0.25">
      <c r="A347" s="37"/>
      <c r="B347" s="38"/>
      <c r="C347" s="2"/>
      <c r="D347" s="41"/>
      <c r="E347" s="38"/>
      <c r="F347" s="2"/>
      <c r="G347" s="41"/>
      <c r="H347" s="38"/>
      <c r="I347" s="39"/>
      <c r="J347" s="39"/>
      <c r="K347" s="41"/>
      <c r="L347" s="41"/>
      <c r="M347" s="42"/>
      <c r="U347" s="3" t="str">
        <f t="shared" si="33"/>
        <v/>
      </c>
      <c r="V347" s="3" t="str">
        <f t="shared" si="34"/>
        <v/>
      </c>
      <c r="AD347" s="6" t="str">
        <f t="shared" si="35"/>
        <v/>
      </c>
    </row>
    <row r="348" spans="1:30" x14ac:dyDescent="0.25">
      <c r="A348" s="37"/>
      <c r="B348" s="38"/>
      <c r="C348" s="2"/>
      <c r="D348" s="41"/>
      <c r="E348" s="38"/>
      <c r="F348" s="2"/>
      <c r="G348" s="41"/>
      <c r="H348" s="38"/>
      <c r="I348" s="39"/>
      <c r="J348" s="39"/>
      <c r="K348" s="41"/>
      <c r="L348" s="41"/>
      <c r="M348" s="42"/>
      <c r="U348" s="3" t="str">
        <f t="shared" si="33"/>
        <v/>
      </c>
      <c r="V348" s="3" t="str">
        <f t="shared" si="34"/>
        <v/>
      </c>
      <c r="AD348" s="6" t="str">
        <f t="shared" si="35"/>
        <v/>
      </c>
    </row>
    <row r="349" spans="1:30" x14ac:dyDescent="0.25">
      <c r="A349" s="37"/>
      <c r="B349" s="38"/>
      <c r="C349" s="2"/>
      <c r="D349" s="41"/>
      <c r="E349" s="38"/>
      <c r="F349" s="2"/>
      <c r="G349" s="41"/>
      <c r="H349" s="38"/>
      <c r="I349" s="39"/>
      <c r="J349" s="39"/>
      <c r="K349" s="41"/>
      <c r="L349" s="41"/>
      <c r="M349" s="42"/>
      <c r="U349" s="3" t="str">
        <f t="shared" si="33"/>
        <v/>
      </c>
      <c r="V349" s="3" t="str">
        <f t="shared" si="34"/>
        <v/>
      </c>
      <c r="AD349" s="6" t="str">
        <f t="shared" si="35"/>
        <v/>
      </c>
    </row>
    <row r="350" spans="1:30" x14ac:dyDescent="0.25">
      <c r="A350" s="37"/>
      <c r="B350" s="38"/>
      <c r="C350" s="2"/>
      <c r="D350" s="41"/>
      <c r="E350" s="38"/>
      <c r="F350" s="2"/>
      <c r="G350" s="41"/>
      <c r="H350" s="38"/>
      <c r="I350" s="39"/>
      <c r="J350" s="39"/>
      <c r="K350" s="41"/>
      <c r="L350" s="41"/>
      <c r="M350" s="42"/>
      <c r="U350" s="3" t="str">
        <f t="shared" si="33"/>
        <v/>
      </c>
      <c r="V350" s="3" t="str">
        <f t="shared" si="34"/>
        <v/>
      </c>
      <c r="AD350" s="6" t="str">
        <f t="shared" si="35"/>
        <v/>
      </c>
    </row>
    <row r="351" spans="1:30" x14ac:dyDescent="0.25">
      <c r="A351" s="37"/>
      <c r="B351" s="38"/>
      <c r="C351" s="2"/>
      <c r="D351" s="41"/>
      <c r="E351" s="38"/>
      <c r="F351" s="2"/>
      <c r="G351" s="41"/>
      <c r="H351" s="38"/>
      <c r="I351" s="39"/>
      <c r="J351" s="39"/>
      <c r="K351" s="41"/>
      <c r="L351" s="41"/>
      <c r="M351" s="42"/>
      <c r="U351" s="3" t="str">
        <f t="shared" si="33"/>
        <v/>
      </c>
      <c r="V351" s="3" t="str">
        <f t="shared" si="34"/>
        <v/>
      </c>
      <c r="AD351" s="6" t="str">
        <f t="shared" si="35"/>
        <v/>
      </c>
    </row>
    <row r="352" spans="1:30" x14ac:dyDescent="0.25">
      <c r="A352" s="37"/>
      <c r="B352" s="38"/>
      <c r="C352" s="2"/>
      <c r="D352" s="41"/>
      <c r="E352" s="38"/>
      <c r="F352" s="2"/>
      <c r="G352" s="41"/>
      <c r="H352" s="38"/>
      <c r="I352" s="39"/>
      <c r="J352" s="39"/>
      <c r="K352" s="41"/>
      <c r="L352" s="41"/>
      <c r="M352" s="42"/>
      <c r="U352" s="3" t="str">
        <f t="shared" si="33"/>
        <v/>
      </c>
      <c r="V352" s="3" t="str">
        <f t="shared" si="34"/>
        <v/>
      </c>
      <c r="AD352" s="6" t="str">
        <f t="shared" si="35"/>
        <v/>
      </c>
    </row>
    <row r="353" spans="1:30" x14ac:dyDescent="0.25">
      <c r="A353" s="37"/>
      <c r="B353" s="38"/>
      <c r="C353" s="2"/>
      <c r="D353" s="41"/>
      <c r="E353" s="38"/>
      <c r="F353" s="2"/>
      <c r="G353" s="41"/>
      <c r="H353" s="38"/>
      <c r="I353" s="39"/>
      <c r="J353" s="39"/>
      <c r="K353" s="41"/>
      <c r="L353" s="41"/>
      <c r="M353" s="42"/>
      <c r="U353" s="3" t="str">
        <f t="shared" si="33"/>
        <v/>
      </c>
      <c r="V353" s="3" t="str">
        <f t="shared" si="34"/>
        <v/>
      </c>
      <c r="AD353" s="6" t="str">
        <f t="shared" si="35"/>
        <v/>
      </c>
    </row>
    <row r="354" spans="1:30" x14ac:dyDescent="0.25">
      <c r="A354" s="37"/>
      <c r="B354" s="38"/>
      <c r="C354" s="2"/>
      <c r="D354" s="41"/>
      <c r="E354" s="38"/>
      <c r="F354" s="2"/>
      <c r="G354" s="41"/>
      <c r="H354" s="38"/>
      <c r="I354" s="39"/>
      <c r="J354" s="39"/>
      <c r="K354" s="41"/>
      <c r="L354" s="41"/>
      <c r="M354" s="42"/>
      <c r="U354" s="3" t="str">
        <f t="shared" si="33"/>
        <v/>
      </c>
      <c r="V354" s="3" t="str">
        <f t="shared" si="34"/>
        <v/>
      </c>
      <c r="AD354" s="6" t="str">
        <f t="shared" si="35"/>
        <v/>
      </c>
    </row>
    <row r="355" spans="1:30" x14ac:dyDescent="0.25">
      <c r="A355" s="37"/>
      <c r="B355" s="38"/>
      <c r="C355" s="2"/>
      <c r="D355" s="41"/>
      <c r="E355" s="38"/>
      <c r="F355" s="2"/>
      <c r="G355" s="41"/>
      <c r="H355" s="38"/>
      <c r="I355" s="39"/>
      <c r="J355" s="39"/>
      <c r="K355" s="41"/>
      <c r="L355" s="41"/>
      <c r="M355" s="42"/>
      <c r="U355" s="3" t="str">
        <f t="shared" si="33"/>
        <v/>
      </c>
      <c r="V355" s="3" t="str">
        <f t="shared" si="34"/>
        <v/>
      </c>
      <c r="AD355" s="6" t="str">
        <f t="shared" si="35"/>
        <v/>
      </c>
    </row>
    <row r="356" spans="1:30" x14ac:dyDescent="0.25">
      <c r="A356" s="37"/>
      <c r="B356" s="38"/>
      <c r="C356" s="2"/>
      <c r="D356" s="41"/>
      <c r="E356" s="38"/>
      <c r="F356" s="2"/>
      <c r="G356" s="41"/>
      <c r="H356" s="38"/>
      <c r="I356" s="39"/>
      <c r="J356" s="39"/>
      <c r="K356" s="41"/>
      <c r="L356" s="41"/>
      <c r="M356" s="42"/>
      <c r="U356" s="3" t="str">
        <f t="shared" si="33"/>
        <v/>
      </c>
      <c r="V356" s="3" t="str">
        <f t="shared" si="34"/>
        <v/>
      </c>
      <c r="AD356" s="6" t="str">
        <f t="shared" si="35"/>
        <v/>
      </c>
    </row>
    <row r="357" spans="1:30" x14ac:dyDescent="0.25">
      <c r="A357" s="37"/>
      <c r="B357" s="38"/>
      <c r="C357" s="2"/>
      <c r="D357" s="41"/>
      <c r="E357" s="38"/>
      <c r="F357" s="2"/>
      <c r="G357" s="41"/>
      <c r="H357" s="38"/>
      <c r="I357" s="39"/>
      <c r="J357" s="39"/>
      <c r="K357" s="41"/>
      <c r="L357" s="41"/>
      <c r="M357" s="42"/>
      <c r="U357" s="3" t="str">
        <f t="shared" si="33"/>
        <v/>
      </c>
      <c r="V357" s="3" t="str">
        <f t="shared" si="34"/>
        <v/>
      </c>
      <c r="AD357" s="6" t="str">
        <f t="shared" si="35"/>
        <v/>
      </c>
    </row>
    <row r="358" spans="1:30" x14ac:dyDescent="0.25">
      <c r="A358" s="37"/>
      <c r="B358" s="38"/>
      <c r="C358" s="2"/>
      <c r="D358" s="41"/>
      <c r="E358" s="38"/>
      <c r="F358" s="2"/>
      <c r="G358" s="41"/>
      <c r="H358" s="38"/>
      <c r="I358" s="39"/>
      <c r="J358" s="39"/>
      <c r="K358" s="41"/>
      <c r="L358" s="41"/>
      <c r="M358" s="42"/>
      <c r="U358" s="3" t="str">
        <f t="shared" si="33"/>
        <v/>
      </c>
      <c r="V358" s="3" t="str">
        <f t="shared" si="34"/>
        <v/>
      </c>
      <c r="AD358" s="6" t="str">
        <f t="shared" si="35"/>
        <v/>
      </c>
    </row>
    <row r="359" spans="1:30" x14ac:dyDescent="0.25">
      <c r="A359" s="37"/>
      <c r="B359" s="38"/>
      <c r="C359" s="2"/>
      <c r="D359" s="41"/>
      <c r="E359" s="38"/>
      <c r="F359" s="2"/>
      <c r="G359" s="41"/>
      <c r="H359" s="38"/>
      <c r="I359" s="39"/>
      <c r="J359" s="39"/>
      <c r="K359" s="41"/>
      <c r="L359" s="41"/>
      <c r="M359" s="42"/>
      <c r="U359" s="3" t="str">
        <f t="shared" si="33"/>
        <v/>
      </c>
      <c r="V359" s="3" t="str">
        <f t="shared" si="34"/>
        <v/>
      </c>
      <c r="AD359" s="6" t="str">
        <f t="shared" si="35"/>
        <v/>
      </c>
    </row>
    <row r="360" spans="1:30" x14ac:dyDescent="0.25">
      <c r="A360" s="37"/>
      <c r="B360" s="38"/>
      <c r="C360" s="2"/>
      <c r="D360" s="41"/>
      <c r="E360" s="38"/>
      <c r="F360" s="2"/>
      <c r="G360" s="41"/>
      <c r="H360" s="38"/>
      <c r="I360" s="39"/>
      <c r="J360" s="39"/>
      <c r="K360" s="41"/>
      <c r="L360" s="41"/>
      <c r="M360" s="42"/>
      <c r="U360" s="3" t="str">
        <f t="shared" si="33"/>
        <v/>
      </c>
      <c r="V360" s="3" t="str">
        <f t="shared" si="34"/>
        <v/>
      </c>
      <c r="AD360" s="6" t="str">
        <f t="shared" si="35"/>
        <v/>
      </c>
    </row>
    <row r="361" spans="1:30" x14ac:dyDescent="0.25">
      <c r="A361" s="37"/>
      <c r="B361" s="38"/>
      <c r="C361" s="2"/>
      <c r="D361" s="41"/>
      <c r="E361" s="38"/>
      <c r="F361" s="2"/>
      <c r="G361" s="41"/>
      <c r="H361" s="38"/>
      <c r="I361" s="39"/>
      <c r="J361" s="39"/>
      <c r="K361" s="41"/>
      <c r="L361" s="41"/>
      <c r="M361" s="42"/>
      <c r="U361" s="3" t="str">
        <f t="shared" si="33"/>
        <v/>
      </c>
      <c r="V361" s="3" t="str">
        <f t="shared" si="34"/>
        <v/>
      </c>
      <c r="AD361" s="6" t="str">
        <f t="shared" si="35"/>
        <v/>
      </c>
    </row>
    <row r="362" spans="1:30" x14ac:dyDescent="0.25">
      <c r="A362" s="37"/>
      <c r="B362" s="38"/>
      <c r="C362" s="2"/>
      <c r="D362" s="41"/>
      <c r="E362" s="38"/>
      <c r="F362" s="2"/>
      <c r="G362" s="41"/>
      <c r="H362" s="38"/>
      <c r="I362" s="39"/>
      <c r="J362" s="39"/>
      <c r="K362" s="41"/>
      <c r="L362" s="41"/>
      <c r="M362" s="42"/>
      <c r="U362" s="3" t="str">
        <f t="shared" si="33"/>
        <v/>
      </c>
      <c r="V362" s="3" t="str">
        <f t="shared" si="34"/>
        <v/>
      </c>
      <c r="AD362" s="6" t="str">
        <f t="shared" si="35"/>
        <v/>
      </c>
    </row>
    <row r="363" spans="1:30" x14ac:dyDescent="0.25">
      <c r="A363" s="37"/>
      <c r="B363" s="38"/>
      <c r="C363" s="2"/>
      <c r="D363" s="41"/>
      <c r="E363" s="38"/>
      <c r="F363" s="2"/>
      <c r="G363" s="41"/>
      <c r="H363" s="38"/>
      <c r="I363" s="39"/>
      <c r="J363" s="39"/>
      <c r="K363" s="41"/>
      <c r="L363" s="41"/>
      <c r="M363" s="42"/>
      <c r="U363" s="3" t="str">
        <f t="shared" si="33"/>
        <v/>
      </c>
      <c r="V363" s="3" t="str">
        <f t="shared" si="34"/>
        <v/>
      </c>
      <c r="AD363" s="6" t="str">
        <f t="shared" si="35"/>
        <v/>
      </c>
    </row>
    <row r="364" spans="1:30" x14ac:dyDescent="0.25">
      <c r="A364" s="37"/>
      <c r="B364" s="38"/>
      <c r="C364" s="2"/>
      <c r="D364" s="41"/>
      <c r="E364" s="38"/>
      <c r="F364" s="2"/>
      <c r="G364" s="41"/>
      <c r="H364" s="38"/>
      <c r="I364" s="39"/>
      <c r="J364" s="39"/>
      <c r="K364" s="41"/>
      <c r="L364" s="41"/>
      <c r="M364" s="42"/>
      <c r="U364" s="3" t="str">
        <f t="shared" si="33"/>
        <v/>
      </c>
      <c r="V364" s="3" t="str">
        <f t="shared" si="34"/>
        <v/>
      </c>
      <c r="AD364" s="6" t="str">
        <f t="shared" si="35"/>
        <v/>
      </c>
    </row>
    <row r="365" spans="1:30" x14ac:dyDescent="0.25">
      <c r="A365" s="37"/>
      <c r="B365" s="38"/>
      <c r="C365" s="2"/>
      <c r="D365" s="41"/>
      <c r="E365" s="38"/>
      <c r="F365" s="2"/>
      <c r="G365" s="41"/>
      <c r="H365" s="38"/>
      <c r="I365" s="39"/>
      <c r="J365" s="39"/>
      <c r="K365" s="41"/>
      <c r="L365" s="41"/>
      <c r="M365" s="42"/>
      <c r="U365" s="3" t="str">
        <f t="shared" si="33"/>
        <v/>
      </c>
      <c r="V365" s="3" t="str">
        <f t="shared" si="34"/>
        <v/>
      </c>
      <c r="AD365" s="6" t="str">
        <f t="shared" si="35"/>
        <v/>
      </c>
    </row>
    <row r="366" spans="1:30" x14ac:dyDescent="0.25">
      <c r="A366" s="37"/>
      <c r="B366" s="38"/>
      <c r="C366" s="2"/>
      <c r="D366" s="41"/>
      <c r="E366" s="38"/>
      <c r="F366" s="2"/>
      <c r="G366" s="41"/>
      <c r="H366" s="38"/>
      <c r="I366" s="39"/>
      <c r="J366" s="39"/>
      <c r="K366" s="41"/>
      <c r="L366" s="41"/>
      <c r="M366" s="42"/>
      <c r="U366" s="3" t="str">
        <f t="shared" si="33"/>
        <v/>
      </c>
      <c r="V366" s="3" t="str">
        <f t="shared" si="34"/>
        <v/>
      </c>
      <c r="AD366" s="6" t="str">
        <f t="shared" si="35"/>
        <v/>
      </c>
    </row>
    <row r="367" spans="1:30" x14ac:dyDescent="0.25">
      <c r="A367" s="37"/>
      <c r="B367" s="38"/>
      <c r="C367" s="2"/>
      <c r="D367" s="41"/>
      <c r="E367" s="38"/>
      <c r="F367" s="2"/>
      <c r="G367" s="41"/>
      <c r="H367" s="38"/>
      <c r="I367" s="39"/>
      <c r="J367" s="39"/>
      <c r="K367" s="41"/>
      <c r="L367" s="41"/>
      <c r="M367" s="42"/>
      <c r="U367" s="3" t="str">
        <f t="shared" si="33"/>
        <v/>
      </c>
      <c r="V367" s="3" t="str">
        <f t="shared" si="34"/>
        <v/>
      </c>
      <c r="AD367" s="6" t="str">
        <f t="shared" si="35"/>
        <v/>
      </c>
    </row>
    <row r="368" spans="1:30" x14ac:dyDescent="0.25">
      <c r="A368" s="37"/>
      <c r="B368" s="38"/>
      <c r="C368" s="2"/>
      <c r="D368" s="41"/>
      <c r="E368" s="38"/>
      <c r="F368" s="2"/>
      <c r="G368" s="41"/>
      <c r="H368" s="38"/>
      <c r="I368" s="39"/>
      <c r="J368" s="39"/>
      <c r="K368" s="41"/>
      <c r="L368" s="41"/>
      <c r="M368" s="42"/>
      <c r="U368" s="3" t="str">
        <f t="shared" si="33"/>
        <v/>
      </c>
      <c r="V368" s="3" t="str">
        <f t="shared" si="34"/>
        <v/>
      </c>
      <c r="AD368" s="6" t="str">
        <f t="shared" si="35"/>
        <v/>
      </c>
    </row>
    <row r="369" spans="1:30" x14ac:dyDescent="0.25">
      <c r="A369" s="37"/>
      <c r="B369" s="38"/>
      <c r="C369" s="2"/>
      <c r="D369" s="41"/>
      <c r="E369" s="38"/>
      <c r="F369" s="2"/>
      <c r="G369" s="41"/>
      <c r="H369" s="38"/>
      <c r="I369" s="39"/>
      <c r="J369" s="39"/>
      <c r="K369" s="41"/>
      <c r="L369" s="41"/>
      <c r="M369" s="42"/>
      <c r="U369" s="3" t="str">
        <f t="shared" si="33"/>
        <v/>
      </c>
      <c r="V369" s="3" t="str">
        <f t="shared" si="34"/>
        <v/>
      </c>
      <c r="AD369" s="6" t="str">
        <f t="shared" si="35"/>
        <v/>
      </c>
    </row>
    <row r="370" spans="1:30" x14ac:dyDescent="0.25">
      <c r="A370" s="37"/>
      <c r="B370" s="38"/>
      <c r="C370" s="2"/>
      <c r="D370" s="41"/>
      <c r="E370" s="38"/>
      <c r="F370" s="2"/>
      <c r="G370" s="41"/>
      <c r="H370" s="38"/>
      <c r="I370" s="39"/>
      <c r="J370" s="39"/>
      <c r="K370" s="41"/>
      <c r="L370" s="41"/>
      <c r="M370" s="42"/>
      <c r="U370" s="3" t="str">
        <f t="shared" si="33"/>
        <v/>
      </c>
      <c r="V370" s="3" t="str">
        <f t="shared" si="34"/>
        <v/>
      </c>
      <c r="AD370" s="6" t="str">
        <f t="shared" si="35"/>
        <v/>
      </c>
    </row>
    <row r="371" spans="1:30" x14ac:dyDescent="0.25">
      <c r="A371" s="37"/>
      <c r="B371" s="38"/>
      <c r="C371" s="2"/>
      <c r="D371" s="41"/>
      <c r="E371" s="38"/>
      <c r="F371" s="2"/>
      <c r="G371" s="41"/>
      <c r="H371" s="38"/>
      <c r="I371" s="39"/>
      <c r="J371" s="39"/>
      <c r="K371" s="41"/>
      <c r="L371" s="41"/>
      <c r="M371" s="42"/>
      <c r="U371" s="3" t="str">
        <f t="shared" si="33"/>
        <v/>
      </c>
      <c r="V371" s="3" t="str">
        <f t="shared" si="34"/>
        <v/>
      </c>
      <c r="AD371" s="6" t="str">
        <f t="shared" si="35"/>
        <v/>
      </c>
    </row>
    <row r="372" spans="1:30" x14ac:dyDescent="0.25">
      <c r="A372" s="37"/>
      <c r="B372" s="38"/>
      <c r="C372" s="2"/>
      <c r="D372" s="41"/>
      <c r="E372" s="38"/>
      <c r="F372" s="2"/>
      <c r="G372" s="41"/>
      <c r="H372" s="38"/>
      <c r="I372" s="39"/>
      <c r="J372" s="39"/>
      <c r="K372" s="41"/>
      <c r="L372" s="41"/>
      <c r="M372" s="42"/>
      <c r="U372" s="3" t="str">
        <f t="shared" si="33"/>
        <v/>
      </c>
      <c r="V372" s="3" t="str">
        <f t="shared" si="34"/>
        <v/>
      </c>
      <c r="AD372" s="6" t="str">
        <f t="shared" si="35"/>
        <v/>
      </c>
    </row>
    <row r="373" spans="1:30" x14ac:dyDescent="0.25">
      <c r="A373" s="37"/>
      <c r="B373" s="38"/>
      <c r="C373" s="2"/>
      <c r="D373" s="41"/>
      <c r="E373" s="38"/>
      <c r="F373" s="2"/>
      <c r="G373" s="41"/>
      <c r="H373" s="38"/>
      <c r="I373" s="39"/>
      <c r="J373" s="39"/>
      <c r="K373" s="41"/>
      <c r="L373" s="41"/>
      <c r="M373" s="42"/>
      <c r="U373" s="3" t="str">
        <f t="shared" si="33"/>
        <v/>
      </c>
      <c r="V373" s="3" t="str">
        <f t="shared" si="34"/>
        <v/>
      </c>
      <c r="AD373" s="6" t="str">
        <f t="shared" si="35"/>
        <v/>
      </c>
    </row>
    <row r="374" spans="1:30" x14ac:dyDescent="0.25">
      <c r="A374" s="37"/>
      <c r="B374" s="38"/>
      <c r="C374" s="2"/>
      <c r="D374" s="41"/>
      <c r="E374" s="38"/>
      <c r="F374" s="2"/>
      <c r="G374" s="41"/>
      <c r="H374" s="38"/>
      <c r="I374" s="39"/>
      <c r="J374" s="39"/>
      <c r="K374" s="41"/>
      <c r="L374" s="41"/>
      <c r="M374" s="42"/>
      <c r="U374" s="3" t="str">
        <f t="shared" si="33"/>
        <v/>
      </c>
      <c r="V374" s="3" t="str">
        <f t="shared" si="34"/>
        <v/>
      </c>
      <c r="AD374" s="6" t="str">
        <f t="shared" si="35"/>
        <v/>
      </c>
    </row>
    <row r="375" spans="1:30" x14ac:dyDescent="0.25">
      <c r="A375" s="37"/>
      <c r="B375" s="38"/>
      <c r="C375" s="2"/>
      <c r="D375" s="41"/>
      <c r="E375" s="38"/>
      <c r="F375" s="2"/>
      <c r="G375" s="41"/>
      <c r="H375" s="38"/>
      <c r="I375" s="39"/>
      <c r="J375" s="39"/>
      <c r="K375" s="41"/>
      <c r="L375" s="41"/>
      <c r="M375" s="42"/>
      <c r="U375" s="3" t="str">
        <f t="shared" si="33"/>
        <v/>
      </c>
      <c r="V375" s="3" t="str">
        <f t="shared" si="34"/>
        <v/>
      </c>
      <c r="AD375" s="6" t="str">
        <f t="shared" si="35"/>
        <v/>
      </c>
    </row>
    <row r="376" spans="1:30" x14ac:dyDescent="0.25">
      <c r="A376" s="37"/>
      <c r="B376" s="38"/>
      <c r="C376" s="2"/>
      <c r="D376" s="41"/>
      <c r="E376" s="38"/>
      <c r="F376" s="2"/>
      <c r="G376" s="41"/>
      <c r="H376" s="38"/>
      <c r="I376" s="39"/>
      <c r="J376" s="39"/>
      <c r="K376" s="41"/>
      <c r="L376" s="41"/>
      <c r="M376" s="42"/>
      <c r="U376" s="3" t="str">
        <f t="shared" si="33"/>
        <v/>
      </c>
      <c r="V376" s="3" t="str">
        <f t="shared" si="34"/>
        <v/>
      </c>
      <c r="AD376" s="6" t="str">
        <f t="shared" si="35"/>
        <v/>
      </c>
    </row>
    <row r="377" spans="1:30" x14ac:dyDescent="0.25">
      <c r="A377" s="37"/>
      <c r="B377" s="38"/>
      <c r="C377" s="2"/>
      <c r="D377" s="41"/>
      <c r="E377" s="38"/>
      <c r="F377" s="2"/>
      <c r="G377" s="41"/>
      <c r="H377" s="38"/>
      <c r="I377" s="39"/>
      <c r="J377" s="39"/>
      <c r="K377" s="41"/>
      <c r="L377" s="41"/>
      <c r="M377" s="42"/>
      <c r="U377" s="3" t="str">
        <f t="shared" si="33"/>
        <v/>
      </c>
      <c r="V377" s="3" t="str">
        <f t="shared" si="34"/>
        <v/>
      </c>
      <c r="AD377" s="6" t="str">
        <f t="shared" si="35"/>
        <v/>
      </c>
    </row>
    <row r="378" spans="1:30" x14ac:dyDescent="0.25">
      <c r="A378" s="37"/>
      <c r="B378" s="38"/>
      <c r="C378" s="2"/>
      <c r="D378" s="41"/>
      <c r="E378" s="38"/>
      <c r="F378" s="2"/>
      <c r="G378" s="41"/>
      <c r="H378" s="38"/>
      <c r="I378" s="39"/>
      <c r="J378" s="39"/>
      <c r="K378" s="41"/>
      <c r="L378" s="41"/>
      <c r="M378" s="42"/>
      <c r="U378" s="3" t="str">
        <f t="shared" si="33"/>
        <v/>
      </c>
      <c r="V378" s="3" t="str">
        <f t="shared" si="34"/>
        <v/>
      </c>
      <c r="AD378" s="6" t="str">
        <f t="shared" si="35"/>
        <v/>
      </c>
    </row>
    <row r="379" spans="1:30" x14ac:dyDescent="0.25">
      <c r="A379" s="37"/>
      <c r="B379" s="38"/>
      <c r="C379" s="2"/>
      <c r="D379" s="41"/>
      <c r="E379" s="38"/>
      <c r="F379" s="2"/>
      <c r="G379" s="41"/>
      <c r="H379" s="38"/>
      <c r="I379" s="39"/>
      <c r="J379" s="39"/>
      <c r="K379" s="41"/>
      <c r="L379" s="41"/>
      <c r="M379" s="42"/>
      <c r="U379" s="3" t="str">
        <f t="shared" si="33"/>
        <v/>
      </c>
      <c r="V379" s="3" t="str">
        <f t="shared" si="34"/>
        <v/>
      </c>
      <c r="AD379" s="6" t="str">
        <f t="shared" si="35"/>
        <v/>
      </c>
    </row>
    <row r="380" spans="1:30" x14ac:dyDescent="0.25">
      <c r="A380" s="37"/>
      <c r="B380" s="38"/>
      <c r="C380" s="2"/>
      <c r="D380" s="41"/>
      <c r="E380" s="38"/>
      <c r="F380" s="2"/>
      <c r="G380" s="41"/>
      <c r="H380" s="38"/>
      <c r="I380" s="39"/>
      <c r="J380" s="39"/>
      <c r="K380" s="41"/>
      <c r="L380" s="41"/>
      <c r="M380" s="42"/>
      <c r="U380" s="3" t="str">
        <f t="shared" si="33"/>
        <v/>
      </c>
      <c r="V380" s="3" t="str">
        <f t="shared" si="34"/>
        <v/>
      </c>
      <c r="AD380" s="6" t="str">
        <f t="shared" si="35"/>
        <v/>
      </c>
    </row>
    <row r="381" spans="1:30" x14ac:dyDescent="0.25">
      <c r="A381" s="37"/>
      <c r="B381" s="38"/>
      <c r="C381" s="2"/>
      <c r="D381" s="41"/>
      <c r="E381" s="38"/>
      <c r="F381" s="2"/>
      <c r="G381" s="41"/>
      <c r="H381" s="38"/>
      <c r="I381" s="39"/>
      <c r="J381" s="39"/>
      <c r="K381" s="41"/>
      <c r="L381" s="41"/>
      <c r="M381" s="42"/>
      <c r="U381" s="3" t="str">
        <f t="shared" si="33"/>
        <v/>
      </c>
      <c r="V381" s="3" t="str">
        <f t="shared" si="34"/>
        <v/>
      </c>
      <c r="AD381" s="6" t="str">
        <f t="shared" si="35"/>
        <v/>
      </c>
    </row>
    <row r="382" spans="1:30" x14ac:dyDescent="0.25">
      <c r="A382" s="37"/>
      <c r="B382" s="38"/>
      <c r="C382" s="2"/>
      <c r="D382" s="41"/>
      <c r="E382" s="38"/>
      <c r="F382" s="2"/>
      <c r="G382" s="41"/>
      <c r="H382" s="38"/>
      <c r="I382" s="39"/>
      <c r="J382" s="39"/>
      <c r="K382" s="41"/>
      <c r="L382" s="41"/>
      <c r="M382" s="42"/>
      <c r="U382" s="3" t="str">
        <f t="shared" si="33"/>
        <v/>
      </c>
      <c r="V382" s="3" t="str">
        <f t="shared" si="34"/>
        <v/>
      </c>
      <c r="AD382" s="6" t="str">
        <f t="shared" si="35"/>
        <v/>
      </c>
    </row>
    <row r="383" spans="1:30" x14ac:dyDescent="0.25">
      <c r="A383" s="37"/>
      <c r="B383" s="38"/>
      <c r="C383" s="2"/>
      <c r="D383" s="41"/>
      <c r="E383" s="38"/>
      <c r="F383" s="2"/>
      <c r="G383" s="41"/>
      <c r="H383" s="38"/>
      <c r="I383" s="39"/>
      <c r="J383" s="39"/>
      <c r="K383" s="41"/>
      <c r="L383" s="41"/>
      <c r="M383" s="42"/>
      <c r="U383" s="3" t="str">
        <f t="shared" si="33"/>
        <v/>
      </c>
      <c r="V383" s="3" t="str">
        <f t="shared" si="34"/>
        <v/>
      </c>
      <c r="AD383" s="6" t="str">
        <f t="shared" si="35"/>
        <v/>
      </c>
    </row>
    <row r="384" spans="1:30" x14ac:dyDescent="0.25">
      <c r="A384" s="37"/>
      <c r="B384" s="38"/>
      <c r="C384" s="2"/>
      <c r="D384" s="41"/>
      <c r="E384" s="38"/>
      <c r="F384" s="2"/>
      <c r="G384" s="41"/>
      <c r="H384" s="38"/>
      <c r="I384" s="39"/>
      <c r="J384" s="39"/>
      <c r="K384" s="41"/>
      <c r="L384" s="41"/>
      <c r="M384" s="42"/>
      <c r="U384" s="3" t="str">
        <f t="shared" si="33"/>
        <v/>
      </c>
      <c r="V384" s="3" t="str">
        <f t="shared" si="34"/>
        <v/>
      </c>
      <c r="AD384" s="6" t="str">
        <f t="shared" si="35"/>
        <v/>
      </c>
    </row>
    <row r="385" spans="1:30" x14ac:dyDescent="0.25">
      <c r="A385" s="37"/>
      <c r="B385" s="38"/>
      <c r="C385" s="2"/>
      <c r="D385" s="41"/>
      <c r="E385" s="38"/>
      <c r="F385" s="2"/>
      <c r="G385" s="41"/>
      <c r="H385" s="38"/>
      <c r="I385" s="39"/>
      <c r="J385" s="39"/>
      <c r="K385" s="41"/>
      <c r="L385" s="41"/>
      <c r="M385" s="42"/>
      <c r="U385" s="3" t="str">
        <f t="shared" si="33"/>
        <v/>
      </c>
      <c r="V385" s="3" t="str">
        <f t="shared" si="34"/>
        <v/>
      </c>
      <c r="AD385" s="6" t="str">
        <f t="shared" si="35"/>
        <v/>
      </c>
    </row>
    <row r="386" spans="1:30" x14ac:dyDescent="0.25">
      <c r="A386" s="37"/>
      <c r="B386" s="38"/>
      <c r="C386" s="2"/>
      <c r="D386" s="41"/>
      <c r="E386" s="38"/>
      <c r="F386" s="2"/>
      <c r="G386" s="41"/>
      <c r="H386" s="38"/>
      <c r="I386" s="39"/>
      <c r="J386" s="39"/>
      <c r="K386" s="41"/>
      <c r="L386" s="41"/>
      <c r="M386" s="42"/>
      <c r="U386" s="3" t="str">
        <f t="shared" si="33"/>
        <v/>
      </c>
      <c r="V386" s="3" t="str">
        <f t="shared" si="34"/>
        <v/>
      </c>
      <c r="AD386" s="6" t="str">
        <f t="shared" si="35"/>
        <v/>
      </c>
    </row>
    <row r="387" spans="1:30" x14ac:dyDescent="0.25">
      <c r="A387" s="37"/>
      <c r="B387" s="38"/>
      <c r="C387" s="2"/>
      <c r="D387" s="41"/>
      <c r="E387" s="38"/>
      <c r="F387" s="2"/>
      <c r="G387" s="41"/>
      <c r="H387" s="38"/>
      <c r="I387" s="39"/>
      <c r="J387" s="39"/>
      <c r="K387" s="41"/>
      <c r="L387" s="41"/>
      <c r="M387" s="42"/>
      <c r="U387" s="3" t="str">
        <f t="shared" si="33"/>
        <v/>
      </c>
      <c r="V387" s="3" t="str">
        <f t="shared" si="34"/>
        <v/>
      </c>
      <c r="AD387" s="6" t="str">
        <f t="shared" si="35"/>
        <v/>
      </c>
    </row>
    <row r="388" spans="1:30" x14ac:dyDescent="0.25">
      <c r="A388" s="37"/>
      <c r="B388" s="38"/>
      <c r="C388" s="2"/>
      <c r="D388" s="41"/>
      <c r="E388" s="38"/>
      <c r="F388" s="2"/>
      <c r="G388" s="41"/>
      <c r="H388" s="38"/>
      <c r="I388" s="39"/>
      <c r="J388" s="39"/>
      <c r="K388" s="41"/>
      <c r="L388" s="41"/>
      <c r="M388" s="42"/>
      <c r="U388" s="3" t="str">
        <f t="shared" ref="U388:U451" si="36">IF(COUNTIF(Q:Q,O388)*COUNTIF(S:S,O388),O388,"")</f>
        <v/>
      </c>
      <c r="V388" s="3" t="str">
        <f t="shared" ref="V388:V451" si="37">IF(U388&gt;$A$14,U388,"")</f>
        <v/>
      </c>
      <c r="AD388" s="6" t="str">
        <f t="shared" ref="AD388:AD421" si="38">IF(COUNTIF(AB:AB,Z388),Z388,"")</f>
        <v/>
      </c>
    </row>
    <row r="389" spans="1:30" x14ac:dyDescent="0.25">
      <c r="A389" s="37"/>
      <c r="B389" s="38"/>
      <c r="C389" s="2"/>
      <c r="D389" s="41"/>
      <c r="E389" s="38"/>
      <c r="F389" s="2"/>
      <c r="G389" s="41"/>
      <c r="H389" s="38"/>
      <c r="I389" s="39"/>
      <c r="J389" s="39"/>
      <c r="K389" s="41"/>
      <c r="L389" s="41"/>
      <c r="M389" s="42"/>
      <c r="U389" s="3" t="str">
        <f t="shared" si="36"/>
        <v/>
      </c>
      <c r="V389" s="3" t="str">
        <f t="shared" si="37"/>
        <v/>
      </c>
      <c r="AD389" s="6" t="str">
        <f t="shared" si="38"/>
        <v/>
      </c>
    </row>
    <row r="390" spans="1:30" x14ac:dyDescent="0.25">
      <c r="A390" s="37"/>
      <c r="B390" s="38"/>
      <c r="C390" s="2"/>
      <c r="D390" s="41"/>
      <c r="E390" s="38"/>
      <c r="F390" s="2"/>
      <c r="G390" s="41"/>
      <c r="H390" s="38"/>
      <c r="I390" s="39"/>
      <c r="J390" s="39"/>
      <c r="K390" s="41"/>
      <c r="L390" s="41"/>
      <c r="M390" s="42"/>
      <c r="U390" s="3" t="str">
        <f t="shared" si="36"/>
        <v/>
      </c>
      <c r="V390" s="3" t="str">
        <f t="shared" si="37"/>
        <v/>
      </c>
      <c r="AD390" s="6" t="str">
        <f t="shared" si="38"/>
        <v/>
      </c>
    </row>
    <row r="391" spans="1:30" x14ac:dyDescent="0.25">
      <c r="A391" s="37"/>
      <c r="B391" s="38"/>
      <c r="C391" s="2"/>
      <c r="D391" s="41"/>
      <c r="E391" s="38"/>
      <c r="F391" s="2"/>
      <c r="G391" s="41"/>
      <c r="H391" s="38"/>
      <c r="I391" s="39"/>
      <c r="J391" s="39"/>
      <c r="K391" s="41"/>
      <c r="L391" s="41"/>
      <c r="M391" s="42"/>
      <c r="U391" s="3" t="str">
        <f t="shared" si="36"/>
        <v/>
      </c>
      <c r="V391" s="3" t="str">
        <f t="shared" si="37"/>
        <v/>
      </c>
      <c r="AD391" s="6" t="str">
        <f t="shared" si="38"/>
        <v/>
      </c>
    </row>
    <row r="392" spans="1:30" x14ac:dyDescent="0.25">
      <c r="A392" s="37"/>
      <c r="B392" s="38"/>
      <c r="C392" s="2"/>
      <c r="D392" s="41"/>
      <c r="E392" s="38"/>
      <c r="F392" s="2"/>
      <c r="G392" s="41"/>
      <c r="H392" s="38"/>
      <c r="I392" s="39"/>
      <c r="J392" s="39"/>
      <c r="K392" s="41"/>
      <c r="L392" s="41"/>
      <c r="M392" s="42"/>
      <c r="U392" s="3" t="str">
        <f t="shared" si="36"/>
        <v/>
      </c>
      <c r="V392" s="3" t="str">
        <f t="shared" si="37"/>
        <v/>
      </c>
      <c r="AD392" s="6" t="str">
        <f t="shared" si="38"/>
        <v/>
      </c>
    </row>
    <row r="393" spans="1:30" x14ac:dyDescent="0.25">
      <c r="A393" s="37"/>
      <c r="B393" s="38"/>
      <c r="C393" s="2"/>
      <c r="D393" s="41"/>
      <c r="E393" s="38"/>
      <c r="F393" s="2"/>
      <c r="G393" s="41"/>
      <c r="H393" s="38"/>
      <c r="I393" s="39"/>
      <c r="J393" s="39"/>
      <c r="K393" s="41"/>
      <c r="L393" s="41"/>
      <c r="M393" s="42"/>
      <c r="U393" s="3" t="str">
        <f t="shared" si="36"/>
        <v/>
      </c>
      <c r="V393" s="3" t="str">
        <f t="shared" si="37"/>
        <v/>
      </c>
      <c r="AD393" s="6" t="str">
        <f t="shared" si="38"/>
        <v/>
      </c>
    </row>
    <row r="394" spans="1:30" x14ac:dyDescent="0.25">
      <c r="A394" s="37"/>
      <c r="B394" s="38"/>
      <c r="C394" s="2"/>
      <c r="D394" s="41"/>
      <c r="E394" s="38"/>
      <c r="F394" s="2"/>
      <c r="G394" s="41"/>
      <c r="H394" s="38"/>
      <c r="I394" s="39"/>
      <c r="J394" s="39"/>
      <c r="K394" s="41"/>
      <c r="L394" s="41"/>
      <c r="M394" s="42"/>
      <c r="U394" s="3" t="str">
        <f t="shared" si="36"/>
        <v/>
      </c>
      <c r="V394" s="3" t="str">
        <f t="shared" si="37"/>
        <v/>
      </c>
      <c r="AD394" s="6" t="str">
        <f t="shared" si="38"/>
        <v/>
      </c>
    </row>
    <row r="395" spans="1:30" x14ac:dyDescent="0.25">
      <c r="A395" s="37"/>
      <c r="B395" s="38"/>
      <c r="C395" s="2"/>
      <c r="D395" s="41"/>
      <c r="E395" s="38"/>
      <c r="F395" s="2"/>
      <c r="G395" s="41"/>
      <c r="H395" s="38"/>
      <c r="I395" s="39"/>
      <c r="J395" s="39"/>
      <c r="K395" s="41"/>
      <c r="L395" s="41"/>
      <c r="M395" s="42"/>
      <c r="U395" s="3" t="str">
        <f t="shared" si="36"/>
        <v/>
      </c>
      <c r="V395" s="3" t="str">
        <f t="shared" si="37"/>
        <v/>
      </c>
      <c r="AD395" s="6" t="str">
        <f t="shared" si="38"/>
        <v/>
      </c>
    </row>
    <row r="396" spans="1:30" x14ac:dyDescent="0.25">
      <c r="A396" s="37"/>
      <c r="B396" s="38"/>
      <c r="C396" s="2"/>
      <c r="D396" s="41"/>
      <c r="E396" s="38"/>
      <c r="F396" s="2"/>
      <c r="G396" s="41"/>
      <c r="H396" s="38"/>
      <c r="I396" s="39"/>
      <c r="J396" s="39"/>
      <c r="K396" s="41"/>
      <c r="L396" s="41"/>
      <c r="M396" s="42"/>
      <c r="U396" s="3" t="str">
        <f t="shared" si="36"/>
        <v/>
      </c>
      <c r="V396" s="3" t="str">
        <f t="shared" si="37"/>
        <v/>
      </c>
      <c r="AD396" s="6" t="str">
        <f t="shared" si="38"/>
        <v/>
      </c>
    </row>
    <row r="397" spans="1:30" x14ac:dyDescent="0.25">
      <c r="A397" s="37"/>
      <c r="B397" s="38"/>
      <c r="C397" s="2"/>
      <c r="D397" s="41"/>
      <c r="E397" s="38"/>
      <c r="F397" s="2"/>
      <c r="G397" s="41"/>
      <c r="H397" s="38"/>
      <c r="I397" s="39"/>
      <c r="J397" s="39"/>
      <c r="K397" s="41"/>
      <c r="L397" s="41"/>
      <c r="M397" s="42"/>
      <c r="U397" s="3" t="str">
        <f t="shared" si="36"/>
        <v/>
      </c>
      <c r="V397" s="3" t="str">
        <f t="shared" si="37"/>
        <v/>
      </c>
      <c r="AD397" s="6" t="str">
        <f t="shared" si="38"/>
        <v/>
      </c>
    </row>
    <row r="398" spans="1:30" x14ac:dyDescent="0.25">
      <c r="A398" s="37"/>
      <c r="B398" s="38"/>
      <c r="C398" s="2"/>
      <c r="D398" s="41"/>
      <c r="E398" s="38"/>
      <c r="F398" s="2"/>
      <c r="G398" s="41"/>
      <c r="H398" s="38"/>
      <c r="I398" s="39"/>
      <c r="J398" s="39"/>
      <c r="K398" s="41"/>
      <c r="L398" s="41"/>
      <c r="M398" s="42"/>
      <c r="U398" s="3" t="str">
        <f t="shared" si="36"/>
        <v/>
      </c>
      <c r="V398" s="3" t="str">
        <f t="shared" si="37"/>
        <v/>
      </c>
      <c r="AD398" s="6" t="str">
        <f t="shared" si="38"/>
        <v/>
      </c>
    </row>
    <row r="399" spans="1:30" x14ac:dyDescent="0.25">
      <c r="A399" s="37"/>
      <c r="B399" s="38"/>
      <c r="C399" s="2"/>
      <c r="D399" s="41"/>
      <c r="E399" s="38"/>
      <c r="F399" s="2"/>
      <c r="G399" s="41"/>
      <c r="H399" s="38"/>
      <c r="I399" s="39"/>
      <c r="J399" s="39"/>
      <c r="K399" s="41"/>
      <c r="L399" s="41"/>
      <c r="M399" s="42"/>
      <c r="U399" s="3" t="str">
        <f t="shared" si="36"/>
        <v/>
      </c>
      <c r="V399" s="3" t="str">
        <f t="shared" si="37"/>
        <v/>
      </c>
      <c r="AD399" s="6" t="str">
        <f t="shared" si="38"/>
        <v/>
      </c>
    </row>
    <row r="400" spans="1:30" x14ac:dyDescent="0.25">
      <c r="A400" s="37"/>
      <c r="B400" s="38"/>
      <c r="C400" s="2"/>
      <c r="D400" s="41"/>
      <c r="E400" s="38"/>
      <c r="F400" s="2"/>
      <c r="G400" s="41"/>
      <c r="H400" s="38"/>
      <c r="I400" s="39"/>
      <c r="J400" s="39"/>
      <c r="K400" s="41"/>
      <c r="L400" s="41"/>
      <c r="M400" s="42"/>
      <c r="U400" s="3" t="str">
        <f t="shared" si="36"/>
        <v/>
      </c>
      <c r="V400" s="3" t="str">
        <f t="shared" si="37"/>
        <v/>
      </c>
      <c r="AD400" s="6" t="str">
        <f t="shared" si="38"/>
        <v/>
      </c>
    </row>
    <row r="401" spans="1:30" x14ac:dyDescent="0.25">
      <c r="A401" s="37"/>
      <c r="B401" s="38"/>
      <c r="C401" s="2"/>
      <c r="D401" s="41"/>
      <c r="E401" s="38"/>
      <c r="F401" s="2"/>
      <c r="G401" s="41"/>
      <c r="H401" s="38"/>
      <c r="I401" s="39"/>
      <c r="J401" s="39"/>
      <c r="K401" s="41"/>
      <c r="L401" s="41"/>
      <c r="M401" s="42"/>
      <c r="U401" s="3" t="str">
        <f t="shared" si="36"/>
        <v/>
      </c>
      <c r="V401" s="3" t="str">
        <f t="shared" si="37"/>
        <v/>
      </c>
      <c r="AD401" s="6" t="str">
        <f t="shared" si="38"/>
        <v/>
      </c>
    </row>
    <row r="402" spans="1:30" x14ac:dyDescent="0.25">
      <c r="A402" s="37"/>
      <c r="B402" s="38"/>
      <c r="C402" s="2"/>
      <c r="D402" s="41"/>
      <c r="E402" s="38"/>
      <c r="F402" s="2"/>
      <c r="G402" s="41"/>
      <c r="H402" s="38"/>
      <c r="I402" s="39"/>
      <c r="J402" s="39"/>
      <c r="K402" s="41"/>
      <c r="L402" s="41"/>
      <c r="M402" s="42"/>
      <c r="U402" s="3" t="str">
        <f t="shared" si="36"/>
        <v/>
      </c>
      <c r="V402" s="3" t="str">
        <f t="shared" si="37"/>
        <v/>
      </c>
      <c r="AD402" s="6" t="str">
        <f t="shared" si="38"/>
        <v/>
      </c>
    </row>
    <row r="403" spans="1:30" x14ac:dyDescent="0.25">
      <c r="A403" s="37"/>
      <c r="B403" s="38"/>
      <c r="C403" s="2"/>
      <c r="D403" s="41"/>
      <c r="E403" s="38"/>
      <c r="F403" s="2"/>
      <c r="G403" s="41"/>
      <c r="H403" s="38"/>
      <c r="I403" s="39"/>
      <c r="J403" s="39"/>
      <c r="K403" s="41"/>
      <c r="L403" s="41"/>
      <c r="M403" s="42"/>
      <c r="U403" s="3" t="str">
        <f t="shared" si="36"/>
        <v/>
      </c>
      <c r="V403" s="3" t="str">
        <f t="shared" si="37"/>
        <v/>
      </c>
      <c r="AD403" s="6" t="str">
        <f t="shared" si="38"/>
        <v/>
      </c>
    </row>
    <row r="404" spans="1:30" x14ac:dyDescent="0.25">
      <c r="A404" s="37"/>
      <c r="B404" s="38"/>
      <c r="C404" s="2"/>
      <c r="D404" s="41"/>
      <c r="E404" s="38"/>
      <c r="F404" s="2"/>
      <c r="G404" s="41"/>
      <c r="H404" s="38"/>
      <c r="I404" s="39"/>
      <c r="J404" s="39"/>
      <c r="K404" s="41"/>
      <c r="L404" s="41"/>
      <c r="M404" s="42"/>
      <c r="U404" s="3" t="str">
        <f t="shared" si="36"/>
        <v/>
      </c>
      <c r="V404" s="3" t="str">
        <f t="shared" si="37"/>
        <v/>
      </c>
      <c r="AD404" s="6" t="str">
        <f t="shared" si="38"/>
        <v/>
      </c>
    </row>
    <row r="405" spans="1:30" x14ac:dyDescent="0.25">
      <c r="A405" s="37"/>
      <c r="B405" s="38"/>
      <c r="C405" s="2"/>
      <c r="D405" s="41"/>
      <c r="E405" s="38"/>
      <c r="F405" s="2"/>
      <c r="G405" s="41"/>
      <c r="H405" s="38"/>
      <c r="I405" s="39"/>
      <c r="J405" s="39"/>
      <c r="K405" s="41"/>
      <c r="L405" s="41"/>
      <c r="M405" s="42"/>
      <c r="U405" s="3" t="str">
        <f t="shared" si="36"/>
        <v/>
      </c>
      <c r="V405" s="3" t="str">
        <f t="shared" si="37"/>
        <v/>
      </c>
      <c r="AD405" s="6" t="str">
        <f t="shared" si="38"/>
        <v/>
      </c>
    </row>
    <row r="406" spans="1:30" x14ac:dyDescent="0.25">
      <c r="A406" s="37"/>
      <c r="B406" s="38"/>
      <c r="C406" s="2"/>
      <c r="D406" s="41"/>
      <c r="E406" s="38"/>
      <c r="F406" s="2"/>
      <c r="G406" s="41"/>
      <c r="H406" s="38"/>
      <c r="I406" s="39"/>
      <c r="J406" s="39"/>
      <c r="K406" s="41"/>
      <c r="L406" s="41"/>
      <c r="M406" s="42"/>
      <c r="U406" s="3" t="str">
        <f t="shared" si="36"/>
        <v/>
      </c>
      <c r="V406" s="3" t="str">
        <f t="shared" si="37"/>
        <v/>
      </c>
      <c r="AD406" s="6" t="str">
        <f t="shared" si="38"/>
        <v/>
      </c>
    </row>
    <row r="407" spans="1:30" x14ac:dyDescent="0.25">
      <c r="A407" s="37"/>
      <c r="B407" s="38"/>
      <c r="C407" s="2"/>
      <c r="D407" s="41"/>
      <c r="E407" s="38"/>
      <c r="F407" s="2"/>
      <c r="G407" s="41"/>
      <c r="H407" s="38"/>
      <c r="I407" s="39"/>
      <c r="J407" s="39"/>
      <c r="K407" s="41"/>
      <c r="L407" s="41"/>
      <c r="M407" s="42"/>
      <c r="U407" s="3" t="str">
        <f t="shared" si="36"/>
        <v/>
      </c>
      <c r="V407" s="3" t="str">
        <f t="shared" si="37"/>
        <v/>
      </c>
      <c r="AD407" s="6" t="str">
        <f t="shared" si="38"/>
        <v/>
      </c>
    </row>
    <row r="408" spans="1:30" x14ac:dyDescent="0.25">
      <c r="A408" s="37"/>
      <c r="B408" s="38"/>
      <c r="C408" s="2"/>
      <c r="D408" s="41"/>
      <c r="E408" s="38"/>
      <c r="F408" s="2"/>
      <c r="G408" s="41"/>
      <c r="H408" s="38"/>
      <c r="I408" s="39"/>
      <c r="J408" s="39"/>
      <c r="K408" s="41"/>
      <c r="L408" s="41"/>
      <c r="M408" s="42"/>
      <c r="U408" s="3" t="str">
        <f t="shared" si="36"/>
        <v/>
      </c>
      <c r="V408" s="3" t="str">
        <f t="shared" si="37"/>
        <v/>
      </c>
      <c r="AD408" s="6" t="str">
        <f t="shared" si="38"/>
        <v/>
      </c>
    </row>
    <row r="409" spans="1:30" x14ac:dyDescent="0.25">
      <c r="A409" s="37"/>
      <c r="B409" s="38"/>
      <c r="C409" s="2"/>
      <c r="D409" s="41"/>
      <c r="E409" s="38"/>
      <c r="F409" s="2"/>
      <c r="G409" s="41"/>
      <c r="H409" s="38"/>
      <c r="I409" s="39"/>
      <c r="J409" s="39"/>
      <c r="K409" s="41"/>
      <c r="L409" s="41"/>
      <c r="M409" s="42"/>
      <c r="U409" s="3" t="str">
        <f t="shared" si="36"/>
        <v/>
      </c>
      <c r="V409" s="3" t="str">
        <f t="shared" si="37"/>
        <v/>
      </c>
      <c r="AD409" s="6" t="str">
        <f t="shared" si="38"/>
        <v/>
      </c>
    </row>
    <row r="410" spans="1:30" x14ac:dyDescent="0.25">
      <c r="A410" s="37"/>
      <c r="B410" s="38"/>
      <c r="C410" s="2"/>
      <c r="D410" s="41"/>
      <c r="E410" s="38"/>
      <c r="F410" s="2"/>
      <c r="G410" s="41"/>
      <c r="H410" s="38"/>
      <c r="I410" s="39"/>
      <c r="J410" s="39"/>
      <c r="K410" s="41"/>
      <c r="L410" s="41"/>
      <c r="M410" s="42"/>
      <c r="U410" s="3" t="str">
        <f t="shared" si="36"/>
        <v/>
      </c>
      <c r="V410" s="3" t="str">
        <f t="shared" si="37"/>
        <v/>
      </c>
      <c r="AD410" s="6" t="str">
        <f t="shared" si="38"/>
        <v/>
      </c>
    </row>
    <row r="411" spans="1:30" x14ac:dyDescent="0.25">
      <c r="A411" s="37"/>
      <c r="B411" s="38"/>
      <c r="C411" s="2"/>
      <c r="D411" s="41"/>
      <c r="E411" s="38"/>
      <c r="F411" s="2"/>
      <c r="G411" s="41"/>
      <c r="H411" s="38"/>
      <c r="I411" s="39"/>
      <c r="J411" s="39"/>
      <c r="K411" s="41"/>
      <c r="L411" s="41"/>
      <c r="M411" s="42"/>
      <c r="U411" s="3" t="str">
        <f t="shared" si="36"/>
        <v/>
      </c>
      <c r="V411" s="3" t="str">
        <f t="shared" si="37"/>
        <v/>
      </c>
      <c r="AD411" s="6" t="str">
        <f t="shared" si="38"/>
        <v/>
      </c>
    </row>
    <row r="412" spans="1:30" x14ac:dyDescent="0.25">
      <c r="A412" s="37"/>
      <c r="B412" s="38"/>
      <c r="C412" s="2"/>
      <c r="D412" s="41"/>
      <c r="E412" s="38"/>
      <c r="F412" s="2"/>
      <c r="G412" s="41"/>
      <c r="H412" s="38"/>
      <c r="I412" s="39"/>
      <c r="J412" s="39"/>
      <c r="K412" s="41"/>
      <c r="L412" s="41"/>
      <c r="M412" s="42"/>
      <c r="U412" s="3" t="str">
        <f t="shared" si="36"/>
        <v/>
      </c>
      <c r="V412" s="3" t="str">
        <f t="shared" si="37"/>
        <v/>
      </c>
      <c r="AD412" s="6" t="str">
        <f t="shared" si="38"/>
        <v/>
      </c>
    </row>
    <row r="413" spans="1:30" x14ac:dyDescent="0.25">
      <c r="A413" s="37"/>
      <c r="B413" s="38"/>
      <c r="C413" s="2"/>
      <c r="D413" s="41"/>
      <c r="E413" s="38"/>
      <c r="F413" s="2"/>
      <c r="G413" s="41"/>
      <c r="H413" s="38"/>
      <c r="I413" s="39"/>
      <c r="J413" s="39"/>
      <c r="K413" s="41"/>
      <c r="L413" s="41"/>
      <c r="M413" s="42"/>
      <c r="U413" s="3" t="str">
        <f t="shared" si="36"/>
        <v/>
      </c>
      <c r="V413" s="3" t="str">
        <f t="shared" si="37"/>
        <v/>
      </c>
      <c r="AD413" s="6" t="str">
        <f t="shared" si="38"/>
        <v/>
      </c>
    </row>
    <row r="414" spans="1:30" x14ac:dyDescent="0.25">
      <c r="A414" s="37"/>
      <c r="B414" s="38"/>
      <c r="C414" s="2"/>
      <c r="D414" s="41"/>
      <c r="E414" s="38"/>
      <c r="F414" s="2"/>
      <c r="G414" s="41"/>
      <c r="H414" s="38"/>
      <c r="I414" s="39"/>
      <c r="J414" s="39"/>
      <c r="K414" s="41"/>
      <c r="L414" s="41"/>
      <c r="M414" s="42"/>
      <c r="U414" s="3" t="str">
        <f t="shared" si="36"/>
        <v/>
      </c>
      <c r="V414" s="3" t="str">
        <f t="shared" si="37"/>
        <v/>
      </c>
      <c r="AD414" s="6" t="str">
        <f t="shared" si="38"/>
        <v/>
      </c>
    </row>
    <row r="415" spans="1:30" x14ac:dyDescent="0.25">
      <c r="A415" s="37"/>
      <c r="B415" s="38"/>
      <c r="C415" s="2"/>
      <c r="D415" s="41"/>
      <c r="E415" s="38"/>
      <c r="F415" s="2"/>
      <c r="G415" s="41"/>
      <c r="H415" s="38"/>
      <c r="I415" s="39"/>
      <c r="J415" s="39"/>
      <c r="K415" s="41"/>
      <c r="L415" s="41"/>
      <c r="M415" s="42"/>
      <c r="U415" s="3" t="str">
        <f t="shared" si="36"/>
        <v/>
      </c>
      <c r="V415" s="3" t="str">
        <f t="shared" si="37"/>
        <v/>
      </c>
      <c r="AD415" s="6" t="str">
        <f t="shared" si="38"/>
        <v/>
      </c>
    </row>
    <row r="416" spans="1:30" x14ac:dyDescent="0.25">
      <c r="A416" s="37"/>
      <c r="B416" s="38"/>
      <c r="C416" s="2"/>
      <c r="D416" s="41"/>
      <c r="E416" s="38"/>
      <c r="F416" s="2"/>
      <c r="G416" s="41"/>
      <c r="H416" s="38"/>
      <c r="I416" s="39"/>
      <c r="J416" s="39"/>
      <c r="K416" s="41"/>
      <c r="L416" s="41"/>
      <c r="M416" s="42"/>
      <c r="U416" s="3" t="str">
        <f t="shared" si="36"/>
        <v/>
      </c>
      <c r="V416" s="3" t="str">
        <f t="shared" si="37"/>
        <v/>
      </c>
      <c r="AD416" s="6" t="str">
        <f t="shared" si="38"/>
        <v/>
      </c>
    </row>
    <row r="417" spans="1:30" x14ac:dyDescent="0.25">
      <c r="A417" s="37"/>
      <c r="B417" s="38"/>
      <c r="C417" s="2"/>
      <c r="D417" s="41"/>
      <c r="E417" s="38"/>
      <c r="F417" s="2"/>
      <c r="G417" s="41"/>
      <c r="H417" s="38"/>
      <c r="I417" s="39"/>
      <c r="J417" s="39"/>
      <c r="K417" s="41"/>
      <c r="L417" s="41"/>
      <c r="M417" s="42"/>
      <c r="U417" s="3" t="str">
        <f t="shared" si="36"/>
        <v/>
      </c>
      <c r="V417" s="3" t="str">
        <f t="shared" si="37"/>
        <v/>
      </c>
      <c r="AD417" s="6" t="str">
        <f t="shared" si="38"/>
        <v/>
      </c>
    </row>
    <row r="418" spans="1:30" x14ac:dyDescent="0.25">
      <c r="A418" s="37"/>
      <c r="B418" s="38"/>
      <c r="C418" s="2"/>
      <c r="D418" s="41"/>
      <c r="E418" s="38"/>
      <c r="F418" s="2"/>
      <c r="G418" s="41"/>
      <c r="H418" s="38"/>
      <c r="I418" s="39"/>
      <c r="J418" s="39"/>
      <c r="K418" s="41"/>
      <c r="L418" s="41"/>
      <c r="M418" s="42"/>
      <c r="U418" s="3" t="str">
        <f t="shared" si="36"/>
        <v/>
      </c>
      <c r="V418" s="3" t="str">
        <f t="shared" si="37"/>
        <v/>
      </c>
      <c r="AD418" s="6" t="str">
        <f t="shared" si="38"/>
        <v/>
      </c>
    </row>
    <row r="419" spans="1:30" x14ac:dyDescent="0.25">
      <c r="A419" s="37"/>
      <c r="B419" s="38"/>
      <c r="C419" s="2"/>
      <c r="D419" s="41"/>
      <c r="E419" s="38"/>
      <c r="F419" s="2"/>
      <c r="G419" s="41"/>
      <c r="H419" s="38"/>
      <c r="I419" s="39"/>
      <c r="J419" s="39"/>
      <c r="K419" s="41"/>
      <c r="L419" s="41"/>
      <c r="M419" s="42"/>
      <c r="U419" s="3" t="str">
        <f t="shared" si="36"/>
        <v/>
      </c>
      <c r="V419" s="3" t="str">
        <f t="shared" si="37"/>
        <v/>
      </c>
      <c r="AD419" s="6" t="str">
        <f t="shared" si="38"/>
        <v/>
      </c>
    </row>
    <row r="420" spans="1:30" x14ac:dyDescent="0.25">
      <c r="A420" s="37"/>
      <c r="B420" s="38"/>
      <c r="C420" s="2"/>
      <c r="D420" s="41"/>
      <c r="E420" s="38"/>
      <c r="F420" s="2"/>
      <c r="G420" s="41"/>
      <c r="H420" s="38"/>
      <c r="I420" s="39"/>
      <c r="J420" s="39"/>
      <c r="K420" s="41"/>
      <c r="L420" s="41"/>
      <c r="M420" s="42"/>
      <c r="U420" s="3" t="str">
        <f t="shared" si="36"/>
        <v/>
      </c>
      <c r="V420" s="3" t="str">
        <f t="shared" si="37"/>
        <v/>
      </c>
      <c r="AD420" s="6" t="str">
        <f t="shared" si="38"/>
        <v/>
      </c>
    </row>
    <row r="421" spans="1:30" x14ac:dyDescent="0.25">
      <c r="A421" s="37"/>
      <c r="B421" s="38"/>
      <c r="C421" s="2"/>
      <c r="D421" s="41"/>
      <c r="E421" s="38"/>
      <c r="F421" s="2"/>
      <c r="G421" s="41"/>
      <c r="H421" s="38"/>
      <c r="I421" s="39"/>
      <c r="J421" s="39"/>
      <c r="K421" s="41"/>
      <c r="L421" s="41"/>
      <c r="M421" s="42"/>
      <c r="U421" s="3" t="str">
        <f t="shared" si="36"/>
        <v/>
      </c>
      <c r="V421" s="3" t="str">
        <f t="shared" si="37"/>
        <v/>
      </c>
      <c r="AD421" s="6" t="str">
        <f t="shared" si="38"/>
        <v/>
      </c>
    </row>
    <row r="422" spans="1:30" x14ac:dyDescent="0.25">
      <c r="A422" s="37"/>
      <c r="B422" s="38"/>
      <c r="C422" s="2"/>
      <c r="D422" s="41"/>
      <c r="E422" s="38"/>
      <c r="F422" s="2"/>
      <c r="G422" s="41"/>
      <c r="H422" s="38"/>
      <c r="I422" s="39"/>
      <c r="J422" s="39"/>
      <c r="K422" s="41"/>
      <c r="L422" s="41"/>
      <c r="M422" s="42"/>
      <c r="U422" s="3" t="str">
        <f t="shared" si="36"/>
        <v/>
      </c>
      <c r="V422" s="3" t="str">
        <f t="shared" si="37"/>
        <v/>
      </c>
    </row>
    <row r="423" spans="1:30" x14ac:dyDescent="0.25">
      <c r="A423" s="37"/>
      <c r="B423" s="38"/>
      <c r="C423" s="2"/>
      <c r="D423" s="41"/>
      <c r="E423" s="38"/>
      <c r="F423" s="2"/>
      <c r="G423" s="41"/>
      <c r="H423" s="38"/>
      <c r="I423" s="39"/>
      <c r="J423" s="39"/>
      <c r="K423" s="41"/>
      <c r="L423" s="41"/>
      <c r="M423" s="42"/>
      <c r="U423" s="3" t="str">
        <f t="shared" si="36"/>
        <v/>
      </c>
      <c r="V423" s="3" t="str">
        <f t="shared" si="37"/>
        <v/>
      </c>
    </row>
    <row r="424" spans="1:30" x14ac:dyDescent="0.25">
      <c r="A424" s="37"/>
      <c r="B424" s="38"/>
      <c r="C424" s="2"/>
      <c r="D424" s="41"/>
      <c r="E424" s="38"/>
      <c r="F424" s="2"/>
      <c r="G424" s="41"/>
      <c r="H424" s="38"/>
      <c r="I424" s="39"/>
      <c r="J424" s="39"/>
      <c r="K424" s="41"/>
      <c r="L424" s="41"/>
      <c r="M424" s="42"/>
      <c r="U424" s="3" t="str">
        <f t="shared" si="36"/>
        <v/>
      </c>
      <c r="V424" s="3" t="str">
        <f t="shared" si="37"/>
        <v/>
      </c>
    </row>
    <row r="425" spans="1:30" x14ac:dyDescent="0.25">
      <c r="A425" s="37"/>
      <c r="B425" s="38"/>
      <c r="C425" s="2"/>
      <c r="D425" s="41"/>
      <c r="E425" s="38"/>
      <c r="F425" s="2"/>
      <c r="G425" s="41"/>
      <c r="H425" s="38"/>
      <c r="I425" s="39"/>
      <c r="J425" s="39"/>
      <c r="K425" s="41"/>
      <c r="L425" s="41"/>
      <c r="M425" s="42"/>
      <c r="U425" s="3" t="str">
        <f t="shared" si="36"/>
        <v/>
      </c>
      <c r="V425" s="3" t="str">
        <f t="shared" si="37"/>
        <v/>
      </c>
    </row>
    <row r="426" spans="1:30" x14ac:dyDescent="0.25">
      <c r="A426" s="37"/>
      <c r="B426" s="38"/>
      <c r="C426" s="2"/>
      <c r="D426" s="41"/>
      <c r="E426" s="38"/>
      <c r="F426" s="2"/>
      <c r="G426" s="41"/>
      <c r="H426" s="38"/>
      <c r="I426" s="39"/>
      <c r="J426" s="39"/>
      <c r="K426" s="41"/>
      <c r="L426" s="41"/>
      <c r="M426" s="42"/>
      <c r="U426" s="3" t="str">
        <f t="shared" si="36"/>
        <v/>
      </c>
      <c r="V426" s="3" t="str">
        <f t="shared" si="37"/>
        <v/>
      </c>
    </row>
    <row r="427" spans="1:30" x14ac:dyDescent="0.25">
      <c r="A427" s="37"/>
      <c r="B427" s="38"/>
      <c r="C427" s="2"/>
      <c r="D427" s="41"/>
      <c r="E427" s="38"/>
      <c r="F427" s="2"/>
      <c r="G427" s="41"/>
      <c r="H427" s="38"/>
      <c r="I427" s="39"/>
      <c r="J427" s="39"/>
      <c r="K427" s="41"/>
      <c r="L427" s="41"/>
      <c r="M427" s="42"/>
      <c r="U427" s="3" t="str">
        <f t="shared" si="36"/>
        <v/>
      </c>
      <c r="V427" s="3" t="str">
        <f t="shared" si="37"/>
        <v/>
      </c>
    </row>
    <row r="428" spans="1:30" x14ac:dyDescent="0.25">
      <c r="A428" s="37"/>
      <c r="B428" s="38"/>
      <c r="C428" s="2"/>
      <c r="D428" s="41"/>
      <c r="E428" s="38"/>
      <c r="F428" s="2"/>
      <c r="G428" s="41"/>
      <c r="H428" s="38"/>
      <c r="I428" s="39"/>
      <c r="J428" s="39"/>
      <c r="K428" s="41"/>
      <c r="L428" s="41"/>
      <c r="M428" s="42"/>
      <c r="U428" s="3" t="str">
        <f t="shared" si="36"/>
        <v/>
      </c>
      <c r="V428" s="3" t="str">
        <f t="shared" si="37"/>
        <v/>
      </c>
    </row>
    <row r="429" spans="1:30" x14ac:dyDescent="0.25">
      <c r="A429" s="37"/>
      <c r="B429" s="38"/>
      <c r="C429" s="2"/>
      <c r="D429" s="41"/>
      <c r="E429" s="38"/>
      <c r="F429" s="2"/>
      <c r="G429" s="41"/>
      <c r="H429" s="38"/>
      <c r="I429" s="39"/>
      <c r="J429" s="39"/>
      <c r="K429" s="41"/>
      <c r="L429" s="41"/>
      <c r="M429" s="42"/>
      <c r="U429" s="3" t="str">
        <f t="shared" si="36"/>
        <v/>
      </c>
      <c r="V429" s="3" t="str">
        <f t="shared" si="37"/>
        <v/>
      </c>
    </row>
    <row r="430" spans="1:30" x14ac:dyDescent="0.25">
      <c r="A430" s="37"/>
      <c r="B430" s="38"/>
      <c r="C430" s="2"/>
      <c r="D430" s="41"/>
      <c r="E430" s="38"/>
      <c r="F430" s="2"/>
      <c r="G430" s="41"/>
      <c r="H430" s="38"/>
      <c r="I430" s="39"/>
      <c r="J430" s="39"/>
      <c r="K430" s="41"/>
      <c r="L430" s="41"/>
      <c r="M430" s="42"/>
      <c r="U430" s="3" t="str">
        <f t="shared" si="36"/>
        <v/>
      </c>
      <c r="V430" s="3" t="str">
        <f t="shared" si="37"/>
        <v/>
      </c>
    </row>
    <row r="431" spans="1:30" x14ac:dyDescent="0.25">
      <c r="A431" s="37"/>
      <c r="B431" s="38"/>
      <c r="C431" s="2"/>
      <c r="D431" s="41"/>
      <c r="E431" s="38"/>
      <c r="F431" s="2"/>
      <c r="G431" s="41"/>
      <c r="H431" s="38"/>
      <c r="I431" s="39"/>
      <c r="J431" s="39"/>
      <c r="K431" s="41"/>
      <c r="L431" s="41"/>
      <c r="M431" s="42"/>
      <c r="U431" s="3" t="str">
        <f t="shared" si="36"/>
        <v/>
      </c>
      <c r="V431" s="3" t="str">
        <f t="shared" si="37"/>
        <v/>
      </c>
    </row>
    <row r="432" spans="1:30" x14ac:dyDescent="0.25">
      <c r="A432" s="37"/>
      <c r="B432" s="38"/>
      <c r="C432" s="2"/>
      <c r="D432" s="41"/>
      <c r="E432" s="38"/>
      <c r="F432" s="2"/>
      <c r="G432" s="41"/>
      <c r="H432" s="38"/>
      <c r="I432" s="39"/>
      <c r="J432" s="39"/>
      <c r="K432" s="41"/>
      <c r="L432" s="41"/>
      <c r="M432" s="42"/>
      <c r="U432" s="3" t="str">
        <f t="shared" si="36"/>
        <v/>
      </c>
      <c r="V432" s="3" t="str">
        <f t="shared" si="37"/>
        <v/>
      </c>
    </row>
    <row r="433" spans="1:22" x14ac:dyDescent="0.25">
      <c r="A433" s="37"/>
      <c r="B433" s="38"/>
      <c r="C433" s="2"/>
      <c r="D433" s="41"/>
      <c r="E433" s="38"/>
      <c r="F433" s="2"/>
      <c r="G433" s="41"/>
      <c r="H433" s="38"/>
      <c r="I433" s="39"/>
      <c r="J433" s="39"/>
      <c r="K433" s="41"/>
      <c r="L433" s="41"/>
      <c r="M433" s="42"/>
      <c r="U433" s="3" t="str">
        <f t="shared" si="36"/>
        <v/>
      </c>
      <c r="V433" s="3" t="str">
        <f t="shared" si="37"/>
        <v/>
      </c>
    </row>
    <row r="434" spans="1:22" x14ac:dyDescent="0.25">
      <c r="A434" s="37"/>
      <c r="B434" s="38"/>
      <c r="C434" s="2"/>
      <c r="D434" s="41"/>
      <c r="E434" s="38"/>
      <c r="F434" s="2"/>
      <c r="G434" s="41"/>
      <c r="H434" s="38"/>
      <c r="I434" s="39"/>
      <c r="J434" s="39"/>
      <c r="K434" s="41"/>
      <c r="L434" s="41"/>
      <c r="M434" s="42"/>
      <c r="U434" s="3" t="str">
        <f t="shared" si="36"/>
        <v/>
      </c>
      <c r="V434" s="3" t="str">
        <f t="shared" si="37"/>
        <v/>
      </c>
    </row>
    <row r="435" spans="1:22" x14ac:dyDescent="0.25">
      <c r="A435" s="37"/>
      <c r="B435" s="38"/>
      <c r="C435" s="2"/>
      <c r="D435" s="41"/>
      <c r="E435" s="38"/>
      <c r="F435" s="2"/>
      <c r="G435" s="41"/>
      <c r="H435" s="38"/>
      <c r="I435" s="39"/>
      <c r="J435" s="39"/>
      <c r="K435" s="41"/>
      <c r="L435" s="41"/>
      <c r="M435" s="42"/>
      <c r="U435" s="3" t="str">
        <f t="shared" si="36"/>
        <v/>
      </c>
      <c r="V435" s="3" t="str">
        <f t="shared" si="37"/>
        <v/>
      </c>
    </row>
    <row r="436" spans="1:22" x14ac:dyDescent="0.25">
      <c r="A436" s="37"/>
      <c r="B436" s="38"/>
      <c r="C436" s="2"/>
      <c r="D436" s="41"/>
      <c r="E436" s="38"/>
      <c r="F436" s="2"/>
      <c r="G436" s="41"/>
      <c r="H436" s="38"/>
      <c r="I436" s="39"/>
      <c r="J436" s="39"/>
      <c r="K436" s="41"/>
      <c r="L436" s="41"/>
      <c r="M436" s="42"/>
      <c r="U436" s="3" t="str">
        <f t="shared" si="36"/>
        <v/>
      </c>
      <c r="V436" s="3" t="str">
        <f t="shared" si="37"/>
        <v/>
      </c>
    </row>
    <row r="437" spans="1:22" x14ac:dyDescent="0.25">
      <c r="A437" s="37"/>
      <c r="B437" s="38"/>
      <c r="C437" s="2"/>
      <c r="D437" s="41"/>
      <c r="E437" s="38"/>
      <c r="F437" s="2"/>
      <c r="G437" s="41"/>
      <c r="H437" s="38"/>
      <c r="I437" s="39"/>
      <c r="J437" s="39"/>
      <c r="K437" s="41"/>
      <c r="L437" s="41"/>
      <c r="M437" s="42"/>
      <c r="U437" s="3" t="str">
        <f t="shared" si="36"/>
        <v/>
      </c>
      <c r="V437" s="3" t="str">
        <f t="shared" si="37"/>
        <v/>
      </c>
    </row>
    <row r="438" spans="1:22" x14ac:dyDescent="0.25">
      <c r="A438" s="37"/>
      <c r="B438" s="38"/>
      <c r="C438" s="2"/>
      <c r="D438" s="41"/>
      <c r="E438" s="38"/>
      <c r="F438" s="2"/>
      <c r="G438" s="41"/>
      <c r="H438" s="38"/>
      <c r="I438" s="39"/>
      <c r="J438" s="39"/>
      <c r="K438" s="41"/>
      <c r="L438" s="41"/>
      <c r="M438" s="42"/>
      <c r="U438" s="3" t="str">
        <f t="shared" si="36"/>
        <v/>
      </c>
      <c r="V438" s="3" t="str">
        <f t="shared" si="37"/>
        <v/>
      </c>
    </row>
    <row r="439" spans="1:22" x14ac:dyDescent="0.25">
      <c r="A439" s="37"/>
      <c r="B439" s="38"/>
      <c r="C439" s="2"/>
      <c r="D439" s="41"/>
      <c r="E439" s="38"/>
      <c r="F439" s="2"/>
      <c r="G439" s="41"/>
      <c r="H439" s="38"/>
      <c r="I439" s="39"/>
      <c r="J439" s="39"/>
      <c r="K439" s="41"/>
      <c r="L439" s="41"/>
      <c r="M439" s="42"/>
      <c r="U439" s="3" t="str">
        <f t="shared" si="36"/>
        <v/>
      </c>
      <c r="V439" s="3" t="str">
        <f t="shared" si="37"/>
        <v/>
      </c>
    </row>
    <row r="440" spans="1:22" x14ac:dyDescent="0.25">
      <c r="A440" s="37"/>
      <c r="B440" s="38"/>
      <c r="C440" s="2"/>
      <c r="D440" s="41"/>
      <c r="E440" s="38"/>
      <c r="F440" s="2"/>
      <c r="G440" s="41"/>
      <c r="H440" s="38"/>
      <c r="I440" s="39"/>
      <c r="J440" s="39"/>
      <c r="K440" s="41"/>
      <c r="L440" s="41"/>
      <c r="M440" s="42"/>
      <c r="U440" s="3" t="str">
        <f t="shared" si="36"/>
        <v/>
      </c>
      <c r="V440" s="3" t="str">
        <f t="shared" si="37"/>
        <v/>
      </c>
    </row>
    <row r="441" spans="1:22" x14ac:dyDescent="0.25">
      <c r="A441" s="37"/>
      <c r="B441" s="38"/>
      <c r="C441" s="2"/>
      <c r="D441" s="41"/>
      <c r="E441" s="38"/>
      <c r="F441" s="2"/>
      <c r="G441" s="41"/>
      <c r="H441" s="38"/>
      <c r="I441" s="39"/>
      <c r="J441" s="39"/>
      <c r="K441" s="41"/>
      <c r="L441" s="41"/>
      <c r="M441" s="42"/>
      <c r="U441" s="3" t="str">
        <f t="shared" si="36"/>
        <v/>
      </c>
      <c r="V441" s="3" t="str">
        <f t="shared" si="37"/>
        <v/>
      </c>
    </row>
    <row r="442" spans="1:22" x14ac:dyDescent="0.25">
      <c r="A442" s="37"/>
      <c r="B442" s="38"/>
      <c r="C442" s="2"/>
      <c r="D442" s="41"/>
      <c r="E442" s="38"/>
      <c r="F442" s="2"/>
      <c r="G442" s="41"/>
      <c r="H442" s="38"/>
      <c r="I442" s="39"/>
      <c r="J442" s="39"/>
      <c r="K442" s="41"/>
      <c r="L442" s="41"/>
      <c r="M442" s="42"/>
      <c r="U442" s="3" t="str">
        <f t="shared" si="36"/>
        <v/>
      </c>
      <c r="V442" s="3" t="str">
        <f t="shared" si="37"/>
        <v/>
      </c>
    </row>
    <row r="443" spans="1:22" x14ac:dyDescent="0.25">
      <c r="A443" s="37"/>
      <c r="B443" s="38"/>
      <c r="C443" s="2"/>
      <c r="D443" s="41"/>
      <c r="E443" s="38"/>
      <c r="F443" s="2"/>
      <c r="G443" s="41"/>
      <c r="H443" s="38"/>
      <c r="I443" s="39"/>
      <c r="J443" s="39"/>
      <c r="K443" s="41"/>
      <c r="L443" s="41"/>
      <c r="M443" s="42"/>
      <c r="U443" s="3" t="str">
        <f t="shared" si="36"/>
        <v/>
      </c>
      <c r="V443" s="3" t="str">
        <f t="shared" si="37"/>
        <v/>
      </c>
    </row>
    <row r="444" spans="1:22" x14ac:dyDescent="0.25">
      <c r="A444" s="37"/>
      <c r="B444" s="38"/>
      <c r="C444" s="2"/>
      <c r="D444" s="41"/>
      <c r="E444" s="38"/>
      <c r="F444" s="2"/>
      <c r="G444" s="41"/>
      <c r="H444" s="38"/>
      <c r="I444" s="39"/>
      <c r="J444" s="39"/>
      <c r="K444" s="41"/>
      <c r="L444" s="41"/>
      <c r="M444" s="42"/>
      <c r="U444" s="3" t="str">
        <f t="shared" si="36"/>
        <v/>
      </c>
      <c r="V444" s="3" t="str">
        <f t="shared" si="37"/>
        <v/>
      </c>
    </row>
    <row r="445" spans="1:22" x14ac:dyDescent="0.25">
      <c r="A445" s="37"/>
      <c r="B445" s="38"/>
      <c r="C445" s="2"/>
      <c r="D445" s="41"/>
      <c r="E445" s="38"/>
      <c r="F445" s="2"/>
      <c r="G445" s="41"/>
      <c r="H445" s="38"/>
      <c r="I445" s="39"/>
      <c r="J445" s="39"/>
      <c r="K445" s="41"/>
      <c r="L445" s="41"/>
      <c r="M445" s="42"/>
      <c r="U445" s="3" t="str">
        <f t="shared" si="36"/>
        <v/>
      </c>
      <c r="V445" s="3" t="str">
        <f t="shared" si="37"/>
        <v/>
      </c>
    </row>
    <row r="446" spans="1:22" x14ac:dyDescent="0.25">
      <c r="A446" s="37"/>
      <c r="B446" s="38"/>
      <c r="C446" s="2"/>
      <c r="D446" s="41"/>
      <c r="E446" s="38"/>
      <c r="F446" s="2"/>
      <c r="G446" s="41"/>
      <c r="H446" s="38"/>
      <c r="I446" s="39"/>
      <c r="J446" s="39"/>
      <c r="K446" s="41"/>
      <c r="L446" s="41"/>
      <c r="M446" s="42"/>
      <c r="U446" s="3" t="str">
        <f t="shared" si="36"/>
        <v/>
      </c>
      <c r="V446" s="3" t="str">
        <f t="shared" si="37"/>
        <v/>
      </c>
    </row>
    <row r="447" spans="1:22" x14ac:dyDescent="0.25">
      <c r="A447" s="37"/>
      <c r="B447" s="38"/>
      <c r="C447" s="2"/>
      <c r="D447" s="41"/>
      <c r="E447" s="38"/>
      <c r="F447" s="2"/>
      <c r="G447" s="41"/>
      <c r="H447" s="38"/>
      <c r="I447" s="39"/>
      <c r="J447" s="39"/>
      <c r="K447" s="41"/>
      <c r="L447" s="41"/>
      <c r="M447" s="42"/>
      <c r="U447" s="3" t="str">
        <f t="shared" si="36"/>
        <v/>
      </c>
      <c r="V447" s="3" t="str">
        <f t="shared" si="37"/>
        <v/>
      </c>
    </row>
    <row r="448" spans="1:22" x14ac:dyDescent="0.25">
      <c r="A448" s="37"/>
      <c r="B448" s="38"/>
      <c r="C448" s="2"/>
      <c r="D448" s="41"/>
      <c r="E448" s="38"/>
      <c r="F448" s="2"/>
      <c r="G448" s="41"/>
      <c r="H448" s="38"/>
      <c r="I448" s="39"/>
      <c r="J448" s="39"/>
      <c r="K448" s="41"/>
      <c r="L448" s="41"/>
      <c r="M448" s="42"/>
      <c r="U448" s="3" t="str">
        <f t="shared" si="36"/>
        <v/>
      </c>
      <c r="V448" s="3" t="str">
        <f t="shared" si="37"/>
        <v/>
      </c>
    </row>
    <row r="449" spans="1:22" x14ac:dyDescent="0.25">
      <c r="A449" s="37"/>
      <c r="B449" s="38"/>
      <c r="C449" s="2"/>
      <c r="D449" s="41"/>
      <c r="E449" s="38"/>
      <c r="F449" s="2"/>
      <c r="G449" s="41"/>
      <c r="H449" s="38"/>
      <c r="I449" s="39"/>
      <c r="J449" s="39"/>
      <c r="K449" s="41"/>
      <c r="L449" s="41"/>
      <c r="M449" s="42"/>
      <c r="U449" s="3" t="str">
        <f t="shared" si="36"/>
        <v/>
      </c>
      <c r="V449" s="3" t="str">
        <f t="shared" si="37"/>
        <v/>
      </c>
    </row>
    <row r="450" spans="1:22" x14ac:dyDescent="0.25">
      <c r="A450" s="37"/>
      <c r="B450" s="38"/>
      <c r="C450" s="2"/>
      <c r="D450" s="41"/>
      <c r="E450" s="38"/>
      <c r="F450" s="2"/>
      <c r="G450" s="41"/>
      <c r="H450" s="38"/>
      <c r="I450" s="39"/>
      <c r="J450" s="39"/>
      <c r="K450" s="41"/>
      <c r="L450" s="41"/>
      <c r="M450" s="42"/>
      <c r="U450" s="3" t="str">
        <f t="shared" si="36"/>
        <v/>
      </c>
      <c r="V450" s="3" t="str">
        <f t="shared" si="37"/>
        <v/>
      </c>
    </row>
    <row r="451" spans="1:22" x14ac:dyDescent="0.25">
      <c r="A451" s="37"/>
      <c r="B451" s="38"/>
      <c r="C451" s="2"/>
      <c r="D451" s="41"/>
      <c r="E451" s="38"/>
      <c r="F451" s="2"/>
      <c r="G451" s="41"/>
      <c r="H451" s="38"/>
      <c r="I451" s="39"/>
      <c r="J451" s="39"/>
      <c r="K451" s="41"/>
      <c r="L451" s="41"/>
      <c r="M451" s="42"/>
      <c r="U451" s="3" t="str">
        <f t="shared" si="36"/>
        <v/>
      </c>
      <c r="V451" s="3" t="str">
        <f t="shared" si="37"/>
        <v/>
      </c>
    </row>
    <row r="452" spans="1:22" x14ac:dyDescent="0.25">
      <c r="A452" s="37"/>
      <c r="B452" s="38"/>
      <c r="C452" s="2"/>
      <c r="D452" s="41"/>
      <c r="E452" s="38"/>
      <c r="F452" s="2"/>
      <c r="G452" s="41"/>
      <c r="H452" s="38"/>
      <c r="I452" s="39"/>
      <c r="J452" s="39"/>
      <c r="K452" s="41"/>
      <c r="L452" s="41"/>
      <c r="M452" s="42"/>
      <c r="U452" s="3" t="str">
        <f t="shared" ref="U452:U515" si="39">IF(COUNTIF(Q:Q,O452)*COUNTIF(S:S,O452),O452,"")</f>
        <v/>
      </c>
      <c r="V452" s="3" t="str">
        <f t="shared" ref="V452:V515" si="40">IF(U452&gt;$A$14,U452,"")</f>
        <v/>
      </c>
    </row>
    <row r="453" spans="1:22" x14ac:dyDescent="0.25">
      <c r="A453" s="37"/>
      <c r="B453" s="38"/>
      <c r="C453" s="2"/>
      <c r="D453" s="41"/>
      <c r="E453" s="38"/>
      <c r="F453" s="2"/>
      <c r="G453" s="41"/>
      <c r="H453" s="38"/>
      <c r="I453" s="39"/>
      <c r="J453" s="39"/>
      <c r="K453" s="41"/>
      <c r="L453" s="41"/>
      <c r="M453" s="42"/>
      <c r="U453" s="3" t="str">
        <f t="shared" si="39"/>
        <v/>
      </c>
      <c r="V453" s="3" t="str">
        <f t="shared" si="40"/>
        <v/>
      </c>
    </row>
    <row r="454" spans="1:22" x14ac:dyDescent="0.25">
      <c r="A454" s="37"/>
      <c r="B454" s="38"/>
      <c r="C454" s="2"/>
      <c r="D454" s="41"/>
      <c r="E454" s="38"/>
      <c r="F454" s="2"/>
      <c r="G454" s="41"/>
      <c r="H454" s="38"/>
      <c r="I454" s="39"/>
      <c r="J454" s="39"/>
      <c r="K454" s="41"/>
      <c r="L454" s="41"/>
      <c r="M454" s="42"/>
      <c r="U454" s="3" t="str">
        <f t="shared" si="39"/>
        <v/>
      </c>
      <c r="V454" s="3" t="str">
        <f t="shared" si="40"/>
        <v/>
      </c>
    </row>
    <row r="455" spans="1:22" x14ac:dyDescent="0.25">
      <c r="A455" s="37"/>
      <c r="B455" s="38"/>
      <c r="C455" s="2"/>
      <c r="D455" s="41"/>
      <c r="E455" s="38"/>
      <c r="F455" s="2"/>
      <c r="G455" s="41"/>
      <c r="H455" s="38"/>
      <c r="I455" s="39"/>
      <c r="J455" s="39"/>
      <c r="K455" s="41"/>
      <c r="L455" s="41"/>
      <c r="M455" s="42"/>
      <c r="U455" s="3" t="str">
        <f t="shared" si="39"/>
        <v/>
      </c>
      <c r="V455" s="3" t="str">
        <f t="shared" si="40"/>
        <v/>
      </c>
    </row>
    <row r="456" spans="1:22" x14ac:dyDescent="0.25">
      <c r="A456" s="37"/>
      <c r="B456" s="38"/>
      <c r="C456" s="2"/>
      <c r="D456" s="41"/>
      <c r="E456" s="38"/>
      <c r="F456" s="2"/>
      <c r="G456" s="41"/>
      <c r="H456" s="38"/>
      <c r="I456" s="39"/>
      <c r="J456" s="39"/>
      <c r="K456" s="41"/>
      <c r="L456" s="41"/>
      <c r="M456" s="42"/>
      <c r="U456" s="3" t="str">
        <f t="shared" si="39"/>
        <v/>
      </c>
      <c r="V456" s="3" t="str">
        <f t="shared" si="40"/>
        <v/>
      </c>
    </row>
    <row r="457" spans="1:22" x14ac:dyDescent="0.25">
      <c r="A457" s="37"/>
      <c r="B457" s="38"/>
      <c r="C457" s="2"/>
      <c r="D457" s="41"/>
      <c r="E457" s="38"/>
      <c r="F457" s="2"/>
      <c r="G457" s="41"/>
      <c r="H457" s="38"/>
      <c r="I457" s="39"/>
      <c r="J457" s="39"/>
      <c r="K457" s="41"/>
      <c r="L457" s="41"/>
      <c r="M457" s="42"/>
      <c r="U457" s="3" t="str">
        <f t="shared" si="39"/>
        <v/>
      </c>
      <c r="V457" s="3" t="str">
        <f t="shared" si="40"/>
        <v/>
      </c>
    </row>
    <row r="458" spans="1:22" x14ac:dyDescent="0.25">
      <c r="A458" s="37"/>
      <c r="B458" s="38"/>
      <c r="C458" s="2"/>
      <c r="D458" s="41"/>
      <c r="E458" s="38"/>
      <c r="F458" s="2"/>
      <c r="G458" s="41"/>
      <c r="H458" s="38"/>
      <c r="I458" s="39"/>
      <c r="J458" s="39"/>
      <c r="K458" s="41"/>
      <c r="L458" s="41"/>
      <c r="M458" s="42"/>
      <c r="U458" s="3" t="str">
        <f t="shared" si="39"/>
        <v/>
      </c>
      <c r="V458" s="3" t="str">
        <f t="shared" si="40"/>
        <v/>
      </c>
    </row>
    <row r="459" spans="1:22" x14ac:dyDescent="0.25">
      <c r="A459" s="37"/>
      <c r="B459" s="38"/>
      <c r="C459" s="2"/>
      <c r="D459" s="41"/>
      <c r="E459" s="38"/>
      <c r="F459" s="2"/>
      <c r="G459" s="41"/>
      <c r="H459" s="38"/>
      <c r="I459" s="39"/>
      <c r="J459" s="39"/>
      <c r="K459" s="41"/>
      <c r="L459" s="41"/>
      <c r="M459" s="42"/>
      <c r="U459" s="3" t="str">
        <f t="shared" si="39"/>
        <v/>
      </c>
      <c r="V459" s="3" t="str">
        <f t="shared" si="40"/>
        <v/>
      </c>
    </row>
    <row r="460" spans="1:22" x14ac:dyDescent="0.25">
      <c r="A460" s="37"/>
      <c r="B460" s="38"/>
      <c r="C460" s="2"/>
      <c r="D460" s="41"/>
      <c r="E460" s="38"/>
      <c r="F460" s="2"/>
      <c r="G460" s="41"/>
      <c r="H460" s="38"/>
      <c r="I460" s="39"/>
      <c r="J460" s="39"/>
      <c r="K460" s="41"/>
      <c r="L460" s="41"/>
      <c r="M460" s="42"/>
      <c r="U460" s="3" t="str">
        <f t="shared" si="39"/>
        <v/>
      </c>
      <c r="V460" s="3" t="str">
        <f t="shared" si="40"/>
        <v/>
      </c>
    </row>
    <row r="461" spans="1:22" x14ac:dyDescent="0.25">
      <c r="A461" s="37"/>
      <c r="B461" s="38"/>
      <c r="C461" s="2"/>
      <c r="D461" s="41"/>
      <c r="E461" s="38"/>
      <c r="F461" s="2"/>
      <c r="G461" s="41"/>
      <c r="H461" s="38"/>
      <c r="I461" s="39"/>
      <c r="J461" s="39"/>
      <c r="K461" s="41"/>
      <c r="L461" s="41"/>
      <c r="M461" s="42"/>
      <c r="U461" s="3" t="str">
        <f t="shared" si="39"/>
        <v/>
      </c>
      <c r="V461" s="3" t="str">
        <f t="shared" si="40"/>
        <v/>
      </c>
    </row>
    <row r="462" spans="1:22" x14ac:dyDescent="0.25">
      <c r="A462" s="37"/>
      <c r="B462" s="38"/>
      <c r="C462" s="2"/>
      <c r="D462" s="41"/>
      <c r="E462" s="38"/>
      <c r="F462" s="2"/>
      <c r="G462" s="41"/>
      <c r="H462" s="38"/>
      <c r="I462" s="39"/>
      <c r="J462" s="39"/>
      <c r="K462" s="41"/>
      <c r="L462" s="41"/>
      <c r="M462" s="42"/>
      <c r="U462" s="3" t="str">
        <f t="shared" si="39"/>
        <v/>
      </c>
      <c r="V462" s="3" t="str">
        <f t="shared" si="40"/>
        <v/>
      </c>
    </row>
    <row r="463" spans="1:22" x14ac:dyDescent="0.25">
      <c r="A463" s="37"/>
      <c r="B463" s="38"/>
      <c r="C463" s="2"/>
      <c r="D463" s="41"/>
      <c r="E463" s="38"/>
      <c r="F463" s="2"/>
      <c r="G463" s="41"/>
      <c r="H463" s="38"/>
      <c r="I463" s="39"/>
      <c r="J463" s="39"/>
      <c r="K463" s="41"/>
      <c r="L463" s="41"/>
      <c r="M463" s="42"/>
      <c r="U463" s="3" t="str">
        <f t="shared" si="39"/>
        <v/>
      </c>
      <c r="V463" s="3" t="str">
        <f t="shared" si="40"/>
        <v/>
      </c>
    </row>
    <row r="464" spans="1:22" x14ac:dyDescent="0.25">
      <c r="A464" s="37"/>
      <c r="B464" s="38"/>
      <c r="C464" s="2"/>
      <c r="D464" s="41"/>
      <c r="E464" s="38"/>
      <c r="F464" s="2"/>
      <c r="G464" s="41"/>
      <c r="H464" s="38"/>
      <c r="I464" s="39"/>
      <c r="J464" s="39"/>
      <c r="K464" s="41"/>
      <c r="L464" s="41"/>
      <c r="M464" s="42"/>
      <c r="U464" s="3" t="str">
        <f t="shared" si="39"/>
        <v/>
      </c>
      <c r="V464" s="3" t="str">
        <f t="shared" si="40"/>
        <v/>
      </c>
    </row>
    <row r="465" spans="1:22" x14ac:dyDescent="0.25">
      <c r="A465" s="37"/>
      <c r="B465" s="38"/>
      <c r="C465" s="2"/>
      <c r="D465" s="41"/>
      <c r="E465" s="38"/>
      <c r="F465" s="2"/>
      <c r="G465" s="41"/>
      <c r="H465" s="38"/>
      <c r="I465" s="39"/>
      <c r="J465" s="39"/>
      <c r="K465" s="41"/>
      <c r="L465" s="41"/>
      <c r="M465" s="42"/>
      <c r="U465" s="3" t="str">
        <f t="shared" si="39"/>
        <v/>
      </c>
      <c r="V465" s="3" t="str">
        <f t="shared" si="40"/>
        <v/>
      </c>
    </row>
    <row r="466" spans="1:22" x14ac:dyDescent="0.25">
      <c r="A466" s="37"/>
      <c r="B466" s="38"/>
      <c r="C466" s="2"/>
      <c r="D466" s="41"/>
      <c r="E466" s="38"/>
      <c r="F466" s="2"/>
      <c r="G466" s="41"/>
      <c r="H466" s="38"/>
      <c r="I466" s="39"/>
      <c r="J466" s="39"/>
      <c r="K466" s="41"/>
      <c r="L466" s="41"/>
      <c r="M466" s="42"/>
      <c r="U466" s="3" t="str">
        <f t="shared" si="39"/>
        <v/>
      </c>
      <c r="V466" s="3" t="str">
        <f t="shared" si="40"/>
        <v/>
      </c>
    </row>
    <row r="467" spans="1:22" x14ac:dyDescent="0.25">
      <c r="A467" s="37"/>
      <c r="B467" s="38"/>
      <c r="C467" s="2"/>
      <c r="D467" s="41"/>
      <c r="E467" s="38"/>
      <c r="F467" s="2"/>
      <c r="G467" s="41"/>
      <c r="H467" s="38"/>
      <c r="I467" s="39"/>
      <c r="J467" s="39"/>
      <c r="K467" s="41"/>
      <c r="L467" s="41"/>
      <c r="M467" s="42"/>
      <c r="U467" s="3" t="str">
        <f t="shared" si="39"/>
        <v/>
      </c>
      <c r="V467" s="3" t="str">
        <f t="shared" si="40"/>
        <v/>
      </c>
    </row>
    <row r="468" spans="1:22" x14ac:dyDescent="0.25">
      <c r="A468" s="37"/>
      <c r="B468" s="38"/>
      <c r="C468" s="2"/>
      <c r="D468" s="41"/>
      <c r="E468" s="38"/>
      <c r="F468" s="2"/>
      <c r="G468" s="41"/>
      <c r="H468" s="38"/>
      <c r="I468" s="39"/>
      <c r="J468" s="39"/>
      <c r="K468" s="41"/>
      <c r="L468" s="41"/>
      <c r="M468" s="42"/>
      <c r="U468" s="3" t="str">
        <f t="shared" si="39"/>
        <v/>
      </c>
      <c r="V468" s="3" t="str">
        <f t="shared" si="40"/>
        <v/>
      </c>
    </row>
    <row r="469" spans="1:22" x14ac:dyDescent="0.25">
      <c r="A469" s="37"/>
      <c r="B469" s="38"/>
      <c r="C469" s="2"/>
      <c r="D469" s="41"/>
      <c r="E469" s="38"/>
      <c r="F469" s="2"/>
      <c r="G469" s="41"/>
      <c r="H469" s="38"/>
      <c r="I469" s="39"/>
      <c r="J469" s="39"/>
      <c r="K469" s="41"/>
      <c r="L469" s="41"/>
      <c r="M469" s="42"/>
      <c r="U469" s="3" t="str">
        <f t="shared" si="39"/>
        <v/>
      </c>
      <c r="V469" s="3" t="str">
        <f t="shared" si="40"/>
        <v/>
      </c>
    </row>
    <row r="470" spans="1:22" x14ac:dyDescent="0.25">
      <c r="A470" s="37"/>
      <c r="B470" s="38"/>
      <c r="C470" s="2"/>
      <c r="D470" s="41"/>
      <c r="E470" s="38"/>
      <c r="F470" s="2"/>
      <c r="G470" s="41"/>
      <c r="H470" s="38"/>
      <c r="I470" s="39"/>
      <c r="J470" s="39"/>
      <c r="K470" s="41"/>
      <c r="L470" s="41"/>
      <c r="M470" s="42"/>
      <c r="U470" s="3" t="str">
        <f t="shared" si="39"/>
        <v/>
      </c>
      <c r="V470" s="3" t="str">
        <f t="shared" si="40"/>
        <v/>
      </c>
    </row>
    <row r="471" spans="1:22" x14ac:dyDescent="0.25">
      <c r="A471" s="37"/>
      <c r="B471" s="38"/>
      <c r="C471" s="2"/>
      <c r="D471" s="41"/>
      <c r="E471" s="38"/>
      <c r="F471" s="2"/>
      <c r="G471" s="41"/>
      <c r="H471" s="38"/>
      <c r="I471" s="39"/>
      <c r="J471" s="39"/>
      <c r="K471" s="41"/>
      <c r="L471" s="41"/>
      <c r="M471" s="42"/>
      <c r="U471" s="3" t="str">
        <f t="shared" si="39"/>
        <v/>
      </c>
      <c r="V471" s="3" t="str">
        <f t="shared" si="40"/>
        <v/>
      </c>
    </row>
    <row r="472" spans="1:22" x14ac:dyDescent="0.25">
      <c r="A472" s="37"/>
      <c r="B472" s="38"/>
      <c r="C472" s="2"/>
      <c r="D472" s="41"/>
      <c r="E472" s="38"/>
      <c r="F472" s="2"/>
      <c r="G472" s="41"/>
      <c r="H472" s="38"/>
      <c r="I472" s="39"/>
      <c r="J472" s="39"/>
      <c r="K472" s="41"/>
      <c r="L472" s="41"/>
      <c r="M472" s="42"/>
      <c r="U472" s="3" t="str">
        <f t="shared" si="39"/>
        <v/>
      </c>
      <c r="V472" s="3" t="str">
        <f t="shared" si="40"/>
        <v/>
      </c>
    </row>
    <row r="473" spans="1:22" x14ac:dyDescent="0.25">
      <c r="A473" s="37"/>
      <c r="B473" s="38"/>
      <c r="C473" s="2"/>
      <c r="D473" s="41"/>
      <c r="E473" s="38"/>
      <c r="F473" s="2"/>
      <c r="G473" s="41"/>
      <c r="H473" s="38"/>
      <c r="I473" s="39"/>
      <c r="J473" s="39"/>
      <c r="K473" s="41"/>
      <c r="L473" s="41"/>
      <c r="M473" s="42"/>
      <c r="U473" s="3" t="str">
        <f t="shared" si="39"/>
        <v/>
      </c>
      <c r="V473" s="3" t="str">
        <f t="shared" si="40"/>
        <v/>
      </c>
    </row>
    <row r="474" spans="1:22" x14ac:dyDescent="0.25">
      <c r="A474" s="37"/>
      <c r="B474" s="38"/>
      <c r="C474" s="2"/>
      <c r="D474" s="41"/>
      <c r="E474" s="38"/>
      <c r="F474" s="2"/>
      <c r="G474" s="41"/>
      <c r="H474" s="38"/>
      <c r="I474" s="39"/>
      <c r="J474" s="39"/>
      <c r="K474" s="41"/>
      <c r="L474" s="41"/>
      <c r="M474" s="42"/>
      <c r="U474" s="3" t="str">
        <f t="shared" si="39"/>
        <v/>
      </c>
      <c r="V474" s="3" t="str">
        <f t="shared" si="40"/>
        <v/>
      </c>
    </row>
    <row r="475" spans="1:22" x14ac:dyDescent="0.25">
      <c r="A475" s="37"/>
      <c r="B475" s="38"/>
      <c r="C475" s="2"/>
      <c r="D475" s="41"/>
      <c r="E475" s="38"/>
      <c r="F475" s="2"/>
      <c r="G475" s="41"/>
      <c r="H475" s="38"/>
      <c r="I475" s="39"/>
      <c r="J475" s="39"/>
      <c r="K475" s="41"/>
      <c r="L475" s="41"/>
      <c r="M475" s="42"/>
      <c r="U475" s="3" t="str">
        <f t="shared" si="39"/>
        <v/>
      </c>
      <c r="V475" s="3" t="str">
        <f t="shared" si="40"/>
        <v/>
      </c>
    </row>
    <row r="476" spans="1:22" x14ac:dyDescent="0.25">
      <c r="A476" s="37"/>
      <c r="B476" s="38"/>
      <c r="C476" s="2"/>
      <c r="D476" s="41"/>
      <c r="E476" s="38"/>
      <c r="F476" s="2"/>
      <c r="G476" s="41"/>
      <c r="H476" s="38"/>
      <c r="I476" s="39"/>
      <c r="J476" s="39"/>
      <c r="K476" s="41"/>
      <c r="L476" s="41"/>
      <c r="M476" s="42"/>
      <c r="U476" s="3" t="str">
        <f t="shared" si="39"/>
        <v/>
      </c>
      <c r="V476" s="3" t="str">
        <f t="shared" si="40"/>
        <v/>
      </c>
    </row>
    <row r="477" spans="1:22" x14ac:dyDescent="0.25">
      <c r="A477" s="37"/>
      <c r="B477" s="38"/>
      <c r="C477" s="2"/>
      <c r="D477" s="41"/>
      <c r="E477" s="38"/>
      <c r="F477" s="2"/>
      <c r="G477" s="41"/>
      <c r="H477" s="38"/>
      <c r="I477" s="39"/>
      <c r="J477" s="39"/>
      <c r="K477" s="41"/>
      <c r="L477" s="41"/>
      <c r="M477" s="42"/>
      <c r="U477" s="3" t="str">
        <f t="shared" si="39"/>
        <v/>
      </c>
      <c r="V477" s="3" t="str">
        <f t="shared" si="40"/>
        <v/>
      </c>
    </row>
    <row r="478" spans="1:22" x14ac:dyDescent="0.25">
      <c r="A478" s="37"/>
      <c r="B478" s="38"/>
      <c r="C478" s="2"/>
      <c r="D478" s="41"/>
      <c r="E478" s="38"/>
      <c r="F478" s="2"/>
      <c r="G478" s="41"/>
      <c r="H478" s="38"/>
      <c r="I478" s="39"/>
      <c r="J478" s="39"/>
      <c r="K478" s="41"/>
      <c r="L478" s="41"/>
      <c r="M478" s="42"/>
      <c r="U478" s="3" t="str">
        <f t="shared" si="39"/>
        <v/>
      </c>
      <c r="V478" s="3" t="str">
        <f t="shared" si="40"/>
        <v/>
      </c>
    </row>
    <row r="479" spans="1:22" x14ac:dyDescent="0.25">
      <c r="A479" s="37"/>
      <c r="B479" s="38"/>
      <c r="C479" s="2"/>
      <c r="D479" s="41"/>
      <c r="E479" s="38"/>
      <c r="F479" s="2"/>
      <c r="G479" s="41"/>
      <c r="H479" s="38"/>
      <c r="I479" s="39"/>
      <c r="J479" s="39"/>
      <c r="K479" s="41"/>
      <c r="L479" s="41"/>
      <c r="M479" s="42"/>
      <c r="U479" s="3" t="str">
        <f t="shared" si="39"/>
        <v/>
      </c>
      <c r="V479" s="3" t="str">
        <f t="shared" si="40"/>
        <v/>
      </c>
    </row>
    <row r="480" spans="1:22" x14ac:dyDescent="0.25">
      <c r="A480" s="37"/>
      <c r="B480" s="38"/>
      <c r="C480" s="2"/>
      <c r="D480" s="41"/>
      <c r="E480" s="38"/>
      <c r="F480" s="2"/>
      <c r="G480" s="41"/>
      <c r="H480" s="38"/>
      <c r="I480" s="39"/>
      <c r="J480" s="39"/>
      <c r="K480" s="41"/>
      <c r="L480" s="41"/>
      <c r="M480" s="42"/>
      <c r="U480" s="3" t="str">
        <f t="shared" si="39"/>
        <v/>
      </c>
      <c r="V480" s="3" t="str">
        <f t="shared" si="40"/>
        <v/>
      </c>
    </row>
    <row r="481" spans="1:22" x14ac:dyDescent="0.25">
      <c r="A481" s="37"/>
      <c r="B481" s="38"/>
      <c r="C481" s="2"/>
      <c r="D481" s="41"/>
      <c r="E481" s="38"/>
      <c r="F481" s="2"/>
      <c r="G481" s="41"/>
      <c r="H481" s="38"/>
      <c r="I481" s="39"/>
      <c r="J481" s="39"/>
      <c r="K481" s="41"/>
      <c r="L481" s="41"/>
      <c r="M481" s="42"/>
      <c r="U481" s="3" t="str">
        <f t="shared" si="39"/>
        <v/>
      </c>
      <c r="V481" s="3" t="str">
        <f t="shared" si="40"/>
        <v/>
      </c>
    </row>
    <row r="482" spans="1:22" x14ac:dyDescent="0.25">
      <c r="A482" s="37"/>
      <c r="B482" s="38"/>
      <c r="C482" s="2"/>
      <c r="D482" s="41"/>
      <c r="E482" s="38"/>
      <c r="F482" s="2"/>
      <c r="G482" s="41"/>
      <c r="H482" s="38"/>
      <c r="I482" s="39"/>
      <c r="J482" s="39"/>
      <c r="K482" s="41"/>
      <c r="L482" s="41"/>
      <c r="M482" s="42"/>
      <c r="U482" s="3" t="str">
        <f t="shared" si="39"/>
        <v/>
      </c>
      <c r="V482" s="3" t="str">
        <f t="shared" si="40"/>
        <v/>
      </c>
    </row>
    <row r="483" spans="1:22" x14ac:dyDescent="0.25">
      <c r="A483" s="37"/>
      <c r="B483" s="38"/>
      <c r="C483" s="2"/>
      <c r="D483" s="41"/>
      <c r="E483" s="38"/>
      <c r="F483" s="2"/>
      <c r="G483" s="41"/>
      <c r="H483" s="38"/>
      <c r="I483" s="39"/>
      <c r="J483" s="39"/>
      <c r="K483" s="41"/>
      <c r="L483" s="41"/>
      <c r="M483" s="42"/>
      <c r="U483" s="3" t="str">
        <f t="shared" si="39"/>
        <v/>
      </c>
      <c r="V483" s="3" t="str">
        <f t="shared" si="40"/>
        <v/>
      </c>
    </row>
    <row r="484" spans="1:22" x14ac:dyDescent="0.25">
      <c r="A484" s="37"/>
      <c r="B484" s="38"/>
      <c r="C484" s="2"/>
      <c r="D484" s="41"/>
      <c r="E484" s="38"/>
      <c r="F484" s="2"/>
      <c r="G484" s="41"/>
      <c r="H484" s="38"/>
      <c r="I484" s="39"/>
      <c r="J484" s="39"/>
      <c r="K484" s="41"/>
      <c r="L484" s="41"/>
      <c r="M484" s="42"/>
      <c r="U484" s="3" t="str">
        <f t="shared" si="39"/>
        <v/>
      </c>
      <c r="V484" s="3" t="str">
        <f t="shared" si="40"/>
        <v/>
      </c>
    </row>
    <row r="485" spans="1:22" x14ac:dyDescent="0.25">
      <c r="A485" s="37"/>
      <c r="B485" s="38"/>
      <c r="C485" s="2"/>
      <c r="D485" s="41"/>
      <c r="E485" s="38"/>
      <c r="F485" s="2"/>
      <c r="G485" s="41"/>
      <c r="H485" s="38"/>
      <c r="I485" s="39"/>
      <c r="J485" s="39"/>
      <c r="K485" s="41"/>
      <c r="L485" s="41"/>
      <c r="M485" s="42"/>
      <c r="U485" s="3" t="str">
        <f t="shared" si="39"/>
        <v/>
      </c>
      <c r="V485" s="3" t="str">
        <f t="shared" si="40"/>
        <v/>
      </c>
    </row>
    <row r="486" spans="1:22" x14ac:dyDescent="0.25">
      <c r="A486" s="37"/>
      <c r="B486" s="38"/>
      <c r="C486" s="2"/>
      <c r="D486" s="41"/>
      <c r="E486" s="38"/>
      <c r="F486" s="2"/>
      <c r="G486" s="41"/>
      <c r="H486" s="38"/>
      <c r="I486" s="39"/>
      <c r="J486" s="39"/>
      <c r="K486" s="41"/>
      <c r="L486" s="41"/>
      <c r="M486" s="42"/>
      <c r="U486" s="3" t="str">
        <f t="shared" si="39"/>
        <v/>
      </c>
      <c r="V486" s="3" t="str">
        <f t="shared" si="40"/>
        <v/>
      </c>
    </row>
    <row r="487" spans="1:22" x14ac:dyDescent="0.25">
      <c r="A487" s="37"/>
      <c r="B487" s="38"/>
      <c r="C487" s="2"/>
      <c r="D487" s="41"/>
      <c r="E487" s="38"/>
      <c r="F487" s="2"/>
      <c r="G487" s="41"/>
      <c r="H487" s="38"/>
      <c r="I487" s="39"/>
      <c r="J487" s="39"/>
      <c r="K487" s="41"/>
      <c r="L487" s="41"/>
      <c r="M487" s="42"/>
      <c r="U487" s="3" t="str">
        <f t="shared" si="39"/>
        <v/>
      </c>
      <c r="V487" s="3" t="str">
        <f t="shared" si="40"/>
        <v/>
      </c>
    </row>
    <row r="488" spans="1:22" x14ac:dyDescent="0.25">
      <c r="A488" s="37"/>
      <c r="B488" s="38"/>
      <c r="C488" s="2"/>
      <c r="D488" s="41"/>
      <c r="E488" s="38"/>
      <c r="F488" s="2"/>
      <c r="G488" s="41"/>
      <c r="H488" s="38"/>
      <c r="I488" s="39"/>
      <c r="J488" s="39"/>
      <c r="K488" s="41"/>
      <c r="L488" s="41"/>
      <c r="M488" s="42"/>
      <c r="U488" s="3" t="str">
        <f t="shared" si="39"/>
        <v/>
      </c>
      <c r="V488" s="3" t="str">
        <f t="shared" si="40"/>
        <v/>
      </c>
    </row>
    <row r="489" spans="1:22" x14ac:dyDescent="0.25">
      <c r="A489" s="37"/>
      <c r="B489" s="38"/>
      <c r="C489" s="2"/>
      <c r="D489" s="41"/>
      <c r="E489" s="38"/>
      <c r="F489" s="2"/>
      <c r="G489" s="41"/>
      <c r="H489" s="38"/>
      <c r="I489" s="39"/>
      <c r="J489" s="39"/>
      <c r="K489" s="41"/>
      <c r="L489" s="41"/>
      <c r="M489" s="42"/>
      <c r="U489" s="3" t="str">
        <f t="shared" si="39"/>
        <v/>
      </c>
      <c r="V489" s="3" t="str">
        <f t="shared" si="40"/>
        <v/>
      </c>
    </row>
    <row r="490" spans="1:22" x14ac:dyDescent="0.25">
      <c r="A490" s="37"/>
      <c r="B490" s="38"/>
      <c r="C490" s="2"/>
      <c r="D490" s="41"/>
      <c r="E490" s="38"/>
      <c r="F490" s="2"/>
      <c r="G490" s="41"/>
      <c r="H490" s="38"/>
      <c r="I490" s="39"/>
      <c r="J490" s="39"/>
      <c r="K490" s="41"/>
      <c r="L490" s="41"/>
      <c r="M490" s="42"/>
      <c r="U490" s="3" t="str">
        <f t="shared" si="39"/>
        <v/>
      </c>
      <c r="V490" s="3" t="str">
        <f t="shared" si="40"/>
        <v/>
      </c>
    </row>
    <row r="491" spans="1:22" x14ac:dyDescent="0.25">
      <c r="A491" s="37"/>
      <c r="B491" s="38"/>
      <c r="C491" s="2"/>
      <c r="D491" s="41"/>
      <c r="E491" s="38"/>
      <c r="F491" s="2"/>
      <c r="G491" s="41"/>
      <c r="H491" s="38"/>
      <c r="I491" s="39"/>
      <c r="J491" s="39"/>
      <c r="K491" s="41"/>
      <c r="L491" s="41"/>
      <c r="M491" s="42"/>
      <c r="U491" s="3" t="str">
        <f t="shared" si="39"/>
        <v/>
      </c>
      <c r="V491" s="3" t="str">
        <f t="shared" si="40"/>
        <v/>
      </c>
    </row>
    <row r="492" spans="1:22" x14ac:dyDescent="0.25">
      <c r="A492" s="37"/>
      <c r="B492" s="38"/>
      <c r="C492" s="2"/>
      <c r="D492" s="41"/>
      <c r="E492" s="38"/>
      <c r="F492" s="2"/>
      <c r="G492" s="41"/>
      <c r="H492" s="38"/>
      <c r="I492" s="39"/>
      <c r="J492" s="39"/>
      <c r="K492" s="41"/>
      <c r="L492" s="41"/>
      <c r="M492" s="42"/>
      <c r="U492" s="3" t="str">
        <f t="shared" si="39"/>
        <v/>
      </c>
      <c r="V492" s="3" t="str">
        <f t="shared" si="40"/>
        <v/>
      </c>
    </row>
    <row r="493" spans="1:22" x14ac:dyDescent="0.25">
      <c r="A493" s="37"/>
      <c r="B493" s="38"/>
      <c r="C493" s="2"/>
      <c r="D493" s="41"/>
      <c r="E493" s="38"/>
      <c r="F493" s="2"/>
      <c r="G493" s="41"/>
      <c r="H493" s="38"/>
      <c r="I493" s="39"/>
      <c r="J493" s="39"/>
      <c r="K493" s="41"/>
      <c r="L493" s="41"/>
      <c r="M493" s="42"/>
      <c r="U493" s="3" t="str">
        <f t="shared" si="39"/>
        <v/>
      </c>
      <c r="V493" s="3" t="str">
        <f t="shared" si="40"/>
        <v/>
      </c>
    </row>
    <row r="494" spans="1:22" x14ac:dyDescent="0.25">
      <c r="A494" s="37"/>
      <c r="B494" s="38"/>
      <c r="C494" s="2"/>
      <c r="D494" s="41"/>
      <c r="E494" s="38"/>
      <c r="F494" s="2"/>
      <c r="G494" s="41"/>
      <c r="H494" s="38"/>
      <c r="I494" s="39"/>
      <c r="J494" s="39"/>
      <c r="K494" s="41"/>
      <c r="L494" s="41"/>
      <c r="M494" s="42"/>
      <c r="U494" s="3" t="str">
        <f t="shared" si="39"/>
        <v/>
      </c>
      <c r="V494" s="3" t="str">
        <f t="shared" si="40"/>
        <v/>
      </c>
    </row>
    <row r="495" spans="1:22" x14ac:dyDescent="0.25">
      <c r="A495" s="37"/>
      <c r="B495" s="38"/>
      <c r="C495" s="2"/>
      <c r="D495" s="41"/>
      <c r="E495" s="38"/>
      <c r="F495" s="2"/>
      <c r="G495" s="41"/>
      <c r="H495" s="38"/>
      <c r="I495" s="39"/>
      <c r="J495" s="39"/>
      <c r="K495" s="41"/>
      <c r="L495" s="41"/>
      <c r="M495" s="42"/>
      <c r="U495" s="3" t="str">
        <f t="shared" si="39"/>
        <v/>
      </c>
      <c r="V495" s="3" t="str">
        <f t="shared" si="40"/>
        <v/>
      </c>
    </row>
    <row r="496" spans="1:22" x14ac:dyDescent="0.25">
      <c r="A496" s="37"/>
      <c r="B496" s="38"/>
      <c r="C496" s="2"/>
      <c r="D496" s="41"/>
      <c r="E496" s="38"/>
      <c r="F496" s="2"/>
      <c r="G496" s="41"/>
      <c r="H496" s="38"/>
      <c r="I496" s="39"/>
      <c r="J496" s="39"/>
      <c r="K496" s="41"/>
      <c r="L496" s="41"/>
      <c r="M496" s="42"/>
      <c r="U496" s="3" t="str">
        <f t="shared" si="39"/>
        <v/>
      </c>
      <c r="V496" s="3" t="str">
        <f t="shared" si="40"/>
        <v/>
      </c>
    </row>
    <row r="497" spans="1:22" x14ac:dyDescent="0.25">
      <c r="A497" s="37"/>
      <c r="B497" s="38"/>
      <c r="C497" s="2"/>
      <c r="D497" s="41"/>
      <c r="E497" s="38"/>
      <c r="F497" s="2"/>
      <c r="G497" s="41"/>
      <c r="H497" s="38"/>
      <c r="I497" s="39"/>
      <c r="J497" s="39"/>
      <c r="K497" s="41"/>
      <c r="L497" s="41"/>
      <c r="M497" s="42"/>
      <c r="U497" s="3" t="str">
        <f t="shared" si="39"/>
        <v/>
      </c>
      <c r="V497" s="3" t="str">
        <f t="shared" si="40"/>
        <v/>
      </c>
    </row>
    <row r="498" spans="1:22" x14ac:dyDescent="0.25">
      <c r="A498" s="37"/>
      <c r="B498" s="38"/>
      <c r="C498" s="2"/>
      <c r="D498" s="41"/>
      <c r="E498" s="38"/>
      <c r="F498" s="2"/>
      <c r="G498" s="41"/>
      <c r="H498" s="38"/>
      <c r="I498" s="39"/>
      <c r="J498" s="39"/>
      <c r="K498" s="41"/>
      <c r="L498" s="41"/>
      <c r="M498" s="42"/>
      <c r="U498" s="3" t="str">
        <f t="shared" si="39"/>
        <v/>
      </c>
      <c r="V498" s="3" t="str">
        <f t="shared" si="40"/>
        <v/>
      </c>
    </row>
    <row r="499" spans="1:22" x14ac:dyDescent="0.25">
      <c r="A499" s="37"/>
      <c r="B499" s="38"/>
      <c r="C499" s="2"/>
      <c r="D499" s="41"/>
      <c r="E499" s="38"/>
      <c r="F499" s="2"/>
      <c r="G499" s="41"/>
      <c r="H499" s="38"/>
      <c r="I499" s="39"/>
      <c r="J499" s="39"/>
      <c r="K499" s="41"/>
      <c r="L499" s="41"/>
      <c r="M499" s="42"/>
      <c r="U499" s="3" t="str">
        <f t="shared" si="39"/>
        <v/>
      </c>
      <c r="V499" s="3" t="str">
        <f t="shared" si="40"/>
        <v/>
      </c>
    </row>
    <row r="500" spans="1:22" x14ac:dyDescent="0.25">
      <c r="A500" s="37"/>
      <c r="B500" s="38"/>
      <c r="C500" s="2"/>
      <c r="D500" s="41"/>
      <c r="E500" s="38"/>
      <c r="F500" s="2"/>
      <c r="G500" s="41"/>
      <c r="H500" s="38"/>
      <c r="I500" s="39"/>
      <c r="J500" s="39"/>
      <c r="K500" s="41"/>
      <c r="L500" s="41"/>
      <c r="M500" s="42"/>
      <c r="U500" s="3" t="str">
        <f t="shared" si="39"/>
        <v/>
      </c>
      <c r="V500" s="3" t="str">
        <f t="shared" si="40"/>
        <v/>
      </c>
    </row>
    <row r="501" spans="1:22" x14ac:dyDescent="0.25">
      <c r="A501" s="37"/>
      <c r="B501" s="38"/>
      <c r="C501" s="2"/>
      <c r="D501" s="41"/>
      <c r="E501" s="38"/>
      <c r="F501" s="2"/>
      <c r="G501" s="41"/>
      <c r="H501" s="38"/>
      <c r="I501" s="39"/>
      <c r="J501" s="39"/>
      <c r="K501" s="41"/>
      <c r="L501" s="41"/>
      <c r="M501" s="42"/>
      <c r="U501" s="3" t="str">
        <f t="shared" si="39"/>
        <v/>
      </c>
      <c r="V501" s="3" t="str">
        <f t="shared" si="40"/>
        <v/>
      </c>
    </row>
    <row r="502" spans="1:22" x14ac:dyDescent="0.25">
      <c r="A502" s="37"/>
      <c r="B502" s="38"/>
      <c r="C502" s="2"/>
      <c r="D502" s="41"/>
      <c r="E502" s="38"/>
      <c r="F502" s="2"/>
      <c r="G502" s="41"/>
      <c r="H502" s="38"/>
      <c r="I502" s="39"/>
      <c r="J502" s="39"/>
      <c r="K502" s="41"/>
      <c r="L502" s="41"/>
      <c r="M502" s="42"/>
      <c r="U502" s="3" t="str">
        <f t="shared" si="39"/>
        <v/>
      </c>
      <c r="V502" s="3" t="str">
        <f t="shared" si="40"/>
        <v/>
      </c>
    </row>
    <row r="503" spans="1:22" x14ac:dyDescent="0.25">
      <c r="A503" s="37"/>
      <c r="B503" s="38"/>
      <c r="C503" s="2"/>
      <c r="D503" s="41"/>
      <c r="E503" s="38"/>
      <c r="F503" s="2"/>
      <c r="G503" s="41"/>
      <c r="H503" s="38"/>
      <c r="I503" s="39"/>
      <c r="J503" s="39"/>
      <c r="K503" s="41"/>
      <c r="L503" s="41"/>
      <c r="M503" s="42"/>
      <c r="U503" s="3" t="str">
        <f t="shared" si="39"/>
        <v/>
      </c>
      <c r="V503" s="3" t="str">
        <f t="shared" si="40"/>
        <v/>
      </c>
    </row>
    <row r="504" spans="1:22" x14ac:dyDescent="0.25">
      <c r="A504" s="37"/>
      <c r="B504" s="38"/>
      <c r="C504" s="2"/>
      <c r="D504" s="41"/>
      <c r="E504" s="38"/>
      <c r="F504" s="2"/>
      <c r="G504" s="41"/>
      <c r="H504" s="38"/>
      <c r="I504" s="39"/>
      <c r="J504" s="39"/>
      <c r="K504" s="41"/>
      <c r="L504" s="41"/>
      <c r="M504" s="42"/>
      <c r="U504" s="3" t="str">
        <f t="shared" si="39"/>
        <v/>
      </c>
      <c r="V504" s="3" t="str">
        <f t="shared" si="40"/>
        <v/>
      </c>
    </row>
    <row r="505" spans="1:22" x14ac:dyDescent="0.25">
      <c r="A505" s="37"/>
      <c r="B505" s="38"/>
      <c r="C505" s="2"/>
      <c r="D505" s="41"/>
      <c r="E505" s="38"/>
      <c r="F505" s="2"/>
      <c r="G505" s="41"/>
      <c r="H505" s="38"/>
      <c r="I505" s="39"/>
      <c r="J505" s="39"/>
      <c r="K505" s="41"/>
      <c r="L505" s="41"/>
      <c r="M505" s="42"/>
      <c r="U505" s="3" t="str">
        <f t="shared" si="39"/>
        <v/>
      </c>
      <c r="V505" s="3" t="str">
        <f t="shared" si="40"/>
        <v/>
      </c>
    </row>
    <row r="506" spans="1:22" x14ac:dyDescent="0.25">
      <c r="A506" s="37"/>
      <c r="B506" s="38"/>
      <c r="C506" s="2"/>
      <c r="D506" s="41"/>
      <c r="E506" s="38"/>
      <c r="F506" s="2"/>
      <c r="G506" s="41"/>
      <c r="H506" s="38"/>
      <c r="I506" s="39"/>
      <c r="J506" s="39"/>
      <c r="K506" s="41"/>
      <c r="L506" s="41"/>
      <c r="M506" s="42"/>
      <c r="U506" s="3" t="str">
        <f t="shared" si="39"/>
        <v/>
      </c>
      <c r="V506" s="3" t="str">
        <f t="shared" si="40"/>
        <v/>
      </c>
    </row>
    <row r="507" spans="1:22" x14ac:dyDescent="0.25">
      <c r="A507" s="37"/>
      <c r="B507" s="38"/>
      <c r="C507" s="2"/>
      <c r="D507" s="41"/>
      <c r="E507" s="38"/>
      <c r="F507" s="2"/>
      <c r="G507" s="41"/>
      <c r="H507" s="38"/>
      <c r="I507" s="39"/>
      <c r="J507" s="39"/>
      <c r="K507" s="41"/>
      <c r="L507" s="41"/>
      <c r="M507" s="42"/>
      <c r="U507" s="3" t="str">
        <f t="shared" si="39"/>
        <v/>
      </c>
      <c r="V507" s="3" t="str">
        <f t="shared" si="40"/>
        <v/>
      </c>
    </row>
    <row r="508" spans="1:22" x14ac:dyDescent="0.25">
      <c r="A508" s="37"/>
      <c r="B508" s="38"/>
      <c r="C508" s="2"/>
      <c r="D508" s="41"/>
      <c r="E508" s="38"/>
      <c r="F508" s="2"/>
      <c r="G508" s="41"/>
      <c r="H508" s="38"/>
      <c r="I508" s="39"/>
      <c r="J508" s="39"/>
      <c r="K508" s="41"/>
      <c r="L508" s="41"/>
      <c r="M508" s="42"/>
      <c r="U508" s="3" t="str">
        <f t="shared" si="39"/>
        <v/>
      </c>
      <c r="V508" s="3" t="str">
        <f t="shared" si="40"/>
        <v/>
      </c>
    </row>
    <row r="509" spans="1:22" x14ac:dyDescent="0.25">
      <c r="A509" s="37"/>
      <c r="B509" s="38"/>
      <c r="C509" s="2"/>
      <c r="D509" s="41"/>
      <c r="E509" s="38"/>
      <c r="F509" s="2"/>
      <c r="G509" s="41"/>
      <c r="H509" s="38"/>
      <c r="I509" s="39"/>
      <c r="J509" s="39"/>
      <c r="K509" s="41"/>
      <c r="L509" s="41"/>
      <c r="M509" s="42"/>
      <c r="U509" s="3" t="str">
        <f t="shared" si="39"/>
        <v/>
      </c>
      <c r="V509" s="3" t="str">
        <f t="shared" si="40"/>
        <v/>
      </c>
    </row>
    <row r="510" spans="1:22" x14ac:dyDescent="0.25">
      <c r="A510" s="37"/>
      <c r="B510" s="38"/>
      <c r="C510" s="2"/>
      <c r="D510" s="41"/>
      <c r="E510" s="38"/>
      <c r="F510" s="2"/>
      <c r="G510" s="41"/>
      <c r="H510" s="38"/>
      <c r="I510" s="39"/>
      <c r="J510" s="39"/>
      <c r="K510" s="41"/>
      <c r="L510" s="41"/>
      <c r="M510" s="42"/>
      <c r="U510" s="3" t="str">
        <f t="shared" si="39"/>
        <v/>
      </c>
      <c r="V510" s="3" t="str">
        <f t="shared" si="40"/>
        <v/>
      </c>
    </row>
    <row r="511" spans="1:22" x14ac:dyDescent="0.25">
      <c r="A511" s="37"/>
      <c r="B511" s="38"/>
      <c r="C511" s="2"/>
      <c r="D511" s="41"/>
      <c r="E511" s="38"/>
      <c r="F511" s="2"/>
      <c r="G511" s="41"/>
      <c r="H511" s="38"/>
      <c r="I511" s="39"/>
      <c r="J511" s="39"/>
      <c r="K511" s="41"/>
      <c r="L511" s="41"/>
      <c r="M511" s="42"/>
      <c r="U511" s="3" t="str">
        <f t="shared" si="39"/>
        <v/>
      </c>
      <c r="V511" s="3" t="str">
        <f t="shared" si="40"/>
        <v/>
      </c>
    </row>
    <row r="512" spans="1:22" x14ac:dyDescent="0.25">
      <c r="A512" s="37"/>
      <c r="B512" s="38"/>
      <c r="C512" s="2"/>
      <c r="D512" s="41"/>
      <c r="E512" s="38"/>
      <c r="F512" s="2"/>
      <c r="G512" s="41"/>
      <c r="H512" s="38"/>
      <c r="I512" s="39"/>
      <c r="J512" s="39"/>
      <c r="K512" s="41"/>
      <c r="L512" s="41"/>
      <c r="M512" s="42"/>
      <c r="U512" s="3" t="str">
        <f t="shared" si="39"/>
        <v/>
      </c>
      <c r="V512" s="3" t="str">
        <f t="shared" si="40"/>
        <v/>
      </c>
    </row>
    <row r="513" spans="1:22" x14ac:dyDescent="0.25">
      <c r="A513" s="37"/>
      <c r="B513" s="38"/>
      <c r="C513" s="2"/>
      <c r="D513" s="41"/>
      <c r="E513" s="38"/>
      <c r="F513" s="2"/>
      <c r="G513" s="41"/>
      <c r="H513" s="38"/>
      <c r="I513" s="39"/>
      <c r="J513" s="39"/>
      <c r="K513" s="41"/>
      <c r="L513" s="41"/>
      <c r="M513" s="42"/>
      <c r="U513" s="3" t="str">
        <f t="shared" si="39"/>
        <v/>
      </c>
      <c r="V513" s="3" t="str">
        <f t="shared" si="40"/>
        <v/>
      </c>
    </row>
    <row r="514" spans="1:22" x14ac:dyDescent="0.25">
      <c r="A514" s="37"/>
      <c r="B514" s="38"/>
      <c r="C514" s="2"/>
      <c r="D514" s="41"/>
      <c r="E514" s="38"/>
      <c r="F514" s="2"/>
      <c r="G514" s="41"/>
      <c r="H514" s="38"/>
      <c r="I514" s="39"/>
      <c r="J514" s="39"/>
      <c r="K514" s="41"/>
      <c r="L514" s="41"/>
      <c r="M514" s="42"/>
      <c r="U514" s="3" t="str">
        <f t="shared" si="39"/>
        <v/>
      </c>
      <c r="V514" s="3" t="str">
        <f t="shared" si="40"/>
        <v/>
      </c>
    </row>
    <row r="515" spans="1:22" x14ac:dyDescent="0.25">
      <c r="A515" s="37"/>
      <c r="B515" s="38"/>
      <c r="C515" s="2"/>
      <c r="D515" s="41"/>
      <c r="E515" s="38"/>
      <c r="F515" s="2"/>
      <c r="G515" s="41"/>
      <c r="H515" s="38"/>
      <c r="I515" s="39"/>
      <c r="J515" s="39"/>
      <c r="K515" s="41"/>
      <c r="L515" s="41"/>
      <c r="M515" s="42"/>
      <c r="U515" s="3" t="str">
        <f t="shared" si="39"/>
        <v/>
      </c>
      <c r="V515" s="3" t="str">
        <f t="shared" si="40"/>
        <v/>
      </c>
    </row>
    <row r="516" spans="1:22" x14ac:dyDescent="0.25">
      <c r="A516" s="37"/>
      <c r="B516" s="38"/>
      <c r="C516" s="2"/>
      <c r="D516" s="41"/>
      <c r="E516" s="38"/>
      <c r="F516" s="2"/>
      <c r="G516" s="41"/>
      <c r="H516" s="38"/>
      <c r="I516" s="39"/>
      <c r="J516" s="39"/>
      <c r="K516" s="41"/>
      <c r="L516" s="41"/>
      <c r="M516" s="42"/>
      <c r="U516" s="3" t="str">
        <f t="shared" ref="U516:U567" si="41">IF(COUNTIF(Q:Q,O516)*COUNTIF(S:S,O516),O516,"")</f>
        <v/>
      </c>
      <c r="V516" s="3" t="str">
        <f t="shared" ref="V516:V567" si="42">IF(U516&gt;$A$14,U516,"")</f>
        <v/>
      </c>
    </row>
    <row r="517" spans="1:22" x14ac:dyDescent="0.25">
      <c r="A517" s="37"/>
      <c r="B517" s="38"/>
      <c r="C517" s="2"/>
      <c r="D517" s="41"/>
      <c r="E517" s="38"/>
      <c r="F517" s="2"/>
      <c r="G517" s="41"/>
      <c r="H517" s="38"/>
      <c r="I517" s="39"/>
      <c r="J517" s="39"/>
      <c r="K517" s="41"/>
      <c r="L517" s="41"/>
      <c r="M517" s="42"/>
      <c r="U517" s="3" t="str">
        <f t="shared" si="41"/>
        <v/>
      </c>
      <c r="V517" s="3" t="str">
        <f t="shared" si="42"/>
        <v/>
      </c>
    </row>
    <row r="518" spans="1:22" x14ac:dyDescent="0.25">
      <c r="A518" s="37"/>
      <c r="B518" s="38"/>
      <c r="C518" s="2"/>
      <c r="D518" s="41"/>
      <c r="E518" s="38"/>
      <c r="F518" s="2"/>
      <c r="G518" s="41"/>
      <c r="H518" s="38"/>
      <c r="I518" s="39"/>
      <c r="J518" s="39"/>
      <c r="K518" s="41"/>
      <c r="L518" s="41"/>
      <c r="M518" s="42"/>
      <c r="U518" s="3" t="str">
        <f t="shared" si="41"/>
        <v/>
      </c>
      <c r="V518" s="3" t="str">
        <f t="shared" si="42"/>
        <v/>
      </c>
    </row>
    <row r="519" spans="1:22" x14ac:dyDescent="0.25">
      <c r="A519" s="37"/>
      <c r="B519" s="38"/>
      <c r="C519" s="2"/>
      <c r="D519" s="41"/>
      <c r="E519" s="38"/>
      <c r="F519" s="2"/>
      <c r="G519" s="41"/>
      <c r="H519" s="38"/>
      <c r="I519" s="39"/>
      <c r="J519" s="39"/>
      <c r="K519" s="41"/>
      <c r="L519" s="41"/>
      <c r="M519" s="42"/>
      <c r="U519" s="3" t="str">
        <f t="shared" si="41"/>
        <v/>
      </c>
      <c r="V519" s="3" t="str">
        <f t="shared" si="42"/>
        <v/>
      </c>
    </row>
    <row r="520" spans="1:22" x14ac:dyDescent="0.25">
      <c r="A520" s="37"/>
      <c r="B520" s="38"/>
      <c r="C520" s="2"/>
      <c r="D520" s="41"/>
      <c r="E520" s="38"/>
      <c r="F520" s="2"/>
      <c r="G520" s="41"/>
      <c r="H520" s="38"/>
      <c r="I520" s="39"/>
      <c r="J520" s="39"/>
      <c r="K520" s="41"/>
      <c r="L520" s="41"/>
      <c r="M520" s="42"/>
      <c r="U520" s="3" t="str">
        <f t="shared" si="41"/>
        <v/>
      </c>
      <c r="V520" s="3" t="str">
        <f t="shared" si="42"/>
        <v/>
      </c>
    </row>
    <row r="521" spans="1:22" x14ac:dyDescent="0.25">
      <c r="A521" s="37"/>
      <c r="B521" s="38"/>
      <c r="C521" s="2"/>
      <c r="D521" s="41"/>
      <c r="E521" s="38"/>
      <c r="F521" s="2"/>
      <c r="G521" s="41"/>
      <c r="H521" s="38"/>
      <c r="I521" s="39"/>
      <c r="J521" s="39"/>
      <c r="K521" s="41"/>
      <c r="L521" s="41"/>
      <c r="M521" s="42"/>
      <c r="U521" s="3" t="str">
        <f t="shared" si="41"/>
        <v/>
      </c>
      <c r="V521" s="3" t="str">
        <f t="shared" si="42"/>
        <v/>
      </c>
    </row>
    <row r="522" spans="1:22" x14ac:dyDescent="0.25">
      <c r="A522" s="37"/>
      <c r="B522" s="38"/>
      <c r="C522" s="2"/>
      <c r="D522" s="41"/>
      <c r="E522" s="38"/>
      <c r="F522" s="2"/>
      <c r="G522" s="41"/>
      <c r="H522" s="38"/>
      <c r="I522" s="39"/>
      <c r="J522" s="39"/>
      <c r="K522" s="41"/>
      <c r="L522" s="41"/>
      <c r="M522" s="42"/>
      <c r="U522" s="3" t="str">
        <f t="shared" si="41"/>
        <v/>
      </c>
      <c r="V522" s="3" t="str">
        <f t="shared" si="42"/>
        <v/>
      </c>
    </row>
    <row r="523" spans="1:22" x14ac:dyDescent="0.25">
      <c r="A523" s="37"/>
      <c r="B523" s="38"/>
      <c r="C523" s="2"/>
      <c r="D523" s="41"/>
      <c r="E523" s="38"/>
      <c r="F523" s="2"/>
      <c r="G523" s="41"/>
      <c r="H523" s="38"/>
      <c r="I523" s="39"/>
      <c r="J523" s="39"/>
      <c r="K523" s="41"/>
      <c r="L523" s="41"/>
      <c r="M523" s="42"/>
      <c r="U523" s="3" t="str">
        <f t="shared" si="41"/>
        <v/>
      </c>
      <c r="V523" s="3" t="str">
        <f t="shared" si="42"/>
        <v/>
      </c>
    </row>
    <row r="524" spans="1:22" x14ac:dyDescent="0.25">
      <c r="A524" s="37"/>
      <c r="B524" s="38"/>
      <c r="C524" s="2"/>
      <c r="D524" s="41"/>
      <c r="E524" s="38"/>
      <c r="F524" s="2"/>
      <c r="G524" s="41"/>
      <c r="H524" s="38"/>
      <c r="I524" s="39"/>
      <c r="J524" s="39"/>
      <c r="K524" s="41"/>
      <c r="L524" s="41"/>
      <c r="M524" s="42"/>
      <c r="U524" s="3" t="str">
        <f t="shared" si="41"/>
        <v/>
      </c>
      <c r="V524" s="3" t="str">
        <f t="shared" si="42"/>
        <v/>
      </c>
    </row>
    <row r="525" spans="1:22" x14ac:dyDescent="0.25">
      <c r="A525" s="37"/>
      <c r="B525" s="38"/>
      <c r="C525" s="2"/>
      <c r="D525" s="41"/>
      <c r="E525" s="38"/>
      <c r="F525" s="2"/>
      <c r="G525" s="41"/>
      <c r="H525" s="38"/>
      <c r="I525" s="39"/>
      <c r="J525" s="39"/>
      <c r="K525" s="41"/>
      <c r="L525" s="41"/>
      <c r="M525" s="42"/>
      <c r="U525" s="3" t="str">
        <f t="shared" si="41"/>
        <v/>
      </c>
      <c r="V525" s="3" t="str">
        <f t="shared" si="42"/>
        <v/>
      </c>
    </row>
    <row r="526" spans="1:22" x14ac:dyDescent="0.25">
      <c r="A526" s="37"/>
      <c r="B526" s="38"/>
      <c r="C526" s="2"/>
      <c r="D526" s="41"/>
      <c r="E526" s="38"/>
      <c r="F526" s="2"/>
      <c r="G526" s="41"/>
      <c r="H526" s="38"/>
      <c r="I526" s="39"/>
      <c r="J526" s="39"/>
      <c r="K526" s="41"/>
      <c r="L526" s="41"/>
      <c r="M526" s="42"/>
      <c r="U526" s="3" t="str">
        <f t="shared" si="41"/>
        <v/>
      </c>
      <c r="V526" s="3" t="str">
        <f t="shared" si="42"/>
        <v/>
      </c>
    </row>
    <row r="527" spans="1:22" x14ac:dyDescent="0.25">
      <c r="A527" s="37"/>
      <c r="B527" s="38"/>
      <c r="C527" s="2"/>
      <c r="D527" s="41"/>
      <c r="E527" s="38"/>
      <c r="F527" s="2"/>
      <c r="G527" s="41"/>
      <c r="H527" s="38"/>
      <c r="I527" s="39"/>
      <c r="J527" s="39"/>
      <c r="K527" s="41"/>
      <c r="L527" s="41"/>
      <c r="M527" s="42"/>
      <c r="U527" s="3" t="str">
        <f t="shared" si="41"/>
        <v/>
      </c>
      <c r="V527" s="3" t="str">
        <f t="shared" si="42"/>
        <v/>
      </c>
    </row>
    <row r="528" spans="1:22" x14ac:dyDescent="0.25">
      <c r="A528" s="37"/>
      <c r="B528" s="38"/>
      <c r="C528" s="2"/>
      <c r="D528" s="41"/>
      <c r="E528" s="38"/>
      <c r="F528" s="2"/>
      <c r="G528" s="41"/>
      <c r="H528" s="38"/>
      <c r="I528" s="39"/>
      <c r="J528" s="39"/>
      <c r="K528" s="41"/>
      <c r="L528" s="41"/>
      <c r="M528" s="42"/>
      <c r="U528" s="3" t="str">
        <f t="shared" si="41"/>
        <v/>
      </c>
      <c r="V528" s="3" t="str">
        <f t="shared" si="42"/>
        <v/>
      </c>
    </row>
    <row r="529" spans="1:22" x14ac:dyDescent="0.25">
      <c r="A529" s="37"/>
      <c r="B529" s="38"/>
      <c r="C529" s="2"/>
      <c r="D529" s="41"/>
      <c r="E529" s="38"/>
      <c r="F529" s="2"/>
      <c r="G529" s="41"/>
      <c r="H529" s="38"/>
      <c r="I529" s="39"/>
      <c r="J529" s="39"/>
      <c r="K529" s="41"/>
      <c r="L529" s="41"/>
      <c r="M529" s="42"/>
      <c r="U529" s="3" t="str">
        <f t="shared" si="41"/>
        <v/>
      </c>
      <c r="V529" s="3" t="str">
        <f t="shared" si="42"/>
        <v/>
      </c>
    </row>
    <row r="530" spans="1:22" x14ac:dyDescent="0.25">
      <c r="A530" s="37"/>
      <c r="B530" s="38"/>
      <c r="C530" s="2"/>
      <c r="D530" s="41"/>
      <c r="E530" s="38"/>
      <c r="F530" s="2"/>
      <c r="G530" s="41"/>
      <c r="H530" s="38"/>
      <c r="I530" s="39"/>
      <c r="J530" s="39"/>
      <c r="K530" s="41"/>
      <c r="L530" s="41"/>
      <c r="M530" s="42"/>
      <c r="U530" s="3" t="str">
        <f t="shared" si="41"/>
        <v/>
      </c>
      <c r="V530" s="3" t="str">
        <f t="shared" si="42"/>
        <v/>
      </c>
    </row>
    <row r="531" spans="1:22" x14ac:dyDescent="0.25">
      <c r="A531" s="37"/>
      <c r="B531" s="38"/>
      <c r="C531" s="2"/>
      <c r="D531" s="41"/>
      <c r="E531" s="38"/>
      <c r="F531" s="2"/>
      <c r="G531" s="41"/>
      <c r="H531" s="38"/>
      <c r="I531" s="39"/>
      <c r="J531" s="39"/>
      <c r="K531" s="41"/>
      <c r="L531" s="41"/>
      <c r="M531" s="42"/>
      <c r="U531" s="3" t="str">
        <f t="shared" si="41"/>
        <v/>
      </c>
      <c r="V531" s="3" t="str">
        <f t="shared" si="42"/>
        <v/>
      </c>
    </row>
    <row r="532" spans="1:22" x14ac:dyDescent="0.25">
      <c r="A532" s="37"/>
      <c r="B532" s="38"/>
      <c r="C532" s="2"/>
      <c r="D532" s="41"/>
      <c r="E532" s="38"/>
      <c r="F532" s="2"/>
      <c r="G532" s="41"/>
      <c r="H532" s="38"/>
      <c r="I532" s="39"/>
      <c r="J532" s="39"/>
      <c r="K532" s="41"/>
      <c r="L532" s="41"/>
      <c r="M532" s="42"/>
      <c r="U532" s="3" t="str">
        <f t="shared" si="41"/>
        <v/>
      </c>
      <c r="V532" s="3" t="str">
        <f t="shared" si="42"/>
        <v/>
      </c>
    </row>
    <row r="533" spans="1:22" x14ac:dyDescent="0.25">
      <c r="A533" s="37"/>
      <c r="B533" s="38"/>
      <c r="C533" s="2"/>
      <c r="D533" s="41"/>
      <c r="E533" s="38"/>
      <c r="F533" s="2"/>
      <c r="G533" s="41"/>
      <c r="H533" s="38"/>
      <c r="I533" s="39"/>
      <c r="J533" s="39"/>
      <c r="K533" s="41"/>
      <c r="L533" s="41"/>
      <c r="M533" s="42"/>
      <c r="U533" s="3" t="str">
        <f t="shared" si="41"/>
        <v/>
      </c>
      <c r="V533" s="3" t="str">
        <f t="shared" si="42"/>
        <v/>
      </c>
    </row>
    <row r="534" spans="1:22" x14ac:dyDescent="0.25">
      <c r="A534" s="37"/>
      <c r="B534" s="38"/>
      <c r="C534" s="2"/>
      <c r="D534" s="41"/>
      <c r="E534" s="38"/>
      <c r="F534" s="2"/>
      <c r="G534" s="41"/>
      <c r="H534" s="38"/>
      <c r="I534" s="39"/>
      <c r="J534" s="39"/>
      <c r="K534" s="41"/>
      <c r="L534" s="41"/>
      <c r="M534" s="42"/>
      <c r="U534" s="3" t="str">
        <f t="shared" si="41"/>
        <v/>
      </c>
      <c r="V534" s="3" t="str">
        <f t="shared" si="42"/>
        <v/>
      </c>
    </row>
    <row r="535" spans="1:22" x14ac:dyDescent="0.25">
      <c r="A535" s="37"/>
      <c r="B535" s="38"/>
      <c r="C535" s="2"/>
      <c r="D535" s="41"/>
      <c r="E535" s="38"/>
      <c r="F535" s="2"/>
      <c r="G535" s="41"/>
      <c r="H535" s="38"/>
      <c r="I535" s="39"/>
      <c r="J535" s="39"/>
      <c r="K535" s="41"/>
      <c r="L535" s="41"/>
      <c r="M535" s="42"/>
      <c r="U535" s="3" t="str">
        <f t="shared" si="41"/>
        <v/>
      </c>
      <c r="V535" s="3" t="str">
        <f t="shared" si="42"/>
        <v/>
      </c>
    </row>
    <row r="536" spans="1:22" x14ac:dyDescent="0.25">
      <c r="A536" s="37"/>
      <c r="B536" s="38"/>
      <c r="C536" s="2"/>
      <c r="D536" s="41"/>
      <c r="E536" s="38"/>
      <c r="F536" s="2"/>
      <c r="G536" s="41"/>
      <c r="H536" s="38"/>
      <c r="I536" s="39"/>
      <c r="J536" s="39"/>
      <c r="K536" s="41"/>
      <c r="L536" s="41"/>
      <c r="M536" s="42"/>
      <c r="U536" s="3" t="str">
        <f t="shared" si="41"/>
        <v/>
      </c>
      <c r="V536" s="3" t="str">
        <f t="shared" si="42"/>
        <v/>
      </c>
    </row>
    <row r="537" spans="1:22" x14ac:dyDescent="0.25">
      <c r="A537" s="37"/>
      <c r="B537" s="38"/>
      <c r="C537" s="2"/>
      <c r="D537" s="41"/>
      <c r="E537" s="38"/>
      <c r="F537" s="2"/>
      <c r="G537" s="41"/>
      <c r="H537" s="38"/>
      <c r="I537" s="39"/>
      <c r="J537" s="39"/>
      <c r="K537" s="41"/>
      <c r="L537" s="41"/>
      <c r="M537" s="42"/>
      <c r="U537" s="3" t="str">
        <f t="shared" si="41"/>
        <v/>
      </c>
      <c r="V537" s="3" t="str">
        <f t="shared" si="42"/>
        <v/>
      </c>
    </row>
    <row r="538" spans="1:22" x14ac:dyDescent="0.25">
      <c r="A538" s="37"/>
      <c r="B538" s="38"/>
      <c r="C538" s="2"/>
      <c r="D538" s="41"/>
      <c r="E538" s="38"/>
      <c r="F538" s="2"/>
      <c r="G538" s="41"/>
      <c r="H538" s="38"/>
      <c r="I538" s="39"/>
      <c r="J538" s="39"/>
      <c r="K538" s="41"/>
      <c r="L538" s="41"/>
      <c r="M538" s="42"/>
      <c r="U538" s="3" t="str">
        <f t="shared" si="41"/>
        <v/>
      </c>
      <c r="V538" s="3" t="str">
        <f t="shared" si="42"/>
        <v/>
      </c>
    </row>
    <row r="539" spans="1:22" x14ac:dyDescent="0.25">
      <c r="A539" s="37"/>
      <c r="B539" s="38"/>
      <c r="C539" s="2"/>
      <c r="D539" s="41"/>
      <c r="E539" s="38"/>
      <c r="F539" s="2"/>
      <c r="G539" s="41"/>
      <c r="H539" s="38"/>
      <c r="I539" s="39"/>
      <c r="J539" s="39"/>
      <c r="K539" s="41"/>
      <c r="L539" s="41"/>
      <c r="M539" s="42"/>
      <c r="U539" s="3" t="str">
        <f t="shared" si="41"/>
        <v/>
      </c>
      <c r="V539" s="3" t="str">
        <f t="shared" si="42"/>
        <v/>
      </c>
    </row>
    <row r="540" spans="1:22" x14ac:dyDescent="0.25">
      <c r="A540" s="37"/>
      <c r="B540" s="38"/>
      <c r="C540" s="2"/>
      <c r="D540" s="41"/>
      <c r="E540" s="38"/>
      <c r="F540" s="2"/>
      <c r="G540" s="41"/>
      <c r="H540" s="38"/>
      <c r="I540" s="39"/>
      <c r="J540" s="39"/>
      <c r="K540" s="41"/>
      <c r="L540" s="41"/>
      <c r="M540" s="42"/>
      <c r="U540" s="3" t="str">
        <f t="shared" si="41"/>
        <v/>
      </c>
      <c r="V540" s="3" t="str">
        <f t="shared" si="42"/>
        <v/>
      </c>
    </row>
    <row r="541" spans="1:22" x14ac:dyDescent="0.25">
      <c r="A541" s="37"/>
      <c r="B541" s="38"/>
      <c r="C541" s="2"/>
      <c r="D541" s="41"/>
      <c r="E541" s="38"/>
      <c r="F541" s="2"/>
      <c r="G541" s="41"/>
      <c r="H541" s="38"/>
      <c r="I541" s="39"/>
      <c r="J541" s="39"/>
      <c r="K541" s="41"/>
      <c r="L541" s="41"/>
      <c r="M541" s="42"/>
      <c r="U541" s="3" t="str">
        <f t="shared" si="41"/>
        <v/>
      </c>
      <c r="V541" s="3" t="str">
        <f t="shared" si="42"/>
        <v/>
      </c>
    </row>
    <row r="542" spans="1:22" x14ac:dyDescent="0.25">
      <c r="A542" s="37"/>
      <c r="B542" s="38"/>
      <c r="C542" s="2"/>
      <c r="D542" s="41"/>
      <c r="E542" s="38"/>
      <c r="F542" s="2"/>
      <c r="G542" s="41"/>
      <c r="H542" s="38"/>
      <c r="I542" s="39"/>
      <c r="J542" s="39"/>
      <c r="K542" s="41"/>
      <c r="L542" s="41"/>
      <c r="M542" s="42"/>
      <c r="U542" s="3" t="str">
        <f t="shared" si="41"/>
        <v/>
      </c>
      <c r="V542" s="3" t="str">
        <f t="shared" si="42"/>
        <v/>
      </c>
    </row>
    <row r="543" spans="1:22" x14ac:dyDescent="0.25">
      <c r="A543" s="37"/>
      <c r="B543" s="38"/>
      <c r="C543" s="2"/>
      <c r="D543" s="41"/>
      <c r="E543" s="38"/>
      <c r="F543" s="2"/>
      <c r="G543" s="41"/>
      <c r="H543" s="38"/>
      <c r="I543" s="39"/>
      <c r="J543" s="39"/>
      <c r="K543" s="41"/>
      <c r="L543" s="41"/>
      <c r="M543" s="42"/>
      <c r="U543" s="3" t="str">
        <f t="shared" si="41"/>
        <v/>
      </c>
      <c r="V543" s="3" t="str">
        <f t="shared" si="42"/>
        <v/>
      </c>
    </row>
    <row r="544" spans="1:22" x14ac:dyDescent="0.25">
      <c r="A544" s="37"/>
      <c r="B544" s="38"/>
      <c r="C544" s="2"/>
      <c r="D544" s="41"/>
      <c r="E544" s="38"/>
      <c r="F544" s="2"/>
      <c r="G544" s="41"/>
      <c r="H544" s="38"/>
      <c r="I544" s="39"/>
      <c r="J544" s="39"/>
      <c r="K544" s="41"/>
      <c r="L544" s="41"/>
      <c r="M544" s="42"/>
      <c r="U544" s="3" t="str">
        <f t="shared" si="41"/>
        <v/>
      </c>
      <c r="V544" s="3" t="str">
        <f t="shared" si="42"/>
        <v/>
      </c>
    </row>
    <row r="545" spans="1:22" x14ac:dyDescent="0.25">
      <c r="A545" s="37"/>
      <c r="B545" s="38"/>
      <c r="C545" s="2"/>
      <c r="D545" s="41"/>
      <c r="E545" s="38"/>
      <c r="F545" s="2"/>
      <c r="G545" s="41"/>
      <c r="H545" s="38"/>
      <c r="I545" s="39"/>
      <c r="J545" s="39"/>
      <c r="K545" s="41"/>
      <c r="L545" s="41"/>
      <c r="M545" s="42"/>
      <c r="U545" s="3" t="str">
        <f t="shared" si="41"/>
        <v/>
      </c>
      <c r="V545" s="3" t="str">
        <f t="shared" si="42"/>
        <v/>
      </c>
    </row>
    <row r="546" spans="1:22" x14ac:dyDescent="0.25">
      <c r="A546" s="37"/>
      <c r="B546" s="38"/>
      <c r="C546" s="2"/>
      <c r="D546" s="41"/>
      <c r="E546" s="38"/>
      <c r="F546" s="2"/>
      <c r="G546" s="41"/>
      <c r="H546" s="38"/>
      <c r="I546" s="39"/>
      <c r="J546" s="39"/>
      <c r="K546" s="41"/>
      <c r="L546" s="41"/>
      <c r="M546" s="42"/>
      <c r="U546" s="3" t="str">
        <f t="shared" si="41"/>
        <v/>
      </c>
      <c r="V546" s="3" t="str">
        <f t="shared" si="42"/>
        <v/>
      </c>
    </row>
    <row r="547" spans="1:22" x14ac:dyDescent="0.25">
      <c r="A547" s="37"/>
      <c r="B547" s="38"/>
      <c r="C547" s="2"/>
      <c r="D547" s="41"/>
      <c r="E547" s="38"/>
      <c r="F547" s="2"/>
      <c r="G547" s="41"/>
      <c r="H547" s="38"/>
      <c r="I547" s="39"/>
      <c r="J547" s="39"/>
      <c r="K547" s="41"/>
      <c r="L547" s="41"/>
      <c r="M547" s="42"/>
      <c r="U547" s="3" t="str">
        <f t="shared" si="41"/>
        <v/>
      </c>
      <c r="V547" s="3" t="str">
        <f t="shared" si="42"/>
        <v/>
      </c>
    </row>
    <row r="548" spans="1:22" x14ac:dyDescent="0.25">
      <c r="A548" s="37"/>
      <c r="B548" s="38"/>
      <c r="C548" s="2"/>
      <c r="D548" s="41"/>
      <c r="E548" s="38"/>
      <c r="F548" s="2"/>
      <c r="G548" s="41"/>
      <c r="H548" s="38"/>
      <c r="I548" s="39"/>
      <c r="J548" s="39"/>
      <c r="K548" s="41"/>
      <c r="L548" s="41"/>
      <c r="M548" s="42"/>
      <c r="U548" s="3" t="str">
        <f t="shared" si="41"/>
        <v/>
      </c>
      <c r="V548" s="3" t="str">
        <f t="shared" si="42"/>
        <v/>
      </c>
    </row>
    <row r="549" spans="1:22" x14ac:dyDescent="0.25">
      <c r="A549" s="37"/>
      <c r="B549" s="38"/>
      <c r="C549" s="2"/>
      <c r="D549" s="41"/>
      <c r="E549" s="38"/>
      <c r="F549" s="2"/>
      <c r="G549" s="41"/>
      <c r="H549" s="38"/>
      <c r="I549" s="39"/>
      <c r="J549" s="39"/>
      <c r="K549" s="41"/>
      <c r="L549" s="41"/>
      <c r="M549" s="42"/>
      <c r="U549" s="3" t="str">
        <f t="shared" si="41"/>
        <v/>
      </c>
      <c r="V549" s="3" t="str">
        <f t="shared" si="42"/>
        <v/>
      </c>
    </row>
    <row r="550" spans="1:22" x14ac:dyDescent="0.25">
      <c r="A550" s="37"/>
      <c r="B550" s="38"/>
      <c r="C550" s="2"/>
      <c r="D550" s="41"/>
      <c r="E550" s="38"/>
      <c r="F550" s="2"/>
      <c r="G550" s="41"/>
      <c r="H550" s="38"/>
      <c r="I550" s="39"/>
      <c r="J550" s="39"/>
      <c r="K550" s="41"/>
      <c r="L550" s="41"/>
      <c r="M550" s="42"/>
      <c r="U550" s="3" t="str">
        <f t="shared" si="41"/>
        <v/>
      </c>
      <c r="V550" s="3" t="str">
        <f t="shared" si="42"/>
        <v/>
      </c>
    </row>
    <row r="551" spans="1:22" x14ac:dyDescent="0.25">
      <c r="A551" s="37"/>
      <c r="B551" s="38"/>
      <c r="C551" s="2"/>
      <c r="D551" s="41"/>
      <c r="E551" s="38"/>
      <c r="F551" s="2"/>
      <c r="G551" s="41"/>
      <c r="H551" s="38"/>
      <c r="I551" s="39"/>
      <c r="J551" s="39"/>
      <c r="K551" s="41"/>
      <c r="L551" s="41"/>
      <c r="M551" s="42"/>
      <c r="U551" s="3" t="str">
        <f t="shared" si="41"/>
        <v/>
      </c>
      <c r="V551" s="3" t="str">
        <f t="shared" si="42"/>
        <v/>
      </c>
    </row>
    <row r="552" spans="1:22" x14ac:dyDescent="0.25">
      <c r="A552" s="37"/>
      <c r="B552" s="38"/>
      <c r="C552" s="2"/>
      <c r="D552" s="41"/>
      <c r="E552" s="38"/>
      <c r="F552" s="2"/>
      <c r="G552" s="41"/>
      <c r="H552" s="38"/>
      <c r="I552" s="39"/>
      <c r="J552" s="39"/>
      <c r="K552" s="41"/>
      <c r="L552" s="41"/>
      <c r="M552" s="42"/>
      <c r="U552" s="3" t="str">
        <f t="shared" si="41"/>
        <v/>
      </c>
      <c r="V552" s="3" t="str">
        <f t="shared" si="42"/>
        <v/>
      </c>
    </row>
    <row r="553" spans="1:22" x14ac:dyDescent="0.25">
      <c r="A553" s="37"/>
      <c r="B553" s="38"/>
      <c r="C553" s="2"/>
      <c r="D553" s="41"/>
      <c r="E553" s="38"/>
      <c r="F553" s="2"/>
      <c r="G553" s="41"/>
      <c r="H553" s="38"/>
      <c r="I553" s="39"/>
      <c r="J553" s="39"/>
      <c r="K553" s="41"/>
      <c r="L553" s="41"/>
      <c r="M553" s="42"/>
      <c r="U553" s="3" t="str">
        <f t="shared" si="41"/>
        <v/>
      </c>
      <c r="V553" s="3" t="str">
        <f t="shared" si="42"/>
        <v/>
      </c>
    </row>
    <row r="554" spans="1:22" x14ac:dyDescent="0.25">
      <c r="A554" s="37"/>
      <c r="B554" s="38"/>
      <c r="C554" s="2"/>
      <c r="D554" s="41"/>
      <c r="E554" s="38"/>
      <c r="F554" s="2"/>
      <c r="G554" s="41"/>
      <c r="H554" s="38"/>
      <c r="I554" s="39"/>
      <c r="J554" s="39"/>
      <c r="K554" s="41"/>
      <c r="L554" s="41"/>
      <c r="M554" s="42"/>
      <c r="U554" s="3" t="str">
        <f t="shared" si="41"/>
        <v/>
      </c>
      <c r="V554" s="3" t="str">
        <f t="shared" si="42"/>
        <v/>
      </c>
    </row>
    <row r="555" spans="1:22" x14ac:dyDescent="0.25">
      <c r="U555" s="3" t="str">
        <f t="shared" si="41"/>
        <v/>
      </c>
      <c r="V555" s="3" t="str">
        <f t="shared" si="42"/>
        <v/>
      </c>
    </row>
    <row r="556" spans="1:22" x14ac:dyDescent="0.25">
      <c r="U556" s="3" t="str">
        <f t="shared" si="41"/>
        <v/>
      </c>
      <c r="V556" s="3" t="str">
        <f t="shared" si="42"/>
        <v/>
      </c>
    </row>
    <row r="557" spans="1:22" x14ac:dyDescent="0.25">
      <c r="U557" s="3" t="str">
        <f t="shared" si="41"/>
        <v/>
      </c>
      <c r="V557" s="3" t="str">
        <f t="shared" si="42"/>
        <v/>
      </c>
    </row>
    <row r="558" spans="1:22" x14ac:dyDescent="0.25">
      <c r="U558" s="3" t="str">
        <f t="shared" si="41"/>
        <v/>
      </c>
      <c r="V558" s="3" t="str">
        <f t="shared" si="42"/>
        <v/>
      </c>
    </row>
    <row r="559" spans="1:22" x14ac:dyDescent="0.25">
      <c r="U559" s="3" t="str">
        <f t="shared" si="41"/>
        <v/>
      </c>
      <c r="V559" s="3" t="str">
        <f t="shared" si="42"/>
        <v/>
      </c>
    </row>
    <row r="560" spans="1:22" x14ac:dyDescent="0.25">
      <c r="U560" s="3" t="str">
        <f t="shared" si="41"/>
        <v/>
      </c>
      <c r="V560" s="3" t="str">
        <f t="shared" si="42"/>
        <v/>
      </c>
    </row>
    <row r="561" spans="21:22" x14ac:dyDescent="0.25">
      <c r="U561" s="3" t="str">
        <f t="shared" si="41"/>
        <v/>
      </c>
      <c r="V561" s="3" t="str">
        <f t="shared" si="42"/>
        <v/>
      </c>
    </row>
    <row r="562" spans="21:22" x14ac:dyDescent="0.25">
      <c r="U562" s="3" t="str">
        <f t="shared" si="41"/>
        <v/>
      </c>
      <c r="V562" s="3" t="str">
        <f t="shared" si="42"/>
        <v/>
      </c>
    </row>
    <row r="563" spans="21:22" x14ac:dyDescent="0.25">
      <c r="U563" s="3" t="str">
        <f t="shared" si="41"/>
        <v/>
      </c>
      <c r="V563" s="3" t="str">
        <f t="shared" si="42"/>
        <v/>
      </c>
    </row>
    <row r="564" spans="21:22" x14ac:dyDescent="0.25">
      <c r="U564" s="3" t="str">
        <f t="shared" si="41"/>
        <v/>
      </c>
      <c r="V564" s="3" t="str">
        <f t="shared" si="42"/>
        <v/>
      </c>
    </row>
    <row r="565" spans="21:22" x14ac:dyDescent="0.25">
      <c r="U565" s="3" t="str">
        <f t="shared" si="41"/>
        <v/>
      </c>
      <c r="V565" s="3" t="str">
        <f t="shared" si="42"/>
        <v/>
      </c>
    </row>
    <row r="566" spans="21:22" x14ac:dyDescent="0.25">
      <c r="U566" s="3" t="str">
        <f t="shared" si="41"/>
        <v/>
      </c>
      <c r="V566" s="3" t="str">
        <f t="shared" si="42"/>
        <v/>
      </c>
    </row>
    <row r="567" spans="21:22" x14ac:dyDescent="0.25">
      <c r="U567" s="3" t="str">
        <f t="shared" si="41"/>
        <v/>
      </c>
      <c r="V567" s="3" t="str">
        <f t="shared" si="42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4 N50:N100 N116:N1048576">
    <cfRule type="cellIs" dxfId="3" priority="1" operator="lessThan">
      <formula>0</formula>
    </cfRule>
  </conditionalFormatting>
  <hyperlinks>
    <hyperlink ref="C4" r:id="rId1" xr:uid="{6C4C57D9-4726-441F-9EAB-7E3358A8344E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9CF79-EBAC-4D1D-BC42-EA7D209C209A}">
  <dimension ref="A1:AI569"/>
  <sheetViews>
    <sheetView zoomScale="90" zoomScaleNormal="90" workbookViewId="0">
      <selection activeCell="O3" sqref="O3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4" bestFit="1" customWidth="1"/>
    <col min="5" max="5" width="7.140625" style="4" bestFit="1" customWidth="1"/>
    <col min="6" max="6" width="8.7109375" style="4" bestFit="1" customWidth="1"/>
    <col min="7" max="7" width="10.5703125" style="4" bestFit="1" customWidth="1"/>
    <col min="8" max="8" width="18" style="4" bestFit="1" customWidth="1"/>
    <col min="9" max="9" width="7.140625" style="4" bestFit="1" customWidth="1"/>
    <col min="10" max="10" width="9.5703125" style="4" bestFit="1" customWidth="1"/>
    <col min="11" max="11" width="10.42578125" style="4" customWidth="1"/>
    <col min="12" max="12" width="9.5703125" style="4" bestFit="1" customWidth="1"/>
    <col min="13" max="13" width="12.28515625" style="4" bestFit="1" customWidth="1"/>
    <col min="14" max="14" width="12" style="7" bestFit="1" customWidth="1"/>
    <col min="15" max="15" width="17.140625" style="3" bestFit="1" customWidth="1"/>
    <col min="16" max="16" width="6.5703125" style="4" bestFit="1" customWidth="1"/>
    <col min="17" max="17" width="17.140625" style="3" bestFit="1" customWidth="1"/>
    <col min="18" max="18" width="8.7109375" style="4" bestFit="1" customWidth="1"/>
    <col min="19" max="19" width="17.140625" style="3" bestFit="1" customWidth="1"/>
    <col min="20" max="20" width="8.7109375" style="4" bestFit="1" customWidth="1"/>
    <col min="21" max="24" width="17.140625" style="3" bestFit="1" customWidth="1"/>
    <col min="25" max="25" width="7.140625" style="5" bestFit="1" customWidth="1"/>
    <col min="26" max="26" width="17.140625" style="3" bestFit="1" customWidth="1"/>
    <col min="27" max="27" width="9.85546875" style="4" bestFit="1" customWidth="1"/>
    <col min="28" max="28" width="11.5703125" style="4" bestFit="1" customWidth="1"/>
    <col min="29" max="29" width="7.7109375" style="4" bestFit="1" customWidth="1"/>
    <col min="30" max="30" width="11.5703125" style="6" bestFit="1" customWidth="1"/>
    <col min="31" max="31" width="16.42578125" style="4" bestFit="1" customWidth="1"/>
    <col min="32" max="32" width="11.5703125" style="4" bestFit="1" customWidth="1"/>
    <col min="33" max="16384" width="9.140625" style="4"/>
  </cols>
  <sheetData>
    <row r="1" spans="1:32" ht="15.75" thickBot="1" x14ac:dyDescent="0.3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W1" s="3" cm="1">
        <f t="array" ref="W1">LOOKUP(2,1/(W:W&lt;&gt;""),W:W)</f>
        <v>46198.625</v>
      </c>
      <c r="AE1" s="7" t="s">
        <v>1</v>
      </c>
      <c r="AF1" s="6" cm="1">
        <f t="array" ref="AF1">LOOKUP(2,1/(AD:AD&lt;&gt;""),AD:AD)</f>
        <v>46198</v>
      </c>
    </row>
    <row r="2" spans="1:32" ht="15.75" thickBot="1" x14ac:dyDescent="0.3">
      <c r="A2" s="8"/>
      <c r="B2" s="9" t="s">
        <v>2</v>
      </c>
      <c r="C2" s="10" t="s">
        <v>3</v>
      </c>
      <c r="D2" s="11" t="s">
        <v>3</v>
      </c>
      <c r="E2" s="1"/>
      <c r="F2" s="12"/>
      <c r="G2" s="13" t="s">
        <v>4</v>
      </c>
      <c r="H2" s="2">
        <f>B5/B14</f>
        <v>329416.93203030637</v>
      </c>
      <c r="I2" s="1"/>
      <c r="J2" s="1"/>
      <c r="N2" s="4"/>
      <c r="O2" s="14" t="s">
        <v>2</v>
      </c>
      <c r="Q2" s="15" t="s">
        <v>3</v>
      </c>
      <c r="S2" s="16" t="s">
        <v>3</v>
      </c>
      <c r="W2" s="4" cm="1">
        <f t="array" ref="W2:W59">_xlfn.UNIQUE(V:V)</f>
        <v>0</v>
      </c>
      <c r="AE2" s="4" t="s">
        <v>5</v>
      </c>
      <c r="AF2" s="4">
        <f>VLOOKUP(AF1,AB:AC,2)</f>
        <v>247.30699999999999</v>
      </c>
    </row>
    <row r="3" spans="1:32" x14ac:dyDescent="0.25">
      <c r="A3" s="8" t="s">
        <v>6</v>
      </c>
      <c r="B3" s="17" t="s">
        <v>7</v>
      </c>
      <c r="C3" s="18" t="s">
        <v>8</v>
      </c>
      <c r="D3" s="8" t="s">
        <v>9</v>
      </c>
      <c r="H3" s="4" t="s">
        <v>10</v>
      </c>
      <c r="N3" s="4"/>
      <c r="O3" s="3" cm="1">
        <f t="array" ref="O3:P104">_xll.BDH(B4, "LAST_PRICE", "01/26/2026 15:00:00", "01/26/2035 16:00:00", "BarSize=60", "BarType=T", "RecurDaily=True", "TZ=London")</f>
        <v>46048.625</v>
      </c>
      <c r="P3" s="4">
        <v>93.62</v>
      </c>
      <c r="Q3" s="3" cm="1">
        <f t="array" ref="Q3:R108">_xll.BDH(C4, "LAST_PRICE", "01/26/2026 15:00:00", "01/01/2035 16:00:00", "BarSize=60", "BarType=T", "RecurDaily=True", "TZ=London")</f>
        <v>46048.625</v>
      </c>
      <c r="R3" s="4">
        <v>100.566</v>
      </c>
      <c r="S3" s="3" cm="1">
        <f t="array" ref="S3:T107">_xll.BDH(D4, "LAST_PRICE", "01/26/2026 15:00:00", "01/01/2035 16:00:00", "BarSize=60", "BarType=T", "RecurDaily=True", "TZ=London")</f>
        <v>46048.625</v>
      </c>
      <c r="T3" s="4">
        <v>242.32900000000001</v>
      </c>
      <c r="U3" s="3">
        <f>IF(COUNTIF(Q:Q,O3)*COUNTIF(S:S,O3),O3,"")</f>
        <v>46048.625</v>
      </c>
      <c r="V3" s="3" t="str">
        <f>IF(U3&gt;$A$14,U3,"")</f>
        <v/>
      </c>
      <c r="W3" s="3" t="str">
        <v/>
      </c>
      <c r="Z3" s="3" cm="1">
        <f t="array" ref="Z3:AA293">_xll.BDH(D1, "LAST_PRICE", "05/01/2025","")</f>
        <v>45778</v>
      </c>
      <c r="AA3" s="4">
        <v>231.3922</v>
      </c>
      <c r="AB3" s="74" cm="1">
        <f t="array" ref="AB3:AC294">_xll.BDH(D4, "LAST_PRICE", "05/01/2025", "")</f>
        <v>45778</v>
      </c>
      <c r="AC3" s="4">
        <v>343.69900000000001</v>
      </c>
      <c r="AD3" s="6">
        <f>IF(COUNTIF(AB:AB,Z3),Z3,"")</f>
        <v>45778</v>
      </c>
      <c r="AE3" s="7" t="s">
        <v>11</v>
      </c>
      <c r="AF3" s="4">
        <f>VLOOKUP(AF1,Z:AA,2)</f>
        <v>255.54130000000001</v>
      </c>
    </row>
    <row r="4" spans="1:32" ht="30" customHeight="1" x14ac:dyDescent="0.25">
      <c r="A4" s="17" t="s">
        <v>12</v>
      </c>
      <c r="B4" s="21" t="s">
        <v>13</v>
      </c>
      <c r="C4" s="22" t="s">
        <v>14</v>
      </c>
      <c r="D4" s="21" t="s">
        <v>15</v>
      </c>
      <c r="H4" s="6">
        <v>46100</v>
      </c>
      <c r="I4" s="4" t="s">
        <v>7</v>
      </c>
      <c r="J4" s="4">
        <v>2.3302999999999998</v>
      </c>
      <c r="N4" s="4"/>
      <c r="O4" s="3">
        <v>46049.625</v>
      </c>
      <c r="P4" s="4">
        <v>93.74</v>
      </c>
      <c r="Q4" s="3">
        <v>46049.625</v>
      </c>
      <c r="R4" s="4">
        <v>100.59</v>
      </c>
      <c r="S4" s="3">
        <v>46049.625</v>
      </c>
      <c r="T4" s="4">
        <v>241.37200000000001</v>
      </c>
      <c r="U4" s="3">
        <f t="shared" ref="U4:U67" si="0">IF(COUNTIF(Q:Q,O4)*COUNTIF(S:S,O4),O4,"")</f>
        <v>46049.625</v>
      </c>
      <c r="V4" s="3" t="str">
        <f t="shared" ref="V4:V67" si="1">IF(U4&gt;$A$14,U4,"")</f>
        <v/>
      </c>
      <c r="W4" s="3">
        <v>46114.625</v>
      </c>
      <c r="X4" s="3" cm="1">
        <f t="array" ref="X4:Y110">_xll.BDH("ERIXILXO Index", "PX_LAST", "01/22/2026", "")</f>
        <v>46044</v>
      </c>
      <c r="Y4" s="5">
        <v>264.16109999999998</v>
      </c>
      <c r="Z4" s="3">
        <v>45779</v>
      </c>
      <c r="AA4" s="4">
        <v>232.4699</v>
      </c>
      <c r="AB4" s="74">
        <v>45779</v>
      </c>
      <c r="AC4" s="4">
        <v>333.964</v>
      </c>
      <c r="AD4" s="6">
        <f t="shared" ref="AD4:AD67" si="2">IF(COUNTIF(AB:AB,Z4),Z4,"")</f>
        <v>45779</v>
      </c>
      <c r="AE4" s="4" t="s">
        <v>16</v>
      </c>
      <c r="AF4" s="5">
        <f ca="1">INT(NOW())-INT(AF1)</f>
        <v>1</v>
      </c>
    </row>
    <row r="5" spans="1:32" x14ac:dyDescent="0.25">
      <c r="A5" s="17" t="s">
        <v>17</v>
      </c>
      <c r="B5" s="23">
        <f>30*10^6</f>
        <v>30000000</v>
      </c>
      <c r="C5" s="24">
        <f>26*10^6</f>
        <v>26000000</v>
      </c>
      <c r="D5" s="23">
        <f>18.7*10^6</f>
        <v>18700000</v>
      </c>
      <c r="N5" s="4"/>
      <c r="O5" s="3">
        <v>46050.625</v>
      </c>
      <c r="P5" s="4">
        <v>93.63</v>
      </c>
      <c r="Q5" s="3">
        <v>46050.625</v>
      </c>
      <c r="R5" s="4">
        <v>100.65</v>
      </c>
      <c r="S5" s="3">
        <v>46050.625</v>
      </c>
      <c r="T5" s="4">
        <v>244.39099999999999</v>
      </c>
      <c r="U5" s="3">
        <f t="shared" si="0"/>
        <v>46050.625</v>
      </c>
      <c r="V5" s="3" t="str">
        <f t="shared" si="1"/>
        <v/>
      </c>
      <c r="W5" s="3">
        <v>46119.625</v>
      </c>
      <c r="X5" s="3">
        <v>46045</v>
      </c>
      <c r="Y5" s="5">
        <v>263.94619999999998</v>
      </c>
      <c r="Z5" s="3">
        <v>45783</v>
      </c>
      <c r="AA5" s="4">
        <v>232.7954</v>
      </c>
      <c r="AB5" s="74">
        <v>45783</v>
      </c>
      <c r="AC5" s="4">
        <v>331.25700000000001</v>
      </c>
      <c r="AD5" s="6">
        <f t="shared" si="2"/>
        <v>45783</v>
      </c>
    </row>
    <row r="6" spans="1:32" x14ac:dyDescent="0.25">
      <c r="A6" s="17" t="s">
        <v>18</v>
      </c>
      <c r="B6" s="25">
        <v>0</v>
      </c>
      <c r="C6" s="26">
        <v>2.4E-2</v>
      </c>
      <c r="D6" s="27">
        <v>0.05</v>
      </c>
      <c r="N6" s="4"/>
      <c r="O6" s="3">
        <v>46051.625</v>
      </c>
      <c r="P6" s="4">
        <v>93.53</v>
      </c>
      <c r="Q6" s="3">
        <v>46051.625</v>
      </c>
      <c r="R6" s="4">
        <v>100.706</v>
      </c>
      <c r="S6" s="3">
        <v>46051.625</v>
      </c>
      <c r="T6" s="4">
        <v>249.25</v>
      </c>
      <c r="U6" s="3">
        <f t="shared" si="0"/>
        <v>46051.625</v>
      </c>
      <c r="V6" s="3" t="str">
        <f t="shared" si="1"/>
        <v/>
      </c>
      <c r="W6" s="3">
        <v>46120.625</v>
      </c>
      <c r="X6" s="3">
        <v>46048</v>
      </c>
      <c r="Y6" s="5">
        <v>264.02949999999998</v>
      </c>
      <c r="Z6" s="3">
        <v>45784</v>
      </c>
      <c r="AA6" s="4">
        <v>232.8287</v>
      </c>
      <c r="AB6" s="74">
        <v>45784</v>
      </c>
      <c r="AC6" s="4">
        <v>330.31900000000002</v>
      </c>
      <c r="AD6" s="6">
        <f t="shared" si="2"/>
        <v>45784</v>
      </c>
    </row>
    <row r="7" spans="1:32" x14ac:dyDescent="0.25">
      <c r="A7" s="17" t="s">
        <v>19</v>
      </c>
      <c r="B7" s="26" cm="1">
        <f t="array" ref="B7">_xll.BDP("EURR002W INDEX","PX_LAST")/100+0.25/100</f>
        <v>2.6499999999999999E-2</v>
      </c>
      <c r="C7" s="26" cm="1">
        <f t="array" ref="C7">_xll.BDP("EURR002W INDEX","PX_LAST")/100</f>
        <v>2.4E-2</v>
      </c>
      <c r="D7" s="27">
        <v>0</v>
      </c>
      <c r="E7" s="1"/>
      <c r="H7" s="1"/>
      <c r="J7" s="1"/>
      <c r="N7" s="4"/>
      <c r="O7" s="3">
        <v>46052.625</v>
      </c>
      <c r="P7" s="4">
        <v>93.62</v>
      </c>
      <c r="Q7" s="3">
        <v>46052.625</v>
      </c>
      <c r="R7" s="4">
        <v>100.675</v>
      </c>
      <c r="S7" s="3">
        <v>46052.625</v>
      </c>
      <c r="T7" s="4">
        <v>246.12</v>
      </c>
      <c r="U7" s="3">
        <f t="shared" si="0"/>
        <v>46052.625</v>
      </c>
      <c r="V7" s="3" t="str">
        <f t="shared" si="1"/>
        <v/>
      </c>
      <c r="W7" s="3">
        <v>46121.625</v>
      </c>
      <c r="X7" s="3">
        <v>46049</v>
      </c>
      <c r="Y7" s="5">
        <v>264.17689999999999</v>
      </c>
      <c r="Z7" s="3">
        <v>45785</v>
      </c>
      <c r="AA7" s="4">
        <v>233.9237</v>
      </c>
      <c r="AB7" s="74">
        <v>45785</v>
      </c>
      <c r="AC7" s="4">
        <v>319.94200000000001</v>
      </c>
      <c r="AD7" s="6">
        <f t="shared" si="2"/>
        <v>45785</v>
      </c>
    </row>
    <row r="8" spans="1:32" x14ac:dyDescent="0.25">
      <c r="A8" s="17" t="s">
        <v>20</v>
      </c>
      <c r="B8" s="17" t="s">
        <v>21</v>
      </c>
      <c r="C8" s="18" t="s">
        <v>21</v>
      </c>
      <c r="D8" s="17">
        <v>4.859</v>
      </c>
      <c r="E8" s="1"/>
      <c r="F8" s="1"/>
      <c r="G8" s="1"/>
      <c r="H8" s="1"/>
      <c r="I8" s="1"/>
      <c r="J8" s="1"/>
      <c r="K8" s="1"/>
      <c r="L8" s="1"/>
      <c r="M8" s="1"/>
      <c r="N8" s="1"/>
      <c r="O8" s="3">
        <v>46055.625</v>
      </c>
      <c r="P8" s="4">
        <v>93.64</v>
      </c>
      <c r="Q8" s="3">
        <v>46055.625</v>
      </c>
      <c r="R8" s="4">
        <v>100.607</v>
      </c>
      <c r="S8" s="3">
        <v>46055.625</v>
      </c>
      <c r="T8" s="4">
        <v>243.642</v>
      </c>
      <c r="U8" s="3">
        <f t="shared" si="0"/>
        <v>46055.625</v>
      </c>
      <c r="V8" s="3" t="str">
        <f t="shared" si="1"/>
        <v/>
      </c>
      <c r="W8" s="3">
        <v>46122.625</v>
      </c>
      <c r="X8" s="3">
        <v>46050</v>
      </c>
      <c r="Y8" s="5">
        <v>263.77480000000003</v>
      </c>
      <c r="Z8" s="3">
        <v>45786</v>
      </c>
      <c r="AA8" s="4">
        <v>233.92679999999999</v>
      </c>
      <c r="AB8" s="74">
        <v>45786</v>
      </c>
      <c r="AC8" s="4">
        <v>320.065</v>
      </c>
      <c r="AD8" s="6">
        <f t="shared" si="2"/>
        <v>45786</v>
      </c>
    </row>
    <row r="9" spans="1:32" x14ac:dyDescent="0.25">
      <c r="A9" s="17" t="s">
        <v>22</v>
      </c>
      <c r="B9" s="28" cm="1">
        <f t="array" ref="B9">_xll.BDP(B4,"PX_LAST")</f>
        <v>91.07</v>
      </c>
      <c r="C9" s="28" cm="1">
        <f t="array" ref="C9">_xll.BDP(C4,"PX_LAST")</f>
        <v>99.774000000000001</v>
      </c>
      <c r="D9" s="28" cm="1">
        <f t="array" ref="D9">_xll.BDP(D4,"PX_LAST")</f>
        <v>249.3082</v>
      </c>
      <c r="E9" s="1"/>
      <c r="F9" s="1"/>
      <c r="G9" s="1"/>
      <c r="H9" s="1"/>
      <c r="I9" s="1"/>
      <c r="J9" s="1"/>
      <c r="K9" s="1"/>
      <c r="L9" s="1"/>
      <c r="M9" s="1"/>
      <c r="N9" s="1"/>
      <c r="O9" s="3">
        <v>46056.625</v>
      </c>
      <c r="P9" s="4">
        <v>93.64</v>
      </c>
      <c r="Q9" s="3">
        <v>46056.625</v>
      </c>
      <c r="R9" s="4">
        <v>100.57599999999999</v>
      </c>
      <c r="S9" s="3">
        <v>46056.625</v>
      </c>
      <c r="T9" s="4">
        <v>243.64</v>
      </c>
      <c r="U9" s="3">
        <f t="shared" si="0"/>
        <v>46056.625</v>
      </c>
      <c r="V9" s="3" t="str">
        <f t="shared" si="1"/>
        <v/>
      </c>
      <c r="W9" s="3">
        <v>46125.625</v>
      </c>
      <c r="X9" s="3">
        <v>46051</v>
      </c>
      <c r="Y9" s="5">
        <v>263.46510000000001</v>
      </c>
      <c r="Z9" s="3">
        <v>45789</v>
      </c>
      <c r="AA9" s="4">
        <v>235.58269999999999</v>
      </c>
      <c r="AB9" s="74">
        <v>45789</v>
      </c>
      <c r="AC9" s="4">
        <v>306.82</v>
      </c>
      <c r="AD9" s="6">
        <f t="shared" si="2"/>
        <v>45789</v>
      </c>
    </row>
    <row r="10" spans="1:32" ht="15.75" thickBot="1" x14ac:dyDescent="0.3">
      <c r="A10" s="29" t="s">
        <v>23</v>
      </c>
      <c r="B10" s="30"/>
      <c r="C10" s="31"/>
      <c r="D10" s="30"/>
      <c r="E10" s="1"/>
      <c r="F10" s="1"/>
      <c r="G10" s="1"/>
      <c r="H10" s="1"/>
      <c r="I10" s="1"/>
      <c r="J10" s="1"/>
      <c r="K10" s="1"/>
      <c r="L10" s="1"/>
      <c r="M10" s="1"/>
      <c r="N10" s="1"/>
      <c r="O10" s="3">
        <v>46057.625</v>
      </c>
      <c r="P10" s="4">
        <v>93.61</v>
      </c>
      <c r="Q10" s="3">
        <v>46057.625</v>
      </c>
      <c r="R10" s="4">
        <v>100.637</v>
      </c>
      <c r="S10" s="3">
        <v>46057.625</v>
      </c>
      <c r="T10" s="4">
        <v>244.55699999999999</v>
      </c>
      <c r="U10" s="3">
        <f t="shared" si="0"/>
        <v>46057.625</v>
      </c>
      <c r="V10" s="3" t="str">
        <f t="shared" si="1"/>
        <v/>
      </c>
      <c r="W10" s="3">
        <v>46126.625</v>
      </c>
      <c r="X10" s="3">
        <v>46052</v>
      </c>
      <c r="Y10" s="5">
        <v>263.61529999999999</v>
      </c>
      <c r="Z10" s="3">
        <v>45790</v>
      </c>
      <c r="AA10" s="4">
        <v>236.78129999999999</v>
      </c>
      <c r="AB10" s="74">
        <v>45790</v>
      </c>
      <c r="AC10" s="4">
        <v>295.55200000000002</v>
      </c>
      <c r="AD10" s="6">
        <f t="shared" si="2"/>
        <v>45790</v>
      </c>
    </row>
    <row r="11" spans="1:32" ht="15.75" thickBot="1" x14ac:dyDescent="0.3">
      <c r="A11" s="1"/>
      <c r="B11" s="1"/>
      <c r="C11" s="1"/>
      <c r="D11" s="2"/>
      <c r="E11" s="1"/>
      <c r="F11" s="1"/>
      <c r="G11" s="1"/>
      <c r="H11" s="1"/>
      <c r="I11" s="32"/>
      <c r="J11" s="1"/>
      <c r="K11" s="1"/>
      <c r="L11" s="1"/>
      <c r="M11" s="1"/>
      <c r="N11" s="1"/>
      <c r="O11" s="3">
        <v>46058.625</v>
      </c>
      <c r="P11" s="4">
        <v>93.49</v>
      </c>
      <c r="Q11" s="3">
        <v>46058.625</v>
      </c>
      <c r="R11" s="4">
        <v>100.67</v>
      </c>
      <c r="S11" s="3">
        <v>46058.625</v>
      </c>
      <c r="T11" s="4">
        <v>249.851</v>
      </c>
      <c r="U11" s="3">
        <f t="shared" si="0"/>
        <v>46058.625</v>
      </c>
      <c r="V11" s="3" t="str">
        <f t="shared" si="1"/>
        <v/>
      </c>
      <c r="W11" s="3">
        <v>46127.625</v>
      </c>
      <c r="X11" s="3">
        <v>46055</v>
      </c>
      <c r="Y11" s="5">
        <v>264.12970000000001</v>
      </c>
      <c r="Z11" s="3">
        <v>45791</v>
      </c>
      <c r="AA11" s="4">
        <v>236.41579999999999</v>
      </c>
      <c r="AB11" s="74">
        <v>45791</v>
      </c>
      <c r="AC11" s="4">
        <v>299.07799999999997</v>
      </c>
      <c r="AD11" s="6">
        <f t="shared" si="2"/>
        <v>45791</v>
      </c>
    </row>
    <row r="12" spans="1:32" ht="15.75" thickBot="1" x14ac:dyDescent="0.3">
      <c r="A12" s="33" t="s">
        <v>24</v>
      </c>
      <c r="B12" s="65" t="s">
        <v>2</v>
      </c>
      <c r="C12" s="66"/>
      <c r="D12" s="67"/>
      <c r="E12" s="68" t="s">
        <v>3</v>
      </c>
      <c r="F12" s="69"/>
      <c r="G12" s="70"/>
      <c r="H12" s="71" t="s">
        <v>3</v>
      </c>
      <c r="I12" s="72"/>
      <c r="J12" s="72"/>
      <c r="K12" s="73"/>
      <c r="L12" s="11" t="s">
        <v>25</v>
      </c>
      <c r="M12" s="33" t="s">
        <v>26</v>
      </c>
      <c r="O12" s="3">
        <v>46059.625</v>
      </c>
      <c r="P12" s="4">
        <v>93.62</v>
      </c>
      <c r="Q12" s="3">
        <v>46059.625</v>
      </c>
      <c r="R12" s="4">
        <v>100.67</v>
      </c>
      <c r="S12" s="3">
        <v>46059.625</v>
      </c>
      <c r="T12" s="4">
        <v>244.11</v>
      </c>
      <c r="U12" s="3">
        <f t="shared" si="0"/>
        <v>46059.625</v>
      </c>
      <c r="V12" s="3" t="str">
        <f t="shared" si="1"/>
        <v/>
      </c>
      <c r="W12" s="3">
        <v>46128.625</v>
      </c>
      <c r="X12" s="3">
        <v>46056</v>
      </c>
      <c r="Y12" s="5">
        <v>264</v>
      </c>
      <c r="Z12" s="3">
        <v>45792</v>
      </c>
      <c r="AA12" s="4">
        <v>236.27610000000001</v>
      </c>
      <c r="AB12" s="74">
        <v>45792</v>
      </c>
      <c r="AC12" s="4">
        <v>300.10700000000003</v>
      </c>
      <c r="AD12" s="6">
        <f t="shared" si="2"/>
        <v>45792</v>
      </c>
    </row>
    <row r="13" spans="1:32" ht="15.75" thickBot="1" x14ac:dyDescent="0.3">
      <c r="A13" s="29"/>
      <c r="B13" s="34" t="s">
        <v>27</v>
      </c>
      <c r="C13" s="35" t="s">
        <v>28</v>
      </c>
      <c r="D13" s="36" t="s">
        <v>29</v>
      </c>
      <c r="E13" s="34" t="s">
        <v>27</v>
      </c>
      <c r="F13" s="35" t="s">
        <v>28</v>
      </c>
      <c r="G13" s="36" t="s">
        <v>29</v>
      </c>
      <c r="H13" s="34" t="s">
        <v>30</v>
      </c>
      <c r="I13" s="35" t="s">
        <v>31</v>
      </c>
      <c r="J13" s="35" t="s">
        <v>32</v>
      </c>
      <c r="K13" s="36" t="s">
        <v>33</v>
      </c>
      <c r="L13" s="36"/>
      <c r="M13" s="29"/>
      <c r="O13" s="3">
        <v>46062.625</v>
      </c>
      <c r="P13" s="4">
        <v>93.76</v>
      </c>
      <c r="Q13" s="3">
        <v>46062.625</v>
      </c>
      <c r="R13" s="4">
        <v>100.702</v>
      </c>
      <c r="S13" s="3">
        <v>46062.625</v>
      </c>
      <c r="T13" s="4">
        <v>241.44</v>
      </c>
      <c r="U13" s="3">
        <f t="shared" si="0"/>
        <v>46062.625</v>
      </c>
      <c r="V13" s="3" t="str">
        <f t="shared" si="1"/>
        <v/>
      </c>
      <c r="W13" s="3">
        <v>46129.625</v>
      </c>
      <c r="X13" s="3">
        <v>46057</v>
      </c>
      <c r="Y13" s="5">
        <v>263.81950000000001</v>
      </c>
      <c r="Z13" s="3">
        <v>45793</v>
      </c>
      <c r="AA13" s="4">
        <v>236.29159999999999</v>
      </c>
      <c r="AB13" s="74">
        <v>45793</v>
      </c>
      <c r="AC13" s="4">
        <v>301.29500000000002</v>
      </c>
      <c r="AD13" s="6">
        <f t="shared" si="2"/>
        <v>45793</v>
      </c>
    </row>
    <row r="14" spans="1:32" x14ac:dyDescent="0.25">
      <c r="A14" s="37">
        <v>46113.625</v>
      </c>
      <c r="B14" s="38">
        <f>IF(COUNTIF($W$2:W999,A14)=1,VLOOKUP(A14,O:P,2), IF(COUNTIF($W$2:W999,A14)=0,$B$9,""))</f>
        <v>91.07</v>
      </c>
      <c r="C14" s="2"/>
      <c r="D14" s="18"/>
      <c r="E14" s="38">
        <f>IF(COUNTIF($W$2:W999,A14)=1,VLOOKUP(A14,Q:R,2), IF(COUNTIF($W$2:W999,A14)=0,$C$9,""))</f>
        <v>99.774000000000001</v>
      </c>
      <c r="F14" s="1"/>
      <c r="G14" s="18"/>
      <c r="H14" s="38">
        <f>IF(COUNTIF($W$2:W999,A14)=1,VLOOKUP(A14,S:T,2), IF(COUNTIF($W$2:W999,A14)=0,$D$9,""))</f>
        <v>249.3082</v>
      </c>
      <c r="I14" s="39">
        <v>264.18</v>
      </c>
      <c r="J14" s="39">
        <f>IF(ISERROR(H14-2),"",I14)</f>
        <v>264.18</v>
      </c>
      <c r="K14" s="18"/>
      <c r="L14" s="18"/>
      <c r="M14" s="40">
        <v>0</v>
      </c>
      <c r="O14" s="3">
        <v>46064.625</v>
      </c>
      <c r="P14" s="4">
        <v>93.63</v>
      </c>
      <c r="Q14" s="3">
        <v>46063.625</v>
      </c>
      <c r="R14" s="4">
        <v>100.736</v>
      </c>
      <c r="S14" s="3">
        <v>46063.625</v>
      </c>
      <c r="T14" s="4">
        <v>241.98599999999999</v>
      </c>
      <c r="U14" s="3">
        <f t="shared" si="0"/>
        <v>46064.625</v>
      </c>
      <c r="V14" s="3" t="str">
        <f t="shared" si="1"/>
        <v/>
      </c>
      <c r="W14" s="3">
        <v>46132.625</v>
      </c>
      <c r="X14" s="3">
        <v>46058</v>
      </c>
      <c r="Y14" s="5">
        <v>263.54730000000001</v>
      </c>
      <c r="Z14" s="3">
        <v>45796</v>
      </c>
      <c r="AA14" s="4">
        <v>236.34809999999999</v>
      </c>
      <c r="AB14" s="74">
        <v>45796</v>
      </c>
      <c r="AC14" s="4">
        <v>299.93799999999999</v>
      </c>
      <c r="AD14" s="6">
        <f t="shared" si="2"/>
        <v>45796</v>
      </c>
    </row>
    <row r="15" spans="1:32" x14ac:dyDescent="0.25">
      <c r="A15" s="37">
        <f t="shared" ref="A15:A78" ca="1" si="3">IF(AND(ISBLANK(W4), A14 = $W$1),NOW(),IF(ISBLANK(W4),"",W4))</f>
        <v>46114.625</v>
      </c>
      <c r="B15" s="38">
        <f ca="1">IF(COUNTIF($W$2:W1000,A15)=1,VLOOKUP(A15,O:P,2), IF(COUNTIF($W$2:W1000,A15)=0,$B$9,""))</f>
        <v>89.7</v>
      </c>
      <c r="C15" s="2">
        <f ca="1">IF(ISERROR(B15-2),"",(B15/$B$14-1)*$B$5)</f>
        <v>-451301.19688151614</v>
      </c>
      <c r="D15" s="41">
        <f ca="1">IF(ISERROR(B15-2),"",-1*(INT(A15)-INT($A$14))/360*$B$7*$B$5)</f>
        <v>-2208.3333333333335</v>
      </c>
      <c r="E15" s="38">
        <f ca="1">IF(COUNTIF($W$2:W1000,A15)=1,VLOOKUP(A15,Q:R,2), IF(COUNTIF($W$2:W1000,A15)=0,$C$9,""))</f>
        <v>99.484999999999999</v>
      </c>
      <c r="F15" s="2">
        <f ca="1">IF(ISERROR(B15-2),"",(E15-$E$14)/100*$C$5)</f>
        <v>-75140.000000000393</v>
      </c>
      <c r="G15" s="41">
        <f ca="1">IF(ISERROR(B15-2),"",(INT(A15)-INT($A$14))/360*$C$6*$C$5-(INT(A15)-INT($A$14))/360*$C$7*$C$5*$E$14/100)</f>
        <v>3.9173333333333176</v>
      </c>
      <c r="H15" s="38">
        <f ca="1">IF(COUNTIF($W$2:W1000,A15)=1,VLOOKUP(A15,S:T,2), IF(COUNTIF($W$2:W1000,A15)=0,$D$9,""))</f>
        <v>326.72000000000003</v>
      </c>
      <c r="I15" s="39">
        <f ca="1">IF(COUNTIF($X$2:X1000,INT(A15))=1,VLOOKUP(INT(A15),X:Y,2), IF(ISERROR(H15-2),"",I14*(1-$D$8*(H15-H14)*0.0001)))</f>
        <v>259.01429999999999</v>
      </c>
      <c r="J15" s="39">
        <f ca="1">IF(ISERROR(H15-2),"",I15)</f>
        <v>259.01429999999999</v>
      </c>
      <c r="K15" s="41">
        <f ca="1">IF(ISERROR(H15-2),"",(J15/$J$14-1)*$D$5)</f>
        <v>-365654.44015444181</v>
      </c>
      <c r="L15" s="41" t="str">
        <f ca="1">IF($A15="","",IF(COUNTIFS(Dividends!$G:$G,"&gt;"&amp;INT($A14),Dividends!$G:$G,"&lt;="&amp;INT($A15))=0,"",$H$2*SUMIFS(Dividends!$H:$H,Dividends!$G:$G,"&gt;"&amp;INT($A14),Dividends!$G:$G,"&lt;="&amp;INT($A15))))</f>
        <v/>
      </c>
      <c r="M15" s="42">
        <f ca="1">IF(ISERROR(B15-2),"",C15+D15-F15-G15-K15+SUM($L$14:L15))</f>
        <v>-12719.007393740583</v>
      </c>
      <c r="O15" s="3">
        <v>46065.625</v>
      </c>
      <c r="P15" s="4">
        <v>93.65</v>
      </c>
      <c r="Q15" s="3">
        <v>46064.625</v>
      </c>
      <c r="R15" s="4">
        <v>100.73</v>
      </c>
      <c r="S15" s="3">
        <v>46064.625</v>
      </c>
      <c r="T15" s="4">
        <v>242.79599999999999</v>
      </c>
      <c r="U15" s="3">
        <f t="shared" si="0"/>
        <v>46065.625</v>
      </c>
      <c r="V15" s="3" t="str">
        <f t="shared" si="1"/>
        <v/>
      </c>
      <c r="W15" s="3">
        <v>46133.625</v>
      </c>
      <c r="X15" s="3">
        <v>46059</v>
      </c>
      <c r="Y15" s="5">
        <v>264.17489999999998</v>
      </c>
      <c r="Z15" s="3">
        <v>45797</v>
      </c>
      <c r="AA15" s="4">
        <v>236.8784</v>
      </c>
      <c r="AB15" s="74">
        <v>45797</v>
      </c>
      <c r="AC15" s="4">
        <v>295.73700000000002</v>
      </c>
      <c r="AD15" s="6">
        <f t="shared" si="2"/>
        <v>45797</v>
      </c>
    </row>
    <row r="16" spans="1:32" x14ac:dyDescent="0.25">
      <c r="A16" s="37">
        <f t="shared" ca="1" si="3"/>
        <v>46119.625</v>
      </c>
      <c r="B16" s="38">
        <f ca="1">IF(COUNTIF($W$2:W1001,A16)=1,VLOOKUP(A16,O:P,2), IF(COUNTIF($W$2:W1001,A16)=0,$B$9,""))</f>
        <v>89.6</v>
      </c>
      <c r="C16" s="2">
        <f t="shared" ref="C16:C79" ca="1" si="4">IF(ISERROR(B16-2),"",(B16/$B$14-1)*$B$5)</f>
        <v>-484242.89008454856</v>
      </c>
      <c r="D16" s="41">
        <f t="shared" ref="D16:D79" ca="1" si="5">IF(ISERROR(B16-2),"",-1*(INT(A16)-INT($A$14))/360*$B$7*$B$5)</f>
        <v>-13250</v>
      </c>
      <c r="E16" s="38">
        <f ca="1">IF(COUNTIF($W$2:W1001,A16)=1,VLOOKUP(A16,Q:R,2), IF(COUNTIF($W$2:W1001,A16)=0,$C$9,""))</f>
        <v>99.212999999999994</v>
      </c>
      <c r="F16" s="2">
        <f t="shared" ref="F16:F79" ca="1" si="6">IF(ISERROR(B16-2),"",(E16-$E$14)/100*$C$5)</f>
        <v>-145860.00000000183</v>
      </c>
      <c r="G16" s="41">
        <f t="shared" ref="G16:G79" ca="1" si="7">IF(ISERROR(B16-2),"",(INT(A16)-INT($A$14))/360*$C$6*$C$5-(INT(A16)-INT($A$14))/360*$C$7*$C$5*$E$14/100)</f>
        <v>23.504000000000815</v>
      </c>
      <c r="H16" s="38">
        <f ca="1">IF(COUNTIF($W$2:W1001,A16)=1,VLOOKUP(A16,S:T,2), IF(COUNTIF($W$2:W1001,A16)=0,$D$9,""))</f>
        <v>333.96699999999998</v>
      </c>
      <c r="I16" s="39">
        <f ca="1">IF(COUNTIF($X$2:X1001,INT(A16))=1,VLOOKUP(INT(A16),X:Y,2), IF(ISERROR(H16-2),"",I15*(1-$D$8*(H16-H15)*0.0001)))</f>
        <v>258.06200000000001</v>
      </c>
      <c r="J16" s="39">
        <f t="shared" ref="J16:J79" ca="1" si="8">IF(ISERROR(H16-2),"",I16)</f>
        <v>258.06200000000001</v>
      </c>
      <c r="K16" s="41">
        <f t="shared" ref="K16:K79" ca="1" si="9">IF(ISERROR(H16-2),"",(J16/$J$14-1)*$D$5)</f>
        <v>-433063.06306306168</v>
      </c>
      <c r="L16" s="41" t="str">
        <f ca="1">IF($A16="","",IF(COUNTIFS(Dividends!$G:$G,"&gt;"&amp;INT($A15),Dividends!$G:$G,"&lt;="&amp;INT($A16))=0,"",$H$2*SUMIFS(Dividends!$H:$H,Dividends!$G:$G,"&gt;"&amp;INT($A15),Dividends!$G:$G,"&lt;="&amp;INT($A16))))</f>
        <v/>
      </c>
      <c r="M16" s="42">
        <f ca="1">IF(ISERROR(B16-2),"",C16+D16-F16-G16-K16+SUM($L$14:L16))</f>
        <v>81406.668978514906</v>
      </c>
      <c r="O16" s="3">
        <v>46066.625</v>
      </c>
      <c r="P16" s="4">
        <v>93.55</v>
      </c>
      <c r="Q16" s="3">
        <v>46065.625</v>
      </c>
      <c r="R16" s="4">
        <v>100.751</v>
      </c>
      <c r="S16" s="3">
        <v>46065.625</v>
      </c>
      <c r="T16" s="4">
        <v>244.61799999999999</v>
      </c>
      <c r="U16" s="3">
        <f t="shared" si="0"/>
        <v>46066.625</v>
      </c>
      <c r="V16" s="3" t="str">
        <f t="shared" si="1"/>
        <v/>
      </c>
      <c r="W16" s="3">
        <v>46134.625</v>
      </c>
      <c r="X16" s="3">
        <v>46062</v>
      </c>
      <c r="Y16" s="5">
        <v>264.56029999999998</v>
      </c>
      <c r="Z16" s="3">
        <v>45798</v>
      </c>
      <c r="AA16" s="4">
        <v>236.62629999999999</v>
      </c>
      <c r="AB16" s="74">
        <v>45798</v>
      </c>
      <c r="AC16" s="4">
        <v>298.613</v>
      </c>
      <c r="AD16" s="6">
        <f t="shared" si="2"/>
        <v>45798</v>
      </c>
    </row>
    <row r="17" spans="1:30" x14ac:dyDescent="0.25">
      <c r="A17" s="37">
        <f t="shared" ca="1" si="3"/>
        <v>46120.625</v>
      </c>
      <c r="B17" s="38">
        <f ca="1">IF(COUNTIF($W$2:W1002,A17)=1,VLOOKUP(A17,O:P,2), IF(COUNTIF($W$2:W1002,A17)=0,$B$9,""))</f>
        <v>90.56</v>
      </c>
      <c r="C17" s="2">
        <f t="shared" ca="1" si="4"/>
        <v>-168002.63533545469</v>
      </c>
      <c r="D17" s="41">
        <f t="shared" ca="1" si="5"/>
        <v>-15458.333333333334</v>
      </c>
      <c r="E17" s="38">
        <f ca="1">IF(COUNTIF($W$2:W1002,A17)=1,VLOOKUP(A17,Q:R,2), IF(COUNTIF($W$2:W1002,A17)=0,$C$9,""))</f>
        <v>99.777000000000001</v>
      </c>
      <c r="F17" s="2">
        <f t="shared" ca="1" si="6"/>
        <v>780.00000000002956</v>
      </c>
      <c r="G17" s="41">
        <f t="shared" ca="1" si="7"/>
        <v>27.421333333331859</v>
      </c>
      <c r="H17" s="38">
        <f ca="1">IF(COUNTIF($W$2:W1002,A17)=1,VLOOKUP(A17,S:T,2), IF(COUNTIF($W$2:W1002,A17)=0,$D$9,""))</f>
        <v>301.61900000000003</v>
      </c>
      <c r="I17" s="39">
        <f ca="1">IF(COUNTIF($X$2:X1002,INT(A17))=1,VLOOKUP(INT(A17),X:Y,2), IF(ISERROR(H17-2),"",I16*(1-$D$8*(H17-H16)*0.0001)))</f>
        <v>262.38350000000003</v>
      </c>
      <c r="J17" s="39">
        <f t="shared" ca="1" si="8"/>
        <v>262.38350000000003</v>
      </c>
      <c r="K17" s="41">
        <f t="shared" ca="1" si="9"/>
        <v>-127165.37966537764</v>
      </c>
      <c r="L17" s="41" t="str">
        <f ca="1">IF($A17="","",IF(COUNTIFS(Dividends!$G:$G,"&gt;"&amp;INT($A16),Dividends!$G:$G,"&lt;="&amp;INT($A17))=0,"",$H$2*SUMIFS(Dividends!$H:$H,Dividends!$G:$G,"&gt;"&amp;INT($A16),Dividends!$G:$G,"&lt;="&amp;INT($A17))))</f>
        <v/>
      </c>
      <c r="M17" s="42">
        <f ca="1">IF(ISERROR(B17-2),"",C17+D17-F17-G17-K17+SUM($L$14:L17))</f>
        <v>-57103.010336743755</v>
      </c>
      <c r="O17" s="3">
        <v>46069.625</v>
      </c>
      <c r="P17" s="4">
        <v>93.55</v>
      </c>
      <c r="Q17" s="3">
        <v>46066.625</v>
      </c>
      <c r="R17" s="4">
        <v>100.819</v>
      </c>
      <c r="S17" s="3">
        <v>46066.625</v>
      </c>
      <c r="T17" s="4">
        <v>247.57300000000001</v>
      </c>
      <c r="U17" s="3">
        <f t="shared" si="0"/>
        <v>46069.625</v>
      </c>
      <c r="V17" s="3" t="str">
        <f t="shared" si="1"/>
        <v/>
      </c>
      <c r="W17" s="3">
        <v>46135.625</v>
      </c>
      <c r="X17" s="3">
        <v>46063</v>
      </c>
      <c r="Y17" s="5">
        <v>264.46800000000002</v>
      </c>
      <c r="Z17" s="3">
        <v>45799</v>
      </c>
      <c r="AA17" s="4">
        <v>236.15270000000001</v>
      </c>
      <c r="AB17" s="74">
        <v>45799</v>
      </c>
      <c r="AC17" s="4">
        <v>302.62099999999998</v>
      </c>
      <c r="AD17" s="6">
        <f t="shared" si="2"/>
        <v>45799</v>
      </c>
    </row>
    <row r="18" spans="1:30" x14ac:dyDescent="0.25">
      <c r="A18" s="37">
        <f t="shared" ca="1" si="3"/>
        <v>46121.625</v>
      </c>
      <c r="B18" s="38">
        <f ca="1">IF(COUNTIF($W$2:W1003,A18)=1,VLOOKUP(A18,O:P,2), IF(COUNTIF($W$2:W1003,A18)=0,$B$9,""))</f>
        <v>90.47</v>
      </c>
      <c r="C18" s="2">
        <f t="shared" ca="1" si="4"/>
        <v>-197650.15921818119</v>
      </c>
      <c r="D18" s="41">
        <f t="shared" ca="1" si="5"/>
        <v>-17666.666666666668</v>
      </c>
      <c r="E18" s="38">
        <f ca="1">IF(COUNTIF($W$2:W1003,A18)=1,VLOOKUP(A18,Q:R,2), IF(COUNTIF($W$2:W1003,A18)=0,$C$9,""))</f>
        <v>99.576999999999998</v>
      </c>
      <c r="F18" s="2">
        <f t="shared" ca="1" si="6"/>
        <v>-51220.000000000713</v>
      </c>
      <c r="G18" s="41">
        <f t="shared" ca="1" si="7"/>
        <v>31.338666666666541</v>
      </c>
      <c r="H18" s="38">
        <f ca="1">IF(COUNTIF($W$2:W1003,A18)=1,VLOOKUP(A18,S:T,2), IF(COUNTIF($W$2:W1003,A18)=0,$D$9,""))</f>
        <v>299.79199999999997</v>
      </c>
      <c r="I18" s="39">
        <f ca="1">IF(COUNTIF($X$2:X1003,INT(A18))=1,VLOOKUP(INT(A18),X:Y,2), IF(ISERROR(H18-2),"",I17*(1-$D$8*(H18-H17)*0.0001)))</f>
        <v>263.26260000000002</v>
      </c>
      <c r="J18" s="39">
        <f t="shared" ca="1" si="8"/>
        <v>263.26260000000002</v>
      </c>
      <c r="K18" s="41">
        <f t="shared" ca="1" si="9"/>
        <v>-64938.223938223447</v>
      </c>
      <c r="L18" s="41" t="str">
        <f ca="1">IF($A18="","",IF(COUNTIFS(Dividends!$G:$G,"&gt;"&amp;INT($A17),Dividends!$G:$G,"&lt;="&amp;INT($A18))=0,"",$H$2*SUMIFS(Dividends!$H:$H,Dividends!$G:$G,"&gt;"&amp;INT($A17),Dividends!$G:$G,"&lt;="&amp;INT($A18))))</f>
        <v/>
      </c>
      <c r="M18" s="42">
        <f ca="1">IF(ISERROR(B18-2),"",C18+D18-F18-G18-K18+SUM($L$14:L18))</f>
        <v>-99189.940613290382</v>
      </c>
      <c r="O18" s="3">
        <v>46070.625</v>
      </c>
      <c r="P18" s="4">
        <v>93.48</v>
      </c>
      <c r="Q18" s="3">
        <v>46069.625</v>
      </c>
      <c r="R18" s="4">
        <v>100.827</v>
      </c>
      <c r="S18" s="3">
        <v>46069.625</v>
      </c>
      <c r="T18" s="4">
        <v>248.94900000000001</v>
      </c>
      <c r="U18" s="3">
        <f t="shared" si="0"/>
        <v>46070.625</v>
      </c>
      <c r="V18" s="3" t="str">
        <f t="shared" si="1"/>
        <v/>
      </c>
      <c r="W18" s="3">
        <v>46136.625</v>
      </c>
      <c r="X18" s="3">
        <v>46064</v>
      </c>
      <c r="Y18" s="5">
        <v>264.35489999999999</v>
      </c>
      <c r="Z18" s="3">
        <v>45800</v>
      </c>
      <c r="AA18" s="4">
        <v>234.8886</v>
      </c>
      <c r="AB18" s="74">
        <v>45800</v>
      </c>
      <c r="AC18" s="4">
        <v>315.95499999999998</v>
      </c>
      <c r="AD18" s="6">
        <f t="shared" si="2"/>
        <v>45800</v>
      </c>
    </row>
    <row r="19" spans="1:30" x14ac:dyDescent="0.25">
      <c r="A19" s="37">
        <f t="shared" ca="1" si="3"/>
        <v>46122.625</v>
      </c>
      <c r="B19" s="38">
        <f ca="1">IF(COUNTIF($W$2:W1004,A19)=1,VLOOKUP(A19,O:P,2), IF(COUNTIF($W$2:W1004,A19)=0,$B$9,""))</f>
        <v>90.75</v>
      </c>
      <c r="C19" s="2">
        <f t="shared" ca="1" si="4"/>
        <v>-105413.41824969575</v>
      </c>
      <c r="D19" s="41">
        <f t="shared" ca="1" si="5"/>
        <v>-19875</v>
      </c>
      <c r="E19" s="38">
        <f ca="1">IF(COUNTIF($W$2:W1004,A19)=1,VLOOKUP(A19,Q:R,2), IF(COUNTIF($W$2:W1004,A19)=0,$C$9,""))</f>
        <v>99.55</v>
      </c>
      <c r="F19" s="2">
        <f t="shared" ca="1" si="6"/>
        <v>-58240.000000000975</v>
      </c>
      <c r="G19" s="41">
        <f t="shared" ca="1" si="7"/>
        <v>35.256000000001222</v>
      </c>
      <c r="H19" s="38">
        <f ca="1">IF(COUNTIF($W$2:W1004,A19)=1,VLOOKUP(A19,S:T,2), IF(COUNTIF($W$2:W1004,A19)=0,$D$9,""))</f>
        <v>291.34300000000002</v>
      </c>
      <c r="I19" s="39">
        <f ca="1">IF(COUNTIF($X$2:X1004,INT(A19))=1,VLOOKUP(INT(A19),X:Y,2), IF(ISERROR(H19-2),"",I18*(1-$D$8*(H19-H18)*0.0001)))</f>
        <v>263.29309999999998</v>
      </c>
      <c r="J19" s="39">
        <f t="shared" ca="1" si="8"/>
        <v>263.29309999999998</v>
      </c>
      <c r="K19" s="41">
        <f t="shared" ca="1" si="9"/>
        <v>-62779.279279281996</v>
      </c>
      <c r="L19" s="41" t="str">
        <f ca="1">IF($A19="","",IF(COUNTIFS(Dividends!$G:$G,"&gt;"&amp;INT($A18),Dividends!$G:$G,"&lt;="&amp;INT($A19))=0,"",$H$2*SUMIFS(Dividends!$H:$H,Dividends!$G:$G,"&gt;"&amp;INT($A18),Dividends!$G:$G,"&lt;="&amp;INT($A19))))</f>
        <v/>
      </c>
      <c r="M19" s="42">
        <f ca="1">IF(ISERROR(B19-2),"",C19+D19-F19-G19-K19+SUM($L$14:L19))</f>
        <v>-4304.3949704127735</v>
      </c>
      <c r="O19" s="3">
        <v>46071.625</v>
      </c>
      <c r="P19" s="4">
        <v>93.67</v>
      </c>
      <c r="Q19" s="3">
        <v>46070.625</v>
      </c>
      <c r="R19" s="4">
        <v>100.84399999999999</v>
      </c>
      <c r="S19" s="3">
        <v>46070.625</v>
      </c>
      <c r="T19" s="4">
        <v>252.08199999999999</v>
      </c>
      <c r="U19" s="3">
        <f t="shared" si="0"/>
        <v>46071.625</v>
      </c>
      <c r="V19" s="3" t="str">
        <f t="shared" si="1"/>
        <v/>
      </c>
      <c r="W19" s="3">
        <v>46139.625</v>
      </c>
      <c r="X19" s="3">
        <v>46065</v>
      </c>
      <c r="Y19" s="5">
        <v>264.04489999999998</v>
      </c>
      <c r="Z19" s="3">
        <v>45804</v>
      </c>
      <c r="AA19" s="4">
        <v>236.60339999999999</v>
      </c>
      <c r="AB19" s="74">
        <v>45804</v>
      </c>
      <c r="AC19" s="4">
        <v>300.10899999999998</v>
      </c>
      <c r="AD19" s="6">
        <f t="shared" si="2"/>
        <v>45804</v>
      </c>
    </row>
    <row r="20" spans="1:30" x14ac:dyDescent="0.25">
      <c r="A20" s="37">
        <f t="shared" ca="1" si="3"/>
        <v>46125.625</v>
      </c>
      <c r="B20" s="38">
        <f ca="1">IF(COUNTIF($W$2:W1005,A20)=1,VLOOKUP(A20,O:P,2), IF(COUNTIF($W$2:W1005,A20)=0,$B$9,""))</f>
        <v>90.46</v>
      </c>
      <c r="C20" s="2">
        <f t="shared" ca="1" si="4"/>
        <v>-200944.32853848708</v>
      </c>
      <c r="D20" s="41">
        <f t="shared" ca="1" si="5"/>
        <v>-26500</v>
      </c>
      <c r="E20" s="38">
        <f ca="1">IF(COUNTIF($W$2:W1005,A20)=1,VLOOKUP(A20,Q:R,2), IF(COUNTIF($W$2:W1005,A20)=0,$C$9,""))</f>
        <v>99.418000000000006</v>
      </c>
      <c r="F20" s="2">
        <f t="shared" ca="1" si="6"/>
        <v>-92559.999999998588</v>
      </c>
      <c r="G20" s="41">
        <f t="shared" ca="1" si="7"/>
        <v>47.00800000000163</v>
      </c>
      <c r="H20" s="38">
        <f ca="1">IF(COUNTIF($W$2:W1005,A20)=1,VLOOKUP(A20,S:T,2), IF(COUNTIF($W$2:W1005,A20)=0,$D$9,""))</f>
        <v>294.25299999999999</v>
      </c>
      <c r="I20" s="39">
        <f ca="1">IF(COUNTIF($X$2:X1005,INT(A20))=1,VLOOKUP(INT(A20),X:Y,2), IF(ISERROR(H20-2),"",I19*(1-$D$8*(H20-H19)*0.0001)))</f>
        <v>263.03910000000002</v>
      </c>
      <c r="J20" s="39">
        <f t="shared" ca="1" si="8"/>
        <v>263.03910000000002</v>
      </c>
      <c r="K20" s="41">
        <f t="shared" ca="1" si="9"/>
        <v>-80758.687258685532</v>
      </c>
      <c r="L20" s="41" t="str">
        <f ca="1">IF($A20="","",IF(COUNTIFS(Dividends!$G:$G,"&gt;"&amp;INT($A19),Dividends!$G:$G,"&lt;="&amp;INT($A20))=0,"",$H$2*SUMIFS(Dividends!$H:$H,Dividends!$G:$G,"&gt;"&amp;INT($A19),Dividends!$G:$G,"&lt;="&amp;INT($A20))))</f>
        <v/>
      </c>
      <c r="M20" s="42">
        <f ca="1">IF(ISERROR(B20-2),"",C20+D20-F20-G20-K20+SUM($L$14:L20))</f>
        <v>-54172.64927980295</v>
      </c>
      <c r="O20" s="3">
        <v>46072.625</v>
      </c>
      <c r="P20" s="4">
        <v>93.64</v>
      </c>
      <c r="Q20" s="3">
        <v>46071.625</v>
      </c>
      <c r="R20" s="4">
        <v>100.795</v>
      </c>
      <c r="S20" s="3">
        <v>46071.625</v>
      </c>
      <c r="T20" s="4">
        <v>245.43600000000001</v>
      </c>
      <c r="U20" s="3">
        <f t="shared" si="0"/>
        <v>46072.625</v>
      </c>
      <c r="V20" s="3" t="str">
        <f t="shared" si="1"/>
        <v/>
      </c>
      <c r="W20" s="3">
        <v>46140.625</v>
      </c>
      <c r="X20" s="3">
        <v>46066</v>
      </c>
      <c r="Y20" s="5">
        <v>263.8886</v>
      </c>
      <c r="Z20" s="3">
        <v>45805</v>
      </c>
      <c r="AA20" s="4">
        <v>236.68979999999999</v>
      </c>
      <c r="AB20" s="74">
        <v>45805</v>
      </c>
      <c r="AC20" s="4">
        <v>300.60399999999998</v>
      </c>
      <c r="AD20" s="6">
        <f t="shared" si="2"/>
        <v>45805</v>
      </c>
    </row>
    <row r="21" spans="1:30" x14ac:dyDescent="0.25">
      <c r="A21" s="37">
        <f t="shared" ca="1" si="3"/>
        <v>46126.625</v>
      </c>
      <c r="B21" s="38">
        <f ca="1">IF(COUNTIF($W$2:W1006,A21)=1,VLOOKUP(A21,O:P,2), IF(COUNTIF($W$2:W1006,A21)=0,$B$9,""))</f>
        <v>90.75</v>
      </c>
      <c r="C21" s="2">
        <f t="shared" ca="1" si="4"/>
        <v>-105413.41824969575</v>
      </c>
      <c r="D21" s="41">
        <f t="shared" ca="1" si="5"/>
        <v>-28708.333333333328</v>
      </c>
      <c r="E21" s="38">
        <f ca="1">IF(COUNTIF($W$2:W1006,A21)=1,VLOOKUP(A21,Q:R,2), IF(COUNTIF($W$2:W1006,A21)=0,$C$9,""))</f>
        <v>99.619</v>
      </c>
      <c r="F21" s="2">
        <f t="shared" ca="1" si="6"/>
        <v>-40300.000000000298</v>
      </c>
      <c r="G21" s="41">
        <f t="shared" ca="1" si="7"/>
        <v>50.925333333332674</v>
      </c>
      <c r="H21" s="38">
        <f ca="1">IF(COUNTIF($W$2:W1006,A21)=1,VLOOKUP(A21,S:T,2), IF(COUNTIF($W$2:W1006,A21)=0,$D$9,""))</f>
        <v>282.697</v>
      </c>
      <c r="I21" s="39">
        <f ca="1">IF(COUNTIF($X$2:X1006,INT(A21))=1,VLOOKUP(INT(A21),X:Y,2), IF(ISERROR(H21-2),"",I20*(1-$D$8*(H21-H20)*0.0001)))</f>
        <v>264.6927</v>
      </c>
      <c r="J21" s="39">
        <f t="shared" ca="1" si="8"/>
        <v>264.6927</v>
      </c>
      <c r="K21" s="41">
        <f t="shared" ca="1" si="9"/>
        <v>36291.505791503594</v>
      </c>
      <c r="L21" s="41" t="str">
        <f ca="1">IF($A21="","",IF(COUNTIFS(Dividends!$G:$G,"&gt;"&amp;INT($A20),Dividends!$G:$G,"&lt;="&amp;INT($A21))=0,"",$H$2*SUMIFS(Dividends!$H:$H,Dividends!$G:$G,"&gt;"&amp;INT($A20),Dividends!$G:$G,"&lt;="&amp;INT($A21))))</f>
        <v/>
      </c>
      <c r="M21" s="42">
        <f ca="1">IF(ISERROR(B21-2),"",C21+D21-F21-G21-K21+SUM($L$14:L21))</f>
        <v>-130164.18270786572</v>
      </c>
      <c r="O21" s="3">
        <v>46073.625</v>
      </c>
      <c r="P21" s="4">
        <v>93.75</v>
      </c>
      <c r="Q21" s="3">
        <v>46072.625</v>
      </c>
      <c r="R21" s="4">
        <v>100.789</v>
      </c>
      <c r="S21" s="3">
        <v>46072.625</v>
      </c>
      <c r="T21" s="4">
        <v>249.529</v>
      </c>
      <c r="U21" s="3">
        <f t="shared" si="0"/>
        <v>46073.625</v>
      </c>
      <c r="V21" s="3" t="str">
        <f t="shared" si="1"/>
        <v/>
      </c>
      <c r="W21" s="3">
        <v>46141.625</v>
      </c>
      <c r="X21" s="3">
        <v>46069</v>
      </c>
      <c r="Y21" s="5">
        <v>263.76089999999999</v>
      </c>
      <c r="Z21" s="3">
        <v>45806</v>
      </c>
      <c r="AA21" s="4">
        <v>236.84520000000001</v>
      </c>
      <c r="AB21" s="74">
        <v>45806</v>
      </c>
      <c r="AC21" s="4">
        <v>300.02</v>
      </c>
      <c r="AD21" s="6">
        <f t="shared" si="2"/>
        <v>45806</v>
      </c>
    </row>
    <row r="22" spans="1:30" x14ac:dyDescent="0.25">
      <c r="A22" s="37">
        <f t="shared" ca="1" si="3"/>
        <v>46127.625</v>
      </c>
      <c r="B22" s="38">
        <f ca="1">IF(COUNTIF($W$2:W1007,A22)=1,VLOOKUP(A22,O:P,2), IF(COUNTIF($W$2:W1007,A22)=0,$B$9,""))</f>
        <v>90.88</v>
      </c>
      <c r="C22" s="2">
        <f t="shared" ca="1" si="4"/>
        <v>-62589.21708575893</v>
      </c>
      <c r="D22" s="41">
        <f t="shared" ca="1" si="5"/>
        <v>-30916.666666666668</v>
      </c>
      <c r="E22" s="38">
        <f ca="1">IF(COUNTIF($W$2:W1007,A22)=1,VLOOKUP(A22,Q:R,2), IF(COUNTIF($W$2:W1007,A22)=0,$C$9,""))</f>
        <v>99.653999999999996</v>
      </c>
      <c r="F22" s="2">
        <f t="shared" ca="1" si="6"/>
        <v>-31200.000000001182</v>
      </c>
      <c r="G22" s="41">
        <f t="shared" ca="1" si="7"/>
        <v>54.842666666663717</v>
      </c>
      <c r="H22" s="38">
        <f ca="1">IF(COUNTIF($W$2:W1007,A22)=1,VLOOKUP(A22,S:T,2), IF(COUNTIF($W$2:W1007,A22)=0,$D$9,""))</f>
        <v>282.51900000000001</v>
      </c>
      <c r="I22" s="39">
        <f ca="1">IF(COUNTIF($X$2:X1007,INT(A22))=1,VLOOKUP(INT(A22),X:Y,2), IF(ISERROR(H22-2),"",I21*(1-$D$8*(H22-H21)*0.0001)))</f>
        <v>264.62900000000002</v>
      </c>
      <c r="J22" s="39">
        <f t="shared" ca="1" si="8"/>
        <v>264.62900000000002</v>
      </c>
      <c r="K22" s="41">
        <f t="shared" ca="1" si="9"/>
        <v>31782.496782496895</v>
      </c>
      <c r="L22" s="41" t="str">
        <f ca="1">IF($A22="","",IF(COUNTIFS(Dividends!$G:$G,"&gt;"&amp;INT($A21),Dividends!$G:$G,"&lt;="&amp;INT($A22))=0,"",$H$2*SUMIFS(Dividends!$H:$H,Dividends!$G:$G,"&gt;"&amp;INT($A21),Dividends!$G:$G,"&lt;="&amp;INT($A22))))</f>
        <v/>
      </c>
      <c r="M22" s="42">
        <f ca="1">IF(ISERROR(B22-2),"",C22+D22-F22-G22-K22+SUM($L$14:L22))</f>
        <v>-94143.223201587971</v>
      </c>
      <c r="O22" s="3">
        <v>46076.625</v>
      </c>
      <c r="P22" s="4">
        <v>93.75</v>
      </c>
      <c r="Q22" s="3">
        <v>46073.625</v>
      </c>
      <c r="R22" s="4">
        <v>100.77500000000001</v>
      </c>
      <c r="S22" s="3">
        <v>46073.625</v>
      </c>
      <c r="T22" s="4">
        <v>246.54499999999999</v>
      </c>
      <c r="U22" s="3">
        <f t="shared" si="0"/>
        <v>46076.625</v>
      </c>
      <c r="V22" s="3" t="str">
        <f t="shared" si="1"/>
        <v/>
      </c>
      <c r="W22" s="3">
        <v>46142.625</v>
      </c>
      <c r="X22" s="3">
        <v>46070</v>
      </c>
      <c r="Y22" s="5">
        <v>263.60289999999998</v>
      </c>
      <c r="Z22" s="3">
        <v>45807</v>
      </c>
      <c r="AA22" s="4">
        <v>236.70660000000001</v>
      </c>
      <c r="AB22" s="74">
        <v>45807</v>
      </c>
      <c r="AC22" s="4">
        <v>300.04899999999998</v>
      </c>
      <c r="AD22" s="6">
        <f t="shared" si="2"/>
        <v>45807</v>
      </c>
    </row>
    <row r="23" spans="1:30" ht="14.45" customHeight="1" x14ac:dyDescent="0.25">
      <c r="A23" s="37">
        <f t="shared" ca="1" si="3"/>
        <v>46128.625</v>
      </c>
      <c r="B23" s="38">
        <f ca="1">IF(COUNTIF($W$2:W1008,A23)=1,VLOOKUP(A23,O:P,2), IF(COUNTIF($W$2:W1008,A23)=0,$B$9,""))</f>
        <v>90.85</v>
      </c>
      <c r="C23" s="2">
        <f t="shared" ca="1" si="4"/>
        <v>-72471.725046666659</v>
      </c>
      <c r="D23" s="41">
        <f t="shared" ca="1" si="5"/>
        <v>-33124.999999999993</v>
      </c>
      <c r="E23" s="38">
        <f ca="1">IF(COUNTIF($W$2:W1008,A23)=1,VLOOKUP(A23,Q:R,2), IF(COUNTIF($W$2:W1008,A23)=0,$C$9,""))</f>
        <v>99.677000000000007</v>
      </c>
      <c r="F23" s="2">
        <f t="shared" ca="1" si="6"/>
        <v>-25219.999999998494</v>
      </c>
      <c r="G23" s="41">
        <f t="shared" ca="1" si="7"/>
        <v>58.759999999998399</v>
      </c>
      <c r="H23" s="38">
        <f ca="1">IF(COUNTIF($W$2:W1008,A23)=1,VLOOKUP(A23,S:T,2), IF(COUNTIF($W$2:W1008,A23)=0,$D$9,""))</f>
        <v>286.733</v>
      </c>
      <c r="I23" s="39">
        <f ca="1">IF(COUNTIF($X$2:X1008,INT(A23))=1,VLOOKUP(INT(A23),X:Y,2), IF(ISERROR(H23-2),"",I22*(1-$D$8*(H23-H22)*0.0001)))</f>
        <v>264.24419999999998</v>
      </c>
      <c r="J23" s="39">
        <f t="shared" ca="1" si="8"/>
        <v>264.24419999999998</v>
      </c>
      <c r="K23" s="41">
        <f t="shared" ca="1" si="9"/>
        <v>4544.4015444009219</v>
      </c>
      <c r="L23" s="41" t="str">
        <f ca="1">IF($A23="","",IF(COUNTIFS(Dividends!$G:$G,"&gt;"&amp;INT($A22),Dividends!$G:$G,"&lt;="&amp;INT($A23))=0,"",$H$2*SUMIFS(Dividends!$H:$H,Dividends!$G:$G,"&gt;"&amp;INT($A22),Dividends!$G:$G,"&lt;="&amp;INT($A23))))</f>
        <v/>
      </c>
      <c r="M23" s="42">
        <f ca="1">IF(ISERROR(B23-2),"",C23+D23-F23-G23-K23+SUM($L$14:L23))</f>
        <v>-84979.886591069095</v>
      </c>
      <c r="O23" s="3">
        <v>46077.625</v>
      </c>
      <c r="P23" s="4">
        <v>93.71</v>
      </c>
      <c r="Q23" s="3">
        <v>46076.625</v>
      </c>
      <c r="R23" s="4">
        <v>100.827</v>
      </c>
      <c r="S23" s="3">
        <v>46076.625</v>
      </c>
      <c r="T23" s="4">
        <v>249.63800000000001</v>
      </c>
      <c r="U23" s="3">
        <f t="shared" si="0"/>
        <v>46077.625</v>
      </c>
      <c r="V23" s="3" t="str">
        <f t="shared" si="1"/>
        <v/>
      </c>
      <c r="W23" s="3">
        <v>46147.625</v>
      </c>
      <c r="X23" s="3">
        <v>46071</v>
      </c>
      <c r="Y23" s="5">
        <v>264.26510000000002</v>
      </c>
      <c r="Z23" s="3">
        <v>45810</v>
      </c>
      <c r="AA23" s="4">
        <v>236.80029999999999</v>
      </c>
      <c r="AB23" s="74">
        <v>45810</v>
      </c>
      <c r="AC23" s="4">
        <v>299.90899999999999</v>
      </c>
      <c r="AD23" s="6">
        <f t="shared" si="2"/>
        <v>45810</v>
      </c>
    </row>
    <row r="24" spans="1:30" ht="14.45" customHeight="1" x14ac:dyDescent="0.25">
      <c r="A24" s="37">
        <f t="shared" ca="1" si="3"/>
        <v>46129.625</v>
      </c>
      <c r="B24" s="38">
        <f ca="1">IF(COUNTIF($W$2:W1009,A24)=1,VLOOKUP(A24,O:P,2), IF(COUNTIF($W$2:W1009,A24)=0,$B$9,""))</f>
        <v>91.4</v>
      </c>
      <c r="C24" s="2">
        <f t="shared" ca="1" si="4"/>
        <v>108707.58757000498</v>
      </c>
      <c r="D24" s="41">
        <f t="shared" ca="1" si="5"/>
        <v>-35333.333333333336</v>
      </c>
      <c r="E24" s="38">
        <f ca="1">IF(COUNTIF($W$2:W1009,A24)=1,VLOOKUP(A24,Q:R,2), IF(COUNTIF($W$2:W1009,A24)=0,$C$9,""))</f>
        <v>99.953999999999994</v>
      </c>
      <c r="F24" s="2">
        <f t="shared" ca="1" si="6"/>
        <v>46799.999999998079</v>
      </c>
      <c r="G24" s="41">
        <f t="shared" ca="1" si="7"/>
        <v>62.677333333333081</v>
      </c>
      <c r="H24" s="38">
        <f ca="1">IF(COUNTIF($W$2:W1009,A24)=1,VLOOKUP(A24,S:T,2), IF(COUNTIF($W$2:W1009,A24)=0,$D$9,""))</f>
        <v>275.16800000000001</v>
      </c>
      <c r="I24" s="39">
        <f ca="1">IF(COUNTIF($X$2:X1009,INT(A24))=1,VLOOKUP(INT(A24),X:Y,2), IF(ISERROR(H24-2),"",I23*(1-$D$8*(H24-H23)*0.0001)))</f>
        <v>265.60180000000003</v>
      </c>
      <c r="J24" s="39">
        <f t="shared" ca="1" si="8"/>
        <v>265.60180000000003</v>
      </c>
      <c r="K24" s="41">
        <f t="shared" ca="1" si="9"/>
        <v>100642.21364221333</v>
      </c>
      <c r="L24" s="41" t="str">
        <f ca="1">IF($A24="","",IF(COUNTIFS(Dividends!$G:$G,"&gt;"&amp;INT($A23),Dividends!$G:$G,"&lt;="&amp;INT($A24))=0,"",$H$2*SUMIFS(Dividends!$H:$H,Dividends!$G:$G,"&gt;"&amp;INT($A23),Dividends!$G:$G,"&lt;="&amp;INT($A24))))</f>
        <v/>
      </c>
      <c r="M24" s="42">
        <f ca="1">IF(ISERROR(B24-2),"",C24+D24-F24-G24-K24+SUM($L$14:L24))</f>
        <v>-74130.636738873116</v>
      </c>
      <c r="O24" s="3">
        <v>46078.625</v>
      </c>
      <c r="P24" s="4">
        <v>93.78</v>
      </c>
      <c r="Q24" s="3">
        <v>46077.625</v>
      </c>
      <c r="R24" s="4">
        <v>100.815</v>
      </c>
      <c r="S24" s="3">
        <v>46077.625</v>
      </c>
      <c r="T24" s="4">
        <v>252.33600000000001</v>
      </c>
      <c r="U24" s="3">
        <f t="shared" si="0"/>
        <v>46078.625</v>
      </c>
      <c r="V24" s="3" t="str">
        <f t="shared" si="1"/>
        <v/>
      </c>
      <c r="W24" s="3">
        <v>46148.625</v>
      </c>
      <c r="X24" s="3">
        <v>46072</v>
      </c>
      <c r="Y24" s="5">
        <v>263.74880000000002</v>
      </c>
      <c r="Z24" s="3">
        <v>45811</v>
      </c>
      <c r="AA24" s="4">
        <v>237.24459999999999</v>
      </c>
      <c r="AB24" s="74">
        <v>45811</v>
      </c>
      <c r="AC24" s="4">
        <v>295.49799999999999</v>
      </c>
      <c r="AD24" s="6">
        <f t="shared" si="2"/>
        <v>45811</v>
      </c>
    </row>
    <row r="25" spans="1:30" ht="14.45" customHeight="1" x14ac:dyDescent="0.25">
      <c r="A25" s="37">
        <f t="shared" ca="1" si="3"/>
        <v>46132.625</v>
      </c>
      <c r="B25" s="38">
        <f ca="1">IF(COUNTIF($W$2:W1010,A25)=1,VLOOKUP(A25,O:P,2), IF(COUNTIF($W$2:W1010,A25)=0,$B$9,""))</f>
        <v>91.09</v>
      </c>
      <c r="C25" s="2">
        <f t="shared" ca="1" si="4"/>
        <v>6588.3386406118125</v>
      </c>
      <c r="D25" s="41">
        <f t="shared" ca="1" si="5"/>
        <v>-41958.333333333336</v>
      </c>
      <c r="E25" s="38">
        <f ca="1">IF(COUNTIF($W$2:W1010,A25)=1,VLOOKUP(A25,Q:R,2), IF(COUNTIF($W$2:W1010,A25)=0,$C$9,""))</f>
        <v>99.831000000000003</v>
      </c>
      <c r="F25" s="2">
        <f t="shared" ca="1" si="6"/>
        <v>14820.00000000056</v>
      </c>
      <c r="G25" s="41">
        <f t="shared" ca="1" si="7"/>
        <v>74.429333333333489</v>
      </c>
      <c r="H25" s="38">
        <f ca="1">IF(COUNTIF($W$2:W1010,A25)=1,VLOOKUP(A25,S:T,2), IF(COUNTIF($W$2:W1010,A25)=0,$D$9,""))</f>
        <v>280.36399999999998</v>
      </c>
      <c r="I25" s="39">
        <f ca="1">IF(COUNTIF($X$2:X1010,INT(A25))=1,VLOOKUP(INT(A25),X:Y,2), IF(ISERROR(H25-2),"",I24*(1-$D$8*(H25-H24)*0.0001)))</f>
        <v>265.2414</v>
      </c>
      <c r="J25" s="39">
        <f t="shared" ca="1" si="8"/>
        <v>265.2414</v>
      </c>
      <c r="K25" s="41">
        <f t="shared" ca="1" si="9"/>
        <v>75131.274131274666</v>
      </c>
      <c r="L25" s="41" t="str">
        <f ca="1">IF($A25="","",IF(COUNTIFS(Dividends!$G:$G,"&gt;"&amp;INT($A24),Dividends!$G:$G,"&lt;="&amp;INT($A25))=0,"",$H$2*SUMIFS(Dividends!$H:$H,Dividends!$G:$G,"&gt;"&amp;INT($A24),Dividends!$G:$G,"&lt;="&amp;INT($A25))))</f>
        <v/>
      </c>
      <c r="M25" s="42">
        <f ca="1">IF(ISERROR(B25-2),"",C25+D25-F25-G25-K25+SUM($L$14:L25))</f>
        <v>-125395.69815733007</v>
      </c>
      <c r="O25" s="3">
        <v>46079.625</v>
      </c>
      <c r="P25" s="4">
        <v>93.67</v>
      </c>
      <c r="Q25" s="3">
        <v>46078.625</v>
      </c>
      <c r="R25" s="4">
        <v>100.824</v>
      </c>
      <c r="S25" s="3">
        <v>46078.625</v>
      </c>
      <c r="T25" s="4">
        <v>251.27199999999999</v>
      </c>
      <c r="U25" s="3">
        <f t="shared" si="0"/>
        <v>46079.625</v>
      </c>
      <c r="V25" s="3" t="str">
        <f t="shared" si="1"/>
        <v/>
      </c>
      <c r="W25" s="3">
        <v>46149.625</v>
      </c>
      <c r="X25" s="3">
        <v>46073</v>
      </c>
      <c r="Y25" s="5">
        <v>264.06599999999997</v>
      </c>
      <c r="Z25" s="3">
        <v>45812</v>
      </c>
      <c r="AA25" s="4">
        <v>237.52590000000001</v>
      </c>
      <c r="AB25" s="74">
        <v>45812</v>
      </c>
      <c r="AC25" s="4">
        <v>294.68200000000002</v>
      </c>
      <c r="AD25" s="6">
        <f t="shared" si="2"/>
        <v>45812</v>
      </c>
    </row>
    <row r="26" spans="1:30" ht="14.45" customHeight="1" x14ac:dyDescent="0.25">
      <c r="A26" s="37">
        <f t="shared" ca="1" si="3"/>
        <v>46133.625</v>
      </c>
      <c r="B26" s="38">
        <f ca="1">IF(COUNTIF($W$2:W1011,A26)=1,VLOOKUP(A26,O:P,2), IF(COUNTIF($W$2:W1011,A26)=0,$B$9,""))</f>
        <v>91.01</v>
      </c>
      <c r="C26" s="2">
        <f t="shared" ca="1" si="4"/>
        <v>-19765.015921815455</v>
      </c>
      <c r="D26" s="41">
        <f t="shared" ca="1" si="5"/>
        <v>-44166.666666666664</v>
      </c>
      <c r="E26" s="38">
        <f ca="1">IF(COUNTIF($W$2:W1011,A26)=1,VLOOKUP(A26,Q:R,2), IF(COUNTIF($W$2:W1011,A26)=0,$C$9,""))</f>
        <v>99.707999999999998</v>
      </c>
      <c r="F26" s="2">
        <f t="shared" ca="1" si="6"/>
        <v>-17160.000000000651</v>
      </c>
      <c r="G26" s="41">
        <f t="shared" ca="1" si="7"/>
        <v>78.346666666664532</v>
      </c>
      <c r="H26" s="38">
        <f ca="1">IF(COUNTIF($W$2:W1011,A26)=1,VLOOKUP(A26,S:T,2), IF(COUNTIF($W$2:W1011,A26)=0,$D$9,""))</f>
        <v>285.44799999999998</v>
      </c>
      <c r="I26" s="39">
        <f ca="1">IF(COUNTIF($X$2:X1011,INT(A26))=1,VLOOKUP(INT(A26),X:Y,2), IF(ISERROR(H26-2),"",I25*(1-$D$8*(H26-H25)*0.0001)))</f>
        <v>264.60359999999997</v>
      </c>
      <c r="J26" s="39">
        <f t="shared" ca="1" si="8"/>
        <v>264.60359999999997</v>
      </c>
      <c r="K26" s="41">
        <f t="shared" ca="1" si="9"/>
        <v>29984.555984555296</v>
      </c>
      <c r="L26" s="41" t="str">
        <f ca="1">IF($A26="","",IF(COUNTIFS(Dividends!$G:$G,"&gt;"&amp;INT($A25),Dividends!$G:$G,"&lt;="&amp;INT($A26))=0,"",$H$2*SUMIFS(Dividends!$H:$H,Dividends!$G:$G,"&gt;"&amp;INT($A25),Dividends!$G:$G,"&lt;="&amp;INT($A26))))</f>
        <v/>
      </c>
      <c r="M26" s="42">
        <f ca="1">IF(ISERROR(B26-2),"",C26+D26-F26-G26-K26+SUM($L$14:L26))</f>
        <v>-76834.585239703418</v>
      </c>
      <c r="O26" s="3">
        <v>46080.625</v>
      </c>
      <c r="P26" s="4">
        <v>93.58</v>
      </c>
      <c r="Q26" s="3">
        <v>46079.625</v>
      </c>
      <c r="R26" s="4">
        <v>100.834</v>
      </c>
      <c r="S26" s="3">
        <v>46079.625</v>
      </c>
      <c r="T26" s="4">
        <v>252.99199999999999</v>
      </c>
      <c r="U26" s="3">
        <f t="shared" si="0"/>
        <v>46080.625</v>
      </c>
      <c r="V26" s="3" t="str">
        <f t="shared" si="1"/>
        <v/>
      </c>
      <c r="W26" s="3">
        <v>46150.625</v>
      </c>
      <c r="X26" s="3">
        <v>46076</v>
      </c>
      <c r="Y26" s="5">
        <v>263.87049999999999</v>
      </c>
      <c r="Z26" s="3">
        <v>45813</v>
      </c>
      <c r="AA26" s="4">
        <v>237.58510000000001</v>
      </c>
      <c r="AB26" s="74">
        <v>45813</v>
      </c>
      <c r="AC26" s="4">
        <v>292.91399999999999</v>
      </c>
      <c r="AD26" s="6">
        <f t="shared" si="2"/>
        <v>45813</v>
      </c>
    </row>
    <row r="27" spans="1:30" ht="14.45" customHeight="1" x14ac:dyDescent="0.25">
      <c r="A27" s="37">
        <f t="shared" ca="1" si="3"/>
        <v>46134.625</v>
      </c>
      <c r="B27" s="38">
        <f ca="1">IF(COUNTIF($W$2:W1012,A27)=1,VLOOKUP(A27,O:P,2), IF(COUNTIF($W$2:W1012,A27)=0,$B$9,""))</f>
        <v>90.94</v>
      </c>
      <c r="C27" s="2">
        <f t="shared" ca="1" si="4"/>
        <v>-42824.201163936814</v>
      </c>
      <c r="D27" s="41">
        <f t="shared" ca="1" si="5"/>
        <v>-46375</v>
      </c>
      <c r="E27" s="38">
        <f ca="1">IF(COUNTIF($W$2:W1012,A27)=1,VLOOKUP(A27,Q:R,2), IF(COUNTIF($W$2:W1012,A27)=0,$C$9,""))</f>
        <v>99.655000000000001</v>
      </c>
      <c r="F27" s="2">
        <f t="shared" ca="1" si="6"/>
        <v>-30939.999999999942</v>
      </c>
      <c r="G27" s="41">
        <f t="shared" ca="1" si="7"/>
        <v>82.263999999995576</v>
      </c>
      <c r="H27" s="38">
        <f ca="1">IF(COUNTIF($W$2:W1012,A27)=1,VLOOKUP(A27,S:T,2), IF(COUNTIF($W$2:W1012,A27)=0,$D$9,""))</f>
        <v>285.53500000000003</v>
      </c>
      <c r="I27" s="39">
        <f ca="1">IF(COUNTIF($X$2:X1012,INT(A27))=1,VLOOKUP(INT(A27),X:Y,2), IF(ISERROR(H27-2),"",I26*(1-$D$8*(H27-H26)*0.0001)))</f>
        <v>264.55340000000001</v>
      </c>
      <c r="J27" s="39">
        <f t="shared" ca="1" si="8"/>
        <v>264.55340000000001</v>
      </c>
      <c r="K27" s="41">
        <f t="shared" ca="1" si="9"/>
        <v>26431.145431146819</v>
      </c>
      <c r="L27" s="41" t="str">
        <f ca="1">IF($A27="","",IF(COUNTIFS(Dividends!$G:$G,"&gt;"&amp;INT($A26),Dividends!$G:$G,"&lt;="&amp;INT($A27))=0,"",$H$2*SUMIFS(Dividends!$H:$H,Dividends!$G:$G,"&gt;"&amp;INT($A26),Dividends!$G:$G,"&lt;="&amp;INT($A27))))</f>
        <v/>
      </c>
      <c r="M27" s="42">
        <f ca="1">IF(ISERROR(B27-2),"",C27+D27-F27-G27-K27+SUM($L$14:L27))</f>
        <v>-84772.610595083679</v>
      </c>
      <c r="O27" s="3">
        <v>46083.625</v>
      </c>
      <c r="P27" s="4">
        <v>93.24</v>
      </c>
      <c r="Q27" s="3">
        <v>46080.625</v>
      </c>
      <c r="R27" s="4">
        <v>100.923</v>
      </c>
      <c r="S27" s="3">
        <v>46080.625</v>
      </c>
      <c r="T27" s="4">
        <v>260.255</v>
      </c>
      <c r="U27" s="3">
        <f t="shared" si="0"/>
        <v>46083.625</v>
      </c>
      <c r="V27" s="3" t="str">
        <f t="shared" si="1"/>
        <v/>
      </c>
      <c r="W27" s="3">
        <v>46153.625</v>
      </c>
      <c r="X27" s="3">
        <v>46077</v>
      </c>
      <c r="Y27" s="5">
        <v>263.58609999999999</v>
      </c>
      <c r="Z27" s="3">
        <v>45814</v>
      </c>
      <c r="AA27" s="4">
        <v>238.0478</v>
      </c>
      <c r="AB27" s="74">
        <v>45814</v>
      </c>
      <c r="AC27" s="4">
        <v>289.43099999999998</v>
      </c>
      <c r="AD27" s="6">
        <f t="shared" si="2"/>
        <v>45814</v>
      </c>
    </row>
    <row r="28" spans="1:30" ht="14.45" customHeight="1" x14ac:dyDescent="0.25">
      <c r="A28" s="37">
        <f t="shared" ca="1" si="3"/>
        <v>46135.625</v>
      </c>
      <c r="B28" s="38">
        <f ca="1">IF(COUNTIF($W$2:W1013,A28)=1,VLOOKUP(A28,O:P,2), IF(COUNTIF($W$2:W1013,A28)=0,$B$9,""))</f>
        <v>90.99</v>
      </c>
      <c r="C28" s="2">
        <f t="shared" ca="1" si="4"/>
        <v>-26353.354562423938</v>
      </c>
      <c r="D28" s="41">
        <f t="shared" ca="1" si="5"/>
        <v>-48583.333333333328</v>
      </c>
      <c r="E28" s="38">
        <f ca="1">IF(COUNTIF($W$2:W1013,A28)=1,VLOOKUP(A28,Q:R,2), IF(COUNTIF($W$2:W1013,A28)=0,$C$9,""))</f>
        <v>99.626999999999995</v>
      </c>
      <c r="F28" s="2">
        <f t="shared" ca="1" si="6"/>
        <v>-38220.000000001448</v>
      </c>
      <c r="G28" s="41">
        <f t="shared" ca="1" si="7"/>
        <v>86.181333333333896</v>
      </c>
      <c r="H28" s="38">
        <f ca="1">IF(COUNTIF($W$2:W1013,A28)=1,VLOOKUP(A28,S:T,2), IF(COUNTIF($W$2:W1013,A28)=0,$D$9,""))</f>
        <v>284.40800000000002</v>
      </c>
      <c r="I28" s="39">
        <f ca="1">IF(COUNTIF($X$2:X1013,INT(A28))=1,VLOOKUP(INT(A28),X:Y,2), IF(ISERROR(H28-2),"",I27*(1-$D$8*(H28-H27)*0.0001)))</f>
        <v>264.38159999999999</v>
      </c>
      <c r="J28" s="39">
        <f t="shared" ca="1" si="8"/>
        <v>264.38159999999999</v>
      </c>
      <c r="K28" s="41">
        <f t="shared" ca="1" si="9"/>
        <v>14270.270270269635</v>
      </c>
      <c r="L28" s="41" t="str">
        <f ca="1">IF($A28="","",IF(COUNTIFS(Dividends!$G:$G,"&gt;"&amp;INT($A27),Dividends!$G:$G,"&lt;="&amp;INT($A28))=0,"",$H$2*SUMIFS(Dividends!$H:$H,Dividends!$G:$G,"&gt;"&amp;INT($A27),Dividends!$G:$G,"&lt;="&amp;INT($A28))))</f>
        <v/>
      </c>
      <c r="M28" s="42">
        <f ca="1">IF(ISERROR(B28-2),"",C28+D28-F28-G28-K28+SUM($L$14:L28))</f>
        <v>-51073.139499358782</v>
      </c>
      <c r="O28" s="3">
        <v>46084.625</v>
      </c>
      <c r="P28" s="4">
        <v>92.69</v>
      </c>
      <c r="Q28" s="3">
        <v>46083.625</v>
      </c>
      <c r="R28" s="4">
        <v>100.748</v>
      </c>
      <c r="S28" s="3">
        <v>46083.625</v>
      </c>
      <c r="T28" s="4">
        <v>267.18200000000002</v>
      </c>
      <c r="U28" s="3">
        <f t="shared" si="0"/>
        <v>46084.625</v>
      </c>
      <c r="V28" s="3" t="str">
        <f t="shared" si="1"/>
        <v/>
      </c>
      <c r="W28" s="3">
        <v>46154.625</v>
      </c>
      <c r="X28" s="3">
        <v>46078</v>
      </c>
      <c r="Y28" s="5">
        <v>263.79109999999997</v>
      </c>
      <c r="Z28" s="3">
        <v>45817</v>
      </c>
      <c r="AA28" s="4">
        <v>238.19669999999999</v>
      </c>
      <c r="AB28" s="74">
        <v>45817</v>
      </c>
      <c r="AC28" s="4">
        <v>288.459</v>
      </c>
      <c r="AD28" s="6">
        <f t="shared" si="2"/>
        <v>45817</v>
      </c>
    </row>
    <row r="29" spans="1:30" ht="14.45" customHeight="1" x14ac:dyDescent="0.25">
      <c r="A29" s="37">
        <f t="shared" ca="1" si="3"/>
        <v>46136.625</v>
      </c>
      <c r="B29" s="38">
        <f ca="1">IF(COUNTIF($W$2:W1014,A29)=1,VLOOKUP(A29,O:P,2), IF(COUNTIF($W$2:W1014,A29)=0,$B$9,""))</f>
        <v>90.93</v>
      </c>
      <c r="C29" s="2">
        <f t="shared" ca="1" si="4"/>
        <v>-46118.370484239393</v>
      </c>
      <c r="D29" s="41">
        <f t="shared" ca="1" si="5"/>
        <v>-50791.666666666657</v>
      </c>
      <c r="E29" s="38">
        <f ca="1">IF(COUNTIF($W$2:W1014,A29)=1,VLOOKUP(A29,Q:R,2), IF(COUNTIF($W$2:W1014,A29)=0,$C$9,""))</f>
        <v>99.637</v>
      </c>
      <c r="F29" s="2">
        <f t="shared" ca="1" si="6"/>
        <v>-35620.000000000116</v>
      </c>
      <c r="G29" s="41">
        <f t="shared" ca="1" si="7"/>
        <v>90.09866666666494</v>
      </c>
      <c r="H29" s="38">
        <f ca="1">IF(COUNTIF($W$2:W1014,A29)=1,VLOOKUP(A29,S:T,2), IF(COUNTIF($W$2:W1014,A29)=0,$D$9,""))</f>
        <v>288.863</v>
      </c>
      <c r="I29" s="39">
        <f ca="1">IF(COUNTIF($X$2:X1014,INT(A29))=1,VLOOKUP(INT(A29),X:Y,2), IF(ISERROR(H29-2),"",I28*(1-$D$8*(H29-H28)*0.0001)))</f>
        <v>264.2679</v>
      </c>
      <c r="J29" s="39">
        <f t="shared" ca="1" si="8"/>
        <v>264.2679</v>
      </c>
      <c r="K29" s="41">
        <f t="shared" ca="1" si="9"/>
        <v>6222.0077220071616</v>
      </c>
      <c r="L29" s="41" t="str">
        <f ca="1">IF($A29="","",IF(COUNTIFS(Dividends!$G:$G,"&gt;"&amp;INT($A28),Dividends!$G:$G,"&lt;="&amp;INT($A29))=0,"",$H$2*SUMIFS(Dividends!$H:$H,Dividends!$G:$G,"&gt;"&amp;INT($A28),Dividends!$G:$G,"&lt;="&amp;INT($A29))))</f>
        <v/>
      </c>
      <c r="M29" s="42">
        <f ca="1">IF(ISERROR(B29-2),"",C29+D29-F29-G29-K29+SUM($L$14:L29))</f>
        <v>-67602.14353957976</v>
      </c>
      <c r="O29" s="3">
        <v>46085.625</v>
      </c>
      <c r="P29" s="4">
        <v>93.3</v>
      </c>
      <c r="Q29" s="3">
        <v>46084.625</v>
      </c>
      <c r="R29" s="4">
        <v>100.50700000000001</v>
      </c>
      <c r="S29" s="3">
        <v>46084.625</v>
      </c>
      <c r="T29" s="4">
        <v>279.875</v>
      </c>
      <c r="U29" s="3">
        <f t="shared" si="0"/>
        <v>46085.625</v>
      </c>
      <c r="V29" s="3" t="str">
        <f t="shared" si="1"/>
        <v/>
      </c>
      <c r="W29" s="3">
        <v>46155.625</v>
      </c>
      <c r="X29" s="3">
        <v>46079</v>
      </c>
      <c r="Y29" s="5">
        <v>263.42880000000002</v>
      </c>
      <c r="Z29" s="3">
        <v>45818</v>
      </c>
      <c r="AA29" s="4">
        <v>238.28550000000001</v>
      </c>
      <c r="AB29" s="74">
        <v>45818</v>
      </c>
      <c r="AC29" s="4">
        <v>287.69299999999998</v>
      </c>
      <c r="AD29" s="6">
        <f t="shared" si="2"/>
        <v>45818</v>
      </c>
    </row>
    <row r="30" spans="1:30" ht="14.45" customHeight="1" x14ac:dyDescent="0.25">
      <c r="A30" s="37">
        <f t="shared" ca="1" si="3"/>
        <v>46139.625</v>
      </c>
      <c r="B30" s="38">
        <f ca="1">IF(COUNTIF($W$2:W1015,A30)=1,VLOOKUP(A30,O:P,2), IF(COUNTIF($W$2:W1015,A30)=0,$B$9,""))</f>
        <v>90.97</v>
      </c>
      <c r="C30" s="2">
        <f t="shared" ca="1" si="4"/>
        <v>-32941.693203029085</v>
      </c>
      <c r="D30" s="41">
        <f t="shared" ca="1" si="5"/>
        <v>-57416.666666666657</v>
      </c>
      <c r="E30" s="38">
        <f ca="1">IF(COUNTIF($W$2:W1015,A30)=1,VLOOKUP(A30,Q:R,2), IF(COUNTIF($W$2:W1015,A30)=0,$C$9,""))</f>
        <v>99.608000000000004</v>
      </c>
      <c r="F30" s="2">
        <f t="shared" ca="1" si="6"/>
        <v>-43159.999999999171</v>
      </c>
      <c r="G30" s="41">
        <f t="shared" ca="1" si="7"/>
        <v>101.85066666666535</v>
      </c>
      <c r="H30" s="38">
        <f ca="1">IF(COUNTIF($W$2:W1015,A30)=1,VLOOKUP(A30,S:T,2), IF(COUNTIF($W$2:W1015,A30)=0,$D$9,""))</f>
        <v>289.209</v>
      </c>
      <c r="I30" s="39">
        <f ca="1">IF(COUNTIF($X$2:X1015,INT(A30))=1,VLOOKUP(INT(A30),X:Y,2), IF(ISERROR(H30-2),"",I29*(1-$D$8*(H30-H29)*0.0001)))</f>
        <v>264.16750000000002</v>
      </c>
      <c r="J30" s="39">
        <f t="shared" ca="1" si="8"/>
        <v>264.16750000000002</v>
      </c>
      <c r="K30" s="41">
        <f t="shared" ca="1" si="9"/>
        <v>-884.81338481186663</v>
      </c>
      <c r="L30" s="41" t="str">
        <f ca="1">IF($A30="","",IF(COUNTIFS(Dividends!$G:$G,"&gt;"&amp;INT($A29),Dividends!$G:$G,"&lt;="&amp;INT($A30))=0,"",$H$2*SUMIFS(Dividends!$H:$H,Dividends!$G:$G,"&gt;"&amp;INT($A29),Dividends!$G:$G,"&lt;="&amp;INT($A30))))</f>
        <v/>
      </c>
      <c r="M30" s="42">
        <f ca="1">IF(ISERROR(B30-2),"",C30+D30-F30-G30-K30+SUM($L$14:L30))</f>
        <v>-46415.397151551362</v>
      </c>
      <c r="O30" s="3">
        <v>46087.625</v>
      </c>
      <c r="P30" s="4">
        <v>92.48</v>
      </c>
      <c r="Q30" s="3">
        <v>46085.625</v>
      </c>
      <c r="R30" s="4">
        <v>100.57899999999999</v>
      </c>
      <c r="S30" s="3">
        <v>46085.625</v>
      </c>
      <c r="T30" s="4">
        <v>265.24</v>
      </c>
      <c r="U30" s="3">
        <f t="shared" si="0"/>
        <v>46087.625</v>
      </c>
      <c r="V30" s="3" t="str">
        <f t="shared" si="1"/>
        <v/>
      </c>
      <c r="W30" s="3">
        <v>46156.625</v>
      </c>
      <c r="X30" s="3">
        <v>46080</v>
      </c>
      <c r="Y30" s="5">
        <v>262.72750000000002</v>
      </c>
      <c r="Z30" s="3">
        <v>45819</v>
      </c>
      <c r="AA30" s="4">
        <v>238.56219999999999</v>
      </c>
      <c r="AB30" s="74">
        <v>45819</v>
      </c>
      <c r="AC30" s="4">
        <v>286.16800000000001</v>
      </c>
      <c r="AD30" s="6">
        <f t="shared" si="2"/>
        <v>45819</v>
      </c>
    </row>
    <row r="31" spans="1:30" ht="14.45" customHeight="1" x14ac:dyDescent="0.25">
      <c r="A31" s="37">
        <f t="shared" ca="1" si="3"/>
        <v>46140.625</v>
      </c>
      <c r="B31" s="38">
        <f ca="1">IF(COUNTIF($W$2:W1016,A31)=1,VLOOKUP(A31,O:P,2), IF(COUNTIF($W$2:W1016,A31)=0,$B$9,""))</f>
        <v>90.69</v>
      </c>
      <c r="C31" s="2">
        <f t="shared" ca="1" si="4"/>
        <v>-125178.43417151453</v>
      </c>
      <c r="D31" s="41">
        <f t="shared" ca="1" si="5"/>
        <v>-59624.999999999993</v>
      </c>
      <c r="E31" s="38">
        <f ca="1">IF(COUNTIF($W$2:W1016,A31)=1,VLOOKUP(A31,Q:R,2), IF(COUNTIF($W$2:W1016,A31)=0,$C$9,""))</f>
        <v>99.456000000000003</v>
      </c>
      <c r="F31" s="2">
        <f t="shared" ca="1" si="6"/>
        <v>-82679.999999999432</v>
      </c>
      <c r="G31" s="41">
        <f t="shared" ca="1" si="7"/>
        <v>105.76799999999639</v>
      </c>
      <c r="H31" s="38">
        <f ca="1">IF(COUNTIF($W$2:W1016,A31)=1,VLOOKUP(A31,S:T,2), IF(COUNTIF($W$2:W1016,A31)=0,$D$9,""))</f>
        <v>291.65699999999998</v>
      </c>
      <c r="I31" s="39">
        <f ca="1">IF(COUNTIF($X$2:X1016,INT(A31))=1,VLOOKUP(INT(A31),X:Y,2), IF(ISERROR(H31-2),"",I30*(1-$D$8*(H31-H30)*0.0001)))</f>
        <v>263.87139999999999</v>
      </c>
      <c r="J31" s="39">
        <f t="shared" ca="1" si="8"/>
        <v>263.87139999999999</v>
      </c>
      <c r="K31" s="41">
        <f t="shared" ca="1" si="9"/>
        <v>-21844.272844273248</v>
      </c>
      <c r="L31" s="41" t="str">
        <f ca="1">IF($A31="","",IF(COUNTIFS(Dividends!$G:$G,"&gt;"&amp;INT($A30),Dividends!$G:$G,"&lt;="&amp;INT($A31))=0,"",$H$2*SUMIFS(Dividends!$H:$H,Dividends!$G:$G,"&gt;"&amp;INT($A30),Dividends!$G:$G,"&lt;="&amp;INT($A31))))</f>
        <v/>
      </c>
      <c r="M31" s="42">
        <f ca="1">IF(ISERROR(B31-2),"",C31+D31-F31-G31-K31+SUM($L$14:L31))</f>
        <v>-80384.929327241844</v>
      </c>
      <c r="O31" s="3">
        <v>46090.625</v>
      </c>
      <c r="P31" s="4">
        <v>92.3</v>
      </c>
      <c r="Q31" s="3">
        <v>46086.625</v>
      </c>
      <c r="R31" s="4">
        <v>100.378</v>
      </c>
      <c r="S31" s="3">
        <v>46086.625</v>
      </c>
      <c r="T31" s="4">
        <v>272.31599999999997</v>
      </c>
      <c r="U31" s="3">
        <f t="shared" si="0"/>
        <v>46090.625</v>
      </c>
      <c r="V31" s="3" t="str">
        <f t="shared" si="1"/>
        <v/>
      </c>
      <c r="W31" s="3">
        <v>46157.625</v>
      </c>
      <c r="X31" s="3">
        <v>46083</v>
      </c>
      <c r="Y31" s="5">
        <v>262.18009999999998</v>
      </c>
      <c r="Z31" s="3">
        <v>45820</v>
      </c>
      <c r="AA31" s="4">
        <v>237.84450000000001</v>
      </c>
      <c r="AB31" s="74">
        <v>45820</v>
      </c>
      <c r="AC31" s="4">
        <v>292.70299999999997</v>
      </c>
      <c r="AD31" s="6">
        <f t="shared" si="2"/>
        <v>45820</v>
      </c>
    </row>
    <row r="32" spans="1:30" ht="14.45" customHeight="1" x14ac:dyDescent="0.25">
      <c r="A32" s="37">
        <f t="shared" ca="1" si="3"/>
        <v>46141.625</v>
      </c>
      <c r="B32" s="38">
        <f ca="1">IF(COUNTIF($W$2:W1017,A32)=1,VLOOKUP(A32,O:P,2), IF(COUNTIF($W$2:W1017,A32)=0,$B$9,""))</f>
        <v>90.76</v>
      </c>
      <c r="C32" s="2">
        <f t="shared" ca="1" si="4"/>
        <v>-102119.24892938984</v>
      </c>
      <c r="D32" s="41">
        <f t="shared" ca="1" si="5"/>
        <v>-61833.333333333336</v>
      </c>
      <c r="E32" s="38">
        <f ca="1">IF(COUNTIF($W$2:W1017,A32)=1,VLOOKUP(A32,Q:R,2), IF(COUNTIF($W$2:W1017,A32)=0,$C$9,""))</f>
        <v>99.296000000000006</v>
      </c>
      <c r="F32" s="2">
        <f t="shared" ca="1" si="6"/>
        <v>-124279.99999999854</v>
      </c>
      <c r="G32" s="41">
        <f t="shared" ca="1" si="7"/>
        <v>109.68533333332743</v>
      </c>
      <c r="H32" s="38">
        <f ca="1">IF(COUNTIF($W$2:W1017,A32)=1,VLOOKUP(A32,S:T,2), IF(COUNTIF($W$2:W1017,A32)=0,$D$9,""))</f>
        <v>294.57900000000001</v>
      </c>
      <c r="I32" s="39">
        <f ca="1">IF(COUNTIF($X$2:X1017,INT(A32))=1,VLOOKUP(INT(A32),X:Y,2), IF(ISERROR(H32-2),"",I31*(1-$D$8*(H32-H31)*0.0001)))</f>
        <v>263.29599999999999</v>
      </c>
      <c r="J32" s="39">
        <f t="shared" ca="1" si="8"/>
        <v>263.29599999999999</v>
      </c>
      <c r="K32" s="41">
        <f t="shared" ca="1" si="9"/>
        <v>-62574.002574003418</v>
      </c>
      <c r="L32" s="41" t="str">
        <f ca="1">IF($A32="","",IF(COUNTIFS(Dividends!$G:$G,"&gt;"&amp;INT($A31),Dividends!$G:$G,"&lt;="&amp;INT($A32))=0,"",$H$2*SUMIFS(Dividends!$H:$H,Dividends!$G:$G,"&gt;"&amp;INT($A31),Dividends!$G:$G,"&lt;="&amp;INT($A32))))</f>
        <v/>
      </c>
      <c r="M32" s="42">
        <f ca="1">IF(ISERROR(B32-2),"",C32+D32-F32-G32-K32+SUM($L$14:L32))</f>
        <v>22791.734977945453</v>
      </c>
      <c r="O32" s="3">
        <v>46091.625</v>
      </c>
      <c r="P32" s="4">
        <v>92.84</v>
      </c>
      <c r="Q32" s="3">
        <v>46087.625</v>
      </c>
      <c r="R32" s="4">
        <v>100.179</v>
      </c>
      <c r="S32" s="3">
        <v>46087.625</v>
      </c>
      <c r="T32" s="4">
        <v>288.95600000000002</v>
      </c>
      <c r="U32" s="3">
        <f t="shared" si="0"/>
        <v>46091.625</v>
      </c>
      <c r="V32" s="3" t="str">
        <f t="shared" si="1"/>
        <v/>
      </c>
      <c r="W32" s="3">
        <v>46160.625</v>
      </c>
      <c r="X32" s="3">
        <v>46084</v>
      </c>
      <c r="Y32" s="5">
        <v>260.81470000000002</v>
      </c>
      <c r="Z32" s="3">
        <v>45821</v>
      </c>
      <c r="AA32" s="4">
        <v>237.1781</v>
      </c>
      <c r="AB32" s="74">
        <v>45821</v>
      </c>
      <c r="AC32" s="4">
        <v>298.005</v>
      </c>
      <c r="AD32" s="6">
        <f t="shared" si="2"/>
        <v>45821</v>
      </c>
    </row>
    <row r="33" spans="1:30" ht="14.45" customHeight="1" x14ac:dyDescent="0.25">
      <c r="A33" s="37">
        <f t="shared" ca="1" si="3"/>
        <v>46142.625</v>
      </c>
      <c r="B33" s="38">
        <f ca="1">IF(COUNTIF($W$2:W1018,A33)=1,VLOOKUP(A33,O:P,2), IF(COUNTIF($W$2:W1018,A33)=0,$B$9,""))</f>
        <v>90.81</v>
      </c>
      <c r="C33" s="2">
        <f t="shared" ca="1" si="4"/>
        <v>-85648.40232787696</v>
      </c>
      <c r="D33" s="41">
        <f t="shared" ca="1" si="5"/>
        <v>-64041.666666666672</v>
      </c>
      <c r="E33" s="38">
        <f ca="1">IF(COUNTIF($W$2:W1018,A33)=1,VLOOKUP(A33,Q:R,2), IF(COUNTIF($W$2:W1018,A33)=0,$C$9,""))</f>
        <v>99.435000000000002</v>
      </c>
      <c r="F33" s="2">
        <f t="shared" ca="1" si="6"/>
        <v>-88139.999999999651</v>
      </c>
      <c r="G33" s="41">
        <f t="shared" ca="1" si="7"/>
        <v>113.60266666666575</v>
      </c>
      <c r="H33" s="38">
        <f ca="1">IF(COUNTIF($W$2:W1018,A33)=1,VLOOKUP(A33,S:T,2), IF(COUNTIF($W$2:W1018,A33)=0,$D$9,""))</f>
        <v>292.42099999999999</v>
      </c>
      <c r="I33" s="39">
        <f ca="1">IF(COUNTIF($X$2:X1018,INT(A33))=1,VLOOKUP(INT(A33),X:Y,2), IF(ISERROR(H33-2),"",I32*(1-$D$8*(H33-H32)*0.0001)))</f>
        <v>263.72019999999998</v>
      </c>
      <c r="J33" s="39">
        <f t="shared" ca="1" si="8"/>
        <v>263.72019999999998</v>
      </c>
      <c r="K33" s="41">
        <f t="shared" ca="1" si="9"/>
        <v>-32546.975546977552</v>
      </c>
      <c r="L33" s="41" t="str">
        <f ca="1">IF($A33="","",IF(COUNTIFS(Dividends!$G:$G,"&gt;"&amp;INT($A32),Dividends!$G:$G,"&lt;="&amp;INT($A33))=0,"",$H$2*SUMIFS(Dividends!$H:$H,Dividends!$G:$G,"&gt;"&amp;INT($A32),Dividends!$G:$G,"&lt;="&amp;INT($A33))))</f>
        <v/>
      </c>
      <c r="M33" s="42">
        <f ca="1">IF(ISERROR(B33-2),"",C33+D33-F33-G33-K33+SUM($L$14:L33))</f>
        <v>-29116.696114233095</v>
      </c>
      <c r="O33" s="3">
        <v>46092.625</v>
      </c>
      <c r="P33" s="4">
        <v>92.41</v>
      </c>
      <c r="Q33" s="3">
        <v>46090.625</v>
      </c>
      <c r="R33" s="4">
        <v>100.143</v>
      </c>
      <c r="S33" s="3">
        <v>46090.625</v>
      </c>
      <c r="T33" s="4">
        <v>293.44200000000001</v>
      </c>
      <c r="U33" s="3">
        <f t="shared" si="0"/>
        <v>46092.625</v>
      </c>
      <c r="V33" s="3" t="str">
        <f t="shared" si="1"/>
        <v/>
      </c>
      <c r="W33" s="3">
        <v>46161.625</v>
      </c>
      <c r="X33" s="3">
        <v>46085</v>
      </c>
      <c r="Y33" s="5">
        <v>262.13139999999999</v>
      </c>
      <c r="Z33" s="3">
        <v>45824</v>
      </c>
      <c r="AA33" s="4">
        <v>238.1482</v>
      </c>
      <c r="AB33" s="74">
        <v>45824</v>
      </c>
      <c r="AC33" s="4">
        <v>290.95100000000002</v>
      </c>
      <c r="AD33" s="6">
        <f t="shared" si="2"/>
        <v>45824</v>
      </c>
    </row>
    <row r="34" spans="1:30" ht="14.45" customHeight="1" x14ac:dyDescent="0.25">
      <c r="A34" s="37">
        <f t="shared" ca="1" si="3"/>
        <v>46147.625</v>
      </c>
      <c r="B34" s="38">
        <f ca="1">IF(COUNTIF($W$2:W1019,A34)=1,VLOOKUP(A34,O:P,2), IF(COUNTIF($W$2:W1019,A34)=0,$B$9,""))</f>
        <v>90.89</v>
      </c>
      <c r="C34" s="2">
        <f t="shared" ca="1" si="4"/>
        <v>-59295.047765453026</v>
      </c>
      <c r="D34" s="41">
        <f t="shared" ca="1" si="5"/>
        <v>-75083.333333333328</v>
      </c>
      <c r="E34" s="38">
        <f ca="1">IF(COUNTIF($W$2:W1019,A34)=1,VLOOKUP(A34,Q:R,2), IF(COUNTIF($W$2:W1019,A34)=0,$C$9,""))</f>
        <v>99.343000000000004</v>
      </c>
      <c r="F34" s="2">
        <f t="shared" ca="1" si="6"/>
        <v>-112059.99999999932</v>
      </c>
      <c r="G34" s="41">
        <f t="shared" ca="1" si="7"/>
        <v>133.18933333333553</v>
      </c>
      <c r="H34" s="38">
        <f ca="1">IF(COUNTIF($W$2:W1019,A34)=1,VLOOKUP(A34,S:T,2), IF(COUNTIF($W$2:W1019,A34)=0,$D$9,""))</f>
        <v>287.88900000000001</v>
      </c>
      <c r="I34" s="39">
        <f ca="1">IF(COUNTIF($X$2:X1019,INT(A34))=1,VLOOKUP(INT(A34),X:Y,2), IF(ISERROR(H34-2),"",I33*(1-$D$8*(H34-H33)*0.0001)))</f>
        <v>264.5573</v>
      </c>
      <c r="J34" s="39">
        <f t="shared" ca="1" si="8"/>
        <v>264.5573</v>
      </c>
      <c r="K34" s="41">
        <f t="shared" ca="1" si="9"/>
        <v>26707.207207207604</v>
      </c>
      <c r="L34" s="41" t="str">
        <f ca="1">IF($A34="","",IF(COUNTIFS(Dividends!$G:$G,"&gt;"&amp;INT($A33),Dividends!$G:$G,"&lt;="&amp;INT($A34))=0,"",$H$2*SUMIFS(Dividends!$H:$H,Dividends!$G:$G,"&gt;"&amp;INT($A33),Dividends!$G:$G,"&lt;="&amp;INT($A34))))</f>
        <v/>
      </c>
      <c r="M34" s="42">
        <f ca="1">IF(ISERROR(B34-2),"",C34+D34-F34-G34-K34+SUM($L$14:L34))</f>
        <v>-49158.777639327993</v>
      </c>
      <c r="O34" s="3">
        <v>46093.625</v>
      </c>
      <c r="P34" s="4">
        <v>92.08</v>
      </c>
      <c r="Q34" s="3">
        <v>46091.625</v>
      </c>
      <c r="R34" s="4">
        <v>100.342</v>
      </c>
      <c r="S34" s="3">
        <v>46091.625</v>
      </c>
      <c r="T34" s="4">
        <v>273.53199999999998</v>
      </c>
      <c r="U34" s="3">
        <f t="shared" si="0"/>
        <v>46093.625</v>
      </c>
      <c r="V34" s="3" t="str">
        <f t="shared" si="1"/>
        <v/>
      </c>
      <c r="W34" s="3">
        <v>46162.625</v>
      </c>
      <c r="X34" s="3">
        <v>46086</v>
      </c>
      <c r="Y34" s="5">
        <v>261.02620000000002</v>
      </c>
      <c r="Z34" s="3">
        <v>45825</v>
      </c>
      <c r="AA34" s="4">
        <v>237.51990000000001</v>
      </c>
      <c r="AB34" s="74">
        <v>45825</v>
      </c>
      <c r="AC34" s="4">
        <v>297.02300000000002</v>
      </c>
      <c r="AD34" s="6">
        <f t="shared" si="2"/>
        <v>45825</v>
      </c>
    </row>
    <row r="35" spans="1:30" ht="14.45" customHeight="1" x14ac:dyDescent="0.25">
      <c r="A35" s="37">
        <f t="shared" ca="1" si="3"/>
        <v>46148.625</v>
      </c>
      <c r="B35" s="38">
        <f ca="1">IF(COUNTIF($W$2:W1020,A35)=1,VLOOKUP(A35,O:P,2), IF(COUNTIF($W$2:W1020,A35)=0,$B$9,""))</f>
        <v>91.41</v>
      </c>
      <c r="C35" s="2">
        <f t="shared" ca="1" si="4"/>
        <v>112001.75689030756</v>
      </c>
      <c r="D35" s="41">
        <f t="shared" ca="1" si="5"/>
        <v>-77291.666666666672</v>
      </c>
      <c r="E35" s="38">
        <f ca="1">IF(COUNTIF($W$2:W1020,A35)=1,VLOOKUP(A35,Q:R,2), IF(COUNTIF($W$2:W1020,A35)=0,$C$9,""))</f>
        <v>99.63</v>
      </c>
      <c r="F35" s="2">
        <f t="shared" ca="1" si="6"/>
        <v>-37440.000000001419</v>
      </c>
      <c r="G35" s="41">
        <f t="shared" ca="1" si="7"/>
        <v>137.10666666665929</v>
      </c>
      <c r="H35" s="38">
        <f ca="1">IF(COUNTIF($W$2:W1020,A35)=1,VLOOKUP(A35,S:T,2), IF(COUNTIF($W$2:W1020,A35)=0,$D$9,""))</f>
        <v>275.09699999999998</v>
      </c>
      <c r="I35" s="39">
        <f ca="1">IF(COUNTIF($X$2:X1020,INT(A35))=1,VLOOKUP(INT(A35),X:Y,2), IF(ISERROR(H35-2),"",I34*(1-$D$8*(H35-H34)*0.0001)))</f>
        <v>266.11750000000001</v>
      </c>
      <c r="J35" s="39">
        <f t="shared" ca="1" si="8"/>
        <v>266.11750000000001</v>
      </c>
      <c r="K35" s="41">
        <f t="shared" ca="1" si="9"/>
        <v>137146.07464607395</v>
      </c>
      <c r="L35" s="41" t="str">
        <f ca="1">IF($A35="","",IF(COUNTIFS(Dividends!$G:$G,"&gt;"&amp;INT($A34),Dividends!$G:$G,"&lt;="&amp;INT($A35))=0,"",$H$2*SUMIFS(Dividends!$H:$H,Dividends!$G:$G,"&gt;"&amp;INT($A34),Dividends!$G:$G,"&lt;="&amp;INT($A35))))</f>
        <v/>
      </c>
      <c r="M35" s="42">
        <f ca="1">IF(ISERROR(B35-2),"",C35+D35-F35-G35-K35+SUM($L$14:L35))</f>
        <v>-65133.091089098307</v>
      </c>
      <c r="O35" s="3">
        <v>46094.625</v>
      </c>
      <c r="P35" s="4">
        <v>91.86</v>
      </c>
      <c r="Q35" s="3">
        <v>46092.625</v>
      </c>
      <c r="R35" s="4">
        <v>99.995000000000005</v>
      </c>
      <c r="S35" s="3">
        <v>46092.625</v>
      </c>
      <c r="T35" s="4">
        <v>289.27199999999999</v>
      </c>
      <c r="U35" s="3">
        <f t="shared" si="0"/>
        <v>46094.625</v>
      </c>
      <c r="V35" s="3" t="str">
        <f t="shared" si="1"/>
        <v/>
      </c>
      <c r="W35" s="3">
        <v>46163.625</v>
      </c>
      <c r="X35" s="3">
        <v>46087</v>
      </c>
      <c r="Y35" s="5">
        <v>259.30169999999998</v>
      </c>
      <c r="Z35" s="3">
        <v>45826</v>
      </c>
      <c r="AA35" s="4">
        <v>237.07689999999999</v>
      </c>
      <c r="AB35" s="74">
        <v>45826</v>
      </c>
      <c r="AC35" s="4">
        <v>300.35000000000002</v>
      </c>
      <c r="AD35" s="6">
        <f t="shared" si="2"/>
        <v>45826</v>
      </c>
    </row>
    <row r="36" spans="1:30" ht="14.45" customHeight="1" x14ac:dyDescent="0.25">
      <c r="A36" s="37">
        <f t="shared" ca="1" si="3"/>
        <v>46149.625</v>
      </c>
      <c r="B36" s="38">
        <f ca="1">IF(COUNTIF($W$2:W1021,A36)=1,VLOOKUP(A36,O:P,2), IF(COUNTIF($W$2:W1021,A36)=0,$B$9,""))</f>
        <v>91.39</v>
      </c>
      <c r="C36" s="2">
        <f t="shared" ca="1" si="4"/>
        <v>105413.4182497024</v>
      </c>
      <c r="D36" s="41">
        <f t="shared" ca="1" si="5"/>
        <v>-79500</v>
      </c>
      <c r="E36" s="38">
        <f ca="1">IF(COUNTIF($W$2:W1021,A36)=1,VLOOKUP(A36,Q:R,2), IF(COUNTIF($W$2:W1021,A36)=0,$C$9,""))</f>
        <v>99.650999999999996</v>
      </c>
      <c r="F36" s="2">
        <f t="shared" ca="1" si="6"/>
        <v>-31980.000000001211</v>
      </c>
      <c r="G36" s="41">
        <f t="shared" ca="1" si="7"/>
        <v>141.02400000000489</v>
      </c>
      <c r="H36" s="38">
        <f ca="1">IF(COUNTIF($W$2:W1021,A36)=1,VLOOKUP(A36,S:T,2), IF(COUNTIF($W$2:W1021,A36)=0,$D$9,""))</f>
        <v>275.04599999999999</v>
      </c>
      <c r="I36" s="39">
        <f ca="1">IF(COUNTIF($X$2:X1021,INT(A36))=1,VLOOKUP(INT(A36),X:Y,2), IF(ISERROR(H36-2),"",I35*(1-$D$8*(H36-H35)*0.0001)))</f>
        <v>265.79050000000001</v>
      </c>
      <c r="J36" s="39">
        <f t="shared" ca="1" si="8"/>
        <v>265.79050000000001</v>
      </c>
      <c r="K36" s="41">
        <f t="shared" ca="1" si="9"/>
        <v>113999.35649935532</v>
      </c>
      <c r="L36" s="41" t="str">
        <f ca="1">IF($A36="","",IF(COUNTIFS(Dividends!$G:$G,"&gt;"&amp;INT($A35),Dividends!$G:$G,"&lt;="&amp;INT($A36))=0,"",$H$2*SUMIFS(Dividends!$H:$H,Dividends!$G:$G,"&gt;"&amp;INT($A35),Dividends!$G:$G,"&lt;="&amp;INT($A36))))</f>
        <v/>
      </c>
      <c r="M36" s="42">
        <f ca="1">IF(ISERROR(B36-2),"",C36+D36-F36-G36-K36+SUM($L$14:L36))</f>
        <v>-56246.962249651711</v>
      </c>
      <c r="O36" s="3">
        <v>46097.625</v>
      </c>
      <c r="P36" s="4">
        <v>91.95</v>
      </c>
      <c r="Q36" s="3">
        <v>46093.625</v>
      </c>
      <c r="R36" s="4">
        <v>99.95</v>
      </c>
      <c r="S36" s="3">
        <v>46093.625</v>
      </c>
      <c r="T36" s="4">
        <v>296.22500000000002</v>
      </c>
      <c r="U36" s="3">
        <f t="shared" si="0"/>
        <v>46097.625</v>
      </c>
      <c r="V36" s="3" t="str">
        <f t="shared" si="1"/>
        <v/>
      </c>
      <c r="W36" s="3">
        <v>46164.625</v>
      </c>
      <c r="X36" s="3">
        <v>46090</v>
      </c>
      <c r="Y36" s="5">
        <v>259.07319999999999</v>
      </c>
      <c r="Z36" s="3">
        <v>45827</v>
      </c>
      <c r="AA36" s="4">
        <v>235.94069999999999</v>
      </c>
      <c r="AB36" s="74">
        <v>45827</v>
      </c>
      <c r="AC36" s="4">
        <v>313.43900000000002</v>
      </c>
      <c r="AD36" s="6">
        <f t="shared" si="2"/>
        <v>45827</v>
      </c>
    </row>
    <row r="37" spans="1:30" x14ac:dyDescent="0.25">
      <c r="A37" s="37">
        <f t="shared" ca="1" si="3"/>
        <v>46150.625</v>
      </c>
      <c r="B37" s="38">
        <f ca="1">IF(COUNTIF($W$2:W1022,A37)=1,VLOOKUP(A37,O:P,2), IF(COUNTIF($W$2:W1022,A37)=0,$B$9,""))</f>
        <v>91.4</v>
      </c>
      <c r="C37" s="2">
        <f t="shared" ca="1" si="4"/>
        <v>108707.58757000498</v>
      </c>
      <c r="D37" s="41">
        <f t="shared" ca="1" si="5"/>
        <v>-81708.333333333328</v>
      </c>
      <c r="E37" s="38">
        <f ca="1">IF(COUNTIF($W$2:W1022,A37)=1,VLOOKUP(A37,Q:R,2), IF(COUNTIF($W$2:W1022,A37)=0,$C$9,""))</f>
        <v>99.58</v>
      </c>
      <c r="F37" s="2">
        <f t="shared" ca="1" si="6"/>
        <v>-50440.000000000677</v>
      </c>
      <c r="G37" s="41">
        <f t="shared" ca="1" si="7"/>
        <v>144.94133333333593</v>
      </c>
      <c r="H37" s="38">
        <f ca="1">IF(COUNTIF($W$2:W1022,A37)=1,VLOOKUP(A37,S:T,2), IF(COUNTIF($W$2:W1022,A37)=0,$D$9,""))</f>
        <v>277.74599999999998</v>
      </c>
      <c r="I37" s="39">
        <f ca="1">IF(COUNTIF($X$2:X1022,INT(A37))=1,VLOOKUP(INT(A37),X:Y,2), IF(ISERROR(H37-2),"",I36*(1-$D$8*(H37-H36)*0.0001)))</f>
        <v>265.83870000000002</v>
      </c>
      <c r="J37" s="39">
        <f t="shared" ca="1" si="8"/>
        <v>265.83870000000002</v>
      </c>
      <c r="K37" s="41">
        <f t="shared" ca="1" si="9"/>
        <v>117411.19691119937</v>
      </c>
      <c r="L37" s="41" t="str">
        <f ca="1">IF($A37="","",IF(COUNTIFS(Dividends!$G:$G,"&gt;"&amp;INT($A36),Dividends!$G:$G,"&lt;="&amp;INT($A37))=0,"",$H$2*SUMIFS(Dividends!$H:$H,Dividends!$G:$G,"&gt;"&amp;INT($A36),Dividends!$G:$G,"&lt;="&amp;INT($A37))))</f>
        <v/>
      </c>
      <c r="M37" s="42">
        <f ca="1">IF(ISERROR(B37-2),"",C37+D37-F37-G37-K37+SUM($L$14:L37))</f>
        <v>-40116.884007860368</v>
      </c>
      <c r="O37" s="3">
        <v>46098.625</v>
      </c>
      <c r="P37" s="4">
        <v>92.21</v>
      </c>
      <c r="Q37" s="3">
        <v>46094.625</v>
      </c>
      <c r="R37" s="4">
        <v>99.905000000000001</v>
      </c>
      <c r="S37" s="3">
        <v>46094.625</v>
      </c>
      <c r="T37" s="4">
        <v>306.91800000000001</v>
      </c>
      <c r="U37" s="3">
        <f t="shared" si="0"/>
        <v>46098.625</v>
      </c>
      <c r="V37" s="3" t="str">
        <f t="shared" si="1"/>
        <v/>
      </c>
      <c r="W37" s="3">
        <v>46168.625</v>
      </c>
      <c r="X37" s="3">
        <v>46091</v>
      </c>
      <c r="Y37" s="5">
        <v>261.08800000000002</v>
      </c>
      <c r="Z37" s="3">
        <v>45828</v>
      </c>
      <c r="AA37" s="4">
        <v>236.7012</v>
      </c>
      <c r="AB37" s="74">
        <v>45828</v>
      </c>
      <c r="AC37" s="4">
        <v>304.02</v>
      </c>
      <c r="AD37" s="6">
        <f t="shared" si="2"/>
        <v>45828</v>
      </c>
    </row>
    <row r="38" spans="1:30" x14ac:dyDescent="0.25">
      <c r="A38" s="37">
        <f t="shared" ca="1" si="3"/>
        <v>46153.625</v>
      </c>
      <c r="B38" s="38">
        <f ca="1">IF(COUNTIF($W$2:W1023,A38)=1,VLOOKUP(A38,O:P,2), IF(COUNTIF($W$2:W1023,A38)=0,$B$9,""))</f>
        <v>91.44</v>
      </c>
      <c r="C38" s="2">
        <f t="shared" ca="1" si="4"/>
        <v>121884.26485121528</v>
      </c>
      <c r="D38" s="41">
        <f t="shared" ca="1" si="5"/>
        <v>-88333.333333333328</v>
      </c>
      <c r="E38" s="38">
        <f ca="1">IF(COUNTIF($W$2:W1023,A38)=1,VLOOKUP(A38,Q:R,2), IF(COUNTIF($W$2:W1023,A38)=0,$C$9,""))</f>
        <v>99.436999999999998</v>
      </c>
      <c r="F38" s="2">
        <f t="shared" ca="1" si="6"/>
        <v>-87620.000000000859</v>
      </c>
      <c r="G38" s="41">
        <f t="shared" ca="1" si="7"/>
        <v>156.69333333332906</v>
      </c>
      <c r="H38" s="38">
        <f ca="1">IF(COUNTIF($W$2:W1023,A38)=1,VLOOKUP(A38,S:T,2), IF(COUNTIF($W$2:W1023,A38)=0,$D$9,""))</f>
        <v>277.33600000000001</v>
      </c>
      <c r="I38" s="39">
        <f ca="1">IF(COUNTIF($X$2:X1023,INT(A38))=1,VLOOKUP(INT(A38),X:Y,2), IF(ISERROR(H38-2),"",I37*(1-$D$8*(H38-H37)*0.0001)))</f>
        <v>266.14510000000001</v>
      </c>
      <c r="J38" s="39">
        <f t="shared" ca="1" si="8"/>
        <v>266.14510000000001</v>
      </c>
      <c r="K38" s="41">
        <f t="shared" ca="1" si="9"/>
        <v>139099.74259974511</v>
      </c>
      <c r="L38" s="41" t="str">
        <f ca="1">IF($A38="","",IF(COUNTIFS(Dividends!$G:$G,"&gt;"&amp;INT($A37),Dividends!$G:$G,"&lt;="&amp;INT($A38))=0,"",$H$2*SUMIFS(Dividends!$H:$H,Dividends!$G:$G,"&gt;"&amp;INT($A37),Dividends!$G:$G,"&lt;="&amp;INT($A38))))</f>
        <v/>
      </c>
      <c r="M38" s="42">
        <f ca="1">IF(ISERROR(B38-2),"",C38+D38-F38-G38-K38+SUM($L$14:L38))</f>
        <v>-18085.504415195624</v>
      </c>
      <c r="O38" s="3">
        <v>46099.625</v>
      </c>
      <c r="P38" s="4">
        <v>92.17</v>
      </c>
      <c r="Q38" s="3">
        <v>46097.625</v>
      </c>
      <c r="R38" s="4">
        <v>99.959000000000003</v>
      </c>
      <c r="S38" s="3">
        <v>46097.625</v>
      </c>
      <c r="T38" s="4">
        <v>300.69400000000002</v>
      </c>
      <c r="U38" s="3">
        <f t="shared" si="0"/>
        <v>46099.625</v>
      </c>
      <c r="V38" s="3" t="str">
        <f t="shared" si="1"/>
        <v/>
      </c>
      <c r="W38" s="3">
        <v>46169.625</v>
      </c>
      <c r="X38" s="3">
        <v>46092</v>
      </c>
      <c r="Y38" s="5">
        <v>259.59120000000001</v>
      </c>
      <c r="Z38" s="3">
        <v>45831</v>
      </c>
      <c r="AA38" s="4">
        <v>236.5609</v>
      </c>
      <c r="AB38" s="74">
        <v>45831</v>
      </c>
      <c r="AC38" s="4">
        <v>307.142</v>
      </c>
      <c r="AD38" s="6">
        <f t="shared" si="2"/>
        <v>45831</v>
      </c>
    </row>
    <row r="39" spans="1:30" x14ac:dyDescent="0.25">
      <c r="A39" s="37">
        <f t="shared" ca="1" si="3"/>
        <v>46154.625</v>
      </c>
      <c r="B39" s="38">
        <f ca="1">IF(COUNTIF($W$2:W1024,A39)=1,VLOOKUP(A39,O:P,2), IF(COUNTIF($W$2:W1024,A39)=0,$B$9,""))</f>
        <v>91.28</v>
      </c>
      <c r="C39" s="2">
        <f t="shared" ca="1" si="4"/>
        <v>69177.555726367413</v>
      </c>
      <c r="D39" s="41">
        <f t="shared" ca="1" si="5"/>
        <v>-90541.666666666672</v>
      </c>
      <c r="E39" s="38">
        <f ca="1">IF(COUNTIF($W$2:W1024,A39)=1,VLOOKUP(A39,Q:R,2), IF(COUNTIF($W$2:W1024,A39)=0,$C$9,""))</f>
        <v>99.322999999999993</v>
      </c>
      <c r="F39" s="2">
        <f t="shared" ca="1" si="6"/>
        <v>-117260.00000000199</v>
      </c>
      <c r="G39" s="41">
        <f t="shared" ca="1" si="7"/>
        <v>160.61066666666011</v>
      </c>
      <c r="H39" s="38">
        <f ca="1">IF(COUNTIF($W$2:W1024,A39)=1,VLOOKUP(A39,S:T,2), IF(COUNTIF($W$2:W1024,A39)=0,$D$9,""))</f>
        <v>283.721</v>
      </c>
      <c r="I39" s="39">
        <f ca="1">IF(COUNTIF($X$2:X1024,INT(A39))=1,VLOOKUP(INT(A39),X:Y,2), IF(ISERROR(H39-2),"",I38*(1-$D$8*(H39-H38)*0.0001)))</f>
        <v>265.19240000000002</v>
      </c>
      <c r="J39" s="39">
        <f t="shared" ca="1" si="8"/>
        <v>265.19240000000002</v>
      </c>
      <c r="K39" s="41">
        <f t="shared" ca="1" si="9"/>
        <v>71662.805662807339</v>
      </c>
      <c r="L39" s="41" t="str">
        <f ca="1">IF($A39="","",IF(COUNTIFS(Dividends!$G:$G,"&gt;"&amp;INT($A38),Dividends!$G:$G,"&lt;="&amp;INT($A39))=0,"",$H$2*SUMIFS(Dividends!$H:$H,Dividends!$G:$G,"&gt;"&amp;INT($A38),Dividends!$G:$G,"&lt;="&amp;INT($A39))))</f>
        <v/>
      </c>
      <c r="M39" s="42">
        <f ca="1">IF(ISERROR(B39-2),"",C39+D39-F39-G39-K39+SUM($L$14:L39))</f>
        <v>24072.472730228736</v>
      </c>
      <c r="O39" s="3">
        <v>46100.625</v>
      </c>
      <c r="P39" s="4">
        <v>89.42</v>
      </c>
      <c r="Q39" s="3">
        <v>46098.625</v>
      </c>
      <c r="R39" s="4">
        <v>99.992999999999995</v>
      </c>
      <c r="S39" s="3">
        <v>46098.625</v>
      </c>
      <c r="T39" s="4">
        <v>294.98399999999998</v>
      </c>
      <c r="U39" s="3">
        <f t="shared" si="0"/>
        <v>46100.625</v>
      </c>
      <c r="V39" s="3" t="str">
        <f t="shared" si="1"/>
        <v/>
      </c>
      <c r="W39" s="3">
        <v>46170.625</v>
      </c>
      <c r="X39" s="3">
        <v>46093</v>
      </c>
      <c r="Y39" s="5">
        <v>258.51130000000001</v>
      </c>
      <c r="Z39" s="3">
        <v>45832</v>
      </c>
      <c r="AA39" s="4">
        <v>238.1567</v>
      </c>
      <c r="AB39" s="74">
        <v>45832</v>
      </c>
      <c r="AC39" s="4">
        <v>291.75099999999998</v>
      </c>
      <c r="AD39" s="6">
        <f t="shared" si="2"/>
        <v>45832</v>
      </c>
    </row>
    <row r="40" spans="1:30" x14ac:dyDescent="0.25">
      <c r="A40" s="37">
        <f t="shared" ca="1" si="3"/>
        <v>46155.625</v>
      </c>
      <c r="B40" s="38">
        <f ca="1">IF(COUNTIF($W$2:W1025,A40)=1,VLOOKUP(A40,O:P,2), IF(COUNTIF($W$2:W1025,A40)=0,$B$9,""))</f>
        <v>91.31</v>
      </c>
      <c r="C40" s="2">
        <f t="shared" ca="1" si="4"/>
        <v>79060.063687275135</v>
      </c>
      <c r="D40" s="41">
        <f t="shared" ca="1" si="5"/>
        <v>-92750</v>
      </c>
      <c r="E40" s="38">
        <f ca="1">IF(COUNTIF($W$2:W1025,A40)=1,VLOOKUP(A40,Q:R,2), IF(COUNTIF($W$2:W1025,A40)=0,$C$9,""))</f>
        <v>99.292000000000002</v>
      </c>
      <c r="F40" s="2">
        <f t="shared" ca="1" si="6"/>
        <v>-125319.99999999983</v>
      </c>
      <c r="G40" s="41">
        <f t="shared" ca="1" si="7"/>
        <v>164.52799999999115</v>
      </c>
      <c r="H40" s="38">
        <f ca="1">IF(COUNTIF($W$2:W1025,A40)=1,VLOOKUP(A40,S:T,2), IF(COUNTIF($W$2:W1025,A40)=0,$D$9,""))</f>
        <v>280.03899999999999</v>
      </c>
      <c r="I40" s="39">
        <f ca="1">IF(COUNTIF($X$2:X1025,INT(A40))=1,VLOOKUP(INT(A40),X:Y,2), IF(ISERROR(H40-2),"",I39*(1-$D$8*(H40-H39)*0.0001)))</f>
        <v>265.76659999999998</v>
      </c>
      <c r="J40" s="39">
        <f t="shared" ca="1" si="8"/>
        <v>265.76659999999998</v>
      </c>
      <c r="K40" s="41">
        <f t="shared" ca="1" si="9"/>
        <v>112307.59330759221</v>
      </c>
      <c r="L40" s="41" t="str">
        <f ca="1">IF($A40="","",IF(COUNTIFS(Dividends!$G:$G,"&gt;"&amp;INT($A39),Dividends!$G:$G,"&lt;="&amp;INT($A40))=0,"",$H$2*SUMIFS(Dividends!$H:$H,Dividends!$G:$G,"&gt;"&amp;INT($A39),Dividends!$G:$G,"&lt;="&amp;INT($A40))))</f>
        <v/>
      </c>
      <c r="M40" s="42">
        <f ca="1">IF(ISERROR(B40-2),"",C40+D40-F40-G40-K40+SUM($L$14:L40))</f>
        <v>-842.05762031723862</v>
      </c>
      <c r="O40" s="3">
        <v>46101.625</v>
      </c>
      <c r="P40" s="4">
        <v>89.08</v>
      </c>
      <c r="Q40" s="3">
        <v>46099.625</v>
      </c>
      <c r="R40" s="4">
        <v>99.841999999999999</v>
      </c>
      <c r="S40" s="3">
        <v>46099.625</v>
      </c>
      <c r="T40" s="4">
        <v>298.827</v>
      </c>
      <c r="U40" s="3">
        <f t="shared" si="0"/>
        <v>46101.625</v>
      </c>
      <c r="V40" s="3" t="str">
        <f t="shared" si="1"/>
        <v/>
      </c>
      <c r="W40" s="3">
        <v>46171.625</v>
      </c>
      <c r="X40" s="3">
        <v>46094</v>
      </c>
      <c r="Y40" s="5">
        <v>257.45740000000001</v>
      </c>
      <c r="Z40" s="3">
        <v>45833</v>
      </c>
      <c r="AA40" s="4">
        <v>238.0162</v>
      </c>
      <c r="AB40" s="74">
        <v>45833</v>
      </c>
      <c r="AC40" s="4">
        <v>292.76</v>
      </c>
      <c r="AD40" s="6">
        <f t="shared" si="2"/>
        <v>45833</v>
      </c>
    </row>
    <row r="41" spans="1:30" x14ac:dyDescent="0.25">
      <c r="A41" s="37">
        <f t="shared" ca="1" si="3"/>
        <v>46156.625</v>
      </c>
      <c r="B41" s="38">
        <f ca="1">IF(COUNTIF($W$2:W1026,A41)=1,VLOOKUP(A41,O:P,2), IF(COUNTIF($W$2:W1026,A41)=0,$B$9,""))</f>
        <v>91.4</v>
      </c>
      <c r="C41" s="2">
        <f t="shared" ca="1" si="4"/>
        <v>108707.58757000498</v>
      </c>
      <c r="D41" s="41">
        <f t="shared" ca="1" si="5"/>
        <v>-94958.333333333328</v>
      </c>
      <c r="E41" s="38">
        <f ca="1">IF(COUNTIF($W$2:W1026,A41)=1,VLOOKUP(A41,Q:R,2), IF(COUNTIF($W$2:W1026,A41)=0,$C$9,""))</f>
        <v>99.430999999999997</v>
      </c>
      <c r="F41" s="2">
        <f t="shared" ca="1" si="6"/>
        <v>-89180.000000000917</v>
      </c>
      <c r="G41" s="41">
        <f t="shared" ca="1" si="7"/>
        <v>168.44533333333675</v>
      </c>
      <c r="H41" s="38">
        <f ca="1">IF(COUNTIF($W$2:W1026,A41)=1,VLOOKUP(A41,S:T,2), IF(COUNTIF($W$2:W1026,A41)=0,$D$9,""))</f>
        <v>274.584</v>
      </c>
      <c r="I41" s="39">
        <f ca="1">IF(COUNTIF($X$2:X1026,INT(A41))=1,VLOOKUP(INT(A41),X:Y,2), IF(ISERROR(H41-2),"",I40*(1-$D$8*(H41-H40)*0.0001)))</f>
        <v>266.41410000000002</v>
      </c>
      <c r="J41" s="39">
        <f t="shared" ca="1" si="8"/>
        <v>266.41410000000002</v>
      </c>
      <c r="K41" s="41">
        <f t="shared" ca="1" si="9"/>
        <v>158140.92664092954</v>
      </c>
      <c r="L41" s="41" t="str">
        <f ca="1">IF($A41="","",IF(COUNTIFS(Dividends!$G:$G,"&gt;"&amp;INT($A40),Dividends!$G:$G,"&lt;="&amp;INT($A41))=0,"",$H$2*SUMIFS(Dividends!$H:$H,Dividends!$G:$G,"&gt;"&amp;INT($A40),Dividends!$G:$G,"&lt;="&amp;INT($A41))))</f>
        <v/>
      </c>
      <c r="M41" s="42">
        <f ca="1">IF(ISERROR(B41-2),"",C41+D41-F41-G41-K41+SUM($L$14:L41))</f>
        <v>-55380.117737590306</v>
      </c>
      <c r="O41" s="3">
        <v>46104.625</v>
      </c>
      <c r="P41" s="4">
        <v>89.33</v>
      </c>
      <c r="Q41" s="3">
        <v>46100.625</v>
      </c>
      <c r="R41" s="4">
        <v>99.638999999999996</v>
      </c>
      <c r="S41" s="3">
        <v>46100.625</v>
      </c>
      <c r="T41" s="4">
        <v>309.03899999999999</v>
      </c>
      <c r="U41" s="3">
        <f t="shared" si="0"/>
        <v>46104.625</v>
      </c>
      <c r="V41" s="3" t="str">
        <f t="shared" si="1"/>
        <v/>
      </c>
      <c r="W41" s="3">
        <v>46174.625</v>
      </c>
      <c r="X41" s="3">
        <v>46097</v>
      </c>
      <c r="Y41" s="5">
        <v>257.82310000000001</v>
      </c>
      <c r="Z41" s="3">
        <v>45834</v>
      </c>
      <c r="AA41" s="4">
        <v>238.31659999999999</v>
      </c>
      <c r="AB41" s="74">
        <v>45834</v>
      </c>
      <c r="AC41" s="4">
        <v>290.53100000000001</v>
      </c>
      <c r="AD41" s="6">
        <f t="shared" si="2"/>
        <v>45834</v>
      </c>
    </row>
    <row r="42" spans="1:30" x14ac:dyDescent="0.25">
      <c r="A42" s="37">
        <f t="shared" ca="1" si="3"/>
        <v>46157.625</v>
      </c>
      <c r="B42" s="38">
        <f ca="1">IF(COUNTIF($W$2:W1027,A42)=1,VLOOKUP(A42,O:P,2), IF(COUNTIF($W$2:W1027,A42)=0,$B$9,""))</f>
        <v>91.28</v>
      </c>
      <c r="C42" s="2">
        <f t="shared" ca="1" si="4"/>
        <v>69177.555726367413</v>
      </c>
      <c r="D42" s="41">
        <f t="shared" ca="1" si="5"/>
        <v>-97166.666666666657</v>
      </c>
      <c r="E42" s="38">
        <f ca="1">IF(COUNTIF($W$2:W1027,A42)=1,VLOOKUP(A42,Q:R,2), IF(COUNTIF($W$2:W1027,A42)=0,$C$9,""))</f>
        <v>99.259</v>
      </c>
      <c r="F42" s="2">
        <f t="shared" ca="1" si="6"/>
        <v>-133900.00000000015</v>
      </c>
      <c r="G42" s="41">
        <f t="shared" ca="1" si="7"/>
        <v>172.36266666666779</v>
      </c>
      <c r="H42" s="38">
        <f ca="1">IF(COUNTIF($W$2:W1027,A42)=1,VLOOKUP(A42,S:T,2), IF(COUNTIF($W$2:W1027,A42)=0,$D$9,""))</f>
        <v>280.37200000000001</v>
      </c>
      <c r="I42" s="39">
        <f ca="1">IF(COUNTIF($X$2:X1027,INT(A42))=1,VLOOKUP(INT(A42),X:Y,2), IF(ISERROR(H42-2),"",I41*(1-$D$8*(H42-H41)*0.0001)))</f>
        <v>265.51639999999998</v>
      </c>
      <c r="J42" s="39">
        <f t="shared" ca="1" si="8"/>
        <v>265.51639999999998</v>
      </c>
      <c r="K42" s="41">
        <f t="shared" ca="1" si="9"/>
        <v>94597.168597164811</v>
      </c>
      <c r="L42" s="41" t="str">
        <f ca="1">IF($A42="","",IF(COUNTIFS(Dividends!$G:$G,"&gt;"&amp;INT($A41),Dividends!$G:$G,"&lt;="&amp;INT($A42))=0,"",$H$2*SUMIFS(Dividends!$H:$H,Dividends!$G:$G,"&gt;"&amp;INT($A41),Dividends!$G:$G,"&lt;="&amp;INT($A42))))</f>
        <v/>
      </c>
      <c r="M42" s="42">
        <f ca="1">IF(ISERROR(B42-2),"",C42+D42-F42-G42-K42+SUM($L$14:L42))</f>
        <v>11141.357795869422</v>
      </c>
      <c r="O42" s="3">
        <v>46105.625</v>
      </c>
      <c r="P42" s="4">
        <v>89.26</v>
      </c>
      <c r="Q42" s="3">
        <v>46101.625</v>
      </c>
      <c r="R42" s="4">
        <v>99.41</v>
      </c>
      <c r="S42" s="3">
        <v>46101.625</v>
      </c>
      <c r="T42" s="4">
        <v>350.86599999999999</v>
      </c>
      <c r="U42" s="3">
        <f t="shared" si="0"/>
        <v>46105.625</v>
      </c>
      <c r="V42" s="3" t="str">
        <f t="shared" si="1"/>
        <v/>
      </c>
      <c r="W42" s="3">
        <v>46175.625</v>
      </c>
      <c r="X42" s="3">
        <v>46098</v>
      </c>
      <c r="Y42" s="5">
        <v>258.83109999999999</v>
      </c>
      <c r="Z42" s="3">
        <v>45835</v>
      </c>
      <c r="AA42" s="4">
        <v>239.05629999999999</v>
      </c>
      <c r="AB42" s="74">
        <v>45835</v>
      </c>
      <c r="AC42" s="4">
        <v>284.21499999999997</v>
      </c>
      <c r="AD42" s="6">
        <f t="shared" si="2"/>
        <v>45835</v>
      </c>
    </row>
    <row r="43" spans="1:30" x14ac:dyDescent="0.25">
      <c r="A43" s="37">
        <f t="shared" ca="1" si="3"/>
        <v>46160.625</v>
      </c>
      <c r="B43" s="38">
        <f ca="1">IF(COUNTIF($W$2:W1028,A43)=1,VLOOKUP(A43,O:P,2), IF(COUNTIF($W$2:W1028,A43)=0,$B$9,""))</f>
        <v>91.22</v>
      </c>
      <c r="C43" s="2">
        <f t="shared" ca="1" si="4"/>
        <v>49412.539804545297</v>
      </c>
      <c r="D43" s="41">
        <f t="shared" ca="1" si="5"/>
        <v>-103791.66666666667</v>
      </c>
      <c r="E43" s="38">
        <f ca="1">IF(COUNTIF($W$2:W1028,A43)=1,VLOOKUP(A43,Q:R,2), IF(COUNTIF($W$2:W1028,A43)=0,$C$9,""))</f>
        <v>99.296000000000006</v>
      </c>
      <c r="F43" s="2">
        <f t="shared" ca="1" si="6"/>
        <v>-124279.99999999854</v>
      </c>
      <c r="G43" s="41">
        <f t="shared" ca="1" si="7"/>
        <v>184.11466666667548</v>
      </c>
      <c r="H43" s="38">
        <f ca="1">IF(COUNTIF($W$2:W1028,A43)=1,VLOOKUP(A43,S:T,2), IF(COUNTIF($W$2:W1028,A43)=0,$D$9,""))</f>
        <v>279.00200000000001</v>
      </c>
      <c r="I43" s="39">
        <f ca="1">IF(COUNTIF($X$2:X1028,INT(A43))=1,VLOOKUP(INT(A43),X:Y,2), IF(ISERROR(H43-2),"",I42*(1-$D$8*(H43-H42)*0.0001)))</f>
        <v>265.6705</v>
      </c>
      <c r="J43" s="39">
        <f t="shared" ca="1" si="8"/>
        <v>265.6705</v>
      </c>
      <c r="K43" s="41">
        <f t="shared" ca="1" si="9"/>
        <v>105505.14800514976</v>
      </c>
      <c r="L43" s="41" t="str">
        <f ca="1">IF($A43="","",IF(COUNTIFS(Dividends!$G:$G,"&gt;"&amp;INT($A42),Dividends!$G:$G,"&lt;="&amp;INT($A43))=0,"",$H$2*SUMIFS(Dividends!$H:$H,Dividends!$G:$G,"&gt;"&amp;INT($A42),Dividends!$G:$G,"&lt;="&amp;INT($A43))))</f>
        <v/>
      </c>
      <c r="M43" s="42">
        <f ca="1">IF(ISERROR(B43-2),"",C43+D43-F43-G43-K43+SUM($L$14:L43))</f>
        <v>-35788.389533939262</v>
      </c>
      <c r="O43" s="3">
        <v>46106.625</v>
      </c>
      <c r="P43" s="4">
        <v>89.54</v>
      </c>
      <c r="Q43" s="3">
        <v>46104.625</v>
      </c>
      <c r="R43" s="4">
        <v>99.53</v>
      </c>
      <c r="S43" s="3">
        <v>46104.625</v>
      </c>
      <c r="T43" s="4">
        <v>341.82299999999998</v>
      </c>
      <c r="U43" s="3">
        <f t="shared" si="0"/>
        <v>46106.625</v>
      </c>
      <c r="V43" s="3" t="str">
        <f t="shared" si="1"/>
        <v/>
      </c>
      <c r="W43" s="3">
        <v>46176.625</v>
      </c>
      <c r="X43" s="3">
        <v>46099</v>
      </c>
      <c r="Y43" s="5">
        <v>258.3931</v>
      </c>
      <c r="Z43" s="3">
        <v>45838</v>
      </c>
      <c r="AA43" s="4">
        <v>239.3235</v>
      </c>
      <c r="AB43" s="74">
        <v>45838</v>
      </c>
      <c r="AC43" s="4">
        <v>282.54000000000002</v>
      </c>
      <c r="AD43" s="6">
        <f t="shared" si="2"/>
        <v>45838</v>
      </c>
    </row>
    <row r="44" spans="1:30" x14ac:dyDescent="0.25">
      <c r="A44" s="37">
        <f t="shared" ca="1" si="3"/>
        <v>46161.625</v>
      </c>
      <c r="B44" s="38">
        <f ca="1">IF(COUNTIF($W$2:W1029,A44)=1,VLOOKUP(A44,O:P,2), IF(COUNTIF($W$2:W1029,A44)=0,$B$9,""))</f>
        <v>90.83</v>
      </c>
      <c r="C44" s="2">
        <f t="shared" ca="1" si="4"/>
        <v>-79060.063687271802</v>
      </c>
      <c r="D44" s="41">
        <f t="shared" ca="1" si="5"/>
        <v>-106000</v>
      </c>
      <c r="E44" s="38">
        <f ca="1">IF(COUNTIF($W$2:W1029,A44)=1,VLOOKUP(A44,Q:R,2), IF(COUNTIF($W$2:W1029,A44)=0,$C$9,""))</f>
        <v>99.180999999999997</v>
      </c>
      <c r="F44" s="2">
        <f t="shared" ca="1" si="6"/>
        <v>-154180.0000000009</v>
      </c>
      <c r="G44" s="41">
        <f t="shared" ca="1" si="7"/>
        <v>188.03200000000652</v>
      </c>
      <c r="H44" s="38">
        <f ca="1">IF(COUNTIF($W$2:W1029,A44)=1,VLOOKUP(A44,S:T,2), IF(COUNTIF($W$2:W1029,A44)=0,$D$9,""))</f>
        <v>285.488</v>
      </c>
      <c r="I44" s="39">
        <f ca="1">IF(COUNTIF($X$2:X1029,INT(A44))=1,VLOOKUP(INT(A44),X:Y,2), IF(ISERROR(H44-2),"",I43*(1-$D$8*(H44-H43)*0.0001)))</f>
        <v>265.08920000000001</v>
      </c>
      <c r="J44" s="39">
        <f t="shared" ca="1" si="8"/>
        <v>265.08920000000001</v>
      </c>
      <c r="K44" s="41">
        <f t="shared" ca="1" si="9"/>
        <v>64357.786357786084</v>
      </c>
      <c r="L44" s="41" t="str">
        <f ca="1">IF($A44="","",IF(COUNTIFS(Dividends!$G:$G,"&gt;"&amp;INT($A43),Dividends!$G:$G,"&lt;="&amp;INT($A44))=0,"",$H$2*SUMIFS(Dividends!$H:$H,Dividends!$G:$G,"&gt;"&amp;INT($A43),Dividends!$G:$G,"&lt;="&amp;INT($A44))))</f>
        <v/>
      </c>
      <c r="M44" s="42">
        <f ca="1">IF(ISERROR(B44-2),"",C44+D44-F44-G44-K44+SUM($L$14:L44))</f>
        <v>-95425.882045056976</v>
      </c>
      <c r="O44" s="3">
        <v>46107.625</v>
      </c>
      <c r="P44" s="4">
        <v>89.29</v>
      </c>
      <c r="Q44" s="3">
        <v>46105.625</v>
      </c>
      <c r="R44" s="4">
        <v>99.400999999999996</v>
      </c>
      <c r="S44" s="3">
        <v>46105.625</v>
      </c>
      <c r="T44" s="4">
        <v>342.43400000000003</v>
      </c>
      <c r="U44" s="3">
        <f t="shared" si="0"/>
        <v>46107.625</v>
      </c>
      <c r="V44" s="3" t="str">
        <f t="shared" si="1"/>
        <v/>
      </c>
      <c r="W44" s="3">
        <v>46177.625</v>
      </c>
      <c r="X44" s="3">
        <v>46100</v>
      </c>
      <c r="Y44" s="5">
        <v>257.0634</v>
      </c>
      <c r="Z44" s="3">
        <v>45839</v>
      </c>
      <c r="AA44" s="4">
        <v>239.28819999999999</v>
      </c>
      <c r="AB44" s="74">
        <v>45839</v>
      </c>
      <c r="AC44" s="4">
        <v>282.95999999999998</v>
      </c>
      <c r="AD44" s="6">
        <f t="shared" si="2"/>
        <v>45839</v>
      </c>
    </row>
    <row r="45" spans="1:30" x14ac:dyDescent="0.25">
      <c r="A45" s="37">
        <f t="shared" ca="1" si="3"/>
        <v>46162.625</v>
      </c>
      <c r="B45" s="38">
        <f ca="1">IF(COUNTIF($W$2:W1030,A45)=1,VLOOKUP(A45,O:P,2), IF(COUNTIF($W$2:W1030,A45)=0,$B$9,""))</f>
        <v>91.06</v>
      </c>
      <c r="C45" s="2">
        <f t="shared" ca="1" si="4"/>
        <v>-3294.1693202992451</v>
      </c>
      <c r="D45" s="41">
        <f t="shared" ca="1" si="5"/>
        <v>-108208.33333333331</v>
      </c>
      <c r="E45" s="38">
        <f ca="1">IF(COUNTIF($W$2:W1030,A45)=1,VLOOKUP(A45,Q:R,2), IF(COUNTIF($W$2:W1030,A45)=0,$C$9,""))</f>
        <v>99.39</v>
      </c>
      <c r="F45" s="2">
        <f t="shared" ca="1" si="6"/>
        <v>-99840.000000000087</v>
      </c>
      <c r="G45" s="41">
        <f t="shared" ca="1" si="7"/>
        <v>191.94933333332301</v>
      </c>
      <c r="H45" s="38">
        <f ca="1">IF(COUNTIF($W$2:W1030,A45)=1,VLOOKUP(A45,S:T,2), IF(COUNTIF($W$2:W1030,A45)=0,$D$9,""))</f>
        <v>278.315</v>
      </c>
      <c r="I45" s="39">
        <f ca="1">IF(COUNTIF($X$2:X1030,INT(A45))=1,VLOOKUP(INT(A45),X:Y,2), IF(ISERROR(H45-2),"",I44*(1-$D$8*(H45-H44)*0.0001)))</f>
        <v>266.18329999999997</v>
      </c>
      <c r="J45" s="39">
        <f t="shared" ca="1" si="8"/>
        <v>266.18329999999997</v>
      </c>
      <c r="K45" s="41">
        <f t="shared" ca="1" si="9"/>
        <v>141803.73230372972</v>
      </c>
      <c r="L45" s="41" t="str">
        <f ca="1">IF($A45="","",IF(COUNTIFS(Dividends!$G:$G,"&gt;"&amp;INT($A44),Dividends!$G:$G,"&lt;="&amp;INT($A45))=0,"",$H$2*SUMIFS(Dividends!$H:$H,Dividends!$G:$G,"&gt;"&amp;INT($A44),Dividends!$G:$G,"&lt;="&amp;INT($A45))))</f>
        <v/>
      </c>
      <c r="M45" s="42">
        <f ca="1">IF(ISERROR(B45-2),"",C45+D45-F45-G45-K45+SUM($L$14:L45))</f>
        <v>-153658.18429069553</v>
      </c>
      <c r="O45" s="3">
        <v>46108.625</v>
      </c>
      <c r="P45" s="4">
        <v>88.99</v>
      </c>
      <c r="Q45" s="3">
        <v>46106.625</v>
      </c>
      <c r="R45" s="4">
        <v>99.501000000000005</v>
      </c>
      <c r="S45" s="3">
        <v>46106.625</v>
      </c>
      <c r="T45" s="4">
        <v>334.50400000000002</v>
      </c>
      <c r="U45" s="3">
        <f t="shared" si="0"/>
        <v>46108.625</v>
      </c>
      <c r="V45" s="3" t="str">
        <f t="shared" si="1"/>
        <v/>
      </c>
      <c r="W45" s="3">
        <v>46178.625</v>
      </c>
      <c r="X45" s="3">
        <v>46101</v>
      </c>
      <c r="Y45" s="5">
        <v>255.87119999999999</v>
      </c>
      <c r="Z45" s="3">
        <v>45840</v>
      </c>
      <c r="AA45" s="4">
        <v>239.2792</v>
      </c>
      <c r="AB45" s="74">
        <v>45840</v>
      </c>
      <c r="AC45" s="4">
        <v>283.459</v>
      </c>
      <c r="AD45" s="6">
        <f t="shared" si="2"/>
        <v>45840</v>
      </c>
    </row>
    <row r="46" spans="1:30" x14ac:dyDescent="0.25">
      <c r="A46" s="37">
        <f t="shared" ca="1" si="3"/>
        <v>46163.625</v>
      </c>
      <c r="B46" s="38">
        <f ca="1">IF(COUNTIF($W$2:W1031,A46)=1,VLOOKUP(A46,O:P,2), IF(COUNTIF($W$2:W1031,A46)=0,$B$9,""))</f>
        <v>91.15</v>
      </c>
      <c r="C46" s="2">
        <f t="shared" ca="1" si="4"/>
        <v>26353.354562427267</v>
      </c>
      <c r="D46" s="41">
        <f t="shared" ca="1" si="5"/>
        <v>-110416.66666666666</v>
      </c>
      <c r="E46" s="38">
        <f ca="1">IF(COUNTIF($W$2:W1031,A46)=1,VLOOKUP(A46,Q:R,2), IF(COUNTIF($W$2:W1031,A46)=0,$C$9,""))</f>
        <v>99.37</v>
      </c>
      <c r="F46" s="2">
        <f t="shared" ca="1" si="6"/>
        <v>-105039.99999999905</v>
      </c>
      <c r="G46" s="41">
        <f t="shared" ca="1" si="7"/>
        <v>195.86666666666861</v>
      </c>
      <c r="H46" s="38">
        <f ca="1">IF(COUNTIF($W$2:W1031,A46)=1,VLOOKUP(A46,S:T,2), IF(COUNTIF($W$2:W1031,A46)=0,$D$9,""))</f>
        <v>279.541</v>
      </c>
      <c r="I46" s="39">
        <f ca="1">IF(COUNTIF($X$2:X1031,INT(A46))=1,VLOOKUP(INT(A46),X:Y,2), IF(ISERROR(H46-2),"",I45*(1-$D$8*(H46-H45)*0.0001)))</f>
        <v>265.81610000000001</v>
      </c>
      <c r="J46" s="39">
        <f t="shared" ca="1" si="8"/>
        <v>265.81610000000001</v>
      </c>
      <c r="K46" s="41">
        <f t="shared" ca="1" si="9"/>
        <v>115811.45431145377</v>
      </c>
      <c r="L46" s="41" t="str">
        <f ca="1">IF($A46="","",IF(COUNTIFS(Dividends!$G:$G,"&gt;"&amp;INT($A45),Dividends!$G:$G,"&lt;="&amp;INT($A46))=0,"",$H$2*SUMIFS(Dividends!$H:$H,Dividends!$G:$G,"&gt;"&amp;INT($A45),Dividends!$G:$G,"&lt;="&amp;INT($A46))))</f>
        <v/>
      </c>
      <c r="M46" s="42">
        <f ca="1">IF(ISERROR(B46-2),"",C46+D46-F46-G46-K46+SUM($L$14:L46))</f>
        <v>-95030.633082360771</v>
      </c>
      <c r="O46" s="3">
        <v>46111.625</v>
      </c>
      <c r="P46" s="4">
        <v>88.85</v>
      </c>
      <c r="Q46" s="3">
        <v>46107.625</v>
      </c>
      <c r="R46" s="4">
        <v>99.313000000000002</v>
      </c>
      <c r="S46" s="3">
        <v>46107.625</v>
      </c>
      <c r="T46" s="4">
        <v>344.47199999999998</v>
      </c>
      <c r="U46" s="3">
        <f t="shared" si="0"/>
        <v>46111.625</v>
      </c>
      <c r="V46" s="3" t="str">
        <f t="shared" si="1"/>
        <v/>
      </c>
      <c r="W46" s="3">
        <v>46181.625</v>
      </c>
      <c r="X46" s="3">
        <v>46104</v>
      </c>
      <c r="Y46" s="5">
        <v>256.74209999999999</v>
      </c>
      <c r="Z46" s="3">
        <v>45841</v>
      </c>
      <c r="AA46" s="4">
        <v>239.88030000000001</v>
      </c>
      <c r="AB46" s="74">
        <v>45841</v>
      </c>
      <c r="AC46" s="4">
        <v>278.322</v>
      </c>
      <c r="AD46" s="6">
        <f t="shared" si="2"/>
        <v>45841</v>
      </c>
    </row>
    <row r="47" spans="1:30" x14ac:dyDescent="0.25">
      <c r="A47" s="37">
        <f t="shared" ca="1" si="3"/>
        <v>46164.625</v>
      </c>
      <c r="B47" s="38">
        <f ca="1">IF(COUNTIF($W$2:W1032,A47)=1,VLOOKUP(A47,O:P,2), IF(COUNTIF($W$2:W1032,A47)=0,$B$9,""))</f>
        <v>91.28</v>
      </c>
      <c r="C47" s="2">
        <f t="shared" ca="1" si="4"/>
        <v>69177.555726367413</v>
      </c>
      <c r="D47" s="41">
        <f t="shared" ca="1" si="5"/>
        <v>-112625</v>
      </c>
      <c r="E47" s="38">
        <f ca="1">IF(COUNTIF($W$2:W1032,A47)=1,VLOOKUP(A47,Q:R,2), IF(COUNTIF($W$2:W1032,A47)=0,$C$9,""))</f>
        <v>99.453999999999994</v>
      </c>
      <c r="F47" s="2">
        <f t="shared" ca="1" si="6"/>
        <v>-83200.000000001921</v>
      </c>
      <c r="G47" s="41">
        <f t="shared" ca="1" si="7"/>
        <v>199.78399999999965</v>
      </c>
      <c r="H47" s="38">
        <f ca="1">IF(COUNTIF($W$2:W1032,A47)=1,VLOOKUP(A47,S:T,2), IF(COUNTIF($W$2:W1032,A47)=0,$D$9,""))</f>
        <v>273.86200000000002</v>
      </c>
      <c r="I47" s="39">
        <f ca="1">IF(COUNTIF($X$2:X1032,INT(A47))=1,VLOOKUP(INT(A47),X:Y,2), IF(ISERROR(H47-2),"",I46*(1-$D$8*(H47-H46)*0.0001)))</f>
        <v>266.66180000000003</v>
      </c>
      <c r="J47" s="39">
        <f t="shared" ca="1" si="8"/>
        <v>266.66180000000003</v>
      </c>
      <c r="K47" s="41">
        <f t="shared" ca="1" si="9"/>
        <v>175674.38867439001</v>
      </c>
      <c r="L47" s="41" t="str">
        <f ca="1">IF($A47="","",IF(COUNTIFS(Dividends!$G:$G,"&gt;"&amp;INT($A46),Dividends!$G:$G,"&lt;="&amp;INT($A47))=0,"",$H$2*SUMIFS(Dividends!$H:$H,Dividends!$G:$G,"&gt;"&amp;INT($A46),Dividends!$G:$G,"&lt;="&amp;INT($A47))))</f>
        <v/>
      </c>
      <c r="M47" s="42">
        <f ca="1">IF(ISERROR(B47-2),"",C47+D47-F47-G47-K47+SUM($L$14:L47))</f>
        <v>-136121.61694802067</v>
      </c>
      <c r="O47" s="3">
        <v>46112.625</v>
      </c>
      <c r="P47" s="4">
        <v>89.12</v>
      </c>
      <c r="Q47" s="3">
        <v>46108.625</v>
      </c>
      <c r="R47" s="4">
        <v>99.304000000000002</v>
      </c>
      <c r="S47" s="3">
        <v>46108.625</v>
      </c>
      <c r="T47" s="4">
        <v>361.33</v>
      </c>
      <c r="U47" s="3">
        <f t="shared" si="0"/>
        <v>46112.625</v>
      </c>
      <c r="V47" s="3" t="str">
        <f t="shared" si="1"/>
        <v/>
      </c>
      <c r="W47" s="3">
        <v>46182.625</v>
      </c>
      <c r="X47" s="3">
        <v>46105</v>
      </c>
      <c r="Y47" s="5">
        <v>256.9957</v>
      </c>
      <c r="Z47" s="3">
        <v>45842</v>
      </c>
      <c r="AA47" s="4">
        <v>239.0291</v>
      </c>
      <c r="AB47" s="74">
        <v>45842</v>
      </c>
      <c r="AC47" s="4">
        <v>286.32499999999999</v>
      </c>
      <c r="AD47" s="6">
        <f t="shared" si="2"/>
        <v>45842</v>
      </c>
    </row>
    <row r="48" spans="1:30" x14ac:dyDescent="0.25">
      <c r="A48" s="37">
        <f t="shared" ca="1" si="3"/>
        <v>46168.625</v>
      </c>
      <c r="B48" s="38">
        <f ca="1">IF(COUNTIF($W$2:W1033,A48)=1,VLOOKUP(A48,O:P,2), IF(COUNTIF($W$2:W1033,A48)=0,$B$9,""))</f>
        <v>91.51</v>
      </c>
      <c r="C48" s="2">
        <f t="shared" ca="1" si="4"/>
        <v>144943.45009333998</v>
      </c>
      <c r="D48" s="41">
        <f t="shared" ca="1" si="5"/>
        <v>-121458.33333333334</v>
      </c>
      <c r="E48" s="38">
        <f ca="1">IF(COUNTIF($W$2:W1033,A48)=1,VLOOKUP(A48,Q:R,2), IF(COUNTIF($W$2:W1033,A48)=0,$C$9,""))</f>
        <v>99.56</v>
      </c>
      <c r="F48" s="2">
        <f t="shared" ca="1" si="6"/>
        <v>-55639.999999999651</v>
      </c>
      <c r="G48" s="41">
        <f t="shared" ca="1" si="7"/>
        <v>215.45333333332383</v>
      </c>
      <c r="H48" s="38">
        <f ca="1">IF(COUNTIF($W$2:W1033,A48)=1,VLOOKUP(A48,S:T,2), IF(COUNTIF($W$2:W1033,A48)=0,$D$9,""))</f>
        <v>268.83499999999998</v>
      </c>
      <c r="I48" s="39">
        <f ca="1">IF(COUNTIF($X$2:X1033,INT(A48))=1,VLOOKUP(INT(A48),X:Y,2), IF(ISERROR(H48-2),"",I47*(1-$D$8*(H48-H47)*0.0001)))</f>
        <v>267.40750000000003</v>
      </c>
      <c r="J48" s="39">
        <f t="shared" ca="1" si="8"/>
        <v>267.40750000000003</v>
      </c>
      <c r="K48" s="41">
        <f t="shared" ca="1" si="9"/>
        <v>228458.81595881886</v>
      </c>
      <c r="L48" s="41" t="str">
        <f ca="1">IF($A48="","",IF(COUNTIFS(Dividends!$G:$G,"&gt;"&amp;INT($A47),Dividends!$G:$G,"&lt;="&amp;INT($A48))=0,"",$H$2*SUMIFS(Dividends!$H:$H,Dividends!$G:$G,"&gt;"&amp;INT($A47),Dividends!$G:$G,"&lt;="&amp;INT($A48))))</f>
        <v/>
      </c>
      <c r="M48" s="42">
        <f ca="1">IF(ISERROR(B48-2),"",C48+D48-F48-G48-K48+SUM($L$14:L48))</f>
        <v>-149549.1525321459</v>
      </c>
      <c r="O48" s="3">
        <v>46113.625</v>
      </c>
      <c r="P48" s="4">
        <v>89.8</v>
      </c>
      <c r="Q48" s="3">
        <v>46111.625</v>
      </c>
      <c r="R48" s="4">
        <v>99.466999999999999</v>
      </c>
      <c r="S48" s="3">
        <v>46111.625</v>
      </c>
      <c r="T48" s="4">
        <v>364.03399999999999</v>
      </c>
      <c r="U48" s="3">
        <f t="shared" si="0"/>
        <v>46113.625</v>
      </c>
      <c r="V48" s="3" t="str">
        <f t="shared" si="1"/>
        <v/>
      </c>
      <c r="W48" s="3">
        <v>46183.625</v>
      </c>
      <c r="X48" s="3">
        <v>46106</v>
      </c>
      <c r="Y48" s="5">
        <v>258.20859999999999</v>
      </c>
      <c r="Z48" s="3">
        <v>45845</v>
      </c>
      <c r="AA48" s="4">
        <v>239.6181</v>
      </c>
      <c r="AB48" s="74">
        <v>45845</v>
      </c>
      <c r="AC48" s="4">
        <v>282.00400000000002</v>
      </c>
      <c r="AD48" s="6">
        <f t="shared" si="2"/>
        <v>45845</v>
      </c>
    </row>
    <row r="49" spans="1:35" x14ac:dyDescent="0.25">
      <c r="A49" s="37">
        <f t="shared" ca="1" si="3"/>
        <v>46169.625</v>
      </c>
      <c r="B49" s="38">
        <f ca="1">IF(COUNTIF($W$2:W1034,A49)=1,VLOOKUP(A49,O:P,2), IF(COUNTIF($W$2:W1034,A49)=0,$B$9,""))</f>
        <v>91.58</v>
      </c>
      <c r="C49" s="2">
        <f t="shared" ca="1" si="4"/>
        <v>168002.63533545801</v>
      </c>
      <c r="D49" s="41">
        <f t="shared" ca="1" si="5"/>
        <v>-123666.66666666667</v>
      </c>
      <c r="E49" s="38">
        <f ca="1">IF(COUNTIF($W$2:W1034,A49)=1,VLOOKUP(A49,Q:R,2), IF(COUNTIF($W$2:W1034,A49)=0,$C$9,""))</f>
        <v>99.588999999999999</v>
      </c>
      <c r="F49" s="2">
        <f t="shared" ca="1" si="6"/>
        <v>-48100.000000000589</v>
      </c>
      <c r="G49" s="41">
        <f t="shared" ca="1" si="7"/>
        <v>219.37066666665487</v>
      </c>
      <c r="H49" s="38">
        <f ca="1">IF(COUNTIF($W$2:W1034,A49)=1,VLOOKUP(A49,S:T,2), IF(COUNTIF($W$2:W1034,A49)=0,$D$9,""))</f>
        <v>266.55900000000003</v>
      </c>
      <c r="I49" s="39">
        <f ca="1">IF(COUNTIF($X$2:X1034,INT(A49))=1,VLOOKUP(INT(A49),X:Y,2), IF(ISERROR(H49-2),"",I48*(1-$D$8*(H49-H48)*0.0001)))</f>
        <v>267.66390000000001</v>
      </c>
      <c r="J49" s="39">
        <f t="shared" ca="1" si="8"/>
        <v>267.66390000000001</v>
      </c>
      <c r="K49" s="41">
        <f t="shared" ca="1" si="9"/>
        <v>246608.10810810883</v>
      </c>
      <c r="L49" s="41" t="str">
        <f ca="1">IF($A49="","",IF(COUNTIFS(Dividends!$G:$G,"&gt;"&amp;INT($A48),Dividends!$G:$G,"&lt;="&amp;INT($A49))=0,"",$H$2*SUMIFS(Dividends!$H:$H,Dividends!$G:$G,"&gt;"&amp;INT($A48),Dividends!$G:$G,"&lt;="&amp;INT($A49))))</f>
        <v/>
      </c>
      <c r="M49" s="42">
        <f ca="1">IF(ISERROR(B49-2),"",C49+D49-F49-G49-K49+SUM($L$14:L49))</f>
        <v>-154391.51010598356</v>
      </c>
      <c r="O49" s="3">
        <v>46114.625</v>
      </c>
      <c r="P49" s="4">
        <v>89.7</v>
      </c>
      <c r="Q49" s="3">
        <v>46112.625</v>
      </c>
      <c r="R49" s="4">
        <v>99.444000000000003</v>
      </c>
      <c r="S49" s="3">
        <v>46112.625</v>
      </c>
      <c r="T49" s="4">
        <v>355.63</v>
      </c>
      <c r="U49" s="3">
        <f t="shared" si="0"/>
        <v>46114.625</v>
      </c>
      <c r="V49" s="3">
        <f t="shared" si="1"/>
        <v>46114.625</v>
      </c>
      <c r="W49" s="3">
        <v>46184.625</v>
      </c>
      <c r="X49" s="3">
        <v>46107</v>
      </c>
      <c r="Y49" s="5">
        <v>255.99350000000001</v>
      </c>
      <c r="Z49" s="3">
        <v>45846</v>
      </c>
      <c r="AA49" s="4">
        <v>239.49889999999999</v>
      </c>
      <c r="AB49" s="74">
        <v>45846</v>
      </c>
      <c r="AC49" s="4">
        <v>282.16399999999999</v>
      </c>
      <c r="AD49" s="6">
        <f t="shared" si="2"/>
        <v>45846</v>
      </c>
    </row>
    <row r="50" spans="1:35" x14ac:dyDescent="0.25">
      <c r="A50" s="37">
        <f t="shared" ca="1" si="3"/>
        <v>46170.625</v>
      </c>
      <c r="B50" s="38">
        <f ca="1">IF(COUNTIF($W$2:W1035,A50)=1,VLOOKUP(A50,O:P,2), IF(COUNTIF($W$2:W1035,A50)=0,$B$9,""))</f>
        <v>91.7</v>
      </c>
      <c r="C50" s="2">
        <f t="shared" ca="1" si="4"/>
        <v>207532.66717909559</v>
      </c>
      <c r="D50" s="41">
        <f t="shared" ca="1" si="5"/>
        <v>-125874.99999999999</v>
      </c>
      <c r="E50" s="38">
        <f ca="1">IF(COUNTIF($W$2:W1035,A50)=1,VLOOKUP(A50,Q:R,2), IF(COUNTIF($W$2:W1035,A50)=0,$C$9,""))</f>
        <v>99.653999999999996</v>
      </c>
      <c r="F50" s="2">
        <f t="shared" ca="1" si="6"/>
        <v>-31200.000000001182</v>
      </c>
      <c r="G50" s="41">
        <f t="shared" ca="1" si="7"/>
        <v>223.28800000000047</v>
      </c>
      <c r="H50" s="38">
        <f ca="1">IF(COUNTIF($W$2:W1035,A50)=1,VLOOKUP(A50,S:T,2), IF(COUNTIF($W$2:W1035,A50)=0,$D$9,""))</f>
        <v>264.23200000000003</v>
      </c>
      <c r="I50" s="39">
        <f ca="1">IF(COUNTIF($X$2:X1035,INT(A50))=1,VLOOKUP(INT(A50),X:Y,2), IF(ISERROR(H50-2),"",I49*(1-$D$8*(H50-H49)*0.0001)))</f>
        <v>268.21620000000001</v>
      </c>
      <c r="J50" s="39">
        <f t="shared" ca="1" si="8"/>
        <v>268.21620000000001</v>
      </c>
      <c r="K50" s="41">
        <f t="shared" ca="1" si="9"/>
        <v>285702.7027027033</v>
      </c>
      <c r="L50" s="41" t="str">
        <f ca="1">IF($A50="","",IF(COUNTIFS(Dividends!$G:$G,"&gt;"&amp;INT($A49),Dividends!$G:$G,"&lt;="&amp;INT($A50))=0,"",$H$2*SUMIFS(Dividends!$H:$H,Dividends!$G:$G,"&gt;"&amp;INT($A49),Dividends!$G:$G,"&lt;="&amp;INT($A50))))</f>
        <v/>
      </c>
      <c r="M50" s="42">
        <f ca="1">IF(ISERROR(B50-2),"",C50+D50-F50-G50-K50+SUM($L$14:L50))</f>
        <v>-173068.32352360652</v>
      </c>
      <c r="O50" s="3">
        <v>46119.625</v>
      </c>
      <c r="P50" s="4">
        <v>89.6</v>
      </c>
      <c r="Q50" s="3">
        <v>46113.625</v>
      </c>
      <c r="R50" s="4">
        <v>99.510999999999996</v>
      </c>
      <c r="S50" s="3">
        <v>46113.625</v>
      </c>
      <c r="T50" s="4">
        <v>329.10599999999999</v>
      </c>
      <c r="U50" s="3">
        <f t="shared" si="0"/>
        <v>46119.625</v>
      </c>
      <c r="V50" s="3">
        <f t="shared" si="1"/>
        <v>46119.625</v>
      </c>
      <c r="W50" s="3">
        <v>46185.625</v>
      </c>
      <c r="X50" s="3">
        <v>46108</v>
      </c>
      <c r="Y50" s="5">
        <v>254.57159999999999</v>
      </c>
      <c r="Z50" s="3">
        <v>45847</v>
      </c>
      <c r="AA50" s="4">
        <v>239.9195</v>
      </c>
      <c r="AB50" s="74">
        <v>45847</v>
      </c>
      <c r="AC50" s="4">
        <v>278.887</v>
      </c>
      <c r="AD50" s="6">
        <f t="shared" si="2"/>
        <v>45847</v>
      </c>
    </row>
    <row r="51" spans="1:35" x14ac:dyDescent="0.25">
      <c r="A51" s="37">
        <f t="shared" ca="1" si="3"/>
        <v>46171.625</v>
      </c>
      <c r="B51" s="38">
        <f ca="1">IF(COUNTIF($W$2:W1036,A51)=1,VLOOKUP(A51,O:P,2), IF(COUNTIF($W$2:W1036,A51)=0,$B$9,""))</f>
        <v>91.85</v>
      </c>
      <c r="C51" s="2">
        <f t="shared" ca="1" si="4"/>
        <v>256945.20698364088</v>
      </c>
      <c r="D51" s="41">
        <f t="shared" ca="1" si="5"/>
        <v>-128083.33333333334</v>
      </c>
      <c r="E51" s="38">
        <f ca="1">IF(COUNTIF($W$2:W1036,A51)=1,VLOOKUP(A51,Q:R,2), IF(COUNTIF($W$2:W1036,A51)=0,$C$9,""))</f>
        <v>99.679000000000002</v>
      </c>
      <c r="F51" s="2">
        <f t="shared" ca="1" si="6"/>
        <v>-24699.999999999705</v>
      </c>
      <c r="G51" s="41">
        <f t="shared" ca="1" si="7"/>
        <v>227.20533333333151</v>
      </c>
      <c r="H51" s="38">
        <f ca="1">IF(COUNTIF($W$2:W1036,A51)=1,VLOOKUP(A51,S:T,2), IF(COUNTIF($W$2:W1036,A51)=0,$D$9,""))</f>
        <v>258.70600000000002</v>
      </c>
      <c r="I51" s="39">
        <f ca="1">IF(COUNTIF($X$2:X1036,INT(A51))=1,VLOOKUP(INT(A51),X:Y,2), IF(ISERROR(H51-2),"",I50*(1-$D$8*(H51-H50)*0.0001)))</f>
        <v>268.76229999999998</v>
      </c>
      <c r="J51" s="39">
        <f t="shared" ca="1" si="8"/>
        <v>268.76229999999998</v>
      </c>
      <c r="K51" s="41">
        <f t="shared" ca="1" si="9"/>
        <v>324358.42985842697</v>
      </c>
      <c r="L51" s="41" t="str">
        <f ca="1">IF($A51="","",IF(COUNTIFS(Dividends!$G:$G,"&gt;"&amp;INT($A50),Dividends!$G:$G,"&lt;="&amp;INT($A51))=0,"",$H$2*SUMIFS(Dividends!$H:$H,Dividends!$G:$G,"&gt;"&amp;INT($A50),Dividends!$G:$G,"&lt;="&amp;INT($A51))))</f>
        <v/>
      </c>
      <c r="M51" s="42">
        <f ca="1">IF(ISERROR(B51-2),"",C51+D51-F51-G51-K51+SUM($L$14:L51))</f>
        <v>-171023.76154145307</v>
      </c>
      <c r="O51" s="3">
        <v>46120.625</v>
      </c>
      <c r="P51" s="4">
        <v>90.56</v>
      </c>
      <c r="Q51" s="3">
        <v>46114.625</v>
      </c>
      <c r="R51" s="4">
        <v>99.484999999999999</v>
      </c>
      <c r="S51" s="3">
        <v>46114.625</v>
      </c>
      <c r="T51" s="4">
        <v>326.72000000000003</v>
      </c>
      <c r="U51" s="3">
        <f t="shared" si="0"/>
        <v>46120.625</v>
      </c>
      <c r="V51" s="3">
        <f t="shared" si="1"/>
        <v>46120.625</v>
      </c>
      <c r="W51" s="3">
        <v>46188.625</v>
      </c>
      <c r="X51" s="3">
        <v>46111</v>
      </c>
      <c r="Y51" s="5">
        <v>254.6893</v>
      </c>
      <c r="Z51" s="3">
        <v>45848</v>
      </c>
      <c r="AA51" s="4">
        <v>240.07650000000001</v>
      </c>
      <c r="AB51" s="74">
        <v>45848</v>
      </c>
      <c r="AC51" s="4">
        <v>277.661</v>
      </c>
      <c r="AD51" s="6">
        <f t="shared" si="2"/>
        <v>45848</v>
      </c>
    </row>
    <row r="52" spans="1:35" x14ac:dyDescent="0.25">
      <c r="A52" s="37">
        <f t="shared" ca="1" si="3"/>
        <v>46174.625</v>
      </c>
      <c r="B52" s="38">
        <f ca="1">IF(COUNTIF($W$2:W1037,A52)=1,VLOOKUP(A52,O:P,2), IF(COUNTIF($W$2:W1037,A52)=0,$B$9,""))</f>
        <v>91.65</v>
      </c>
      <c r="C52" s="2">
        <f t="shared" ca="1" si="4"/>
        <v>191061.82057758269</v>
      </c>
      <c r="D52" s="41">
        <f t="shared" ca="1" si="5"/>
        <v>-134708.33333333334</v>
      </c>
      <c r="E52" s="38">
        <f ca="1">IF(COUNTIF($W$2:W1037,A52)=1,VLOOKUP(A52,Q:R,2), IF(COUNTIF($W$2:W1037,A52)=0,$C$9,""))</f>
        <v>99.450999999999993</v>
      </c>
      <c r="F52" s="2">
        <f t="shared" ca="1" si="6"/>
        <v>-83980.00000000195</v>
      </c>
      <c r="G52" s="41">
        <f t="shared" ca="1" si="7"/>
        <v>238.95733333332464</v>
      </c>
      <c r="H52" s="38">
        <f ca="1">IF(COUNTIF($W$2:W1037,A52)=1,VLOOKUP(A52,S:T,2), IF(COUNTIF($W$2:W1037,A52)=0,$D$9,""))</f>
        <v>265.43599999999998</v>
      </c>
      <c r="I52" s="39">
        <f ca="1">IF(COUNTIF($X$2:X1037,INT(A52))=1,VLOOKUP(INT(A52),X:Y,2), IF(ISERROR(H52-2),"",I51*(1-$D$8*(H52-H51)*0.0001)))</f>
        <v>268.39839999999998</v>
      </c>
      <c r="J52" s="39">
        <f t="shared" ca="1" si="8"/>
        <v>268.39839999999998</v>
      </c>
      <c r="K52" s="41">
        <f t="shared" ca="1" si="9"/>
        <v>298599.74259974121</v>
      </c>
      <c r="L52" s="41" t="str">
        <f ca="1">IF($A52="","",IF(COUNTIFS(Dividends!$G:$G,"&gt;"&amp;INT($A51),Dividends!$G:$G,"&lt;="&amp;INT($A52))=0,"",$H$2*SUMIFS(Dividends!$H:$H,Dividends!$G:$G,"&gt;"&amp;INT($A51),Dividends!$G:$G,"&lt;="&amp;INT($A52))))</f>
        <v/>
      </c>
      <c r="M52" s="42">
        <f ca="1">IF(ISERROR(B52-2),"",C52+D52-F52-G52-K52+SUM($L$14:L52))</f>
        <v>-158505.21268882323</v>
      </c>
      <c r="O52" s="3">
        <v>46121.625</v>
      </c>
      <c r="P52" s="4">
        <v>90.47</v>
      </c>
      <c r="Q52" s="3">
        <v>46119.625</v>
      </c>
      <c r="R52" s="4">
        <v>99.212999999999994</v>
      </c>
      <c r="S52" s="3">
        <v>46119.625</v>
      </c>
      <c r="T52" s="4">
        <v>333.96699999999998</v>
      </c>
      <c r="U52" s="3">
        <f t="shared" si="0"/>
        <v>46121.625</v>
      </c>
      <c r="V52" s="3">
        <f t="shared" si="1"/>
        <v>46121.625</v>
      </c>
      <c r="W52" s="3">
        <v>46189.625</v>
      </c>
      <c r="X52" s="3">
        <v>46112</v>
      </c>
      <c r="Y52" s="5">
        <v>255.8124</v>
      </c>
      <c r="Z52" s="3">
        <v>45849</v>
      </c>
      <c r="AA52" s="4">
        <v>239.64150000000001</v>
      </c>
      <c r="AB52" s="74">
        <v>45849</v>
      </c>
      <c r="AC52" s="4">
        <v>281.73500000000001</v>
      </c>
      <c r="AD52" s="6">
        <f t="shared" si="2"/>
        <v>45849</v>
      </c>
    </row>
    <row r="53" spans="1:35" x14ac:dyDescent="0.25">
      <c r="A53" s="37">
        <f t="shared" ca="1" si="3"/>
        <v>46175.625</v>
      </c>
      <c r="B53" s="38">
        <f ca="1">IF(COUNTIF($W$2:W1038,A53)=1,VLOOKUP(A53,O:P,2), IF(COUNTIF($W$2:W1038,A53)=0,$B$9,""))</f>
        <v>91.88</v>
      </c>
      <c r="C53" s="2">
        <f t="shared" ca="1" si="4"/>
        <v>266827.71494454861</v>
      </c>
      <c r="D53" s="41">
        <f t="shared" ca="1" si="5"/>
        <v>-136916.66666666666</v>
      </c>
      <c r="E53" s="38">
        <f ca="1">IF(COUNTIF($W$2:W1038,A53)=1,VLOOKUP(A53,Q:R,2), IF(COUNTIF($W$2:W1038,A53)=0,$C$9,""))</f>
        <v>99.534999999999997</v>
      </c>
      <c r="F53" s="2">
        <f t="shared" ca="1" si="6"/>
        <v>-62140.00000000112</v>
      </c>
      <c r="G53" s="41">
        <f t="shared" ca="1" si="7"/>
        <v>242.87466666665568</v>
      </c>
      <c r="H53" s="38">
        <f ca="1">IF(COUNTIF($W$2:W1038,A53)=1,VLOOKUP(A53,S:T,2), IF(COUNTIF($W$2:W1038,A53)=0,$D$9,""))</f>
        <v>258.46100000000001</v>
      </c>
      <c r="I53" s="39">
        <f ca="1">IF(COUNTIF($X$2:X1038,INT(A53))=1,VLOOKUP(INT(A53),X:Y,2), IF(ISERROR(H53-2),"",I52*(1-$D$8*(H53-H52)*0.0001)))</f>
        <v>268.89879999999999</v>
      </c>
      <c r="J53" s="39">
        <f t="shared" ca="1" si="8"/>
        <v>268.89879999999999</v>
      </c>
      <c r="K53" s="41">
        <f t="shared" ca="1" si="9"/>
        <v>334020.5920205919</v>
      </c>
      <c r="L53" s="41" t="str">
        <f ca="1">IF($A53="","",IF(COUNTIFS(Dividends!$G:$G,"&gt;"&amp;INT($A52),Dividends!$G:$G,"&lt;="&amp;INT($A53))=0,"",$H$2*SUMIFS(Dividends!$H:$H,Dividends!$G:$G,"&gt;"&amp;INT($A52),Dividends!$G:$G,"&lt;="&amp;INT($A53))))</f>
        <v/>
      </c>
      <c r="M53" s="42">
        <f ca="1">IF(ISERROR(B53-2),"",C53+D53-F53-G53-K53+SUM($L$14:L53))</f>
        <v>-142212.41840937547</v>
      </c>
      <c r="O53" s="3">
        <v>46122.625</v>
      </c>
      <c r="P53" s="4">
        <v>90.75</v>
      </c>
      <c r="Q53" s="3">
        <v>46120.625</v>
      </c>
      <c r="R53" s="4">
        <v>99.777000000000001</v>
      </c>
      <c r="S53" s="3">
        <v>46120.625</v>
      </c>
      <c r="T53" s="4">
        <v>301.61900000000003</v>
      </c>
      <c r="U53" s="3">
        <f t="shared" si="0"/>
        <v>46122.625</v>
      </c>
      <c r="V53" s="3">
        <f t="shared" si="1"/>
        <v>46122.625</v>
      </c>
      <c r="W53" s="3">
        <v>46190.625</v>
      </c>
      <c r="X53" s="3">
        <v>46113</v>
      </c>
      <c r="Y53" s="5">
        <v>258.79109999999997</v>
      </c>
      <c r="Z53" s="3">
        <v>45852</v>
      </c>
      <c r="AA53" s="4">
        <v>239.5692</v>
      </c>
      <c r="AB53" s="74">
        <v>45852</v>
      </c>
      <c r="AC53" s="4">
        <v>282.80599999999998</v>
      </c>
      <c r="AD53" s="6">
        <f t="shared" si="2"/>
        <v>45852</v>
      </c>
    </row>
    <row r="54" spans="1:35" x14ac:dyDescent="0.25">
      <c r="A54" s="37">
        <f t="shared" ca="1" si="3"/>
        <v>46176.625</v>
      </c>
      <c r="B54" s="38">
        <f ca="1">IF(COUNTIF($W$2:W1039,A54)=1,VLOOKUP(A54,O:P,2), IF(COUNTIF($W$2:W1039,A54)=0,$B$9,""))</f>
        <v>91.75</v>
      </c>
      <c r="C54" s="2">
        <f t="shared" ca="1" si="4"/>
        <v>224003.51378060845</v>
      </c>
      <c r="D54" s="41">
        <f t="shared" ca="1" si="5"/>
        <v>-139124.99999999997</v>
      </c>
      <c r="E54" s="38">
        <f ca="1">IF(COUNTIF($W$2:W1039,A54)=1,VLOOKUP(A54,Q:R,2), IF(COUNTIF($W$2:W1039,A54)=0,$C$9,""))</f>
        <v>99.421999999999997</v>
      </c>
      <c r="F54" s="2">
        <f t="shared" ca="1" si="6"/>
        <v>-91520.000000001004</v>
      </c>
      <c r="G54" s="41">
        <f t="shared" ca="1" si="7"/>
        <v>246.79199999998673</v>
      </c>
      <c r="H54" s="38">
        <f ca="1">IF(COUNTIF($W$2:W1039,A54)=1,VLOOKUP(A54,S:T,2), IF(COUNTIF($W$2:W1039,A54)=0,$D$9,""))</f>
        <v>261.79599999999999</v>
      </c>
      <c r="I54" s="39">
        <f ca="1">IF(COUNTIF($X$2:X1039,INT(A54))=1,VLOOKUP(INT(A54),X:Y,2), IF(ISERROR(H54-2),"",I53*(1-$D$8*(H54-H53)*0.0001)))</f>
        <v>268.40789999999998</v>
      </c>
      <c r="J54" s="39">
        <f t="shared" ca="1" si="8"/>
        <v>268.40789999999998</v>
      </c>
      <c r="K54" s="41">
        <f t="shared" ca="1" si="9"/>
        <v>299272.20077219815</v>
      </c>
      <c r="L54" s="41" t="str">
        <f ca="1">IF($A54="","",IF(COUNTIFS(Dividends!$G:$G,"&gt;"&amp;INT($A53),Dividends!$G:$G,"&lt;="&amp;INT($A54))=0,"",$H$2*SUMIFS(Dividends!$H:$H,Dividends!$G:$G,"&gt;"&amp;INT($A53),Dividends!$G:$G,"&lt;="&amp;INT($A54))))</f>
        <v/>
      </c>
      <c r="M54" s="42">
        <f ca="1">IF(ISERROR(B54-2),"",C54+D54-F54-G54-K54+SUM($L$14:L54))</f>
        <v>-123120.47899158866</v>
      </c>
      <c r="O54" s="3">
        <v>46125.625</v>
      </c>
      <c r="P54" s="4">
        <v>90.46</v>
      </c>
      <c r="Q54" s="3">
        <v>46121.625</v>
      </c>
      <c r="R54" s="4">
        <v>99.576999999999998</v>
      </c>
      <c r="S54" s="3">
        <v>46121.625</v>
      </c>
      <c r="T54" s="4">
        <v>299.79199999999997</v>
      </c>
      <c r="U54" s="3">
        <f t="shared" si="0"/>
        <v>46125.625</v>
      </c>
      <c r="V54" s="3">
        <f t="shared" si="1"/>
        <v>46125.625</v>
      </c>
      <c r="W54" s="3">
        <v>46191.625</v>
      </c>
      <c r="X54" s="3">
        <v>46114</v>
      </c>
      <c r="Y54" s="5">
        <v>259.01429999999999</v>
      </c>
      <c r="Z54" s="3">
        <v>45853</v>
      </c>
      <c r="AA54" s="4">
        <v>239.57310000000001</v>
      </c>
      <c r="AB54" s="74">
        <v>45853</v>
      </c>
      <c r="AC54" s="4">
        <v>282.98599999999999</v>
      </c>
      <c r="AD54" s="6">
        <f t="shared" si="2"/>
        <v>45853</v>
      </c>
    </row>
    <row r="55" spans="1:35" x14ac:dyDescent="0.25">
      <c r="A55" s="37">
        <f t="shared" ca="1" si="3"/>
        <v>46177.625</v>
      </c>
      <c r="B55" s="38">
        <f ca="1">IF(COUNTIF($W$2:W1040,A55)=1,VLOOKUP(A55,O:P,2), IF(COUNTIF($W$2:W1040,A55)=0,$B$9,""))</f>
        <v>91.74</v>
      </c>
      <c r="C55" s="2">
        <f t="shared" ca="1" si="4"/>
        <v>220709.34446030587</v>
      </c>
      <c r="D55" s="41">
        <f t="shared" ca="1" si="5"/>
        <v>-141333.33333333334</v>
      </c>
      <c r="E55" s="38">
        <f ca="1">IF(COUNTIF($W$2:W1040,A55)=1,VLOOKUP(A55,Q:R,2), IF(COUNTIF($W$2:W1040,A55)=0,$C$9,""))</f>
        <v>99.430999999999997</v>
      </c>
      <c r="F55" s="2">
        <f t="shared" ca="1" si="6"/>
        <v>-89180.000000000917</v>
      </c>
      <c r="G55" s="41">
        <f t="shared" ca="1" si="7"/>
        <v>250.70933333333232</v>
      </c>
      <c r="H55" s="38">
        <f ca="1">IF(COUNTIF($W$2:W1040,A55)=1,VLOOKUP(A55,S:T,2), IF(COUNTIF($W$2:W1040,A55)=0,$D$9,""))</f>
        <v>261.392</v>
      </c>
      <c r="I55" s="39">
        <f ca="1">IF(COUNTIF($X$2:X1040,INT(A55))=1,VLOOKUP(INT(A55),X:Y,2), IF(ISERROR(H55-2),"",I54*(1-$D$8*(H55-H54)*0.0001)))</f>
        <v>268.64510000000001</v>
      </c>
      <c r="J55" s="39">
        <f t="shared" ca="1" si="8"/>
        <v>268.64510000000001</v>
      </c>
      <c r="K55" s="41">
        <f t="shared" ca="1" si="9"/>
        <v>316062.41956242156</v>
      </c>
      <c r="L55" s="41" t="str">
        <f ca="1">IF($A55="","",IF(COUNTIFS(Dividends!$G:$G,"&gt;"&amp;INT($A54),Dividends!$G:$G,"&lt;="&amp;INT($A55))=0,"",$H$2*SUMIFS(Dividends!$H:$H,Dividends!$G:$G,"&gt;"&amp;INT($A54),Dividends!$G:$G,"&lt;="&amp;INT($A55))))</f>
        <v/>
      </c>
      <c r="M55" s="42">
        <f ca="1">IF(ISERROR(B55-2),"",C55+D55-F55-G55-K55+SUM($L$14:L55))</f>
        <v>-147757.11776878146</v>
      </c>
      <c r="O55" s="3">
        <v>46126.625</v>
      </c>
      <c r="P55" s="4">
        <v>90.75</v>
      </c>
      <c r="Q55" s="3">
        <v>46122.625</v>
      </c>
      <c r="R55" s="4">
        <v>99.55</v>
      </c>
      <c r="S55" s="3">
        <v>46122.625</v>
      </c>
      <c r="T55" s="4">
        <v>291.34300000000002</v>
      </c>
      <c r="U55" s="3">
        <f t="shared" si="0"/>
        <v>46126.625</v>
      </c>
      <c r="V55" s="3">
        <f t="shared" si="1"/>
        <v>46126.625</v>
      </c>
      <c r="W55" s="3">
        <v>46192.625</v>
      </c>
      <c r="X55" s="3">
        <v>46119</v>
      </c>
      <c r="Y55" s="5">
        <v>258.06200000000001</v>
      </c>
      <c r="Z55" s="3">
        <v>45854</v>
      </c>
      <c r="AA55" s="4">
        <v>239.2413</v>
      </c>
      <c r="AB55" s="74">
        <v>45854</v>
      </c>
      <c r="AC55" s="4">
        <v>285.26100000000002</v>
      </c>
      <c r="AD55" s="6">
        <f t="shared" si="2"/>
        <v>45854</v>
      </c>
    </row>
    <row r="56" spans="1:35" x14ac:dyDescent="0.25">
      <c r="A56" s="37">
        <f t="shared" ca="1" si="3"/>
        <v>46178.625</v>
      </c>
      <c r="B56" s="38">
        <f ca="1">IF(COUNTIF($W$2:W1041,A56)=1,VLOOKUP(A56,O:P,2), IF(COUNTIF($W$2:W1041,A56)=0,$B$9,""))</f>
        <v>91.71</v>
      </c>
      <c r="C56" s="2">
        <f t="shared" ca="1" si="4"/>
        <v>210826.83649939814</v>
      </c>
      <c r="D56" s="41">
        <f t="shared" ca="1" si="5"/>
        <v>-143541.66666666666</v>
      </c>
      <c r="E56" s="38">
        <f ca="1">IF(COUNTIF($W$2:W1041,A56)=1,VLOOKUP(A56,Q:R,2), IF(COUNTIF($W$2:W1041,A56)=0,$C$9,""))</f>
        <v>99.38</v>
      </c>
      <c r="F56" s="2">
        <f t="shared" ca="1" si="6"/>
        <v>-102440.00000000143</v>
      </c>
      <c r="G56" s="41">
        <f t="shared" ca="1" si="7"/>
        <v>254.62666666666337</v>
      </c>
      <c r="H56" s="38">
        <f ca="1">IF(COUNTIF($W$2:W1041,A56)=1,VLOOKUP(A56,S:T,2), IF(COUNTIF($W$2:W1041,A56)=0,$D$9,""))</f>
        <v>261.88600000000002</v>
      </c>
      <c r="I56" s="39">
        <f ca="1">IF(COUNTIF($X$2:X1041,INT(A56))=1,VLOOKUP(INT(A56),X:Y,2), IF(ISERROR(H56-2),"",I55*(1-$D$8*(H56-H55)*0.0001)))</f>
        <v>268.35000000000002</v>
      </c>
      <c r="J56" s="39">
        <f t="shared" ca="1" si="8"/>
        <v>268.35000000000002</v>
      </c>
      <c r="K56" s="41">
        <f t="shared" ca="1" si="9"/>
        <v>295173.74517374445</v>
      </c>
      <c r="L56" s="41" t="str">
        <f ca="1">IF($A56="","",IF(COUNTIFS(Dividends!$G:$G,"&gt;"&amp;INT($A55),Dividends!$G:$G,"&lt;="&amp;INT($A56))=0,"",$H$2*SUMIFS(Dividends!$H:$H,Dividends!$G:$G,"&gt;"&amp;INT($A55),Dividends!$G:$G,"&lt;="&amp;INT($A56))))</f>
        <v/>
      </c>
      <c r="M56" s="42">
        <f ca="1">IF(ISERROR(B56-2),"",C56+D56-F56-G56-K56+SUM($L$14:L56))</f>
        <v>-125703.20200767822</v>
      </c>
      <c r="O56" s="3">
        <v>46127.625</v>
      </c>
      <c r="P56" s="4">
        <v>90.88</v>
      </c>
      <c r="Q56" s="3">
        <v>46125.625</v>
      </c>
      <c r="R56" s="4">
        <v>99.418000000000006</v>
      </c>
      <c r="S56" s="3">
        <v>46125.625</v>
      </c>
      <c r="T56" s="4">
        <v>294.25299999999999</v>
      </c>
      <c r="U56" s="3">
        <f t="shared" si="0"/>
        <v>46127.625</v>
      </c>
      <c r="V56" s="3">
        <f t="shared" si="1"/>
        <v>46127.625</v>
      </c>
      <c r="W56" s="3">
        <v>46195.625</v>
      </c>
      <c r="X56" s="3">
        <v>46120</v>
      </c>
      <c r="Y56" s="5">
        <v>262.38350000000003</v>
      </c>
      <c r="Z56" s="3">
        <v>45855</v>
      </c>
      <c r="AA56" s="4">
        <v>240.13030000000001</v>
      </c>
      <c r="AB56" s="74">
        <v>45855</v>
      </c>
      <c r="AC56" s="4">
        <v>278.76799999999997</v>
      </c>
      <c r="AD56" s="6">
        <f t="shared" si="2"/>
        <v>45855</v>
      </c>
    </row>
    <row r="57" spans="1:35" x14ac:dyDescent="0.25">
      <c r="A57" s="37">
        <f t="shared" ca="1" si="3"/>
        <v>46181.625</v>
      </c>
      <c r="B57" s="38">
        <f ca="1">IF(COUNTIF($W$2:W1042,A57)=1,VLOOKUP(A57,O:P,2), IF(COUNTIF($W$2:W1042,A57)=0,$B$9,""))</f>
        <v>91.65</v>
      </c>
      <c r="C57" s="2">
        <f t="shared" ca="1" si="4"/>
        <v>191061.82057758269</v>
      </c>
      <c r="D57" s="41">
        <f t="shared" ca="1" si="5"/>
        <v>-150166.66666666666</v>
      </c>
      <c r="E57" s="38">
        <f ca="1">IF(COUNTIF($W$2:W1042,A57)=1,VLOOKUP(A57,Q:R,2), IF(COUNTIF($W$2:W1042,A57)=0,$C$9,""))</f>
        <v>99.350999999999999</v>
      </c>
      <c r="F57" s="2">
        <f t="shared" ca="1" si="6"/>
        <v>-109980.00000000048</v>
      </c>
      <c r="G57" s="41">
        <f t="shared" ca="1" si="7"/>
        <v>266.37866666667105</v>
      </c>
      <c r="H57" s="38">
        <f ca="1">IF(COUNTIF($W$2:W1042,A57)=1,VLOOKUP(A57,S:T,2), IF(COUNTIF($W$2:W1042,A57)=0,$D$9,""))</f>
        <v>263.755</v>
      </c>
      <c r="I57" s="39">
        <f ca="1">IF(COUNTIF($X$2:X1042,INT(A57))=1,VLOOKUP(INT(A57),X:Y,2), IF(ISERROR(H57-2),"",I56*(1-$D$8*(H57-H56)*0.0001)))</f>
        <v>268.29649999999998</v>
      </c>
      <c r="J57" s="39">
        <f t="shared" ca="1" si="8"/>
        <v>268.29649999999998</v>
      </c>
      <c r="K57" s="41">
        <f t="shared" ca="1" si="9"/>
        <v>291386.74388674163</v>
      </c>
      <c r="L57" s="41" t="str">
        <f ca="1">IF($A57="","",IF(COUNTIFS(Dividends!$G:$G,"&gt;"&amp;INT($A56),Dividends!$G:$G,"&lt;="&amp;INT($A57))=0,"",$H$2*SUMIFS(Dividends!$H:$H,Dividends!$G:$G,"&gt;"&amp;INT($A56),Dividends!$G:$G,"&lt;="&amp;INT($A57))))</f>
        <v/>
      </c>
      <c r="M57" s="42">
        <f ca="1">IF(ISERROR(B57-2),"",C57+D57-F57-G57-K57+SUM($L$14:L57))</f>
        <v>-140777.96864249179</v>
      </c>
      <c r="O57" s="3">
        <v>46128.625</v>
      </c>
      <c r="P57" s="4">
        <v>90.85</v>
      </c>
      <c r="Q57" s="3">
        <v>46126.625</v>
      </c>
      <c r="R57" s="4">
        <v>99.619</v>
      </c>
      <c r="S57" s="3">
        <v>46126.625</v>
      </c>
      <c r="T57" s="4">
        <v>282.697</v>
      </c>
      <c r="U57" s="3">
        <f t="shared" si="0"/>
        <v>46128.625</v>
      </c>
      <c r="V57" s="3">
        <f t="shared" si="1"/>
        <v>46128.625</v>
      </c>
      <c r="W57" s="3">
        <v>46196.625</v>
      </c>
      <c r="X57" s="3">
        <v>46121</v>
      </c>
      <c r="Y57" s="5">
        <v>263.26260000000002</v>
      </c>
      <c r="Z57" s="3">
        <v>45856</v>
      </c>
      <c r="AA57" s="4">
        <v>240.32839999999999</v>
      </c>
      <c r="AB57" s="74">
        <v>45856</v>
      </c>
      <c r="AC57" s="4">
        <v>277.18599999999998</v>
      </c>
      <c r="AD57" s="6">
        <f t="shared" si="2"/>
        <v>45856</v>
      </c>
    </row>
    <row r="58" spans="1:35" x14ac:dyDescent="0.25">
      <c r="A58" s="37">
        <f t="shared" ca="1" si="3"/>
        <v>46182.625</v>
      </c>
      <c r="B58" s="38">
        <f ca="1">IF(COUNTIF($W$2:W1043,A58)=1,VLOOKUP(A58,O:P,2), IF(COUNTIF($W$2:W1043,A58)=0,$B$9,""))</f>
        <v>91.63</v>
      </c>
      <c r="C58" s="2">
        <f t="shared" ca="1" si="4"/>
        <v>184473.48193697087</v>
      </c>
      <c r="D58" s="41">
        <f t="shared" ca="1" si="5"/>
        <v>-152375</v>
      </c>
      <c r="E58" s="38">
        <f ca="1">IF(COUNTIF($W$2:W1043,A58)=1,VLOOKUP(A58,Q:R,2), IF(COUNTIF($W$2:W1043,A58)=0,$C$9,""))</f>
        <v>99.396000000000001</v>
      </c>
      <c r="F58" s="2">
        <f t="shared" ca="1" si="6"/>
        <v>-98280.000000000029</v>
      </c>
      <c r="G58" s="41">
        <f t="shared" ca="1" si="7"/>
        <v>270.29599999998754</v>
      </c>
      <c r="H58" s="38">
        <f ca="1">IF(COUNTIF($W$2:W1043,A58)=1,VLOOKUP(A58,S:T,2), IF(COUNTIF($W$2:W1043,A58)=0,$D$9,""))</f>
        <v>261.05</v>
      </c>
      <c r="I58" s="39">
        <f ca="1">IF(COUNTIF($X$2:X1043,INT(A58))=1,VLOOKUP(INT(A58),X:Y,2), IF(ISERROR(H58-2),"",I57*(1-$D$8*(H58-H57)*0.0001)))</f>
        <v>268.3329</v>
      </c>
      <c r="J58" s="39">
        <f t="shared" ca="1" si="8"/>
        <v>268.3329</v>
      </c>
      <c r="K58" s="41">
        <f t="shared" ca="1" si="9"/>
        <v>293963.32046331867</v>
      </c>
      <c r="L58" s="41" t="str">
        <f ca="1">IF($A58="","",IF(COUNTIFS(Dividends!$G:$G,"&gt;"&amp;INT($A57),Dividends!$G:$G,"&lt;="&amp;INT($A58))=0,"",$H$2*SUMIFS(Dividends!$H:$H,Dividends!$G:$G,"&gt;"&amp;INT($A57),Dividends!$G:$G,"&lt;="&amp;INT($A58))))</f>
        <v/>
      </c>
      <c r="M58" s="42">
        <f ca="1">IF(ISERROR(B58-2),"",C58+D58-F58-G58-K58+SUM($L$14:L58))</f>
        <v>-163855.13452634774</v>
      </c>
      <c r="O58" s="3">
        <v>46129.625</v>
      </c>
      <c r="P58" s="4">
        <v>91.4</v>
      </c>
      <c r="Q58" s="3">
        <v>46127.625</v>
      </c>
      <c r="R58" s="4">
        <v>99.653999999999996</v>
      </c>
      <c r="S58" s="3">
        <v>46127.625</v>
      </c>
      <c r="T58" s="4">
        <v>282.51900000000001</v>
      </c>
      <c r="U58" s="3">
        <f t="shared" si="0"/>
        <v>46129.625</v>
      </c>
      <c r="V58" s="3">
        <f t="shared" si="1"/>
        <v>46129.625</v>
      </c>
      <c r="W58" s="3">
        <v>46197.625</v>
      </c>
      <c r="X58" s="3">
        <v>46122</v>
      </c>
      <c r="Y58" s="5">
        <v>263.29309999999998</v>
      </c>
      <c r="Z58" s="3">
        <v>45859</v>
      </c>
      <c r="AA58" s="4">
        <v>240.33940000000001</v>
      </c>
      <c r="AB58" s="74">
        <v>45859</v>
      </c>
      <c r="AC58" s="4">
        <v>277.45800000000003</v>
      </c>
      <c r="AD58" s="6">
        <f t="shared" si="2"/>
        <v>45859</v>
      </c>
    </row>
    <row r="59" spans="1:35" x14ac:dyDescent="0.25">
      <c r="A59" s="37">
        <f t="shared" ca="1" si="3"/>
        <v>46183.625</v>
      </c>
      <c r="B59" s="38">
        <f ca="1">IF(COUNTIF($W$2:W1044,A59)=1,VLOOKUP(A59,O:P,2), IF(COUNTIF($W$2:W1044,A59)=0,$B$9,""))</f>
        <v>91.62</v>
      </c>
      <c r="C59" s="2">
        <f t="shared" ca="1" si="4"/>
        <v>181179.31261667496</v>
      </c>
      <c r="D59" s="41">
        <f t="shared" ca="1" si="5"/>
        <v>-154583.33333333334</v>
      </c>
      <c r="E59" s="38">
        <f ca="1">IF(COUNTIF($W$2:W1044,A59)=1,VLOOKUP(A59,Q:R,2), IF(COUNTIF($W$2:W1044,A59)=0,$C$9,""))</f>
        <v>99.337999999999994</v>
      </c>
      <c r="F59" s="2">
        <f t="shared" ca="1" si="6"/>
        <v>-113360.00000000183</v>
      </c>
      <c r="G59" s="41">
        <f t="shared" ca="1" si="7"/>
        <v>274.21333333331859</v>
      </c>
      <c r="H59" s="38">
        <f ca="1">IF(COUNTIF($W$2:W1044,A59)=1,VLOOKUP(A59,S:T,2), IF(COUNTIF($W$2:W1044,A59)=0,$D$9,""))</f>
        <v>264.82</v>
      </c>
      <c r="I59" s="39">
        <f ca="1">IF(COUNTIF($X$2:X1044,INT(A59))=1,VLOOKUP(INT(A59),X:Y,2), IF(ISERROR(H59-2),"",I58*(1-$D$8*(H59-H58)*0.0001)))</f>
        <v>268.03980000000001</v>
      </c>
      <c r="J59" s="39">
        <f t="shared" ca="1" si="8"/>
        <v>268.03980000000001</v>
      </c>
      <c r="K59" s="41">
        <f t="shared" ca="1" si="9"/>
        <v>273216.21621621842</v>
      </c>
      <c r="L59" s="41" t="str">
        <f ca="1">IF($A59="","",IF(COUNTIFS(Dividends!$G:$G,"&gt;"&amp;INT($A58),Dividends!$G:$G,"&lt;="&amp;INT($A59))=0,"",$H$2*SUMIFS(Dividends!$H:$H,Dividends!$G:$G,"&gt;"&amp;INT($A58),Dividends!$G:$G,"&lt;="&amp;INT($A59))))</f>
        <v/>
      </c>
      <c r="M59" s="42">
        <f ca="1">IF(ISERROR(B59-2),"",C59+D59-F59-G59-K59+SUM($L$14:L59))</f>
        <v>-133534.4502662083</v>
      </c>
      <c r="O59" s="3">
        <v>46132.625</v>
      </c>
      <c r="P59" s="4">
        <v>91.09</v>
      </c>
      <c r="Q59" s="3">
        <v>46128.625</v>
      </c>
      <c r="R59" s="4">
        <v>99.677000000000007</v>
      </c>
      <c r="S59" s="3">
        <v>46128.625</v>
      </c>
      <c r="T59" s="4">
        <v>286.733</v>
      </c>
      <c r="U59" s="3">
        <f t="shared" si="0"/>
        <v>46132.625</v>
      </c>
      <c r="V59" s="3">
        <f t="shared" si="1"/>
        <v>46132.625</v>
      </c>
      <c r="W59" s="3">
        <v>46198.625</v>
      </c>
      <c r="X59" s="3">
        <v>46125</v>
      </c>
      <c r="Y59" s="5">
        <v>263.03910000000002</v>
      </c>
      <c r="Z59" s="3">
        <v>45860</v>
      </c>
      <c r="AA59" s="4">
        <v>240.12450000000001</v>
      </c>
      <c r="AB59" s="74">
        <v>45860</v>
      </c>
      <c r="AC59" s="4">
        <v>279.55700000000002</v>
      </c>
      <c r="AD59" s="6">
        <f t="shared" si="2"/>
        <v>45860</v>
      </c>
    </row>
    <row r="60" spans="1:35" x14ac:dyDescent="0.25">
      <c r="A60" s="37">
        <f t="shared" ca="1" si="3"/>
        <v>46184.625</v>
      </c>
      <c r="B60" s="38">
        <f ca="1">IF(COUNTIF($W$2:W1045,A60)=1,VLOOKUP(A60,O:P,2), IF(COUNTIF($W$2:W1045,A60)=0,$B$9,""))</f>
        <v>91.65</v>
      </c>
      <c r="C60" s="2">
        <f t="shared" ca="1" si="4"/>
        <v>191061.82057758269</v>
      </c>
      <c r="D60" s="41">
        <f t="shared" ca="1" si="5"/>
        <v>-156791.66666666666</v>
      </c>
      <c r="E60" s="38">
        <f ca="1">IF(COUNTIF($W$2:W1045,A60)=1,VLOOKUP(A60,Q:R,2), IF(COUNTIF($W$2:W1045,A60)=0,$C$9,""))</f>
        <v>99.400999999999996</v>
      </c>
      <c r="F60" s="2">
        <f t="shared" ca="1" si="6"/>
        <v>-96980.000000001208</v>
      </c>
      <c r="G60" s="41">
        <f t="shared" ca="1" si="7"/>
        <v>278.13066666664963</v>
      </c>
      <c r="H60" s="38">
        <f ca="1">IF(COUNTIF($W$2:W1045,A60)=1,VLOOKUP(A60,S:T,2), IF(COUNTIF($W$2:W1045,A60)=0,$D$9,""))</f>
        <v>263.56900000000002</v>
      </c>
      <c r="I60" s="39">
        <f ca="1">IF(COUNTIF($X$2:X1045,INT(A60))=1,VLOOKUP(INT(A60),X:Y,2), IF(ISERROR(H60-2),"",I59*(1-$D$8*(H60-H59)*0.0001)))</f>
        <v>268.44299999999998</v>
      </c>
      <c r="J60" s="39">
        <f t="shared" ca="1" si="8"/>
        <v>268.44299999999998</v>
      </c>
      <c r="K60" s="41">
        <f t="shared" ca="1" si="9"/>
        <v>301756.75675675354</v>
      </c>
      <c r="L60" s="41" t="str">
        <f ca="1">IF($A60="","",IF(COUNTIFS(Dividends!$G:$G,"&gt;"&amp;INT($A59),Dividends!$G:$G,"&lt;="&amp;INT($A60))=0,"",$H$2*SUMIFS(Dividends!$H:$H,Dividends!$G:$G,"&gt;"&amp;INT($A59),Dividends!$G:$G,"&lt;="&amp;INT($A60))))</f>
        <v/>
      </c>
      <c r="M60" s="42">
        <f ca="1">IF(ISERROR(B60-2),"",C60+D60-F60-G60-K60+SUM($L$14:L60))</f>
        <v>-170784.73351250298</v>
      </c>
      <c r="O60" s="3">
        <v>46133.625</v>
      </c>
      <c r="P60" s="4">
        <v>91.01</v>
      </c>
      <c r="Q60" s="3">
        <v>46129.625</v>
      </c>
      <c r="R60" s="4">
        <v>99.953999999999994</v>
      </c>
      <c r="S60" s="3">
        <v>46129.625</v>
      </c>
      <c r="T60" s="4">
        <v>275.16800000000001</v>
      </c>
      <c r="U60" s="3">
        <f t="shared" si="0"/>
        <v>46133.625</v>
      </c>
      <c r="V60" s="3">
        <f t="shared" si="1"/>
        <v>46133.625</v>
      </c>
      <c r="X60" s="3">
        <v>46126</v>
      </c>
      <c r="Y60" s="5">
        <v>264.6927</v>
      </c>
      <c r="Z60" s="3">
        <v>45861</v>
      </c>
      <c r="AA60" s="4">
        <v>240.6497</v>
      </c>
      <c r="AB60" s="74">
        <v>45861</v>
      </c>
      <c r="AC60" s="4">
        <v>273.14100000000002</v>
      </c>
      <c r="AD60" s="6">
        <f t="shared" si="2"/>
        <v>45861</v>
      </c>
    </row>
    <row r="61" spans="1:35" x14ac:dyDescent="0.25">
      <c r="A61" s="37">
        <f t="shared" ca="1" si="3"/>
        <v>46185.625</v>
      </c>
      <c r="B61" s="38">
        <f ca="1">IF(COUNTIF($W$2:W1046,A61)=1,VLOOKUP(A61,O:P,2), IF(COUNTIF($W$2:W1046,A61)=0,$B$9,""))</f>
        <v>91.87</v>
      </c>
      <c r="C61" s="2">
        <f t="shared" ca="1" si="4"/>
        <v>263533.54562424601</v>
      </c>
      <c r="D61" s="41">
        <f t="shared" ca="1" si="5"/>
        <v>-159000</v>
      </c>
      <c r="E61" s="38">
        <f ca="1">IF(COUNTIF($W$2:W1046,A61)=1,VLOOKUP(A61,Q:R,2), IF(COUNTIF($W$2:W1046,A61)=0,$C$9,""))</f>
        <v>99.512</v>
      </c>
      <c r="F61" s="2">
        <f t="shared" ca="1" si="6"/>
        <v>-68120.000000000116</v>
      </c>
      <c r="G61" s="41">
        <f t="shared" ca="1" si="7"/>
        <v>282.04800000000978</v>
      </c>
      <c r="H61" s="38">
        <f ca="1">IF(COUNTIF($W$2:W1046,A61)=1,VLOOKUP(A61,S:T,2), IF(COUNTIF($W$2:W1046,A61)=0,$D$9,""))</f>
        <v>253.16399999999999</v>
      </c>
      <c r="I61" s="39">
        <f ca="1">IF(COUNTIF($X$2:X1046,INT(A61))=1,VLOOKUP(INT(A61),X:Y,2), IF(ISERROR(H61-2),"",I60*(1-$D$8*(H61-H60)*0.0001)))</f>
        <v>269.7552</v>
      </c>
      <c r="J61" s="39">
        <f t="shared" ca="1" si="8"/>
        <v>269.7552</v>
      </c>
      <c r="K61" s="41">
        <f t="shared" ca="1" si="9"/>
        <v>394640.92664092622</v>
      </c>
      <c r="L61" s="41" t="str">
        <f ca="1">IF($A61="","",IF(COUNTIFS(Dividends!$G:$G,"&gt;"&amp;INT($A60),Dividends!$G:$G,"&lt;="&amp;INT($A61))=0,"",$H$2*SUMIFS(Dividends!$H:$H,Dividends!$G:$G,"&gt;"&amp;INT($A60),Dividends!$G:$G,"&lt;="&amp;INT($A61))))</f>
        <v/>
      </c>
      <c r="M61" s="42">
        <f ca="1">IF(ISERROR(B61-2),"",C61+D61-F61-G61-K61+SUM($L$14:L61))</f>
        <v>-222269.42901668011</v>
      </c>
      <c r="O61" s="3">
        <v>46134.625</v>
      </c>
      <c r="P61" s="4">
        <v>90.94</v>
      </c>
      <c r="Q61" s="3">
        <v>46132.625</v>
      </c>
      <c r="R61" s="4">
        <v>99.831000000000003</v>
      </c>
      <c r="S61" s="3">
        <v>46132.625</v>
      </c>
      <c r="T61" s="4">
        <v>280.36399999999998</v>
      </c>
      <c r="U61" s="3">
        <f t="shared" si="0"/>
        <v>46134.625</v>
      </c>
      <c r="V61" s="3">
        <f t="shared" si="1"/>
        <v>46134.625</v>
      </c>
      <c r="X61" s="3">
        <v>46127</v>
      </c>
      <c r="Y61" s="5">
        <v>264.62900000000002</v>
      </c>
      <c r="Z61" s="3">
        <v>45862</v>
      </c>
      <c r="AA61" s="4">
        <v>241.25620000000001</v>
      </c>
      <c r="AB61" s="74">
        <v>45862</v>
      </c>
      <c r="AC61" s="4">
        <v>270.69799999999998</v>
      </c>
      <c r="AD61" s="6">
        <f t="shared" si="2"/>
        <v>45862</v>
      </c>
    </row>
    <row r="62" spans="1:35" x14ac:dyDescent="0.25">
      <c r="A62" s="37">
        <f t="shared" ca="1" si="3"/>
        <v>46188.625</v>
      </c>
      <c r="B62" s="38">
        <f ca="1">IF(COUNTIF($W$2:W1047,A62)=1,VLOOKUP(A62,O:P,2), IF(COUNTIF($W$2:W1047,A62)=0,$B$9,""))</f>
        <v>92.18</v>
      </c>
      <c r="C62" s="2">
        <f t="shared" ca="1" si="4"/>
        <v>365652.79455364583</v>
      </c>
      <c r="D62" s="41">
        <f t="shared" ca="1" si="5"/>
        <v>-165625</v>
      </c>
      <c r="E62" s="38">
        <f ca="1">IF(COUNTIF($W$2:W1047,A62)=1,VLOOKUP(A62,Q:R,2), IF(COUNTIF($W$2:W1047,A62)=0,$C$9,""))</f>
        <v>99.631</v>
      </c>
      <c r="F62" s="2">
        <f t="shared" ca="1" si="6"/>
        <v>-37180.000000000175</v>
      </c>
      <c r="G62" s="41">
        <f t="shared" ca="1" si="7"/>
        <v>293.80000000000291</v>
      </c>
      <c r="H62" s="38">
        <f ca="1">IF(COUNTIF($W$2:W1047,A62)=1,VLOOKUP(A62,S:T,2), IF(COUNTIF($W$2:W1047,A62)=0,$D$9,""))</f>
        <v>248.518</v>
      </c>
      <c r="I62" s="39">
        <f ca="1">IF(COUNTIF($X$2:X1047,INT(A62))=1,VLOOKUP(INT(A62),X:Y,2), IF(ISERROR(H62-2),"",I61*(1-$D$8*(H62-H61)*0.0001)))</f>
        <v>270.47059999999999</v>
      </c>
      <c r="J62" s="39">
        <f t="shared" ca="1" si="8"/>
        <v>270.47059999999999</v>
      </c>
      <c r="K62" s="41">
        <f t="shared" ca="1" si="9"/>
        <v>445280.56628056424</v>
      </c>
      <c r="L62" s="41" t="str">
        <f ca="1">IF($A62="","",IF(COUNTIFS(Dividends!$G:$G,"&gt;"&amp;INT($A61),Dividends!$G:$G,"&lt;="&amp;INT($A62))=0,"",$H$2*SUMIFS(Dividends!$H:$H,Dividends!$G:$G,"&gt;"&amp;INT($A61),Dividends!$G:$G,"&lt;="&amp;INT($A62))))</f>
        <v/>
      </c>
      <c r="M62" s="42">
        <f ca="1">IF(ISERROR(B62-2),"",C62+D62-F62-G62-K62+SUM($L$14:L62))</f>
        <v>-208366.57172691822</v>
      </c>
      <c r="O62" s="3">
        <v>46135.625</v>
      </c>
      <c r="P62" s="4">
        <v>90.99</v>
      </c>
      <c r="Q62" s="3">
        <v>46133.625</v>
      </c>
      <c r="R62" s="4">
        <v>99.707999999999998</v>
      </c>
      <c r="S62" s="3">
        <v>46133.625</v>
      </c>
      <c r="T62" s="4">
        <v>285.44799999999998</v>
      </c>
      <c r="U62" s="3">
        <f t="shared" si="0"/>
        <v>46135.625</v>
      </c>
      <c r="V62" s="3">
        <f t="shared" si="1"/>
        <v>46135.625</v>
      </c>
      <c r="X62" s="3">
        <v>46128</v>
      </c>
      <c r="Y62" s="5">
        <v>264.24419999999998</v>
      </c>
      <c r="Z62" s="3">
        <v>45863</v>
      </c>
      <c r="AA62" s="4">
        <v>241.32810000000001</v>
      </c>
      <c r="AB62" s="74">
        <v>45863</v>
      </c>
      <c r="AC62" s="4">
        <v>269.24400000000003</v>
      </c>
      <c r="AD62" s="6">
        <f t="shared" si="2"/>
        <v>45863</v>
      </c>
    </row>
    <row r="63" spans="1:35" x14ac:dyDescent="0.25">
      <c r="A63" s="37">
        <f t="shared" ca="1" si="3"/>
        <v>46189.625</v>
      </c>
      <c r="B63" s="38">
        <f ca="1">IF(COUNTIF($W$2:W1048,A63)=1,VLOOKUP(A63,O:P,2), IF(COUNTIF($W$2:W1048,A63)=0,$B$9,""))</f>
        <v>92.15</v>
      </c>
      <c r="C63" s="2">
        <f t="shared" ca="1" si="4"/>
        <v>355770.28659273812</v>
      </c>
      <c r="D63" s="41">
        <f t="shared" ca="1" si="5"/>
        <v>-167833.33333333334</v>
      </c>
      <c r="E63" s="38">
        <f ca="1">IF(COUNTIF($W$2:W1048,A63)=1,VLOOKUP(A63,Q:R,2), IF(COUNTIF($W$2:W1048,A63)=0,$C$9,""))</f>
        <v>99.625</v>
      </c>
      <c r="F63" s="2">
        <f t="shared" ca="1" si="6"/>
        <v>-38740.00000000024</v>
      </c>
      <c r="G63" s="41">
        <f t="shared" ca="1" si="7"/>
        <v>297.71733333333395</v>
      </c>
      <c r="H63" s="38">
        <f ca="1">IF(COUNTIF($W$2:W1048,A63)=1,VLOOKUP(A63,S:T,2), IF(COUNTIF($W$2:W1048,A63)=0,$D$9,""))</f>
        <v>249.79400000000001</v>
      </c>
      <c r="I63" s="39">
        <f ca="1">IF(COUNTIF($X$2:X1048,INT(A63))=1,VLOOKUP(INT(A63),X:Y,2), IF(ISERROR(H63-2),"",I62*(1-$D$8*(H63-H62)*0.0001)))</f>
        <v>270.3356</v>
      </c>
      <c r="J63" s="39">
        <f t="shared" ca="1" si="8"/>
        <v>270.3356</v>
      </c>
      <c r="K63" s="41">
        <f t="shared" ca="1" si="9"/>
        <v>435724.58172458195</v>
      </c>
      <c r="L63" s="41" t="str">
        <f ca="1">IF($A63="","",IF(COUNTIFS(Dividends!$G:$G,"&gt;"&amp;INT($A62),Dividends!$G:$G,"&lt;="&amp;INT($A63))=0,"",$H$2*SUMIFS(Dividends!$H:$H,Dividends!$G:$G,"&gt;"&amp;INT($A62),Dividends!$G:$G,"&lt;="&amp;INT($A63))))</f>
        <v/>
      </c>
      <c r="M63" s="42">
        <f ca="1">IF(ISERROR(B63-2),"",C63+D63-F63-G63-K63+SUM($L$14:L63))</f>
        <v>-209345.34579851027</v>
      </c>
      <c r="O63" s="3">
        <v>46136.625</v>
      </c>
      <c r="P63" s="4">
        <v>90.93</v>
      </c>
      <c r="Q63" s="3">
        <v>46134.625</v>
      </c>
      <c r="R63" s="4">
        <v>99.655000000000001</v>
      </c>
      <c r="S63" s="3">
        <v>46134.625</v>
      </c>
      <c r="T63" s="4">
        <v>285.53500000000003</v>
      </c>
      <c r="U63" s="3">
        <f t="shared" si="0"/>
        <v>46136.625</v>
      </c>
      <c r="V63" s="3">
        <f t="shared" si="1"/>
        <v>46136.625</v>
      </c>
      <c r="X63" s="3">
        <v>46129</v>
      </c>
      <c r="Y63" s="5">
        <v>265.60180000000003</v>
      </c>
      <c r="Z63" s="3">
        <v>45866</v>
      </c>
      <c r="AA63" s="4">
        <v>241.53149999999999</v>
      </c>
      <c r="AB63" s="74">
        <v>45866</v>
      </c>
      <c r="AC63" s="4">
        <v>267.81099999999998</v>
      </c>
      <c r="AD63" s="6">
        <f t="shared" si="2"/>
        <v>45866</v>
      </c>
      <c r="AI63" s="7"/>
    </row>
    <row r="64" spans="1:35" x14ac:dyDescent="0.25">
      <c r="A64" s="37">
        <f t="shared" ca="1" si="3"/>
        <v>46190.625</v>
      </c>
      <c r="B64" s="38">
        <f ca="1">IF(COUNTIF($W$2:W1049,A64)=1,VLOOKUP(A64,O:P,2), IF(COUNTIF($W$2:W1049,A64)=0,$B$9,""))</f>
        <v>92.16</v>
      </c>
      <c r="C64" s="2">
        <f t="shared" ca="1" si="4"/>
        <v>359064.45591303403</v>
      </c>
      <c r="D64" s="41">
        <f t="shared" ca="1" si="5"/>
        <v>-170041.66666666666</v>
      </c>
      <c r="E64" s="38">
        <f ca="1">IF(COUNTIF($W$2:W1049,A64)=1,VLOOKUP(A64,Q:R,2), IF(COUNTIF($W$2:W1049,A64)=0,$C$9,""))</f>
        <v>99.600999999999999</v>
      </c>
      <c r="F64" s="2">
        <f t="shared" ca="1" si="6"/>
        <v>-44980.000000000473</v>
      </c>
      <c r="G64" s="41">
        <f t="shared" ca="1" si="7"/>
        <v>301.63466666665045</v>
      </c>
      <c r="H64" s="38">
        <f ca="1">IF(COUNTIF($W$2:W1049,A64)=1,VLOOKUP(A64,S:T,2), IF(COUNTIF($W$2:W1049,A64)=0,$D$9,""))</f>
        <v>252.459</v>
      </c>
      <c r="I64" s="39">
        <f ca="1">IF(COUNTIF($X$2:X1049,INT(A64))=1,VLOOKUP(INT(A64),X:Y,2), IF(ISERROR(H64-2),"",I63*(1-$D$8*(H64-H63)*0.0001)))</f>
        <v>270.1644</v>
      </c>
      <c r="J64" s="39">
        <f t="shared" ca="1" si="8"/>
        <v>270.1644</v>
      </c>
      <c r="K64" s="41">
        <f t="shared" ca="1" si="9"/>
        <v>423606.17760617536</v>
      </c>
      <c r="L64" s="41" t="str">
        <f ca="1">IF($A64="","",IF(COUNTIFS(Dividends!$G:$G,"&gt;"&amp;INT($A63),Dividends!$G:$G,"&lt;="&amp;INT($A64))=0,"",$H$2*SUMIFS(Dividends!$H:$H,Dividends!$G:$G,"&gt;"&amp;INT($A63),Dividends!$G:$G,"&lt;="&amp;INT($A64))))</f>
        <v/>
      </c>
      <c r="M64" s="42">
        <f ca="1">IF(ISERROR(B64-2),"",C64+D64-F64-G64-K64+SUM($L$14:L64))</f>
        <v>-189905.02302647417</v>
      </c>
      <c r="O64" s="3">
        <v>46139.625</v>
      </c>
      <c r="P64" s="4">
        <v>90.97</v>
      </c>
      <c r="Q64" s="3">
        <v>46135.625</v>
      </c>
      <c r="R64" s="4">
        <v>99.626999999999995</v>
      </c>
      <c r="S64" s="3">
        <v>46135.625</v>
      </c>
      <c r="T64" s="4">
        <v>284.40800000000002</v>
      </c>
      <c r="U64" s="3">
        <f t="shared" si="0"/>
        <v>46139.625</v>
      </c>
      <c r="V64" s="3">
        <f t="shared" si="1"/>
        <v>46139.625</v>
      </c>
      <c r="X64" s="3">
        <v>46132</v>
      </c>
      <c r="Y64" s="5">
        <v>265.2414</v>
      </c>
      <c r="Z64" s="3">
        <v>45867</v>
      </c>
      <c r="AA64" s="19">
        <v>241.9485</v>
      </c>
      <c r="AB64" s="75">
        <v>45867</v>
      </c>
      <c r="AC64" s="19">
        <v>264.29199999999997</v>
      </c>
      <c r="AD64" s="6">
        <f t="shared" si="2"/>
        <v>45867</v>
      </c>
      <c r="AE64" s="19"/>
      <c r="AF64" s="19"/>
      <c r="AG64" s="19"/>
      <c r="AH64" s="43"/>
      <c r="AI64" s="7"/>
    </row>
    <row r="65" spans="1:35" x14ac:dyDescent="0.25">
      <c r="A65" s="37">
        <f t="shared" ca="1" si="3"/>
        <v>46191.625</v>
      </c>
      <c r="B65" s="38">
        <f ca="1">IF(COUNTIF($W$2:W1050,A65)=1,VLOOKUP(A65,O:P,2), IF(COUNTIF($W$2:W1050,A65)=0,$B$9,""))</f>
        <v>91.01</v>
      </c>
      <c r="C65" s="2">
        <f t="shared" ca="1" si="4"/>
        <v>-19765.015921815455</v>
      </c>
      <c r="D65" s="41">
        <f t="shared" ca="1" si="5"/>
        <v>-172250</v>
      </c>
      <c r="E65" s="38">
        <f ca="1">IF(COUNTIF($W$2:W1050,A65)=1,VLOOKUP(A65,Q:R,2), IF(COUNTIF($W$2:W1050,A65)=0,$C$9,""))</f>
        <v>99.582999999999998</v>
      </c>
      <c r="F65" s="2">
        <f t="shared" ca="1" si="6"/>
        <v>-49660.000000000648</v>
      </c>
      <c r="G65" s="41">
        <f t="shared" ca="1" si="7"/>
        <v>305.55199999999604</v>
      </c>
      <c r="H65" s="38">
        <f ca="1">IF(COUNTIF($W$2:W1050,A65)=1,VLOOKUP(A65,S:T,2), IF(COUNTIF($W$2:W1050,A65)=0,$D$9,""))</f>
        <v>249.42099999999999</v>
      </c>
      <c r="I65" s="39">
        <f ca="1">IF(COUNTIF($X$2:X1050,INT(A65))=1,VLOOKUP(INT(A65),X:Y,2), IF(ISERROR(H65-2),"",I64*(1-$D$8*(H65-H64)*0.0001)))</f>
        <v>270.5043</v>
      </c>
      <c r="J65" s="39">
        <f t="shared" ca="1" si="8"/>
        <v>270.5043</v>
      </c>
      <c r="K65" s="41">
        <f t="shared" ca="1" si="9"/>
        <v>447666.02316602162</v>
      </c>
      <c r="L65" s="41">
        <f ca="1">IF($A65="","",IF(COUNTIFS(Dividends!$G:$G,"&gt;"&amp;INT($A64),Dividends!$G:$G,"&lt;="&amp;INT($A65))=0,"",$H$2*SUMIFS(Dividends!$H:$H,Dividends!$G:$G,"&gt;"&amp;INT($A64),Dividends!$G:$G,"&lt;="&amp;INT($A65))))</f>
        <v>383638.95904249483</v>
      </c>
      <c r="M65" s="42">
        <f ca="1">IF(ISERROR(B65-2),"",C65+D65-F65-G65-K65+SUM($L$14:L65))</f>
        <v>-206687.6320453416</v>
      </c>
      <c r="O65" s="3">
        <v>46140.625</v>
      </c>
      <c r="P65" s="4">
        <v>90.69</v>
      </c>
      <c r="Q65" s="3">
        <v>46136.625</v>
      </c>
      <c r="R65" s="4">
        <v>99.637</v>
      </c>
      <c r="S65" s="3">
        <v>46136.625</v>
      </c>
      <c r="T65" s="4">
        <v>288.863</v>
      </c>
      <c r="U65" s="3">
        <f t="shared" si="0"/>
        <v>46140.625</v>
      </c>
      <c r="V65" s="3">
        <f t="shared" si="1"/>
        <v>46140.625</v>
      </c>
      <c r="X65" s="3">
        <v>46133</v>
      </c>
      <c r="Y65" s="5">
        <v>264.60359999999997</v>
      </c>
      <c r="Z65" s="3">
        <v>45868</v>
      </c>
      <c r="AA65" s="19">
        <v>241.70859999999999</v>
      </c>
      <c r="AB65" s="76">
        <v>45868</v>
      </c>
      <c r="AC65" s="20">
        <v>266.43200000000002</v>
      </c>
      <c r="AD65" s="6">
        <f t="shared" si="2"/>
        <v>45868</v>
      </c>
      <c r="AE65" s="20"/>
      <c r="AF65" s="20"/>
      <c r="AG65" s="20"/>
      <c r="AH65" s="20"/>
      <c r="AI65" s="7"/>
    </row>
    <row r="66" spans="1:35" x14ac:dyDescent="0.25">
      <c r="A66" s="37">
        <f t="shared" ca="1" si="3"/>
        <v>46192.625</v>
      </c>
      <c r="B66" s="38">
        <f ca="1">IF(COUNTIF($W$2:W1051,A66)=1,VLOOKUP(A66,O:P,2), IF(COUNTIF($W$2:W1051,A66)=0,$B$9,""))</f>
        <v>91.05</v>
      </c>
      <c r="C66" s="2">
        <f t="shared" ca="1" si="4"/>
        <v>-6588.3386406051513</v>
      </c>
      <c r="D66" s="41">
        <f t="shared" ca="1" si="5"/>
        <v>-174458.33333333334</v>
      </c>
      <c r="E66" s="38">
        <f ca="1">IF(COUNTIF($W$2:W1051,A66)=1,VLOOKUP(A66,Q:R,2), IF(COUNTIF($W$2:W1051,A66)=0,$C$9,""))</f>
        <v>99.489000000000004</v>
      </c>
      <c r="F66" s="2">
        <f t="shared" ca="1" si="6"/>
        <v>-74099.999999999112</v>
      </c>
      <c r="G66" s="41">
        <f t="shared" ca="1" si="7"/>
        <v>309.46933333334164</v>
      </c>
      <c r="H66" s="38">
        <f ca="1">IF(COUNTIF($W$2:W1051,A66)=1,VLOOKUP(A66,S:T,2), IF(COUNTIF($W$2:W1051,A66)=0,$D$9,""))</f>
        <v>249.20599999999999</v>
      </c>
      <c r="I66" s="39">
        <f ca="1">IF(COUNTIF($X$2:X1051,INT(A66))=1,VLOOKUP(INT(A66),X:Y,2), IF(ISERROR(H66-2),"",I65*(1-$D$8*(H66-H65)*0.0001)))</f>
        <v>270.44040000000001</v>
      </c>
      <c r="J66" s="39">
        <f t="shared" ca="1" si="8"/>
        <v>270.44040000000001</v>
      </c>
      <c r="K66" s="41">
        <f t="shared" ca="1" si="9"/>
        <v>443142.85714285803</v>
      </c>
      <c r="L66" s="41" t="str">
        <f ca="1">IF($A66="","",IF(COUNTIFS(Dividends!$G:$G,"&gt;"&amp;INT($A65),Dividends!$G:$G,"&lt;="&amp;INT($A66))=0,"",$H$2*SUMIFS(Dividends!$H:$H,Dividends!$G:$G,"&gt;"&amp;INT($A65),Dividends!$G:$G,"&lt;="&amp;INT($A66))))</f>
        <v/>
      </c>
      <c r="M66" s="42">
        <f ca="1">IF(ISERROR(B66-2),"",C66+D66-F66-G66-K66+SUM($L$14:L66))</f>
        <v>-166760.03940763598</v>
      </c>
      <c r="O66" s="3">
        <v>46141.625</v>
      </c>
      <c r="P66" s="4">
        <v>90.76</v>
      </c>
      <c r="Q66" s="3">
        <v>46139.625</v>
      </c>
      <c r="R66" s="4">
        <v>99.608000000000004</v>
      </c>
      <c r="S66" s="3">
        <v>46139.625</v>
      </c>
      <c r="T66" s="4">
        <v>289.209</v>
      </c>
      <c r="U66" s="3">
        <f t="shared" si="0"/>
        <v>46141.625</v>
      </c>
      <c r="V66" s="3">
        <f t="shared" si="1"/>
        <v>46141.625</v>
      </c>
      <c r="X66" s="3">
        <v>46134</v>
      </c>
      <c r="Y66" s="5">
        <v>264.55340000000001</v>
      </c>
      <c r="Z66" s="3">
        <v>45869</v>
      </c>
      <c r="AA66" s="19">
        <v>241.51009999999999</v>
      </c>
      <c r="AB66" s="76">
        <v>45869</v>
      </c>
      <c r="AC66" s="20">
        <v>268.46899999999999</v>
      </c>
      <c r="AD66" s="6">
        <f t="shared" si="2"/>
        <v>45869</v>
      </c>
      <c r="AE66" s="20"/>
      <c r="AF66" s="20"/>
      <c r="AG66" s="20"/>
      <c r="AH66" s="20"/>
      <c r="AI66" s="7"/>
    </row>
    <row r="67" spans="1:35" x14ac:dyDescent="0.25">
      <c r="A67" s="37">
        <f t="shared" ca="1" si="3"/>
        <v>46195.625</v>
      </c>
      <c r="B67" s="38">
        <f ca="1">IF(COUNTIF($W$2:W1052,A67)=1,VLOOKUP(A67,O:P,2), IF(COUNTIF($W$2:W1052,A67)=0,$B$9,""))</f>
        <v>91.17</v>
      </c>
      <c r="C67" s="2">
        <f t="shared" ca="1" si="4"/>
        <v>32941.693203032417</v>
      </c>
      <c r="D67" s="41">
        <f t="shared" ca="1" si="5"/>
        <v>-181083.33333333334</v>
      </c>
      <c r="E67" s="38">
        <f ca="1">IF(COUNTIF($W$2:W1052,A67)=1,VLOOKUP(A67,Q:R,2), IF(COUNTIF($W$2:W1052,A67)=0,$C$9,""))</f>
        <v>99.591999999999999</v>
      </c>
      <c r="F67" s="2">
        <f t="shared" ca="1" si="6"/>
        <v>-47320.00000000056</v>
      </c>
      <c r="G67" s="41">
        <f t="shared" ca="1" si="7"/>
        <v>321.22133333332022</v>
      </c>
      <c r="H67" s="38">
        <f ca="1">IF(COUNTIF($W$2:W1052,A67)=1,VLOOKUP(A67,S:T,2), IF(COUNTIF($W$2:W1052,A67)=0,$D$9,""))</f>
        <v>246.90199999999999</v>
      </c>
      <c r="I67" s="39">
        <f ca="1">IF(COUNTIF($X$2:X1052,INT(A67))=1,VLOOKUP(INT(A67),X:Y,2), IF(ISERROR(H67-2),"",I66*(1-$D$8*(H67-H66)*0.0001)))</f>
        <v>270.85840000000002</v>
      </c>
      <c r="J67" s="39">
        <f t="shared" ca="1" si="8"/>
        <v>270.85840000000002</v>
      </c>
      <c r="K67" s="41">
        <f t="shared" ca="1" si="9"/>
        <v>472731.01673101721</v>
      </c>
      <c r="L67" s="41" t="str">
        <f ca="1">IF($A67="","",IF(COUNTIFS(Dividends!$G:$G,"&gt;"&amp;INT($A66),Dividends!$G:$G,"&lt;="&amp;INT($A67))=0,"",$H$2*SUMIFS(Dividends!$H:$H,Dividends!$G:$G,"&gt;"&amp;INT($A66),Dividends!$G:$G,"&lt;="&amp;INT($A67))))</f>
        <v/>
      </c>
      <c r="M67" s="42">
        <f ca="1">IF(ISERROR(B67-2),"",C67+D67-F67-G67-K67+SUM($L$14:L67))</f>
        <v>-190234.91915215604</v>
      </c>
      <c r="O67" s="3">
        <v>46142.625</v>
      </c>
      <c r="P67" s="4">
        <v>90.81</v>
      </c>
      <c r="Q67" s="3">
        <v>46140.625</v>
      </c>
      <c r="R67" s="4">
        <v>99.456000000000003</v>
      </c>
      <c r="S67" s="3">
        <v>46140.625</v>
      </c>
      <c r="T67" s="4">
        <v>291.65699999999998</v>
      </c>
      <c r="U67" s="3">
        <f t="shared" si="0"/>
        <v>46142.625</v>
      </c>
      <c r="V67" s="3">
        <f t="shared" si="1"/>
        <v>46142.625</v>
      </c>
      <c r="X67" s="3">
        <v>46135</v>
      </c>
      <c r="Y67" s="5">
        <v>264.38159999999999</v>
      </c>
      <c r="Z67" s="3">
        <v>45870</v>
      </c>
      <c r="AA67" s="19">
        <v>240.1619</v>
      </c>
      <c r="AB67" s="76">
        <v>45870</v>
      </c>
      <c r="AC67" s="20">
        <v>279.928</v>
      </c>
      <c r="AD67" s="6">
        <f t="shared" si="2"/>
        <v>45870</v>
      </c>
      <c r="AE67" s="20"/>
      <c r="AF67" s="20"/>
      <c r="AG67" s="20"/>
      <c r="AH67" s="20"/>
      <c r="AI67" s="7"/>
    </row>
    <row r="68" spans="1:35" x14ac:dyDescent="0.25">
      <c r="A68" s="37">
        <f t="shared" ca="1" si="3"/>
        <v>46196.625</v>
      </c>
      <c r="B68" s="38">
        <f ca="1">IF(COUNTIF($W$2:W1053,A68)=1,VLOOKUP(A68,O:P,2), IF(COUNTIF($W$2:W1053,A68)=0,$B$9,""))</f>
        <v>91.08</v>
      </c>
      <c r="C68" s="2">
        <f t="shared" ca="1" si="4"/>
        <v>3294.1693203025757</v>
      </c>
      <c r="D68" s="41">
        <f t="shared" ca="1" si="5"/>
        <v>-183291.66666666666</v>
      </c>
      <c r="E68" s="38">
        <f ca="1">IF(COUNTIF($W$2:W1053,A68)=1,VLOOKUP(A68,Q:R,2), IF(COUNTIF($W$2:W1053,A68)=0,$C$9,""))</f>
        <v>99.66</v>
      </c>
      <c r="F68" s="2">
        <f t="shared" ca="1" si="6"/>
        <v>-29640.00000000112</v>
      </c>
      <c r="G68" s="41">
        <f t="shared" ca="1" si="7"/>
        <v>325.13866666666581</v>
      </c>
      <c r="H68" s="38">
        <f ca="1">IF(COUNTIF($W$2:W1053,A68)=1,VLOOKUP(A68,S:T,2), IF(COUNTIF($W$2:W1053,A68)=0,$D$9,""))</f>
        <v>248.29</v>
      </c>
      <c r="I68" s="39">
        <f ca="1">IF(COUNTIF($X$2:X1053,INT(A68))=1,VLOOKUP(INT(A68),X:Y,2), IF(ISERROR(H68-2),"",I67*(1-$D$8*(H68-H67)*0.0001)))</f>
        <v>270.70330000000001</v>
      </c>
      <c r="J68" s="39">
        <f t="shared" ca="1" si="8"/>
        <v>270.70330000000001</v>
      </c>
      <c r="K68" s="41">
        <f t="shared" ca="1" si="9"/>
        <v>461752.25225225213</v>
      </c>
      <c r="L68" s="41" t="str">
        <f ca="1">IF($A68="","",IF(COUNTIFS(Dividends!$G:$G,"&gt;"&amp;INT($A67),Dividends!$G:$G,"&lt;="&amp;INT($A68))=0,"",$H$2*SUMIFS(Dividends!$H:$H,Dividends!$G:$G,"&gt;"&amp;INT($A67),Dividends!$G:$G,"&lt;="&amp;INT($A68))))</f>
        <v/>
      </c>
      <c r="M68" s="42">
        <f ca="1">IF(ISERROR(B68-2),"",C68+D68-F68-G68-K68+SUM($L$14:L68))</f>
        <v>-228795.92922278697</v>
      </c>
      <c r="O68" s="3">
        <v>46147.625</v>
      </c>
      <c r="P68" s="4">
        <v>90.89</v>
      </c>
      <c r="Q68" s="3">
        <v>46141.625</v>
      </c>
      <c r="R68" s="4">
        <v>99.296000000000006</v>
      </c>
      <c r="S68" s="3">
        <v>46141.625</v>
      </c>
      <c r="T68" s="4">
        <v>294.57900000000001</v>
      </c>
      <c r="U68" s="3">
        <f t="shared" ref="U68:U131" si="10">IF(COUNTIF(Q:Q,O68)*COUNTIF(S:S,O68),O68,"")</f>
        <v>46147.625</v>
      </c>
      <c r="V68" s="3">
        <f t="shared" ref="V68:V131" si="11">IF(U68&gt;$A$14,U68,"")</f>
        <v>46147.625</v>
      </c>
      <c r="X68" s="3">
        <v>46136</v>
      </c>
      <c r="Y68" s="5">
        <v>264.2679</v>
      </c>
      <c r="Z68" s="3">
        <v>45873</v>
      </c>
      <c r="AA68" s="19">
        <v>240.82929999999999</v>
      </c>
      <c r="AB68" s="76">
        <v>45873</v>
      </c>
      <c r="AC68" s="20">
        <v>275.71300000000002</v>
      </c>
      <c r="AD68" s="6">
        <f t="shared" ref="AD68:AD131" si="12">IF(COUNTIF(AB:AB,Z68),Z68,"")</f>
        <v>45873</v>
      </c>
      <c r="AE68" s="20"/>
      <c r="AF68" s="20"/>
      <c r="AG68" s="20"/>
      <c r="AH68" s="20"/>
      <c r="AI68" s="7"/>
    </row>
    <row r="69" spans="1:35" x14ac:dyDescent="0.25">
      <c r="A69" s="37">
        <f t="shared" ca="1" si="3"/>
        <v>46197.625</v>
      </c>
      <c r="B69" s="38">
        <f ca="1">IF(COUNTIF($W$2:W1054,A69)=1,VLOOKUP(A69,O:P,2), IF(COUNTIF($W$2:W1054,A69)=0,$B$9,""))</f>
        <v>91.03</v>
      </c>
      <c r="C69" s="2">
        <f t="shared" ca="1" si="4"/>
        <v>-13176.677281210303</v>
      </c>
      <c r="D69" s="41">
        <f t="shared" ca="1" si="5"/>
        <v>-185500</v>
      </c>
      <c r="E69" s="38">
        <f ca="1">IF(COUNTIF($W$2:W1054,A69)=1,VLOOKUP(A69,Q:R,2), IF(COUNTIF($W$2:W1054,A69)=0,$C$9,""))</f>
        <v>99.724999999999994</v>
      </c>
      <c r="F69" s="2">
        <f t="shared" ca="1" si="6"/>
        <v>-12740.000000001713</v>
      </c>
      <c r="G69" s="41">
        <f t="shared" ca="1" si="7"/>
        <v>329.0559999999823</v>
      </c>
      <c r="H69" s="38">
        <f ca="1">IF(COUNTIF($W$2:W1054,A69)=1,VLOOKUP(A69,S:T,2), IF(COUNTIF($W$2:W1054,A69)=0,$D$9,""))</f>
        <v>247.875</v>
      </c>
      <c r="I69" s="39">
        <f ca="1">IF(COUNTIF($X$2:X1054,INT(A69))=1,VLOOKUP(INT(A69),X:Y,2), IF(ISERROR(H69-2),"",I68*(1-$D$8*(H69-H68)*0.0001)))</f>
        <v>270.80290000000002</v>
      </c>
      <c r="J69" s="39">
        <f t="shared" ca="1" si="8"/>
        <v>270.80290000000002</v>
      </c>
      <c r="K69" s="41">
        <f t="shared" ca="1" si="9"/>
        <v>468802.44530244579</v>
      </c>
      <c r="L69" s="41" t="str">
        <f ca="1">IF($A69="","",IF(COUNTIFS(Dividends!$G:$G,"&gt;"&amp;INT($A68),Dividends!$G:$G,"&lt;="&amp;INT($A69))=0,"",$H$2*SUMIFS(Dividends!$H:$H,Dividends!$G:$G,"&gt;"&amp;INT($A68),Dividends!$G:$G,"&lt;="&amp;INT($A69))))</f>
        <v/>
      </c>
      <c r="M69" s="42">
        <f ca="1">IF(ISERROR(B69-2),"",C69+D69-F69-G69-K69+SUM($L$14:L69))</f>
        <v>-271429.21954115952</v>
      </c>
      <c r="O69" s="3">
        <v>46148.625</v>
      </c>
      <c r="P69" s="4">
        <v>91.41</v>
      </c>
      <c r="Q69" s="3">
        <v>46142.625</v>
      </c>
      <c r="R69" s="4">
        <v>99.435000000000002</v>
      </c>
      <c r="S69" s="3">
        <v>46142.625</v>
      </c>
      <c r="T69" s="4">
        <v>292.42099999999999</v>
      </c>
      <c r="U69" s="3">
        <f t="shared" si="10"/>
        <v>46148.625</v>
      </c>
      <c r="V69" s="3">
        <f t="shared" si="11"/>
        <v>46148.625</v>
      </c>
      <c r="X69" s="3">
        <v>46139</v>
      </c>
      <c r="Y69" s="5">
        <v>264.16750000000002</v>
      </c>
      <c r="Z69" s="3">
        <v>45874</v>
      </c>
      <c r="AA69" s="19">
        <v>240.89189999999999</v>
      </c>
      <c r="AB69" s="76">
        <v>45874</v>
      </c>
      <c r="AC69" s="20">
        <v>275.75200000000001</v>
      </c>
      <c r="AD69" s="6">
        <f t="shared" si="12"/>
        <v>45874</v>
      </c>
      <c r="AE69" s="20"/>
      <c r="AF69" s="20"/>
      <c r="AG69" s="20"/>
      <c r="AH69" s="20"/>
      <c r="AI69" s="7"/>
    </row>
    <row r="70" spans="1:35" x14ac:dyDescent="0.25">
      <c r="A70" s="37">
        <f t="shared" ca="1" si="3"/>
        <v>46198.625</v>
      </c>
      <c r="B70" s="38">
        <f ca="1">IF(COUNTIF($W$2:W1055,A70)=1,VLOOKUP(A70,O:P,2), IF(COUNTIF($W$2:W1055,A70)=0,$B$9,""))</f>
        <v>91.17</v>
      </c>
      <c r="C70" s="2">
        <f t="shared" ca="1" si="4"/>
        <v>32941.693203032417</v>
      </c>
      <c r="D70" s="41">
        <f t="shared" ca="1" si="5"/>
        <v>-187708.33333333334</v>
      </c>
      <c r="E70" s="38">
        <f ca="1">IF(COUNTIF($W$2:W1055,A70)=1,VLOOKUP(A70,Q:R,2), IF(COUNTIF($W$2:W1055,A70)=0,$C$9,""))</f>
        <v>99.748999999999995</v>
      </c>
      <c r="F70" s="2">
        <f t="shared" ca="1" si="6"/>
        <v>-6500.000000001477</v>
      </c>
      <c r="G70" s="41">
        <f t="shared" ca="1" si="7"/>
        <v>332.9733333333279</v>
      </c>
      <c r="H70" s="38">
        <f ca="1">IF(COUNTIF($W$2:W1055,A70)=1,VLOOKUP(A70,S:T,2), IF(COUNTIF($W$2:W1055,A70)=0,$D$9,""))</f>
        <v>246.71700000000001</v>
      </c>
      <c r="I70" s="39">
        <f ca="1">IF(COUNTIF($X$2:X1055,INT(A70))=1,VLOOKUP(INT(A70),X:Y,2), IF(ISERROR(H70-2),"",I69*(1-$D$8*(H70-H69)*0.0001)))</f>
        <v>270.97930000000002</v>
      </c>
      <c r="J70" s="39">
        <f t="shared" ca="1" si="8"/>
        <v>270.97930000000002</v>
      </c>
      <c r="K70" s="41">
        <f t="shared" ca="1" si="9"/>
        <v>481288.93178893486</v>
      </c>
      <c r="L70" s="41" t="str">
        <f ca="1">IF($A70="","",IF(COUNTIFS(Dividends!$G:$G,"&gt;"&amp;INT($A69),Dividends!$G:$G,"&lt;="&amp;INT($A70))=0,"",$H$2*SUMIFS(Dividends!$H:$H,Dividends!$G:$G,"&gt;"&amp;INT($A69),Dividends!$G:$G,"&lt;="&amp;INT($A70))))</f>
        <v/>
      </c>
      <c r="M70" s="42">
        <f ca="1">IF(ISERROR(B70-2),"",C70+D70-F70-G70-K70+SUM($L$14:L70))</f>
        <v>-246249.5862100728</v>
      </c>
      <c r="O70" s="3">
        <v>46149.625</v>
      </c>
      <c r="P70" s="4">
        <v>91.39</v>
      </c>
      <c r="Q70" s="3">
        <v>46146.625</v>
      </c>
      <c r="R70" s="4">
        <v>99.343999999999994</v>
      </c>
      <c r="S70" s="3">
        <v>46143.625</v>
      </c>
      <c r="T70" s="4">
        <v>284.04199999999997</v>
      </c>
      <c r="U70" s="3">
        <f t="shared" si="10"/>
        <v>46149.625</v>
      </c>
      <c r="V70" s="3">
        <f t="shared" si="11"/>
        <v>46149.625</v>
      </c>
      <c r="X70" s="3">
        <v>46140</v>
      </c>
      <c r="Y70" s="5">
        <v>263.87139999999999</v>
      </c>
      <c r="Z70" s="3">
        <v>45875</v>
      </c>
      <c r="AA70" s="4">
        <v>240.93029999999999</v>
      </c>
      <c r="AB70" s="74">
        <v>45875</v>
      </c>
      <c r="AC70" s="4">
        <v>275.17599999999999</v>
      </c>
      <c r="AD70" s="6">
        <f t="shared" si="12"/>
        <v>45875</v>
      </c>
      <c r="AI70" s="7"/>
    </row>
    <row r="71" spans="1:35" x14ac:dyDescent="0.25">
      <c r="A71" s="37">
        <f t="shared" ca="1" si="3"/>
        <v>46199.367901157406</v>
      </c>
      <c r="B71" s="38">
        <f ca="1">IF(COUNTIF($W$2:W1056,A71)=1,VLOOKUP(A71,O:P,2), IF(COUNTIF($W$2:W1056,A71)=0,$B$9,""))</f>
        <v>91.07</v>
      </c>
      <c r="C71" s="2">
        <f t="shared" ca="1" si="4"/>
        <v>0</v>
      </c>
      <c r="D71" s="41">
        <f t="shared" ca="1" si="5"/>
        <v>-189916.66666666666</v>
      </c>
      <c r="E71" s="38">
        <f ca="1">IF(COUNTIF($W$2:W1056,A71)=1,VLOOKUP(A71,Q:R,2), IF(COUNTIF($W$2:W1056,A71)=0,$C$9,""))</f>
        <v>99.774000000000001</v>
      </c>
      <c r="F71" s="2">
        <f t="shared" ca="1" si="6"/>
        <v>0</v>
      </c>
      <c r="G71" s="41">
        <f t="shared" ca="1" si="7"/>
        <v>336.8906666666735</v>
      </c>
      <c r="H71" s="38">
        <f ca="1">IF(COUNTIF($W$2:W1056,A71)=1,VLOOKUP(A71,S:T,2), IF(COUNTIF($W$2:W1056,A71)=0,$D$9,""))</f>
        <v>249.3082</v>
      </c>
      <c r="I71" s="39">
        <f ca="1">IF(COUNTIF($X$2:X1056,INT(A71))=1,VLOOKUP(INT(A71),X:Y,2), IF(ISERROR(H71-2),"",I70*(1-$D$8*(H71-H70)*0.0001)))</f>
        <v>270.63811969694649</v>
      </c>
      <c r="J71" s="39">
        <f t="shared" ca="1" si="8"/>
        <v>270.63811969694649</v>
      </c>
      <c r="K71" s="41">
        <f t="shared" ca="1" si="9"/>
        <v>457138.45988681831</v>
      </c>
      <c r="L71" s="41" t="str">
        <f ca="1">IF($A71="","",IF(COUNTIFS(Dividends!$G:$G,"&gt;"&amp;INT($A70),Dividends!$G:$G,"&lt;="&amp;INT($A71))=0,"",$H$2*SUMIFS(Dividends!$H:$H,Dividends!$G:$G,"&gt;"&amp;INT($A70),Dividends!$G:$G,"&lt;="&amp;INT($A71))))</f>
        <v/>
      </c>
      <c r="M71" s="42">
        <f ca="1">IF(ISERROR(B71-2),"",C71+D71-F71-G71-K71+SUM($L$14:L71))</f>
        <v>-263753.05817765679</v>
      </c>
      <c r="O71" s="3">
        <v>46150.625</v>
      </c>
      <c r="P71" s="4">
        <v>91.4</v>
      </c>
      <c r="Q71" s="3">
        <v>46147.625</v>
      </c>
      <c r="R71" s="4">
        <v>99.343000000000004</v>
      </c>
      <c r="S71" s="3">
        <v>46147.625</v>
      </c>
      <c r="T71" s="4">
        <v>287.88900000000001</v>
      </c>
      <c r="U71" s="3">
        <f t="shared" si="10"/>
        <v>46150.625</v>
      </c>
      <c r="V71" s="3">
        <f t="shared" si="11"/>
        <v>46150.625</v>
      </c>
      <c r="X71" s="3">
        <v>46141</v>
      </c>
      <c r="Y71" s="5">
        <v>263.29599999999999</v>
      </c>
      <c r="Z71" s="3">
        <v>45876</v>
      </c>
      <c r="AA71" s="4">
        <v>241.5027</v>
      </c>
      <c r="AB71" s="74">
        <v>45876</v>
      </c>
      <c r="AC71" s="4">
        <v>270.50400000000002</v>
      </c>
      <c r="AD71" s="6">
        <f t="shared" si="12"/>
        <v>45876</v>
      </c>
      <c r="AI71" s="7"/>
    </row>
    <row r="72" spans="1:35" x14ac:dyDescent="0.25">
      <c r="A72" s="37" t="str">
        <f t="shared" ca="1" si="3"/>
        <v/>
      </c>
      <c r="B72" s="38" t="str">
        <f ca="1">IF(COUNTIF($W$2:W1057,A72)=1,VLOOKUP(A72,O:P,2), IF(COUNTIF($W$2:W1057,A72)=0,$B$9,""))</f>
        <v/>
      </c>
      <c r="C72" s="2" t="str">
        <f t="shared" ca="1" si="4"/>
        <v/>
      </c>
      <c r="D72" s="41" t="str">
        <f t="shared" ca="1" si="5"/>
        <v/>
      </c>
      <c r="E72" s="38" t="str">
        <f ca="1">IF(COUNTIF($W$2:W1057,A72)=1,VLOOKUP(A72,Q:R,2), IF(COUNTIF($W$2:W1057,A72)=0,$C$9,""))</f>
        <v/>
      </c>
      <c r="F72" s="2" t="str">
        <f t="shared" ca="1" si="6"/>
        <v/>
      </c>
      <c r="G72" s="41" t="str">
        <f t="shared" ca="1" si="7"/>
        <v/>
      </c>
      <c r="H72" s="38" t="str">
        <f ca="1">IF(COUNTIF($W$2:W1057,A72)=1,VLOOKUP(A72,S:T,2), IF(COUNTIF($W$2:W1057,A72)=0,$D$9,""))</f>
        <v/>
      </c>
      <c r="I72" s="39" t="str">
        <f ca="1">IF(COUNTIF($X$2:X1057,INT(A72))=1,VLOOKUP(INT(A72),X:Y,2), IF(ISERROR(H72-2),"",I71*(1-$D$8*(H72-H71)*0.0001)))</f>
        <v/>
      </c>
      <c r="J72" s="39" t="str">
        <f t="shared" ca="1" si="8"/>
        <v/>
      </c>
      <c r="K72" s="41" t="str">
        <f t="shared" ca="1" si="9"/>
        <v/>
      </c>
      <c r="L72" s="41" t="str">
        <f ca="1">IF($A72="","",IF(COUNTIFS(Dividends!$G:$G,"&gt;"&amp;INT($A71),Dividends!$G:$G,"&lt;="&amp;INT($A72))=0,"",$H$2*SUMIFS(Dividends!$H:$H,Dividends!$G:$G,"&gt;"&amp;INT($A71),Dividends!$G:$G,"&lt;="&amp;INT($A72))))</f>
        <v/>
      </c>
      <c r="M72" s="42" t="str">
        <f ca="1">IF(ISERROR(B72-2),"",C72+D72-F72-G72-K72+SUM($L$14:L72))</f>
        <v/>
      </c>
      <c r="O72" s="3">
        <v>46153.625</v>
      </c>
      <c r="P72" s="4">
        <v>91.44</v>
      </c>
      <c r="Q72" s="3">
        <v>46148.625</v>
      </c>
      <c r="R72" s="4">
        <v>99.63</v>
      </c>
      <c r="S72" s="3">
        <v>46148.625</v>
      </c>
      <c r="T72" s="4">
        <v>275.09699999999998</v>
      </c>
      <c r="U72" s="3">
        <f t="shared" si="10"/>
        <v>46153.625</v>
      </c>
      <c r="V72" s="3">
        <f t="shared" si="11"/>
        <v>46153.625</v>
      </c>
      <c r="X72" s="3">
        <v>46142</v>
      </c>
      <c r="Y72" s="5">
        <v>263.72019999999998</v>
      </c>
      <c r="Z72" s="3">
        <v>45877</v>
      </c>
      <c r="AA72" s="4">
        <v>241.9376</v>
      </c>
      <c r="AB72" s="74">
        <v>45877</v>
      </c>
      <c r="AC72" s="4">
        <v>266.57299999999998</v>
      </c>
      <c r="AD72" s="6">
        <f t="shared" si="12"/>
        <v>45877</v>
      </c>
      <c r="AI72" s="7"/>
    </row>
    <row r="73" spans="1:35" x14ac:dyDescent="0.25">
      <c r="A73" s="37" t="str">
        <f t="shared" ca="1" si="3"/>
        <v/>
      </c>
      <c r="B73" s="38" t="str">
        <f ca="1">IF(COUNTIF($W$2:W1058,A73)=1,VLOOKUP(A73,O:P,2), IF(COUNTIF($W$2:W1058,A73)=0,$B$9,""))</f>
        <v/>
      </c>
      <c r="C73" s="2" t="str">
        <f t="shared" ca="1" si="4"/>
        <v/>
      </c>
      <c r="D73" s="41" t="str">
        <f t="shared" ca="1" si="5"/>
        <v/>
      </c>
      <c r="E73" s="38" t="str">
        <f ca="1">IF(COUNTIF($W$2:W1058,A73)=1,VLOOKUP(A73,Q:R,2), IF(COUNTIF($W$2:W1058,A73)=0,$C$9,""))</f>
        <v/>
      </c>
      <c r="F73" s="2" t="str">
        <f t="shared" ca="1" si="6"/>
        <v/>
      </c>
      <c r="G73" s="41" t="str">
        <f t="shared" ca="1" si="7"/>
        <v/>
      </c>
      <c r="H73" s="38" t="str">
        <f ca="1">IF(COUNTIF($W$2:W1058,A73)=1,VLOOKUP(A73,S:T,2), IF(COUNTIF($W$2:W1058,A73)=0,$D$9,""))</f>
        <v/>
      </c>
      <c r="I73" s="39" t="str">
        <f ca="1">IF(COUNTIF($X$2:X1058,INT(A73))=1,VLOOKUP(INT(A73),X:Y,2), IF(ISERROR(H73-2),"",I72*(1-$D$8*(H73-H72)*0.0001)))</f>
        <v/>
      </c>
      <c r="J73" s="39" t="str">
        <f t="shared" ca="1" si="8"/>
        <v/>
      </c>
      <c r="K73" s="41" t="str">
        <f t="shared" ca="1" si="9"/>
        <v/>
      </c>
      <c r="L73" s="41" t="str">
        <f ca="1">IF($A73="","",IF(COUNTIFS(Dividends!$G:$G,"&gt;"&amp;INT($A72),Dividends!$G:$G,"&lt;="&amp;INT($A73))=0,"",$H$2*SUMIFS(Dividends!$H:$H,Dividends!$G:$G,"&gt;"&amp;INT($A72),Dividends!$G:$G,"&lt;="&amp;INT($A73))))</f>
        <v/>
      </c>
      <c r="M73" s="42" t="str">
        <f ca="1">IF(ISERROR(B73-2),"",C73+D73-F73-G73-K73+SUM($L$14:L73))</f>
        <v/>
      </c>
      <c r="O73" s="3">
        <v>46154.625</v>
      </c>
      <c r="P73" s="4">
        <v>91.28</v>
      </c>
      <c r="Q73" s="3">
        <v>46149.625</v>
      </c>
      <c r="R73" s="4">
        <v>99.650999999999996</v>
      </c>
      <c r="S73" s="3">
        <v>46149.625</v>
      </c>
      <c r="T73" s="4">
        <v>275.04599999999999</v>
      </c>
      <c r="U73" s="3">
        <f t="shared" si="10"/>
        <v>46154.625</v>
      </c>
      <c r="V73" s="3">
        <f t="shared" si="11"/>
        <v>46154.625</v>
      </c>
      <c r="X73" s="3">
        <v>46143</v>
      </c>
      <c r="Y73" s="5">
        <v>264.85550000000001</v>
      </c>
      <c r="Z73" s="3">
        <v>45880</v>
      </c>
      <c r="AA73" s="4">
        <v>241.95820000000001</v>
      </c>
      <c r="AB73" s="74">
        <v>45880</v>
      </c>
      <c r="AC73" s="4">
        <v>265.935</v>
      </c>
      <c r="AD73" s="6">
        <f t="shared" si="12"/>
        <v>45880</v>
      </c>
      <c r="AI73" s="7"/>
    </row>
    <row r="74" spans="1:35" x14ac:dyDescent="0.25">
      <c r="A74" s="37" t="str">
        <f t="shared" ca="1" si="3"/>
        <v/>
      </c>
      <c r="B74" s="38" t="str">
        <f ca="1">IF(COUNTIF($W$2:W1059,A74)=1,VLOOKUP(A74,O:P,2), IF(COUNTIF($W$2:W1059,A74)=0,$B$9,""))</f>
        <v/>
      </c>
      <c r="C74" s="2" t="str">
        <f t="shared" ca="1" si="4"/>
        <v/>
      </c>
      <c r="D74" s="41" t="str">
        <f t="shared" ca="1" si="5"/>
        <v/>
      </c>
      <c r="E74" s="38" t="str">
        <f ca="1">IF(COUNTIF($W$2:W1059,A74)=1,VLOOKUP(A74,Q:R,2), IF(COUNTIF($W$2:W1059,A74)=0,$C$9,""))</f>
        <v/>
      </c>
      <c r="F74" s="2" t="str">
        <f t="shared" ca="1" si="6"/>
        <v/>
      </c>
      <c r="G74" s="41" t="str">
        <f t="shared" ca="1" si="7"/>
        <v/>
      </c>
      <c r="H74" s="38" t="str">
        <f ca="1">IF(COUNTIF($W$2:W1059,A74)=1,VLOOKUP(A74,S:T,2), IF(COUNTIF($W$2:W1059,A74)=0,$D$9,""))</f>
        <v/>
      </c>
      <c r="I74" s="39" t="str">
        <f ca="1">IF(COUNTIF($X$2:X1059,INT(A74))=1,VLOOKUP(INT(A74),X:Y,2), IF(ISERROR(H74-2),"",I73*(1-$D$8*(H74-H73)*0.0001)))</f>
        <v/>
      </c>
      <c r="J74" s="39" t="str">
        <f t="shared" ca="1" si="8"/>
        <v/>
      </c>
      <c r="K74" s="41" t="str">
        <f t="shared" ca="1" si="9"/>
        <v/>
      </c>
      <c r="L74" s="41" t="str">
        <f ca="1">IF($A74="","",IF(COUNTIFS(Dividends!$G:$G,"&gt;"&amp;INT($A73),Dividends!$G:$G,"&lt;="&amp;INT($A74))=0,"",$H$2*SUMIFS(Dividends!$H:$H,Dividends!$G:$G,"&gt;"&amp;INT($A73),Dividends!$G:$G,"&lt;="&amp;INT($A74))))</f>
        <v/>
      </c>
      <c r="M74" s="42" t="str">
        <f ca="1">IF(ISERROR(B74-2),"",C74+D74-F74-G74-K74+SUM($L$14:L74))</f>
        <v/>
      </c>
      <c r="O74" s="3">
        <v>46155.625</v>
      </c>
      <c r="P74" s="4">
        <v>91.31</v>
      </c>
      <c r="Q74" s="3">
        <v>46150.625</v>
      </c>
      <c r="R74" s="4">
        <v>99.58</v>
      </c>
      <c r="S74" s="3">
        <v>46150.625</v>
      </c>
      <c r="T74" s="4">
        <v>277.74599999999998</v>
      </c>
      <c r="U74" s="3">
        <f t="shared" si="10"/>
        <v>46155.625</v>
      </c>
      <c r="V74" s="3">
        <f t="shared" si="11"/>
        <v>46155.625</v>
      </c>
      <c r="X74" s="3">
        <v>46147</v>
      </c>
      <c r="Y74" s="5">
        <v>264.5573</v>
      </c>
      <c r="Z74" s="3">
        <v>45881</v>
      </c>
      <c r="AA74" s="4">
        <v>242.30109999999999</v>
      </c>
      <c r="AB74" s="74">
        <v>45881</v>
      </c>
      <c r="AC74" s="4">
        <v>263.49</v>
      </c>
      <c r="AD74" s="6">
        <f t="shared" si="12"/>
        <v>45881</v>
      </c>
      <c r="AI74" s="7"/>
    </row>
    <row r="75" spans="1:35" x14ac:dyDescent="0.25">
      <c r="A75" s="37" t="str">
        <f t="shared" ca="1" si="3"/>
        <v/>
      </c>
      <c r="B75" s="38" t="str">
        <f ca="1">IF(COUNTIF($W$2:W1060,A75)=1,VLOOKUP(A75,O:P,2), IF(COUNTIF($W$2:W1060,A75)=0,$B$9,""))</f>
        <v/>
      </c>
      <c r="C75" s="2" t="str">
        <f t="shared" ca="1" si="4"/>
        <v/>
      </c>
      <c r="D75" s="41" t="str">
        <f t="shared" ca="1" si="5"/>
        <v/>
      </c>
      <c r="E75" s="38" t="str">
        <f ca="1">IF(COUNTIF($W$2:W1060,A75)=1,VLOOKUP(A75,Q:R,2), IF(COUNTIF($W$2:W1060,A75)=0,$C$9,""))</f>
        <v/>
      </c>
      <c r="F75" s="2" t="str">
        <f t="shared" ca="1" si="6"/>
        <v/>
      </c>
      <c r="G75" s="41" t="str">
        <f t="shared" ca="1" si="7"/>
        <v/>
      </c>
      <c r="H75" s="38" t="str">
        <f ca="1">IF(COUNTIF($W$2:W1060,A75)=1,VLOOKUP(A75,S:T,2), IF(COUNTIF($W$2:W1060,A75)=0,$D$9,""))</f>
        <v/>
      </c>
      <c r="I75" s="39" t="str">
        <f ca="1">IF(COUNTIF($X$2:X1060,INT(A75))=1,VLOOKUP(INT(A75),X:Y,2), IF(ISERROR(H75-2),"",I74*(1-$D$8*(H75-H74)*0.0001)))</f>
        <v/>
      </c>
      <c r="J75" s="39" t="str">
        <f t="shared" ca="1" si="8"/>
        <v/>
      </c>
      <c r="K75" s="41" t="str">
        <f t="shared" ca="1" si="9"/>
        <v/>
      </c>
      <c r="L75" s="41" t="str">
        <f ca="1">IF($A75="","",IF(COUNTIFS(Dividends!$G:$G,"&gt;"&amp;INT($A74),Dividends!$G:$G,"&lt;="&amp;INT($A75))=0,"",$H$2*SUMIFS(Dividends!$H:$H,Dividends!$G:$G,"&gt;"&amp;INT($A74),Dividends!$G:$G,"&lt;="&amp;INT($A75))))</f>
        <v/>
      </c>
      <c r="M75" s="42" t="str">
        <f ca="1">IF(ISERROR(B75-2),"",C75+D75-F75-G75-K75+SUM($L$14:L75))</f>
        <v/>
      </c>
      <c r="O75" s="3">
        <v>46156.625</v>
      </c>
      <c r="P75" s="4">
        <v>91.4</v>
      </c>
      <c r="Q75" s="3">
        <v>46153.625</v>
      </c>
      <c r="R75" s="4">
        <v>99.436999999999998</v>
      </c>
      <c r="S75" s="3">
        <v>46153.625</v>
      </c>
      <c r="T75" s="4">
        <v>277.33600000000001</v>
      </c>
      <c r="U75" s="3">
        <f t="shared" si="10"/>
        <v>46156.625</v>
      </c>
      <c r="V75" s="3">
        <f t="shared" si="11"/>
        <v>46156.625</v>
      </c>
      <c r="X75" s="3">
        <v>46148</v>
      </c>
      <c r="Y75" s="5">
        <v>266.11750000000001</v>
      </c>
      <c r="Z75" s="3">
        <v>45882</v>
      </c>
      <c r="AA75" s="4">
        <v>242.66040000000001</v>
      </c>
      <c r="AB75" s="74">
        <v>45882</v>
      </c>
      <c r="AC75" s="4">
        <v>261.18700000000001</v>
      </c>
      <c r="AD75" s="6">
        <f t="shared" si="12"/>
        <v>45882</v>
      </c>
      <c r="AI75" s="7"/>
    </row>
    <row r="76" spans="1:35" x14ac:dyDescent="0.25">
      <c r="A76" s="37" t="str">
        <f t="shared" ca="1" si="3"/>
        <v/>
      </c>
      <c r="B76" s="38" t="str">
        <f ca="1">IF(COUNTIF($W$2:W1061,A76)=1,VLOOKUP(A76,O:P,2), IF(COUNTIF($W$2:W1061,A76)=0,$B$9,""))</f>
        <v/>
      </c>
      <c r="C76" s="2" t="str">
        <f t="shared" ca="1" si="4"/>
        <v/>
      </c>
      <c r="D76" s="41" t="str">
        <f t="shared" ca="1" si="5"/>
        <v/>
      </c>
      <c r="E76" s="38" t="str">
        <f ca="1">IF(COUNTIF($W$2:W1061,A76)=1,VLOOKUP(A76,Q:R,2), IF(COUNTIF($W$2:W1061,A76)=0,$C$9,""))</f>
        <v/>
      </c>
      <c r="F76" s="2" t="str">
        <f t="shared" ca="1" si="6"/>
        <v/>
      </c>
      <c r="G76" s="41" t="str">
        <f t="shared" ca="1" si="7"/>
        <v/>
      </c>
      <c r="H76" s="38" t="str">
        <f ca="1">IF(COUNTIF($W$2:W1061,A76)=1,VLOOKUP(A76,S:T,2), IF(COUNTIF($W$2:W1061,A76)=0,$D$9,""))</f>
        <v/>
      </c>
      <c r="I76" s="39" t="str">
        <f ca="1">IF(COUNTIF($X$2:X1061,INT(A76))=1,VLOOKUP(INT(A76),X:Y,2), IF(ISERROR(H76-2),"",I75*(1-$D$8*(H76-H75)*0.0001)))</f>
        <v/>
      </c>
      <c r="J76" s="39" t="str">
        <f t="shared" ca="1" si="8"/>
        <v/>
      </c>
      <c r="K76" s="41" t="str">
        <f t="shared" ca="1" si="9"/>
        <v/>
      </c>
      <c r="L76" s="41" t="str">
        <f ca="1">IF($A76="","",IF(COUNTIFS(Dividends!$G:$G,"&gt;"&amp;INT($A75),Dividends!$G:$G,"&lt;="&amp;INT($A76))=0,"",$H$2*SUMIFS(Dividends!$H:$H,Dividends!$G:$G,"&gt;"&amp;INT($A75),Dividends!$G:$G,"&lt;="&amp;INT($A76))))</f>
        <v/>
      </c>
      <c r="M76" s="42" t="str">
        <f ca="1">IF(ISERROR(B76-2),"",C76+D76-F76-G76-K76+SUM($L$14:L76))</f>
        <v/>
      </c>
      <c r="O76" s="3">
        <v>46157.625</v>
      </c>
      <c r="P76" s="4">
        <v>91.28</v>
      </c>
      <c r="Q76" s="3">
        <v>46154.625</v>
      </c>
      <c r="R76" s="4">
        <v>99.322999999999993</v>
      </c>
      <c r="S76" s="3">
        <v>46154.625</v>
      </c>
      <c r="T76" s="4">
        <v>283.721</v>
      </c>
      <c r="U76" s="3">
        <f t="shared" si="10"/>
        <v>46157.625</v>
      </c>
      <c r="V76" s="3">
        <f t="shared" si="11"/>
        <v>46157.625</v>
      </c>
      <c r="X76" s="3">
        <v>46149</v>
      </c>
      <c r="Y76" s="5">
        <v>265.79050000000001</v>
      </c>
      <c r="Z76" s="3">
        <v>45883</v>
      </c>
      <c r="AA76" s="4">
        <v>242.72069999999999</v>
      </c>
      <c r="AB76" s="74">
        <v>45883</v>
      </c>
      <c r="AC76" s="4">
        <v>260.53300000000002</v>
      </c>
      <c r="AD76" s="6">
        <f t="shared" si="12"/>
        <v>45883</v>
      </c>
      <c r="AI76" s="7"/>
    </row>
    <row r="77" spans="1:35" x14ac:dyDescent="0.25">
      <c r="A77" s="37" t="str">
        <f t="shared" ca="1" si="3"/>
        <v/>
      </c>
      <c r="B77" s="38" t="str">
        <f ca="1">IF(COUNTIF($W$2:W1062,A77)=1,VLOOKUP(A77,O:P,2), IF(COUNTIF($W$2:W1062,A77)=0,$B$9,""))</f>
        <v/>
      </c>
      <c r="C77" s="2" t="str">
        <f t="shared" ca="1" si="4"/>
        <v/>
      </c>
      <c r="D77" s="41" t="str">
        <f t="shared" ca="1" si="5"/>
        <v/>
      </c>
      <c r="E77" s="38" t="str">
        <f ca="1">IF(COUNTIF($W$2:W1062,A77)=1,VLOOKUP(A77,Q:R,2), IF(COUNTIF($W$2:W1062,A77)=0,$C$9,""))</f>
        <v/>
      </c>
      <c r="F77" s="2" t="str">
        <f t="shared" ca="1" si="6"/>
        <v/>
      </c>
      <c r="G77" s="41" t="str">
        <f t="shared" ca="1" si="7"/>
        <v/>
      </c>
      <c r="H77" s="38" t="str">
        <f ca="1">IF(COUNTIF($W$2:W1062,A77)=1,VLOOKUP(A77,S:T,2), IF(COUNTIF($W$2:W1062,A77)=0,$D$9,""))</f>
        <v/>
      </c>
      <c r="I77" s="39" t="str">
        <f ca="1">IF(COUNTIF($X$2:X1062,INT(A77))=1,VLOOKUP(INT(A77),X:Y,2), IF(ISERROR(H77-2),"",I76*(1-$D$8*(H77-H76)*0.0001)))</f>
        <v/>
      </c>
      <c r="J77" s="39" t="str">
        <f t="shared" ca="1" si="8"/>
        <v/>
      </c>
      <c r="K77" s="41" t="str">
        <f t="shared" ca="1" si="9"/>
        <v/>
      </c>
      <c r="L77" s="41" t="str">
        <f ca="1">IF($A77="","",IF(COUNTIFS(Dividends!$G:$G,"&gt;"&amp;INT($A76),Dividends!$G:$G,"&lt;="&amp;INT($A77))=0,"",$H$2*SUMIFS(Dividends!$H:$H,Dividends!$G:$G,"&gt;"&amp;INT($A76),Dividends!$G:$G,"&lt;="&amp;INT($A77))))</f>
        <v/>
      </c>
      <c r="M77" s="42" t="str">
        <f ca="1">IF(ISERROR(B77-2),"",C77+D77-F77-G77-K77+SUM($L$14:L77))</f>
        <v/>
      </c>
      <c r="O77" s="3">
        <v>46160.625</v>
      </c>
      <c r="P77" s="4">
        <v>91.22</v>
      </c>
      <c r="Q77" s="3">
        <v>46155.625</v>
      </c>
      <c r="R77" s="4">
        <v>99.292000000000002</v>
      </c>
      <c r="S77" s="3">
        <v>46155.625</v>
      </c>
      <c r="T77" s="4">
        <v>280.03899999999999</v>
      </c>
      <c r="U77" s="3">
        <f t="shared" si="10"/>
        <v>46160.625</v>
      </c>
      <c r="V77" s="3">
        <f t="shared" si="11"/>
        <v>46160.625</v>
      </c>
      <c r="X77" s="3">
        <v>46150</v>
      </c>
      <c r="Y77" s="5">
        <v>265.83870000000002</v>
      </c>
      <c r="Z77" s="3">
        <v>45884</v>
      </c>
      <c r="AA77" s="4">
        <v>242.86539999999999</v>
      </c>
      <c r="AB77" s="74">
        <v>45884</v>
      </c>
      <c r="AC77" s="4">
        <v>259.50799999999998</v>
      </c>
      <c r="AD77" s="6">
        <f t="shared" si="12"/>
        <v>45884</v>
      </c>
      <c r="AI77" s="7"/>
    </row>
    <row r="78" spans="1:35" x14ac:dyDescent="0.25">
      <c r="A78" s="37" t="str">
        <f t="shared" ca="1" si="3"/>
        <v/>
      </c>
      <c r="B78" s="38" t="str">
        <f ca="1">IF(COUNTIF($W$2:W1063,A78)=1,VLOOKUP(A78,O:P,2), IF(COUNTIF($W$2:W1063,A78)=0,$B$9,""))</f>
        <v/>
      </c>
      <c r="C78" s="2" t="str">
        <f t="shared" ca="1" si="4"/>
        <v/>
      </c>
      <c r="D78" s="41" t="str">
        <f t="shared" ca="1" si="5"/>
        <v/>
      </c>
      <c r="E78" s="38" t="str">
        <f ca="1">IF(COUNTIF($W$2:W1063,A78)=1,VLOOKUP(A78,Q:R,2), IF(COUNTIF($W$2:W1063,A78)=0,$C$9,""))</f>
        <v/>
      </c>
      <c r="F78" s="2" t="str">
        <f t="shared" ca="1" si="6"/>
        <v/>
      </c>
      <c r="G78" s="41" t="str">
        <f t="shared" ca="1" si="7"/>
        <v/>
      </c>
      <c r="H78" s="38" t="str">
        <f ca="1">IF(COUNTIF($W$2:W1063,A78)=1,VLOOKUP(A78,S:T,2), IF(COUNTIF($W$2:W1063,A78)=0,$D$9,""))</f>
        <v/>
      </c>
      <c r="I78" s="39" t="str">
        <f ca="1">IF(COUNTIF($X$2:X1063,INT(A78))=1,VLOOKUP(INT(A78),X:Y,2), IF(ISERROR(H78-2),"",I77*(1-$D$8*(H78-H77)*0.0001)))</f>
        <v/>
      </c>
      <c r="J78" s="39" t="str">
        <f t="shared" ca="1" si="8"/>
        <v/>
      </c>
      <c r="K78" s="41" t="str">
        <f t="shared" ca="1" si="9"/>
        <v/>
      </c>
      <c r="L78" s="41" t="str">
        <f ca="1">IF($A78="","",IF(COUNTIFS(Dividends!$G:$G,"&gt;"&amp;INT($A77),Dividends!$G:$G,"&lt;="&amp;INT($A78))=0,"",$H$2*SUMIFS(Dividends!$H:$H,Dividends!$G:$G,"&gt;"&amp;INT($A77),Dividends!$G:$G,"&lt;="&amp;INT($A78))))</f>
        <v/>
      </c>
      <c r="M78" s="42" t="str">
        <f ca="1">IF(ISERROR(B78-2),"",C78+D78-F78-G78-K78+SUM($L$14:L78))</f>
        <v/>
      </c>
      <c r="O78" s="3">
        <v>46161.625</v>
      </c>
      <c r="P78" s="4">
        <v>90.83</v>
      </c>
      <c r="Q78" s="3">
        <v>46156.625</v>
      </c>
      <c r="R78" s="4">
        <v>99.430999999999997</v>
      </c>
      <c r="S78" s="3">
        <v>46156.625</v>
      </c>
      <c r="T78" s="4">
        <v>274.584</v>
      </c>
      <c r="U78" s="3">
        <f t="shared" si="10"/>
        <v>46161.625</v>
      </c>
      <c r="V78" s="3">
        <f t="shared" si="11"/>
        <v>46161.625</v>
      </c>
      <c r="X78" s="3">
        <v>46153</v>
      </c>
      <c r="Y78" s="5">
        <v>266.14510000000001</v>
      </c>
      <c r="Z78" s="3">
        <v>45887</v>
      </c>
      <c r="AA78" s="4">
        <v>242.83189999999999</v>
      </c>
      <c r="AB78" s="74">
        <v>45887</v>
      </c>
      <c r="AC78" s="4">
        <v>259.964</v>
      </c>
      <c r="AD78" s="6">
        <f t="shared" si="12"/>
        <v>45887</v>
      </c>
    </row>
    <row r="79" spans="1:35" x14ac:dyDescent="0.25">
      <c r="A79" s="37" t="str">
        <f t="shared" ref="A79:A142" ca="1" si="13">IF(AND(ISBLANK(W68), A78 = $W$1),NOW(),IF(ISBLANK(W68),"",W68))</f>
        <v/>
      </c>
      <c r="B79" s="38" t="str">
        <f ca="1">IF(COUNTIF($W$2:W1064,A79)=1,VLOOKUP(A79,O:P,2), IF(COUNTIF($W$2:W1064,A79)=0,$B$9,""))</f>
        <v/>
      </c>
      <c r="C79" s="2" t="str">
        <f t="shared" ca="1" si="4"/>
        <v/>
      </c>
      <c r="D79" s="41" t="str">
        <f t="shared" ca="1" si="5"/>
        <v/>
      </c>
      <c r="E79" s="38" t="str">
        <f ca="1">IF(COUNTIF($W$2:W1064,A79)=1,VLOOKUP(A79,Q:R,2), IF(COUNTIF($W$2:W1064,A79)=0,$C$9,""))</f>
        <v/>
      </c>
      <c r="F79" s="2" t="str">
        <f t="shared" ca="1" si="6"/>
        <v/>
      </c>
      <c r="G79" s="41" t="str">
        <f t="shared" ca="1" si="7"/>
        <v/>
      </c>
      <c r="H79" s="38" t="str">
        <f ca="1">IF(COUNTIF($W$2:W1064,A79)=1,VLOOKUP(A79,S:T,2), IF(COUNTIF($W$2:W1064,A79)=0,$D$9,""))</f>
        <v/>
      </c>
      <c r="I79" s="39" t="str">
        <f ca="1">IF(COUNTIF($X$2:X1064,INT(A79))=1,VLOOKUP(INT(A79),X:Y,2), IF(ISERROR(H79-2),"",I78*(1-$D$8*(H79-H78)*0.0001)))</f>
        <v/>
      </c>
      <c r="J79" s="39" t="str">
        <f t="shared" ca="1" si="8"/>
        <v/>
      </c>
      <c r="K79" s="41" t="str">
        <f t="shared" ca="1" si="9"/>
        <v/>
      </c>
      <c r="L79" s="41" t="str">
        <f ca="1">IF($A79="","",IF(COUNTIFS(Dividends!$G:$G,"&gt;"&amp;INT($A78),Dividends!$G:$G,"&lt;="&amp;INT($A79))=0,"",$H$2*SUMIFS(Dividends!$H:$H,Dividends!$G:$G,"&gt;"&amp;INT($A78),Dividends!$G:$G,"&lt;="&amp;INT($A79))))</f>
        <v/>
      </c>
      <c r="M79" s="42" t="str">
        <f ca="1">IF(ISERROR(B79-2),"",C79+D79-F79-G79-K79+SUM($L$14:L79))</f>
        <v/>
      </c>
      <c r="O79" s="3">
        <v>46162.625</v>
      </c>
      <c r="P79" s="4">
        <v>91.06</v>
      </c>
      <c r="Q79" s="3">
        <v>46157.625</v>
      </c>
      <c r="R79" s="4">
        <v>99.259</v>
      </c>
      <c r="S79" s="3">
        <v>46157.625</v>
      </c>
      <c r="T79" s="4">
        <v>280.37200000000001</v>
      </c>
      <c r="U79" s="3">
        <f t="shared" si="10"/>
        <v>46162.625</v>
      </c>
      <c r="V79" s="3">
        <f t="shared" si="11"/>
        <v>46162.625</v>
      </c>
      <c r="X79" s="3">
        <v>46154</v>
      </c>
      <c r="Y79" s="5">
        <v>265.19240000000002</v>
      </c>
      <c r="Z79" s="3">
        <v>45888</v>
      </c>
      <c r="AA79" s="4">
        <v>242.8905</v>
      </c>
      <c r="AB79" s="74">
        <v>45888</v>
      </c>
      <c r="AC79" s="4">
        <v>260.928</v>
      </c>
      <c r="AD79" s="6">
        <f t="shared" si="12"/>
        <v>45888</v>
      </c>
    </row>
    <row r="80" spans="1:35" x14ac:dyDescent="0.25">
      <c r="A80" s="37" t="str">
        <f t="shared" ca="1" si="13"/>
        <v/>
      </c>
      <c r="B80" s="38" t="str">
        <f ca="1">IF(COUNTIF($W$2:W1065,A80)=1,VLOOKUP(A80,O:P,2), IF(COUNTIF($W$2:W1065,A80)=0,$B$9,""))</f>
        <v/>
      </c>
      <c r="C80" s="2" t="str">
        <f t="shared" ref="C80:C143" ca="1" si="14">IF(ISERROR(B80-2),"",(B80/$B$14-1)*$B$5)</f>
        <v/>
      </c>
      <c r="D80" s="41" t="str">
        <f t="shared" ref="D80:D143" ca="1" si="15">IF(ISERROR(B80-2),"",-1*(INT(A80)-INT($A$14))/360*$B$7*$B$5)</f>
        <v/>
      </c>
      <c r="E80" s="38" t="str">
        <f ca="1">IF(COUNTIF($W$2:W1065,A80)=1,VLOOKUP(A80,Q:R,2), IF(COUNTIF($W$2:W1065,A80)=0,$C$9,""))</f>
        <v/>
      </c>
      <c r="F80" s="2" t="str">
        <f t="shared" ref="F80:F143" ca="1" si="16">IF(ISERROR(B80-2),"",(E80-$E$14)/100*$C$5)</f>
        <v/>
      </c>
      <c r="G80" s="41" t="str">
        <f t="shared" ref="G80:G143" ca="1" si="17">IF(ISERROR(B80-2),"",(INT(A80)-INT($A$14))/360*$C$6*$C$5-(INT(A80)-INT($A$14))/360*$C$7*$C$5*$E$14/100)</f>
        <v/>
      </c>
      <c r="H80" s="38" t="str">
        <f ca="1">IF(COUNTIF($W$2:W1065,A80)=1,VLOOKUP(A80,S:T,2), IF(COUNTIF($W$2:W1065,A80)=0,$D$9,""))</f>
        <v/>
      </c>
      <c r="I80" s="39" t="str">
        <f ca="1">IF(COUNTIF($X$2:X1065,INT(A80))=1,VLOOKUP(INT(A80),X:Y,2), IF(ISERROR(H80-2),"",I79*(1-$D$8*(H80-H79)*0.0001)))</f>
        <v/>
      </c>
      <c r="J80" s="39" t="str">
        <f t="shared" ref="J80:J143" ca="1" si="18">IF(ISERROR(H80-2),"",I80)</f>
        <v/>
      </c>
      <c r="K80" s="41" t="str">
        <f t="shared" ref="K80:K143" ca="1" si="19">IF(ISERROR(H80-2),"",(J80/$J$14-1)*$D$5)</f>
        <v/>
      </c>
      <c r="L80" s="41" t="str">
        <f ca="1">IF($A80="","",IF(COUNTIFS(Dividends!$G:$G,"&gt;"&amp;INT($A79),Dividends!$G:$G,"&lt;="&amp;INT($A80))=0,"",$H$2*SUMIFS(Dividends!$H:$H,Dividends!$G:$G,"&gt;"&amp;INT($A79),Dividends!$G:$G,"&lt;="&amp;INT($A80))))</f>
        <v/>
      </c>
      <c r="M80" s="42" t="str">
        <f ca="1">IF(ISERROR(B80-2),"",C80+D80-F80-G80-K80+SUM($L$14:L80))</f>
        <v/>
      </c>
      <c r="O80" s="3">
        <v>46163.625</v>
      </c>
      <c r="P80" s="4">
        <v>91.15</v>
      </c>
      <c r="Q80" s="3">
        <v>46160.625</v>
      </c>
      <c r="R80" s="4">
        <v>99.296000000000006</v>
      </c>
      <c r="S80" s="3">
        <v>46160.625</v>
      </c>
      <c r="T80" s="4">
        <v>279.00200000000001</v>
      </c>
      <c r="U80" s="3">
        <f t="shared" si="10"/>
        <v>46163.625</v>
      </c>
      <c r="V80" s="3">
        <f t="shared" si="11"/>
        <v>46163.625</v>
      </c>
      <c r="X80" s="3">
        <v>46155</v>
      </c>
      <c r="Y80" s="5">
        <v>265.76659999999998</v>
      </c>
      <c r="Z80" s="3">
        <v>45889</v>
      </c>
      <c r="AA80" s="4">
        <v>242.38249999999999</v>
      </c>
      <c r="AB80" s="74">
        <v>45889</v>
      </c>
      <c r="AC80" s="4">
        <v>265.03500000000003</v>
      </c>
      <c r="AD80" s="6">
        <f t="shared" si="12"/>
        <v>45889</v>
      </c>
    </row>
    <row r="81" spans="1:30" x14ac:dyDescent="0.25">
      <c r="A81" s="37" t="str">
        <f t="shared" ca="1" si="13"/>
        <v/>
      </c>
      <c r="B81" s="38" t="str">
        <f ca="1">IF(COUNTIF($W$2:W1066,A81)=1,VLOOKUP(A81,O:P,2), IF(COUNTIF($W$2:W1066,A81)=0,$B$9,""))</f>
        <v/>
      </c>
      <c r="C81" s="2" t="str">
        <f t="shared" ca="1" si="14"/>
        <v/>
      </c>
      <c r="D81" s="41" t="str">
        <f t="shared" ca="1" si="15"/>
        <v/>
      </c>
      <c r="E81" s="38" t="str">
        <f ca="1">IF(COUNTIF($W$2:W1066,A81)=1,VLOOKUP(A81,Q:R,2), IF(COUNTIF($W$2:W1066,A81)=0,$C$9,""))</f>
        <v/>
      </c>
      <c r="F81" s="2" t="str">
        <f t="shared" ca="1" si="16"/>
        <v/>
      </c>
      <c r="G81" s="41" t="str">
        <f t="shared" ca="1" si="17"/>
        <v/>
      </c>
      <c r="H81" s="38" t="str">
        <f ca="1">IF(COUNTIF($W$2:W1066,A81)=1,VLOOKUP(A81,S:T,2), IF(COUNTIF($W$2:W1066,A81)=0,$D$9,""))</f>
        <v/>
      </c>
      <c r="I81" s="39" t="str">
        <f ca="1">IF(COUNTIF($X$2:X1066,INT(A81))=1,VLOOKUP(INT(A81),X:Y,2), IF(ISERROR(H81-2),"",I80*(1-$D$8*(H81-H80)*0.0001)))</f>
        <v/>
      </c>
      <c r="J81" s="39" t="str">
        <f t="shared" ca="1" si="18"/>
        <v/>
      </c>
      <c r="K81" s="41" t="str">
        <f t="shared" ca="1" si="19"/>
        <v/>
      </c>
      <c r="L81" s="41" t="str">
        <f ca="1">IF($A81="","",IF(COUNTIFS(Dividends!$G:$G,"&gt;"&amp;INT($A80),Dividends!$G:$G,"&lt;="&amp;INT($A81))=0,"",$H$2*SUMIFS(Dividends!$H:$H,Dividends!$G:$G,"&gt;"&amp;INT($A80),Dividends!$G:$G,"&lt;="&amp;INT($A81))))</f>
        <v/>
      </c>
      <c r="M81" s="42" t="str">
        <f ca="1">IF(ISERROR(B81-2),"",C81+D81-F81-G81-K81+SUM($L$14:L81))</f>
        <v/>
      </c>
      <c r="O81" s="3">
        <v>46164.625</v>
      </c>
      <c r="P81" s="4">
        <v>91.28</v>
      </c>
      <c r="Q81" s="3">
        <v>46161.625</v>
      </c>
      <c r="R81" s="4">
        <v>99.180999999999997</v>
      </c>
      <c r="S81" s="3">
        <v>46161.625</v>
      </c>
      <c r="T81" s="4">
        <v>285.488</v>
      </c>
      <c r="U81" s="3">
        <f t="shared" si="10"/>
        <v>46164.625</v>
      </c>
      <c r="V81" s="3">
        <f t="shared" si="11"/>
        <v>46164.625</v>
      </c>
      <c r="X81" s="3">
        <v>46156</v>
      </c>
      <c r="Y81" s="5">
        <v>266.41410000000002</v>
      </c>
      <c r="Z81" s="3">
        <v>45890</v>
      </c>
      <c r="AA81" s="4">
        <v>242.1087</v>
      </c>
      <c r="AB81" s="74">
        <v>45890</v>
      </c>
      <c r="AC81" s="4">
        <v>267.86399999999998</v>
      </c>
      <c r="AD81" s="6">
        <f t="shared" si="12"/>
        <v>45890</v>
      </c>
    </row>
    <row r="82" spans="1:30" x14ac:dyDescent="0.25">
      <c r="A82" s="37" t="str">
        <f t="shared" ca="1" si="13"/>
        <v/>
      </c>
      <c r="B82" s="38" t="str">
        <f ca="1">IF(COUNTIF($W$2:W1067,A82)=1,VLOOKUP(A82,O:P,2), IF(COUNTIF($W$2:W1067,A82)=0,$B$9,""))</f>
        <v/>
      </c>
      <c r="C82" s="2" t="str">
        <f t="shared" ca="1" si="14"/>
        <v/>
      </c>
      <c r="D82" s="41" t="str">
        <f t="shared" ca="1" si="15"/>
        <v/>
      </c>
      <c r="E82" s="38" t="str">
        <f ca="1">IF(COUNTIF($W$2:W1067,A82)=1,VLOOKUP(A82,Q:R,2), IF(COUNTIF($W$2:W1067,A82)=0,$C$9,""))</f>
        <v/>
      </c>
      <c r="F82" s="2" t="str">
        <f t="shared" ca="1" si="16"/>
        <v/>
      </c>
      <c r="G82" s="41" t="str">
        <f t="shared" ca="1" si="17"/>
        <v/>
      </c>
      <c r="H82" s="38" t="str">
        <f ca="1">IF(COUNTIF($W$2:W1067,A82)=1,VLOOKUP(A82,S:T,2), IF(COUNTIF($W$2:W1067,A82)=0,$D$9,""))</f>
        <v/>
      </c>
      <c r="I82" s="39" t="str">
        <f ca="1">IF(COUNTIF($X$2:X1067,INT(A82))=1,VLOOKUP(INT(A82),X:Y,2), IF(ISERROR(H82-2),"",I81*(1-$D$8*(H82-H81)*0.0001)))</f>
        <v/>
      </c>
      <c r="J82" s="39" t="str">
        <f t="shared" ca="1" si="18"/>
        <v/>
      </c>
      <c r="K82" s="41" t="str">
        <f t="shared" ca="1" si="19"/>
        <v/>
      </c>
      <c r="L82" s="41" t="str">
        <f ca="1">IF($A82="","",IF(COUNTIFS(Dividends!$G:$G,"&gt;"&amp;INT($A81),Dividends!$G:$G,"&lt;="&amp;INT($A82))=0,"",$H$2*SUMIFS(Dividends!$H:$H,Dividends!$G:$G,"&gt;"&amp;INT($A81),Dividends!$G:$G,"&lt;="&amp;INT($A82))))</f>
        <v/>
      </c>
      <c r="M82" s="42" t="str">
        <f ca="1">IF(ISERROR(B82-2),"",C82+D82-F82-G82-K82+SUM($L$14:L82))</f>
        <v/>
      </c>
      <c r="O82" s="3">
        <v>46168.625</v>
      </c>
      <c r="P82" s="4">
        <v>91.51</v>
      </c>
      <c r="Q82" s="3">
        <v>46162.625</v>
      </c>
      <c r="R82" s="4">
        <v>99.39</v>
      </c>
      <c r="S82" s="3">
        <v>46162.625</v>
      </c>
      <c r="T82" s="4">
        <v>278.315</v>
      </c>
      <c r="U82" s="3">
        <f t="shared" si="10"/>
        <v>46168.625</v>
      </c>
      <c r="V82" s="3">
        <f t="shared" si="11"/>
        <v>46168.625</v>
      </c>
      <c r="X82" s="3">
        <v>46157</v>
      </c>
      <c r="Y82" s="5">
        <v>265.51639999999998</v>
      </c>
      <c r="Z82" s="3">
        <v>45891</v>
      </c>
      <c r="AA82" s="4">
        <v>242.8244</v>
      </c>
      <c r="AB82" s="74">
        <v>45891</v>
      </c>
      <c r="AC82" s="4">
        <v>260.35599999999999</v>
      </c>
      <c r="AD82" s="6">
        <f t="shared" si="12"/>
        <v>45891</v>
      </c>
    </row>
    <row r="83" spans="1:30" x14ac:dyDescent="0.25">
      <c r="A83" s="37" t="str">
        <f t="shared" ca="1" si="13"/>
        <v/>
      </c>
      <c r="B83" s="38" t="str">
        <f ca="1">IF(COUNTIF($W$2:W1068,A83)=1,VLOOKUP(A83,O:P,2), IF(COUNTIF($W$2:W1068,A83)=0,$B$9,""))</f>
        <v/>
      </c>
      <c r="C83" s="2" t="str">
        <f t="shared" ca="1" si="14"/>
        <v/>
      </c>
      <c r="D83" s="41" t="str">
        <f t="shared" ca="1" si="15"/>
        <v/>
      </c>
      <c r="E83" s="38" t="str">
        <f ca="1">IF(COUNTIF($W$2:W1068,A83)=1,VLOOKUP(A83,Q:R,2), IF(COUNTIF($W$2:W1068,A83)=0,$C$9,""))</f>
        <v/>
      </c>
      <c r="F83" s="2" t="str">
        <f t="shared" ca="1" si="16"/>
        <v/>
      </c>
      <c r="G83" s="41" t="str">
        <f t="shared" ca="1" si="17"/>
        <v/>
      </c>
      <c r="H83" s="38" t="str">
        <f ca="1">IF(COUNTIF($W$2:W1068,A83)=1,VLOOKUP(A83,S:T,2), IF(COUNTIF($W$2:W1068,A83)=0,$D$9,""))</f>
        <v/>
      </c>
      <c r="I83" s="39" t="str">
        <f ca="1">IF(COUNTIF($X$2:X1068,INT(A83))=1,VLOOKUP(INT(A83),X:Y,2), IF(ISERROR(H83-2),"",I82*(1-$D$8*(H83-H82)*0.0001)))</f>
        <v/>
      </c>
      <c r="J83" s="39" t="str">
        <f t="shared" ca="1" si="18"/>
        <v/>
      </c>
      <c r="K83" s="41" t="str">
        <f t="shared" ca="1" si="19"/>
        <v/>
      </c>
      <c r="L83" s="41" t="str">
        <f ca="1">IF($A83="","",IF(COUNTIFS(Dividends!$G:$G,"&gt;"&amp;INT($A82),Dividends!$G:$G,"&lt;="&amp;INT($A83))=0,"",$H$2*SUMIFS(Dividends!$H:$H,Dividends!$G:$G,"&gt;"&amp;INT($A82),Dividends!$G:$G,"&lt;="&amp;INT($A83))))</f>
        <v/>
      </c>
      <c r="M83" s="42" t="str">
        <f ca="1">IF(ISERROR(B83-2),"",C83+D83-F83-G83-K83+SUM($L$14:L83))</f>
        <v/>
      </c>
      <c r="O83" s="3">
        <v>46169.625</v>
      </c>
      <c r="P83" s="4">
        <v>91.58</v>
      </c>
      <c r="Q83" s="3">
        <v>46163.625</v>
      </c>
      <c r="R83" s="4">
        <v>99.37</v>
      </c>
      <c r="S83" s="3">
        <v>46163.625</v>
      </c>
      <c r="T83" s="4">
        <v>279.541</v>
      </c>
      <c r="U83" s="3">
        <f t="shared" si="10"/>
        <v>46169.625</v>
      </c>
      <c r="V83" s="3">
        <f t="shared" si="11"/>
        <v>46169.625</v>
      </c>
      <c r="X83" s="3">
        <v>46160</v>
      </c>
      <c r="Y83" s="5">
        <v>265.6705</v>
      </c>
      <c r="Z83" s="3">
        <v>45895</v>
      </c>
      <c r="AA83" s="4">
        <v>242.22980000000001</v>
      </c>
      <c r="AB83" s="74">
        <v>45895</v>
      </c>
      <c r="AC83" s="4">
        <v>267.541</v>
      </c>
      <c r="AD83" s="6">
        <f t="shared" si="12"/>
        <v>45895</v>
      </c>
    </row>
    <row r="84" spans="1:30" x14ac:dyDescent="0.25">
      <c r="A84" s="37" t="str">
        <f t="shared" ca="1" si="13"/>
        <v/>
      </c>
      <c r="B84" s="38" t="str">
        <f ca="1">IF(COUNTIF($W$2:W1069,A84)=1,VLOOKUP(A84,O:P,2), IF(COUNTIF($W$2:W1069,A84)=0,$B$9,""))</f>
        <v/>
      </c>
      <c r="C84" s="2" t="str">
        <f t="shared" ca="1" si="14"/>
        <v/>
      </c>
      <c r="D84" s="41" t="str">
        <f t="shared" ca="1" si="15"/>
        <v/>
      </c>
      <c r="E84" s="38" t="str">
        <f ca="1">IF(COUNTIF($W$2:W1069,A84)=1,VLOOKUP(A84,Q:R,2), IF(COUNTIF($W$2:W1069,A84)=0,$C$9,""))</f>
        <v/>
      </c>
      <c r="F84" s="2" t="str">
        <f t="shared" ca="1" si="16"/>
        <v/>
      </c>
      <c r="G84" s="41" t="str">
        <f t="shared" ca="1" si="17"/>
        <v/>
      </c>
      <c r="H84" s="38" t="str">
        <f ca="1">IF(COUNTIF($W$2:W1069,A84)=1,VLOOKUP(A84,S:T,2), IF(COUNTIF($W$2:W1069,A84)=0,$D$9,""))</f>
        <v/>
      </c>
      <c r="I84" s="39" t="str">
        <f ca="1">IF(COUNTIF($X$2:X1069,INT(A84))=1,VLOOKUP(INT(A84),X:Y,2), IF(ISERROR(H84-2),"",I83*(1-$D$8*(H84-H83)*0.0001)))</f>
        <v/>
      </c>
      <c r="J84" s="39" t="str">
        <f t="shared" ca="1" si="18"/>
        <v/>
      </c>
      <c r="K84" s="41" t="str">
        <f t="shared" ca="1" si="19"/>
        <v/>
      </c>
      <c r="L84" s="41" t="str">
        <f ca="1">IF($A84="","",IF(COUNTIFS(Dividends!$G:$G,"&gt;"&amp;INT($A83),Dividends!$G:$G,"&lt;="&amp;INT($A84))=0,"",$H$2*SUMIFS(Dividends!$H:$H,Dividends!$G:$G,"&gt;"&amp;INT($A83),Dividends!$G:$G,"&lt;="&amp;INT($A84))))</f>
        <v/>
      </c>
      <c r="M84" s="42" t="str">
        <f ca="1">IF(ISERROR(B84-2),"",C84+D84-F84-G84-K84+SUM($L$14:L84))</f>
        <v/>
      </c>
      <c r="O84" s="3">
        <v>46170.625</v>
      </c>
      <c r="P84" s="4">
        <v>91.7</v>
      </c>
      <c r="Q84" s="3">
        <v>46164.625</v>
      </c>
      <c r="R84" s="4">
        <v>99.453999999999994</v>
      </c>
      <c r="S84" s="3">
        <v>46164.625</v>
      </c>
      <c r="T84" s="4">
        <v>273.86200000000002</v>
      </c>
      <c r="U84" s="3">
        <f t="shared" si="10"/>
        <v>46170.625</v>
      </c>
      <c r="V84" s="3">
        <f t="shared" si="11"/>
        <v>46170.625</v>
      </c>
      <c r="X84" s="3">
        <v>46161</v>
      </c>
      <c r="Y84" s="5">
        <v>265.08920000000001</v>
      </c>
      <c r="Z84" s="3">
        <v>45896</v>
      </c>
      <c r="AA84" s="4">
        <v>241.55430000000001</v>
      </c>
      <c r="AB84" s="74">
        <v>45896</v>
      </c>
      <c r="AC84" s="4">
        <v>274.06099999999998</v>
      </c>
      <c r="AD84" s="6">
        <f t="shared" si="12"/>
        <v>45896</v>
      </c>
    </row>
    <row r="85" spans="1:30" x14ac:dyDescent="0.25">
      <c r="A85" s="37" t="str">
        <f t="shared" ca="1" si="13"/>
        <v/>
      </c>
      <c r="B85" s="38" t="str">
        <f ca="1">IF(COUNTIF($W$2:W1070,A85)=1,VLOOKUP(A85,O:P,2), IF(COUNTIF($W$2:W1070,A85)=0,$B$9,""))</f>
        <v/>
      </c>
      <c r="C85" s="2" t="str">
        <f t="shared" ca="1" si="14"/>
        <v/>
      </c>
      <c r="D85" s="41" t="str">
        <f t="shared" ca="1" si="15"/>
        <v/>
      </c>
      <c r="E85" s="38" t="str">
        <f ca="1">IF(COUNTIF($W$2:W1070,A85)=1,VLOOKUP(A85,Q:R,2), IF(COUNTIF($W$2:W1070,A85)=0,$C$9,""))</f>
        <v/>
      </c>
      <c r="F85" s="2" t="str">
        <f t="shared" ca="1" si="16"/>
        <v/>
      </c>
      <c r="G85" s="41" t="str">
        <f t="shared" ca="1" si="17"/>
        <v/>
      </c>
      <c r="H85" s="38" t="str">
        <f ca="1">IF(COUNTIF($W$2:W1070,A85)=1,VLOOKUP(A85,S:T,2), IF(COUNTIF($W$2:W1070,A85)=0,$D$9,""))</f>
        <v/>
      </c>
      <c r="I85" s="39" t="str">
        <f ca="1">IF(COUNTIF($X$2:X1070,INT(A85))=1,VLOOKUP(INT(A85),X:Y,2), IF(ISERROR(H85-2),"",I84*(1-$D$8*(H85-H84)*0.0001)))</f>
        <v/>
      </c>
      <c r="J85" s="39" t="str">
        <f t="shared" ca="1" si="18"/>
        <v/>
      </c>
      <c r="K85" s="41" t="str">
        <f t="shared" ca="1" si="19"/>
        <v/>
      </c>
      <c r="L85" s="41" t="str">
        <f ca="1">IF($A85="","",IF(COUNTIFS(Dividends!$G:$G,"&gt;"&amp;INT($A84),Dividends!$G:$G,"&lt;="&amp;INT($A85))=0,"",$H$2*SUMIFS(Dividends!$H:$H,Dividends!$G:$G,"&gt;"&amp;INT($A84),Dividends!$G:$G,"&lt;="&amp;INT($A85))))</f>
        <v/>
      </c>
      <c r="M85" s="42" t="str">
        <f ca="1">IF(ISERROR(B85-2),"",C85+D85-F85-G85-K85+SUM($L$14:L85))</f>
        <v/>
      </c>
      <c r="O85" s="3">
        <v>46171.625</v>
      </c>
      <c r="P85" s="4">
        <v>91.85</v>
      </c>
      <c r="Q85" s="3">
        <v>46167.625</v>
      </c>
      <c r="R85" s="4">
        <v>99.706000000000003</v>
      </c>
      <c r="S85" s="3">
        <v>46168.625</v>
      </c>
      <c r="T85" s="4">
        <v>268.83499999999998</v>
      </c>
      <c r="U85" s="3">
        <f t="shared" si="10"/>
        <v>46171.625</v>
      </c>
      <c r="V85" s="3">
        <f t="shared" si="11"/>
        <v>46171.625</v>
      </c>
      <c r="X85" s="3">
        <v>46162</v>
      </c>
      <c r="Y85" s="5">
        <v>266.18329999999997</v>
      </c>
      <c r="Z85" s="3">
        <v>45897</v>
      </c>
      <c r="AA85" s="4">
        <v>242.03229999999999</v>
      </c>
      <c r="AB85" s="74">
        <v>45897</v>
      </c>
      <c r="AC85" s="4">
        <v>262.23500000000001</v>
      </c>
      <c r="AD85" s="6">
        <f t="shared" si="12"/>
        <v>45897</v>
      </c>
    </row>
    <row r="86" spans="1:30" x14ac:dyDescent="0.25">
      <c r="A86" s="37" t="str">
        <f t="shared" ca="1" si="13"/>
        <v/>
      </c>
      <c r="B86" s="38" t="str">
        <f ca="1">IF(COUNTIF($W$2:W1071,A86)=1,VLOOKUP(A86,O:P,2), IF(COUNTIF($W$2:W1071,A86)=0,$B$9,""))</f>
        <v/>
      </c>
      <c r="C86" s="2" t="str">
        <f t="shared" ca="1" si="14"/>
        <v/>
      </c>
      <c r="D86" s="41" t="str">
        <f t="shared" ca="1" si="15"/>
        <v/>
      </c>
      <c r="E86" s="38" t="str">
        <f ca="1">IF(COUNTIF($W$2:W1071,A86)=1,VLOOKUP(A86,Q:R,2), IF(COUNTIF($W$2:W1071,A86)=0,$C$9,""))</f>
        <v/>
      </c>
      <c r="F86" s="2" t="str">
        <f t="shared" ca="1" si="16"/>
        <v/>
      </c>
      <c r="G86" s="41" t="str">
        <f t="shared" ca="1" si="17"/>
        <v/>
      </c>
      <c r="H86" s="38" t="str">
        <f ca="1">IF(COUNTIF($W$2:W1071,A86)=1,VLOOKUP(A86,S:T,2), IF(COUNTIF($W$2:W1071,A86)=0,$D$9,""))</f>
        <v/>
      </c>
      <c r="I86" s="39" t="str">
        <f ca="1">IF(COUNTIF($X$2:X1071,INT(A86))=1,VLOOKUP(INT(A86),X:Y,2), IF(ISERROR(H86-2),"",I85*(1-$D$8*(H86-H85)*0.0001)))</f>
        <v/>
      </c>
      <c r="J86" s="39" t="str">
        <f t="shared" ca="1" si="18"/>
        <v/>
      </c>
      <c r="K86" s="41" t="str">
        <f t="shared" ca="1" si="19"/>
        <v/>
      </c>
      <c r="L86" s="41" t="str">
        <f ca="1">IF($A86="","",IF(COUNTIFS(Dividends!$G:$G,"&gt;"&amp;INT($A85),Dividends!$G:$G,"&lt;="&amp;INT($A86))=0,"",$H$2*SUMIFS(Dividends!$H:$H,Dividends!$G:$G,"&gt;"&amp;INT($A85),Dividends!$G:$G,"&lt;="&amp;INT($A86))))</f>
        <v/>
      </c>
      <c r="M86" s="42" t="str">
        <f ca="1">IF(ISERROR(B86-2),"",C86+D86-F86-G86-K86+SUM($L$14:L86))</f>
        <v/>
      </c>
      <c r="O86" s="3">
        <v>46174.625</v>
      </c>
      <c r="P86" s="4">
        <v>91.65</v>
      </c>
      <c r="Q86" s="3">
        <v>46168.625</v>
      </c>
      <c r="R86" s="4">
        <v>99.56</v>
      </c>
      <c r="S86" s="3">
        <v>46169.625</v>
      </c>
      <c r="T86" s="4">
        <v>266.55900000000003</v>
      </c>
      <c r="U86" s="3">
        <f t="shared" si="10"/>
        <v>46174.625</v>
      </c>
      <c r="V86" s="3">
        <f t="shared" si="11"/>
        <v>46174.625</v>
      </c>
      <c r="X86" s="3">
        <v>46163</v>
      </c>
      <c r="Y86" s="5">
        <v>265.81610000000001</v>
      </c>
      <c r="Z86" s="3">
        <v>45898</v>
      </c>
      <c r="AA86" s="4">
        <v>241.4692</v>
      </c>
      <c r="AB86" s="74">
        <v>45898</v>
      </c>
      <c r="AC86" s="4">
        <v>267.947</v>
      </c>
      <c r="AD86" s="6">
        <f t="shared" si="12"/>
        <v>45898</v>
      </c>
    </row>
    <row r="87" spans="1:30" x14ac:dyDescent="0.25">
      <c r="A87" s="37" t="str">
        <f t="shared" ca="1" si="13"/>
        <v/>
      </c>
      <c r="B87" s="38" t="str">
        <f ca="1">IF(COUNTIF($W$2:W1072,A87)=1,VLOOKUP(A87,O:P,2), IF(COUNTIF($W$2:W1072,A87)=0,$B$9,""))</f>
        <v/>
      </c>
      <c r="C87" s="2" t="str">
        <f t="shared" ca="1" si="14"/>
        <v/>
      </c>
      <c r="D87" s="41" t="str">
        <f t="shared" ca="1" si="15"/>
        <v/>
      </c>
      <c r="E87" s="38" t="str">
        <f ca="1">IF(COUNTIF($W$2:W1072,A87)=1,VLOOKUP(A87,Q:R,2), IF(COUNTIF($W$2:W1072,A87)=0,$C$9,""))</f>
        <v/>
      </c>
      <c r="F87" s="2" t="str">
        <f t="shared" ca="1" si="16"/>
        <v/>
      </c>
      <c r="G87" s="41" t="str">
        <f t="shared" ca="1" si="17"/>
        <v/>
      </c>
      <c r="H87" s="38" t="str">
        <f ca="1">IF(COUNTIF($W$2:W1072,A87)=1,VLOOKUP(A87,S:T,2), IF(COUNTIF($W$2:W1072,A87)=0,$D$9,""))</f>
        <v/>
      </c>
      <c r="I87" s="39" t="str">
        <f ca="1">IF(COUNTIF($X$2:X1072,INT(A87))=1,VLOOKUP(INT(A87),X:Y,2), IF(ISERROR(H87-2),"",I86*(1-$D$8*(H87-H86)*0.0001)))</f>
        <v/>
      </c>
      <c r="J87" s="39" t="str">
        <f t="shared" ca="1" si="18"/>
        <v/>
      </c>
      <c r="K87" s="41" t="str">
        <f t="shared" ca="1" si="19"/>
        <v/>
      </c>
      <c r="L87" s="41" t="str">
        <f ca="1">IF($A87="","",IF(COUNTIFS(Dividends!$G:$G,"&gt;"&amp;INT($A86),Dividends!$G:$G,"&lt;="&amp;INT($A87))=0,"",$H$2*SUMIFS(Dividends!$H:$H,Dividends!$G:$G,"&gt;"&amp;INT($A86),Dividends!$G:$G,"&lt;="&amp;INT($A87))))</f>
        <v/>
      </c>
      <c r="M87" s="42" t="str">
        <f ca="1">IF(ISERROR(B87-2),"",C87+D87-F87-G87-K87+SUM($L$14:L87))</f>
        <v/>
      </c>
      <c r="O87" s="3">
        <v>46175.625</v>
      </c>
      <c r="P87" s="4">
        <v>91.88</v>
      </c>
      <c r="Q87" s="3">
        <v>46169.625</v>
      </c>
      <c r="R87" s="4">
        <v>99.588999999999999</v>
      </c>
      <c r="S87" s="3">
        <v>46170.625</v>
      </c>
      <c r="T87" s="4">
        <v>264.23200000000003</v>
      </c>
      <c r="U87" s="3">
        <f t="shared" si="10"/>
        <v>46175.625</v>
      </c>
      <c r="V87" s="3">
        <f t="shared" si="11"/>
        <v>46175.625</v>
      </c>
      <c r="X87" s="3">
        <v>46164</v>
      </c>
      <c r="Y87" s="5">
        <v>266.66180000000003</v>
      </c>
      <c r="Z87" s="3">
        <v>45901</v>
      </c>
      <c r="AA87" s="4">
        <v>241.56809999999999</v>
      </c>
      <c r="AB87" s="74">
        <v>45901</v>
      </c>
      <c r="AC87" s="4">
        <v>268.048</v>
      </c>
      <c r="AD87" s="6">
        <f t="shared" si="12"/>
        <v>45901</v>
      </c>
    </row>
    <row r="88" spans="1:30" x14ac:dyDescent="0.25">
      <c r="A88" s="37" t="str">
        <f t="shared" ca="1" si="13"/>
        <v/>
      </c>
      <c r="B88" s="38" t="str">
        <f ca="1">IF(COUNTIF($W$2:W1073,A88)=1,VLOOKUP(A88,O:P,2), IF(COUNTIF($W$2:W1073,A88)=0,$B$9,""))</f>
        <v/>
      </c>
      <c r="C88" s="2" t="str">
        <f t="shared" ca="1" si="14"/>
        <v/>
      </c>
      <c r="D88" s="41" t="str">
        <f t="shared" ca="1" si="15"/>
        <v/>
      </c>
      <c r="E88" s="38" t="str">
        <f ca="1">IF(COUNTIF($W$2:W1073,A88)=1,VLOOKUP(A88,Q:R,2), IF(COUNTIF($W$2:W1073,A88)=0,$C$9,""))</f>
        <v/>
      </c>
      <c r="F88" s="2" t="str">
        <f t="shared" ca="1" si="16"/>
        <v/>
      </c>
      <c r="G88" s="41" t="str">
        <f t="shared" ca="1" si="17"/>
        <v/>
      </c>
      <c r="H88" s="38" t="str">
        <f ca="1">IF(COUNTIF($W$2:W1073,A88)=1,VLOOKUP(A88,S:T,2), IF(COUNTIF($W$2:W1073,A88)=0,$D$9,""))</f>
        <v/>
      </c>
      <c r="I88" s="39" t="str">
        <f ca="1">IF(COUNTIF($X$2:X1073,INT(A88))=1,VLOOKUP(INT(A88),X:Y,2), IF(ISERROR(H88-2),"",I87*(1-$D$8*(H88-H87)*0.0001)))</f>
        <v/>
      </c>
      <c r="J88" s="39" t="str">
        <f t="shared" ca="1" si="18"/>
        <v/>
      </c>
      <c r="K88" s="41" t="str">
        <f t="shared" ca="1" si="19"/>
        <v/>
      </c>
      <c r="L88" s="41" t="str">
        <f ca="1">IF($A88="","",IF(COUNTIFS(Dividends!$G:$G,"&gt;"&amp;INT($A87),Dividends!$G:$G,"&lt;="&amp;INT($A88))=0,"",$H$2*SUMIFS(Dividends!$H:$H,Dividends!$G:$G,"&gt;"&amp;INT($A87),Dividends!$G:$G,"&lt;="&amp;INT($A88))))</f>
        <v/>
      </c>
      <c r="M88" s="42" t="str">
        <f ca="1">IF(ISERROR(B88-2),"",C88+D88-F88-G88-K88+SUM($L$14:L88))</f>
        <v/>
      </c>
      <c r="O88" s="3">
        <v>46176.625</v>
      </c>
      <c r="P88" s="4">
        <v>91.75</v>
      </c>
      <c r="Q88" s="3">
        <v>46170.625</v>
      </c>
      <c r="R88" s="4">
        <v>99.653999999999996</v>
      </c>
      <c r="S88" s="3">
        <v>46171.625</v>
      </c>
      <c r="T88" s="4">
        <v>258.70600000000002</v>
      </c>
      <c r="U88" s="3">
        <f t="shared" si="10"/>
        <v>46176.625</v>
      </c>
      <c r="V88" s="3">
        <f t="shared" si="11"/>
        <v>46176.625</v>
      </c>
      <c r="X88" s="3">
        <v>46168</v>
      </c>
      <c r="Y88" s="5">
        <v>267.40750000000003</v>
      </c>
      <c r="Z88" s="3">
        <v>45902</v>
      </c>
      <c r="AA88" s="4">
        <v>240.87819999999999</v>
      </c>
      <c r="AB88" s="74">
        <v>45902</v>
      </c>
      <c r="AC88" s="4">
        <v>274.36700000000002</v>
      </c>
      <c r="AD88" s="6">
        <f t="shared" si="12"/>
        <v>45902</v>
      </c>
    </row>
    <row r="89" spans="1:30" x14ac:dyDescent="0.25">
      <c r="A89" s="37" t="str">
        <f t="shared" ca="1" si="13"/>
        <v/>
      </c>
      <c r="B89" s="38" t="str">
        <f ca="1">IF(COUNTIF($W$2:W1074,A89)=1,VLOOKUP(A89,O:P,2), IF(COUNTIF($W$2:W1074,A89)=0,$B$9,""))</f>
        <v/>
      </c>
      <c r="C89" s="2" t="str">
        <f t="shared" ca="1" si="14"/>
        <v/>
      </c>
      <c r="D89" s="41" t="str">
        <f t="shared" ca="1" si="15"/>
        <v/>
      </c>
      <c r="E89" s="38" t="str">
        <f ca="1">IF(COUNTIF($W$2:W1074,A89)=1,VLOOKUP(A89,Q:R,2), IF(COUNTIF($W$2:W1074,A89)=0,$C$9,""))</f>
        <v/>
      </c>
      <c r="F89" s="2" t="str">
        <f t="shared" ca="1" si="16"/>
        <v/>
      </c>
      <c r="G89" s="41" t="str">
        <f t="shared" ca="1" si="17"/>
        <v/>
      </c>
      <c r="H89" s="38" t="str">
        <f ca="1">IF(COUNTIF($W$2:W1074,A89)=1,VLOOKUP(A89,S:T,2), IF(COUNTIF($W$2:W1074,A89)=0,$D$9,""))</f>
        <v/>
      </c>
      <c r="I89" s="39" t="str">
        <f ca="1">IF(COUNTIF($X$2:X1074,INT(A89))=1,VLOOKUP(INT(A89),X:Y,2), IF(ISERROR(H89-2),"",I88*(1-$D$8*(H89-H88)*0.0001)))</f>
        <v/>
      </c>
      <c r="J89" s="39" t="str">
        <f t="shared" ca="1" si="18"/>
        <v/>
      </c>
      <c r="K89" s="41" t="str">
        <f t="shared" ca="1" si="19"/>
        <v/>
      </c>
      <c r="L89" s="41" t="str">
        <f ca="1">IF($A89="","",IF(COUNTIFS(Dividends!$G:$G,"&gt;"&amp;INT($A88),Dividends!$G:$G,"&lt;="&amp;INT($A89))=0,"",$H$2*SUMIFS(Dividends!$H:$H,Dividends!$G:$G,"&gt;"&amp;INT($A88),Dividends!$G:$G,"&lt;="&amp;INT($A89))))</f>
        <v/>
      </c>
      <c r="M89" s="42" t="str">
        <f ca="1">IF(ISERROR(B89-2),"",C89+D89-F89-G89-K89+SUM($L$14:L89))</f>
        <v/>
      </c>
      <c r="O89" s="3">
        <v>46177.625</v>
      </c>
      <c r="P89" s="4">
        <v>91.74</v>
      </c>
      <c r="Q89" s="3">
        <v>46171.625</v>
      </c>
      <c r="R89" s="4">
        <v>99.679000000000002</v>
      </c>
      <c r="S89" s="3">
        <v>46174.625</v>
      </c>
      <c r="T89" s="4">
        <v>265.43599999999998</v>
      </c>
      <c r="U89" s="3">
        <f t="shared" si="10"/>
        <v>46177.625</v>
      </c>
      <c r="V89" s="3">
        <f t="shared" si="11"/>
        <v>46177.625</v>
      </c>
      <c r="X89" s="3">
        <v>46169</v>
      </c>
      <c r="Y89" s="5">
        <v>267.66390000000001</v>
      </c>
      <c r="Z89" s="3">
        <v>45903</v>
      </c>
      <c r="AA89" s="4">
        <v>241.68289999999999</v>
      </c>
      <c r="AB89" s="74">
        <v>45903</v>
      </c>
      <c r="AC89" s="4">
        <v>267.29599999999999</v>
      </c>
      <c r="AD89" s="6">
        <f t="shared" si="12"/>
        <v>45903</v>
      </c>
    </row>
    <row r="90" spans="1:30" x14ac:dyDescent="0.25">
      <c r="A90" s="37" t="str">
        <f t="shared" ca="1" si="13"/>
        <v/>
      </c>
      <c r="B90" s="38" t="str">
        <f ca="1">IF(COUNTIF($W$2:W1075,A90)=1,VLOOKUP(A90,O:P,2), IF(COUNTIF($W$2:W1075,A90)=0,$B$9,""))</f>
        <v/>
      </c>
      <c r="C90" s="2" t="str">
        <f t="shared" ca="1" si="14"/>
        <v/>
      </c>
      <c r="D90" s="41" t="str">
        <f t="shared" ca="1" si="15"/>
        <v/>
      </c>
      <c r="E90" s="38" t="str">
        <f ca="1">IF(COUNTIF($W$2:W1075,A90)=1,VLOOKUP(A90,Q:R,2), IF(COUNTIF($W$2:W1075,A90)=0,$C$9,""))</f>
        <v/>
      </c>
      <c r="F90" s="2" t="str">
        <f t="shared" ca="1" si="16"/>
        <v/>
      </c>
      <c r="G90" s="41" t="str">
        <f t="shared" ca="1" si="17"/>
        <v/>
      </c>
      <c r="H90" s="38" t="str">
        <f ca="1">IF(COUNTIF($W$2:W1075,A90)=1,VLOOKUP(A90,S:T,2), IF(COUNTIF($W$2:W1075,A90)=0,$D$9,""))</f>
        <v/>
      </c>
      <c r="I90" s="39" t="str">
        <f ca="1">IF(COUNTIF($X$2:X1075,INT(A90))=1,VLOOKUP(INT(A90),X:Y,2), IF(ISERROR(H90-2),"",I89*(1-$D$8*(H90-H89)*0.0001)))</f>
        <v/>
      </c>
      <c r="J90" s="39" t="str">
        <f t="shared" ca="1" si="18"/>
        <v/>
      </c>
      <c r="K90" s="41" t="str">
        <f t="shared" ca="1" si="19"/>
        <v/>
      </c>
      <c r="L90" s="41" t="str">
        <f ca="1">IF($A90="","",IF(COUNTIFS(Dividends!$G:$G,"&gt;"&amp;INT($A89),Dividends!$G:$G,"&lt;="&amp;INT($A90))=0,"",$H$2*SUMIFS(Dividends!$H:$H,Dividends!$G:$G,"&gt;"&amp;INT($A89),Dividends!$G:$G,"&lt;="&amp;INT($A90))))</f>
        <v/>
      </c>
      <c r="M90" s="42" t="str">
        <f ca="1">IF(ISERROR(B90-2),"",C90+D90-F90-G90-K90+SUM($L$14:L90))</f>
        <v/>
      </c>
      <c r="O90" s="3">
        <v>46178.625</v>
      </c>
      <c r="P90" s="4">
        <v>91.71</v>
      </c>
      <c r="Q90" s="3">
        <v>46174.625</v>
      </c>
      <c r="R90" s="4">
        <v>99.450999999999993</v>
      </c>
      <c r="S90" s="3">
        <v>46175.625</v>
      </c>
      <c r="T90" s="4">
        <v>258.46100000000001</v>
      </c>
      <c r="U90" s="3">
        <f t="shared" si="10"/>
        <v>46178.625</v>
      </c>
      <c r="V90" s="3">
        <f t="shared" si="11"/>
        <v>46178.625</v>
      </c>
      <c r="X90" s="3">
        <v>46170</v>
      </c>
      <c r="Y90" s="5">
        <v>268.21620000000001</v>
      </c>
      <c r="Z90" s="3">
        <v>45904</v>
      </c>
      <c r="AA90" s="4">
        <v>242.12819999999999</v>
      </c>
      <c r="AB90" s="74">
        <v>45904</v>
      </c>
      <c r="AC90" s="4">
        <v>262.767</v>
      </c>
      <c r="AD90" s="6">
        <f t="shared" si="12"/>
        <v>45904</v>
      </c>
    </row>
    <row r="91" spans="1:30" x14ac:dyDescent="0.25">
      <c r="A91" s="37" t="str">
        <f t="shared" ca="1" si="13"/>
        <v/>
      </c>
      <c r="B91" s="38" t="str">
        <f ca="1">IF(COUNTIF($W$2:W1076,A91)=1,VLOOKUP(A91,O:P,2), IF(COUNTIF($W$2:W1076,A91)=0,$B$9,""))</f>
        <v/>
      </c>
      <c r="C91" s="2" t="str">
        <f t="shared" ca="1" si="14"/>
        <v/>
      </c>
      <c r="D91" s="41" t="str">
        <f t="shared" ca="1" si="15"/>
        <v/>
      </c>
      <c r="E91" s="38" t="str">
        <f ca="1">IF(COUNTIF($W$2:W1076,A91)=1,VLOOKUP(A91,Q:R,2), IF(COUNTIF($W$2:W1076,A91)=0,$C$9,""))</f>
        <v/>
      </c>
      <c r="F91" s="2" t="str">
        <f t="shared" ca="1" si="16"/>
        <v/>
      </c>
      <c r="G91" s="41" t="str">
        <f t="shared" ca="1" si="17"/>
        <v/>
      </c>
      <c r="H91" s="38" t="str">
        <f ca="1">IF(COUNTIF($W$2:W1076,A91)=1,VLOOKUP(A91,S:T,2), IF(COUNTIF($W$2:W1076,A91)=0,$D$9,""))</f>
        <v/>
      </c>
      <c r="I91" s="39" t="str">
        <f ca="1">IF(COUNTIF($X$2:X1076,INT(A91))=1,VLOOKUP(INT(A91),X:Y,2), IF(ISERROR(H91-2),"",I90*(1-$D$8*(H91-H90)*0.0001)))</f>
        <v/>
      </c>
      <c r="J91" s="39" t="str">
        <f t="shared" ca="1" si="18"/>
        <v/>
      </c>
      <c r="K91" s="41" t="str">
        <f t="shared" ca="1" si="19"/>
        <v/>
      </c>
      <c r="L91" s="41" t="str">
        <f ca="1">IF($A91="","",IF(COUNTIFS(Dividends!$G:$G,"&gt;"&amp;INT($A90),Dividends!$G:$G,"&lt;="&amp;INT($A91))=0,"",$H$2*SUMIFS(Dividends!$H:$H,Dividends!$G:$G,"&gt;"&amp;INT($A90),Dividends!$G:$G,"&lt;="&amp;INT($A91))))</f>
        <v/>
      </c>
      <c r="M91" s="42" t="str">
        <f ca="1">IF(ISERROR(B91-2),"",C91+D91-F91-G91-K91+SUM($L$14:L91))</f>
        <v/>
      </c>
      <c r="O91" s="3">
        <v>46181.625</v>
      </c>
      <c r="P91" s="4">
        <v>91.65</v>
      </c>
      <c r="Q91" s="3">
        <v>46175.625</v>
      </c>
      <c r="R91" s="4">
        <v>99.534999999999997</v>
      </c>
      <c r="S91" s="3">
        <v>46176.625</v>
      </c>
      <c r="T91" s="4">
        <v>261.79599999999999</v>
      </c>
      <c r="U91" s="3">
        <f t="shared" si="10"/>
        <v>46181.625</v>
      </c>
      <c r="V91" s="3">
        <f t="shared" si="11"/>
        <v>46181.625</v>
      </c>
      <c r="X91" s="3">
        <v>46171</v>
      </c>
      <c r="Y91" s="5">
        <v>268.76229999999998</v>
      </c>
      <c r="Z91" s="3">
        <v>45905</v>
      </c>
      <c r="AA91" s="4">
        <v>242.15459999999999</v>
      </c>
      <c r="AB91" s="74">
        <v>45905</v>
      </c>
      <c r="AC91" s="4">
        <v>262.98399999999998</v>
      </c>
      <c r="AD91" s="6">
        <f t="shared" si="12"/>
        <v>45905</v>
      </c>
    </row>
    <row r="92" spans="1:30" x14ac:dyDescent="0.25">
      <c r="A92" s="37" t="str">
        <f t="shared" ca="1" si="13"/>
        <v/>
      </c>
      <c r="B92" s="38" t="str">
        <f ca="1">IF(COUNTIF($W$2:W1077,A92)=1,VLOOKUP(A92,O:P,2), IF(COUNTIF($W$2:W1077,A92)=0,$B$9,""))</f>
        <v/>
      </c>
      <c r="C92" s="2" t="str">
        <f t="shared" ca="1" si="14"/>
        <v/>
      </c>
      <c r="D92" s="41" t="str">
        <f t="shared" ca="1" si="15"/>
        <v/>
      </c>
      <c r="E92" s="38" t="str">
        <f ca="1">IF(COUNTIF($W$2:W1077,A92)=1,VLOOKUP(A92,Q:R,2), IF(COUNTIF($W$2:W1077,A92)=0,$C$9,""))</f>
        <v/>
      </c>
      <c r="F92" s="2" t="str">
        <f t="shared" ca="1" si="16"/>
        <v/>
      </c>
      <c r="G92" s="41" t="str">
        <f t="shared" ca="1" si="17"/>
        <v/>
      </c>
      <c r="H92" s="38" t="str">
        <f ca="1">IF(COUNTIF($W$2:W1077,A92)=1,VLOOKUP(A92,S:T,2), IF(COUNTIF($W$2:W1077,A92)=0,$D$9,""))</f>
        <v/>
      </c>
      <c r="I92" s="39" t="str">
        <f ca="1">IF(COUNTIF($X$2:X1077,INT(A92))=1,VLOOKUP(INT(A92),X:Y,2), IF(ISERROR(H92-2),"",I91*(1-$D$8*(H92-H91)*0.0001)))</f>
        <v/>
      </c>
      <c r="J92" s="39" t="str">
        <f t="shared" ca="1" si="18"/>
        <v/>
      </c>
      <c r="K92" s="41" t="str">
        <f t="shared" ca="1" si="19"/>
        <v/>
      </c>
      <c r="L92" s="41" t="str">
        <f ca="1">IF($A92="","",IF(COUNTIFS(Dividends!$G:$G,"&gt;"&amp;INT($A91),Dividends!$G:$G,"&lt;="&amp;INT($A92))=0,"",$H$2*SUMIFS(Dividends!$H:$H,Dividends!$G:$G,"&gt;"&amp;INT($A91),Dividends!$G:$G,"&lt;="&amp;INT($A92))))</f>
        <v/>
      </c>
      <c r="M92" s="42" t="str">
        <f ca="1">IF(ISERROR(B92-2),"",C92+D92-F92-G92-K92+SUM($L$14:L92))</f>
        <v/>
      </c>
      <c r="O92" s="3">
        <v>46182.625</v>
      </c>
      <c r="P92" s="4">
        <v>91.63</v>
      </c>
      <c r="Q92" s="3">
        <v>46176.625</v>
      </c>
      <c r="R92" s="4">
        <v>99.421999999999997</v>
      </c>
      <c r="S92" s="3">
        <v>46177.625</v>
      </c>
      <c r="T92" s="4">
        <v>261.392</v>
      </c>
      <c r="U92" s="3">
        <f t="shared" si="10"/>
        <v>46182.625</v>
      </c>
      <c r="V92" s="3">
        <f t="shared" si="11"/>
        <v>46182.625</v>
      </c>
      <c r="X92" s="3">
        <v>46174</v>
      </c>
      <c r="Y92" s="5">
        <v>268.39839999999998</v>
      </c>
      <c r="Z92" s="3">
        <v>45908</v>
      </c>
      <c r="AA92" s="4">
        <v>242.51220000000001</v>
      </c>
      <c r="AB92" s="74">
        <v>45908</v>
      </c>
      <c r="AC92" s="4">
        <v>260.62700000000001</v>
      </c>
      <c r="AD92" s="6">
        <f t="shared" si="12"/>
        <v>45908</v>
      </c>
    </row>
    <row r="93" spans="1:30" x14ac:dyDescent="0.25">
      <c r="A93" s="37" t="str">
        <f t="shared" ca="1" si="13"/>
        <v/>
      </c>
      <c r="B93" s="38" t="str">
        <f ca="1">IF(COUNTIF($W$2:W1078,A93)=1,VLOOKUP(A93,O:P,2), IF(COUNTIF($W$2:W1078,A93)=0,$B$9,""))</f>
        <v/>
      </c>
      <c r="C93" s="2" t="str">
        <f t="shared" ca="1" si="14"/>
        <v/>
      </c>
      <c r="D93" s="41" t="str">
        <f t="shared" ca="1" si="15"/>
        <v/>
      </c>
      <c r="E93" s="38" t="str">
        <f ca="1">IF(COUNTIF($W$2:W1078,A93)=1,VLOOKUP(A93,Q:R,2), IF(COUNTIF($W$2:W1078,A93)=0,$C$9,""))</f>
        <v/>
      </c>
      <c r="F93" s="2" t="str">
        <f t="shared" ca="1" si="16"/>
        <v/>
      </c>
      <c r="G93" s="41" t="str">
        <f t="shared" ca="1" si="17"/>
        <v/>
      </c>
      <c r="H93" s="38" t="str">
        <f ca="1">IF(COUNTIF($W$2:W1078,A93)=1,VLOOKUP(A93,S:T,2), IF(COUNTIF($W$2:W1078,A93)=0,$D$9,""))</f>
        <v/>
      </c>
      <c r="I93" s="39" t="str">
        <f ca="1">IF(COUNTIF($X$2:X1078,INT(A93))=1,VLOOKUP(INT(A93),X:Y,2), IF(ISERROR(H93-2),"",I92*(1-$D$8*(H93-H92)*0.0001)))</f>
        <v/>
      </c>
      <c r="J93" s="39" t="str">
        <f t="shared" ca="1" si="18"/>
        <v/>
      </c>
      <c r="K93" s="41" t="str">
        <f t="shared" ca="1" si="19"/>
        <v/>
      </c>
      <c r="L93" s="41" t="str">
        <f ca="1">IF($A93="","",IF(COUNTIFS(Dividends!$G:$G,"&gt;"&amp;INT($A92),Dividends!$G:$G,"&lt;="&amp;INT($A93))=0,"",$H$2*SUMIFS(Dividends!$H:$H,Dividends!$G:$G,"&gt;"&amp;INT($A92),Dividends!$G:$G,"&lt;="&amp;INT($A93))))</f>
        <v/>
      </c>
      <c r="M93" s="42" t="str">
        <f ca="1">IF(ISERROR(B93-2),"",C93+D93-F93-G93-K93+SUM($L$14:L93))</f>
        <v/>
      </c>
      <c r="O93" s="3">
        <v>46183.625</v>
      </c>
      <c r="P93" s="4">
        <v>91.62</v>
      </c>
      <c r="Q93" s="3">
        <v>46177.625</v>
      </c>
      <c r="R93" s="4">
        <v>99.430999999999997</v>
      </c>
      <c r="S93" s="3">
        <v>46178.625</v>
      </c>
      <c r="T93" s="4">
        <v>261.88600000000002</v>
      </c>
      <c r="U93" s="3">
        <f t="shared" si="10"/>
        <v>46183.625</v>
      </c>
      <c r="V93" s="3">
        <f t="shared" si="11"/>
        <v>46183.625</v>
      </c>
      <c r="X93" s="3">
        <v>46175</v>
      </c>
      <c r="Y93" s="5">
        <v>268.89879999999999</v>
      </c>
      <c r="Z93" s="3">
        <v>45909</v>
      </c>
      <c r="AA93" s="4">
        <v>242.49459999999999</v>
      </c>
      <c r="AB93" s="74">
        <v>45909</v>
      </c>
      <c r="AC93" s="4">
        <v>260.81900000000002</v>
      </c>
      <c r="AD93" s="6">
        <f t="shared" si="12"/>
        <v>45909</v>
      </c>
    </row>
    <row r="94" spans="1:30" x14ac:dyDescent="0.25">
      <c r="A94" s="37" t="str">
        <f t="shared" ca="1" si="13"/>
        <v/>
      </c>
      <c r="B94" s="38" t="str">
        <f ca="1">IF(COUNTIF($W$2:W1079,A94)=1,VLOOKUP(A94,O:P,2), IF(COUNTIF($W$2:W1079,A94)=0,$B$9,""))</f>
        <v/>
      </c>
      <c r="C94" s="2" t="str">
        <f t="shared" ca="1" si="14"/>
        <v/>
      </c>
      <c r="D94" s="41" t="str">
        <f t="shared" ca="1" si="15"/>
        <v/>
      </c>
      <c r="E94" s="38" t="str">
        <f ca="1">IF(COUNTIF($W$2:W1079,A94)=1,VLOOKUP(A94,Q:R,2), IF(COUNTIF($W$2:W1079,A94)=0,$C$9,""))</f>
        <v/>
      </c>
      <c r="F94" s="2" t="str">
        <f t="shared" ca="1" si="16"/>
        <v/>
      </c>
      <c r="G94" s="41" t="str">
        <f t="shared" ca="1" si="17"/>
        <v/>
      </c>
      <c r="H94" s="38" t="str">
        <f ca="1">IF(COUNTIF($W$2:W1079,A94)=1,VLOOKUP(A94,S:T,2), IF(COUNTIF($W$2:W1079,A94)=0,$D$9,""))</f>
        <v/>
      </c>
      <c r="I94" s="39" t="str">
        <f ca="1">IF(COUNTIF($X$2:X1079,INT(A94))=1,VLOOKUP(INT(A94),X:Y,2), IF(ISERROR(H94-2),"",I93*(1-$D$8*(H94-H93)*0.0001)))</f>
        <v/>
      </c>
      <c r="J94" s="39" t="str">
        <f t="shared" ca="1" si="18"/>
        <v/>
      </c>
      <c r="K94" s="41" t="str">
        <f t="shared" ca="1" si="19"/>
        <v/>
      </c>
      <c r="L94" s="41" t="str">
        <f ca="1">IF($A94="","",IF(COUNTIFS(Dividends!$G:$G,"&gt;"&amp;INT($A93),Dividends!$G:$G,"&lt;="&amp;INT($A94))=0,"",$H$2*SUMIFS(Dividends!$H:$H,Dividends!$G:$G,"&gt;"&amp;INT($A93),Dividends!$G:$G,"&lt;="&amp;INT($A94))))</f>
        <v/>
      </c>
      <c r="M94" s="42" t="str">
        <f ca="1">IF(ISERROR(B94-2),"",C94+D94-F94-G94-K94+SUM($L$14:L94))</f>
        <v/>
      </c>
      <c r="O94" s="3">
        <v>46184.625</v>
      </c>
      <c r="P94" s="4">
        <v>91.65</v>
      </c>
      <c r="Q94" s="3">
        <v>46178.625</v>
      </c>
      <c r="R94" s="4">
        <v>99.38</v>
      </c>
      <c r="S94" s="3">
        <v>46181.625</v>
      </c>
      <c r="T94" s="4">
        <v>263.755</v>
      </c>
      <c r="U94" s="3">
        <f t="shared" si="10"/>
        <v>46184.625</v>
      </c>
      <c r="V94" s="3">
        <f t="shared" si="11"/>
        <v>46184.625</v>
      </c>
      <c r="X94" s="3">
        <v>46176</v>
      </c>
      <c r="Y94" s="5">
        <v>268.40789999999998</v>
      </c>
      <c r="Z94" s="3">
        <v>45910</v>
      </c>
      <c r="AA94" s="4">
        <v>242.7055</v>
      </c>
      <c r="AB94" s="74">
        <v>45910</v>
      </c>
      <c r="AC94" s="4">
        <v>258.92</v>
      </c>
      <c r="AD94" s="6">
        <f t="shared" si="12"/>
        <v>45910</v>
      </c>
    </row>
    <row r="95" spans="1:30" x14ac:dyDescent="0.25">
      <c r="A95" s="37" t="str">
        <f t="shared" ca="1" si="13"/>
        <v/>
      </c>
      <c r="B95" s="38" t="str">
        <f ca="1">IF(COUNTIF($W$2:W1080,A95)=1,VLOOKUP(A95,O:P,2), IF(COUNTIF($W$2:W1080,A95)=0,$B$9,""))</f>
        <v/>
      </c>
      <c r="C95" s="2" t="str">
        <f t="shared" ca="1" si="14"/>
        <v/>
      </c>
      <c r="D95" s="41" t="str">
        <f t="shared" ca="1" si="15"/>
        <v/>
      </c>
      <c r="E95" s="38" t="str">
        <f ca="1">IF(COUNTIF($W$2:W1080,A95)=1,VLOOKUP(A95,Q:R,2), IF(COUNTIF($W$2:W1080,A95)=0,$C$9,""))</f>
        <v/>
      </c>
      <c r="F95" s="2" t="str">
        <f t="shared" ca="1" si="16"/>
        <v/>
      </c>
      <c r="G95" s="41" t="str">
        <f t="shared" ca="1" si="17"/>
        <v/>
      </c>
      <c r="H95" s="38" t="str">
        <f ca="1">IF(COUNTIF($W$2:W1080,A95)=1,VLOOKUP(A95,S:T,2), IF(COUNTIF($W$2:W1080,A95)=0,$D$9,""))</f>
        <v/>
      </c>
      <c r="I95" s="39" t="str">
        <f ca="1">IF(COUNTIF($X$2:X1080,INT(A95))=1,VLOOKUP(INT(A95),X:Y,2), IF(ISERROR(H95-2),"",I94*(1-$D$8*(H95-H94)*0.0001)))</f>
        <v/>
      </c>
      <c r="J95" s="39" t="str">
        <f t="shared" ca="1" si="18"/>
        <v/>
      </c>
      <c r="K95" s="41" t="str">
        <f t="shared" ca="1" si="19"/>
        <v/>
      </c>
      <c r="L95" s="41" t="str">
        <f ca="1">IF($A95="","",IF(COUNTIFS(Dividends!$G:$G,"&gt;"&amp;INT($A94),Dividends!$G:$G,"&lt;="&amp;INT($A95))=0,"",$H$2*SUMIFS(Dividends!$H:$H,Dividends!$G:$G,"&gt;"&amp;INT($A94),Dividends!$G:$G,"&lt;="&amp;INT($A95))))</f>
        <v/>
      </c>
      <c r="M95" s="42" t="str">
        <f ca="1">IF(ISERROR(B95-2),"",C95+D95-F95-G95-K95+SUM($L$14:L95))</f>
        <v/>
      </c>
      <c r="O95" s="3">
        <v>46185.625</v>
      </c>
      <c r="P95" s="4">
        <v>91.87</v>
      </c>
      <c r="Q95" s="3">
        <v>46181.625</v>
      </c>
      <c r="R95" s="4">
        <v>99.350999999999999</v>
      </c>
      <c r="S95" s="3">
        <v>46182.625</v>
      </c>
      <c r="T95" s="4">
        <v>261.05</v>
      </c>
      <c r="U95" s="3">
        <f t="shared" si="10"/>
        <v>46185.625</v>
      </c>
      <c r="V95" s="3">
        <f t="shared" si="11"/>
        <v>46185.625</v>
      </c>
      <c r="X95" s="3">
        <v>46177</v>
      </c>
      <c r="Y95" s="5">
        <v>268.64510000000001</v>
      </c>
      <c r="Z95" s="3">
        <v>45911</v>
      </c>
      <c r="AA95" s="4">
        <v>243.49940000000001</v>
      </c>
      <c r="AB95" s="74">
        <v>45911</v>
      </c>
      <c r="AC95" s="4">
        <v>252.2</v>
      </c>
      <c r="AD95" s="6">
        <f t="shared" si="12"/>
        <v>45911</v>
      </c>
    </row>
    <row r="96" spans="1:30" x14ac:dyDescent="0.25">
      <c r="A96" s="37" t="str">
        <f t="shared" ca="1" si="13"/>
        <v/>
      </c>
      <c r="B96" s="38" t="str">
        <f ca="1">IF(COUNTIF($W$2:W1081,A96)=1,VLOOKUP(A96,O:P,2), IF(COUNTIF($W$2:W1081,A96)=0,$B$9,""))</f>
        <v/>
      </c>
      <c r="C96" s="2" t="str">
        <f t="shared" ca="1" si="14"/>
        <v/>
      </c>
      <c r="D96" s="41" t="str">
        <f t="shared" ca="1" si="15"/>
        <v/>
      </c>
      <c r="E96" s="38" t="str">
        <f ca="1">IF(COUNTIF($W$2:W1081,A96)=1,VLOOKUP(A96,Q:R,2), IF(COUNTIF($W$2:W1081,A96)=0,$C$9,""))</f>
        <v/>
      </c>
      <c r="F96" s="2" t="str">
        <f t="shared" ca="1" si="16"/>
        <v/>
      </c>
      <c r="G96" s="41" t="str">
        <f t="shared" ca="1" si="17"/>
        <v/>
      </c>
      <c r="H96" s="38" t="str">
        <f ca="1">IF(COUNTIF($W$2:W1081,A96)=1,VLOOKUP(A96,S:T,2), IF(COUNTIF($W$2:W1081,A96)=0,$D$9,""))</f>
        <v/>
      </c>
      <c r="I96" s="39" t="str">
        <f ca="1">IF(COUNTIF($X$2:X1081,INT(A96))=1,VLOOKUP(INT(A96),X:Y,2), IF(ISERROR(H96-2),"",I95*(1-$D$8*(H96-H95)*0.0001)))</f>
        <v/>
      </c>
      <c r="J96" s="39" t="str">
        <f t="shared" ca="1" si="18"/>
        <v/>
      </c>
      <c r="K96" s="41" t="str">
        <f t="shared" ca="1" si="19"/>
        <v/>
      </c>
      <c r="L96" s="41" t="str">
        <f ca="1">IF($A96="","",IF(COUNTIFS(Dividends!$G:$G,"&gt;"&amp;INT($A95),Dividends!$G:$G,"&lt;="&amp;INT($A96))=0,"",$H$2*SUMIFS(Dividends!$H:$H,Dividends!$G:$G,"&gt;"&amp;INT($A95),Dividends!$G:$G,"&lt;="&amp;INT($A96))))</f>
        <v/>
      </c>
      <c r="M96" s="42" t="str">
        <f ca="1">IF(ISERROR(B96-2),"",C96+D96-F96-G96-K96+SUM($L$14:L96))</f>
        <v/>
      </c>
      <c r="O96" s="3">
        <v>46188.625</v>
      </c>
      <c r="P96" s="4">
        <v>92.18</v>
      </c>
      <c r="Q96" s="3">
        <v>46182.625</v>
      </c>
      <c r="R96" s="4">
        <v>99.396000000000001</v>
      </c>
      <c r="S96" s="3">
        <v>46183.625</v>
      </c>
      <c r="T96" s="4">
        <v>264.82</v>
      </c>
      <c r="U96" s="3">
        <f t="shared" si="10"/>
        <v>46188.625</v>
      </c>
      <c r="V96" s="3">
        <f t="shared" si="11"/>
        <v>46188.625</v>
      </c>
      <c r="X96" s="3">
        <v>46178</v>
      </c>
      <c r="Y96" s="5">
        <v>268.35000000000002</v>
      </c>
      <c r="Z96" s="3">
        <v>45912</v>
      </c>
      <c r="AA96" s="4">
        <v>243.55</v>
      </c>
      <c r="AB96" s="74">
        <v>45912</v>
      </c>
      <c r="AC96" s="4">
        <v>251.792</v>
      </c>
      <c r="AD96" s="6">
        <f t="shared" si="12"/>
        <v>45912</v>
      </c>
    </row>
    <row r="97" spans="1:30" x14ac:dyDescent="0.25">
      <c r="A97" s="37" t="str">
        <f t="shared" ca="1" si="13"/>
        <v/>
      </c>
      <c r="B97" s="38" t="str">
        <f ca="1">IF(COUNTIF($W$2:W1082,A97)=1,VLOOKUP(A97,O:P,2), IF(COUNTIF($W$2:W1082,A97)=0,$B$9,""))</f>
        <v/>
      </c>
      <c r="C97" s="2" t="str">
        <f t="shared" ca="1" si="14"/>
        <v/>
      </c>
      <c r="D97" s="41" t="str">
        <f t="shared" ca="1" si="15"/>
        <v/>
      </c>
      <c r="E97" s="38" t="str">
        <f ca="1">IF(COUNTIF($W$2:W1082,A97)=1,VLOOKUP(A97,Q:R,2), IF(COUNTIF($W$2:W1082,A97)=0,$C$9,""))</f>
        <v/>
      </c>
      <c r="F97" s="2" t="str">
        <f t="shared" ca="1" si="16"/>
        <v/>
      </c>
      <c r="G97" s="41" t="str">
        <f t="shared" ca="1" si="17"/>
        <v/>
      </c>
      <c r="H97" s="38" t="str">
        <f ca="1">IF(COUNTIF($W$2:W1082,A97)=1,VLOOKUP(A97,S:T,2), IF(COUNTIF($W$2:W1082,A97)=0,$D$9,""))</f>
        <v/>
      </c>
      <c r="I97" s="39" t="str">
        <f ca="1">IF(COUNTIF($X$2:X1082,INT(A97))=1,VLOOKUP(INT(A97),X:Y,2), IF(ISERROR(H97-2),"",I96*(1-$D$8*(H97-H96)*0.0001)))</f>
        <v/>
      </c>
      <c r="J97" s="39" t="str">
        <f t="shared" ca="1" si="18"/>
        <v/>
      </c>
      <c r="K97" s="41" t="str">
        <f t="shared" ca="1" si="19"/>
        <v/>
      </c>
      <c r="L97" s="41" t="str">
        <f ca="1">IF($A97="","",IF(COUNTIFS(Dividends!$G:$G,"&gt;"&amp;INT($A96),Dividends!$G:$G,"&lt;="&amp;INT($A97))=0,"",$H$2*SUMIFS(Dividends!$H:$H,Dividends!$G:$G,"&gt;"&amp;INT($A96),Dividends!$G:$G,"&lt;="&amp;INT($A97))))</f>
        <v/>
      </c>
      <c r="M97" s="42" t="str">
        <f ca="1">IF(ISERROR(B97-2),"",C97+D97-F97-G97-K97+SUM($L$14:L97))</f>
        <v/>
      </c>
      <c r="O97" s="3">
        <v>46189.625</v>
      </c>
      <c r="P97" s="4">
        <v>92.15</v>
      </c>
      <c r="Q97" s="3">
        <v>46183.625</v>
      </c>
      <c r="R97" s="4">
        <v>99.337999999999994</v>
      </c>
      <c r="S97" s="3">
        <v>46184.625</v>
      </c>
      <c r="T97" s="4">
        <v>263.56900000000002</v>
      </c>
      <c r="U97" s="3">
        <f t="shared" si="10"/>
        <v>46189.625</v>
      </c>
      <c r="V97" s="3">
        <f t="shared" si="11"/>
        <v>46189.625</v>
      </c>
      <c r="X97" s="3">
        <v>46181</v>
      </c>
      <c r="Y97" s="5">
        <v>268.29649999999998</v>
      </c>
      <c r="Z97" s="3">
        <v>45915</v>
      </c>
      <c r="AA97" s="4">
        <v>244.01660000000001</v>
      </c>
      <c r="AB97" s="74">
        <v>45915</v>
      </c>
      <c r="AC97" s="4">
        <v>248.089</v>
      </c>
      <c r="AD97" s="6">
        <f t="shared" si="12"/>
        <v>45915</v>
      </c>
    </row>
    <row r="98" spans="1:30" x14ac:dyDescent="0.25">
      <c r="A98" s="37" t="str">
        <f t="shared" ca="1" si="13"/>
        <v/>
      </c>
      <c r="B98" s="38" t="str">
        <f ca="1">IF(COUNTIF($W$2:W1083,A98)=1,VLOOKUP(A98,O:P,2), IF(COUNTIF($W$2:W1083,A98)=0,$B$9,""))</f>
        <v/>
      </c>
      <c r="C98" s="2" t="str">
        <f t="shared" ca="1" si="14"/>
        <v/>
      </c>
      <c r="D98" s="41" t="str">
        <f t="shared" ca="1" si="15"/>
        <v/>
      </c>
      <c r="E98" s="38" t="str">
        <f ca="1">IF(COUNTIF($W$2:W1083,A98)=1,VLOOKUP(A98,Q:R,2), IF(COUNTIF($W$2:W1083,A98)=0,$C$9,""))</f>
        <v/>
      </c>
      <c r="F98" s="2" t="str">
        <f t="shared" ca="1" si="16"/>
        <v/>
      </c>
      <c r="G98" s="41" t="str">
        <f t="shared" ca="1" si="17"/>
        <v/>
      </c>
      <c r="H98" s="38" t="str">
        <f ca="1">IF(COUNTIF($W$2:W1083,A98)=1,VLOOKUP(A98,S:T,2), IF(COUNTIF($W$2:W1083,A98)=0,$D$9,""))</f>
        <v/>
      </c>
      <c r="I98" s="39" t="str">
        <f ca="1">IF(COUNTIF($X$2:X1083,INT(A98))=1,VLOOKUP(INT(A98),X:Y,2), IF(ISERROR(H98-2),"",I97*(1-$D$8*(H98-H97)*0.0001)))</f>
        <v/>
      </c>
      <c r="J98" s="39" t="str">
        <f t="shared" ca="1" si="18"/>
        <v/>
      </c>
      <c r="K98" s="41" t="str">
        <f t="shared" ca="1" si="19"/>
        <v/>
      </c>
      <c r="L98" s="41" t="str">
        <f ca="1">IF($A98="","",IF(COUNTIFS(Dividends!$G:$G,"&gt;"&amp;INT($A97),Dividends!$G:$G,"&lt;="&amp;INT($A98))=0,"",$H$2*SUMIFS(Dividends!$H:$H,Dividends!$G:$G,"&gt;"&amp;INT($A97),Dividends!$G:$G,"&lt;="&amp;INT($A98))))</f>
        <v/>
      </c>
      <c r="M98" s="42" t="str">
        <f ca="1">IF(ISERROR(B98-2),"",C98+D98-F98-G98-K98+SUM($L$14:L98))</f>
        <v/>
      </c>
      <c r="O98" s="3">
        <v>46190.625</v>
      </c>
      <c r="P98" s="4">
        <v>92.16</v>
      </c>
      <c r="Q98" s="3">
        <v>46184.625</v>
      </c>
      <c r="R98" s="4">
        <v>99.400999999999996</v>
      </c>
      <c r="S98" s="3">
        <v>46185.625</v>
      </c>
      <c r="T98" s="4">
        <v>253.16399999999999</v>
      </c>
      <c r="U98" s="3">
        <f t="shared" si="10"/>
        <v>46190.625</v>
      </c>
      <c r="V98" s="3">
        <f t="shared" si="11"/>
        <v>46190.625</v>
      </c>
      <c r="X98" s="3">
        <v>46182</v>
      </c>
      <c r="Y98" s="5">
        <v>268.3329</v>
      </c>
      <c r="Z98" s="3">
        <v>45916</v>
      </c>
      <c r="AA98" s="4">
        <v>243.57589999999999</v>
      </c>
      <c r="AB98" s="74">
        <v>45916</v>
      </c>
      <c r="AC98" s="4">
        <v>252.04</v>
      </c>
      <c r="AD98" s="6">
        <f t="shared" si="12"/>
        <v>45916</v>
      </c>
    </row>
    <row r="99" spans="1:30" x14ac:dyDescent="0.25">
      <c r="A99" s="37" t="str">
        <f t="shared" ca="1" si="13"/>
        <v/>
      </c>
      <c r="B99" s="38" t="str">
        <f ca="1">IF(COUNTIF($W$2:W1084,A99)=1,VLOOKUP(A99,O:P,2), IF(COUNTIF($W$2:W1084,A99)=0,$B$9,""))</f>
        <v/>
      </c>
      <c r="C99" s="2" t="str">
        <f t="shared" ca="1" si="14"/>
        <v/>
      </c>
      <c r="D99" s="41" t="str">
        <f t="shared" ca="1" si="15"/>
        <v/>
      </c>
      <c r="E99" s="38" t="str">
        <f ca="1">IF(COUNTIF($W$2:W1084,A99)=1,VLOOKUP(A99,Q:R,2), IF(COUNTIF($W$2:W1084,A99)=0,$C$9,""))</f>
        <v/>
      </c>
      <c r="F99" s="2" t="str">
        <f t="shared" ca="1" si="16"/>
        <v/>
      </c>
      <c r="G99" s="41" t="str">
        <f t="shared" ca="1" si="17"/>
        <v/>
      </c>
      <c r="H99" s="38" t="str">
        <f ca="1">IF(COUNTIF($W$2:W1084,A99)=1,VLOOKUP(A99,S:T,2), IF(COUNTIF($W$2:W1084,A99)=0,$D$9,""))</f>
        <v/>
      </c>
      <c r="I99" s="39" t="str">
        <f ca="1">IF(COUNTIF($X$2:X1084,INT(A99))=1,VLOOKUP(INT(A99),X:Y,2), IF(ISERROR(H99-2),"",I98*(1-$D$8*(H99-H98)*0.0001)))</f>
        <v/>
      </c>
      <c r="J99" s="39" t="str">
        <f t="shared" ca="1" si="18"/>
        <v/>
      </c>
      <c r="K99" s="41" t="str">
        <f t="shared" ca="1" si="19"/>
        <v/>
      </c>
      <c r="L99" s="41" t="str">
        <f ca="1">IF($A99="","",IF(COUNTIFS(Dividends!$G:$G,"&gt;"&amp;INT($A98),Dividends!$G:$G,"&lt;="&amp;INT($A99))=0,"",$H$2*SUMIFS(Dividends!$H:$H,Dividends!$G:$G,"&gt;"&amp;INT($A98),Dividends!$G:$G,"&lt;="&amp;INT($A99))))</f>
        <v/>
      </c>
      <c r="M99" s="42" t="str">
        <f ca="1">IF(ISERROR(B99-2),"",C99+D99-F99-G99-K99+SUM($L$14:L99))</f>
        <v/>
      </c>
      <c r="O99" s="3">
        <v>46191.625</v>
      </c>
      <c r="P99" s="4">
        <v>91.01</v>
      </c>
      <c r="Q99" s="3">
        <v>46185.625</v>
      </c>
      <c r="R99" s="4">
        <v>99.512</v>
      </c>
      <c r="S99" s="3">
        <v>46188.625</v>
      </c>
      <c r="T99" s="4">
        <v>248.518</v>
      </c>
      <c r="U99" s="3">
        <f t="shared" si="10"/>
        <v>46191.625</v>
      </c>
      <c r="V99" s="3">
        <f t="shared" si="11"/>
        <v>46191.625</v>
      </c>
      <c r="X99" s="3">
        <v>46183</v>
      </c>
      <c r="Y99" s="5">
        <v>268.03980000000001</v>
      </c>
      <c r="Z99" s="3">
        <v>45917</v>
      </c>
      <c r="AA99" s="4">
        <v>243.72110000000001</v>
      </c>
      <c r="AB99" s="74">
        <v>45917</v>
      </c>
      <c r="AC99" s="4">
        <v>250.89500000000001</v>
      </c>
      <c r="AD99" s="6">
        <f t="shared" si="12"/>
        <v>45917</v>
      </c>
    </row>
    <row r="100" spans="1:30" x14ac:dyDescent="0.25">
      <c r="A100" s="37" t="str">
        <f t="shared" ca="1" si="13"/>
        <v/>
      </c>
      <c r="B100" s="38" t="str">
        <f ca="1">IF(COUNTIF($W$2:W1085,A100)=1,VLOOKUP(A100,O:P,2), IF(COUNTIF($W$2:W1085,A100)=0,$B$9,""))</f>
        <v/>
      </c>
      <c r="C100" s="2" t="str">
        <f t="shared" ca="1" si="14"/>
        <v/>
      </c>
      <c r="D100" s="41" t="str">
        <f t="shared" ca="1" si="15"/>
        <v/>
      </c>
      <c r="E100" s="38" t="str">
        <f ca="1">IF(COUNTIF($W$2:W1085,A100)=1,VLOOKUP(A100,Q:R,2), IF(COUNTIF($W$2:W1085,A100)=0,$C$9,""))</f>
        <v/>
      </c>
      <c r="F100" s="2" t="str">
        <f t="shared" ca="1" si="16"/>
        <v/>
      </c>
      <c r="G100" s="41" t="str">
        <f t="shared" ca="1" si="17"/>
        <v/>
      </c>
      <c r="H100" s="38" t="str">
        <f ca="1">IF(COUNTIF($W$2:W1085,A100)=1,VLOOKUP(A100,S:T,2), IF(COUNTIF($W$2:W1085,A100)=0,$D$9,""))</f>
        <v/>
      </c>
      <c r="I100" s="39" t="str">
        <f ca="1">IF(COUNTIF($X$2:X1085,INT(A100))=1,VLOOKUP(INT(A100),X:Y,2), IF(ISERROR(H100-2),"",I99*(1-$D$8*(H100-H99)*0.0001)))</f>
        <v/>
      </c>
      <c r="J100" s="39" t="str">
        <f t="shared" ca="1" si="18"/>
        <v/>
      </c>
      <c r="K100" s="41" t="str">
        <f t="shared" ca="1" si="19"/>
        <v/>
      </c>
      <c r="L100" s="41" t="str">
        <f ca="1">IF($A100="","",IF(COUNTIFS(Dividends!$G:$G,"&gt;"&amp;INT($A99),Dividends!$G:$G,"&lt;="&amp;INT($A100))=0,"",$H$2*SUMIFS(Dividends!$H:$H,Dividends!$G:$G,"&gt;"&amp;INT($A99),Dividends!$G:$G,"&lt;="&amp;INT($A100))))</f>
        <v/>
      </c>
      <c r="M100" s="42" t="str">
        <f ca="1">IF(ISERROR(B100-2),"",C100+D100-F100-G100-K100+SUM($L$14:L100))</f>
        <v/>
      </c>
      <c r="O100" s="3">
        <v>46192.625</v>
      </c>
      <c r="P100" s="4">
        <v>91.05</v>
      </c>
      <c r="Q100" s="3">
        <v>46188.625</v>
      </c>
      <c r="R100" s="4">
        <v>99.631</v>
      </c>
      <c r="S100" s="3">
        <v>46189.625</v>
      </c>
      <c r="T100" s="4">
        <v>249.79400000000001</v>
      </c>
      <c r="U100" s="3">
        <f t="shared" si="10"/>
        <v>46192.625</v>
      </c>
      <c r="V100" s="3">
        <f t="shared" si="11"/>
        <v>46192.625</v>
      </c>
      <c r="X100" s="3">
        <v>46184</v>
      </c>
      <c r="Y100" s="5">
        <v>268.44299999999998</v>
      </c>
      <c r="Z100" s="3">
        <v>45918</v>
      </c>
      <c r="AA100" s="4">
        <v>244.14340000000001</v>
      </c>
      <c r="AB100" s="74">
        <v>45918</v>
      </c>
      <c r="AC100" s="4">
        <v>247.65700000000001</v>
      </c>
      <c r="AD100" s="6">
        <f t="shared" si="12"/>
        <v>45918</v>
      </c>
    </row>
    <row r="101" spans="1:30" x14ac:dyDescent="0.25">
      <c r="A101" s="37" t="str">
        <f t="shared" ca="1" si="13"/>
        <v/>
      </c>
      <c r="B101" s="38" t="str">
        <f ca="1">IF(COUNTIF($W$2:W1086,A101)=1,VLOOKUP(A101,O:P,2), IF(COUNTIF($W$2:W1086,A101)=0,$B$9,""))</f>
        <v/>
      </c>
      <c r="C101" s="2" t="str">
        <f t="shared" ca="1" si="14"/>
        <v/>
      </c>
      <c r="D101" s="41" t="str">
        <f t="shared" ca="1" si="15"/>
        <v/>
      </c>
      <c r="E101" s="38" t="str">
        <f ca="1">IF(COUNTIF($W$2:W1086,A101)=1,VLOOKUP(A101,Q:R,2), IF(COUNTIF($W$2:W1086,A101)=0,$C$9,""))</f>
        <v/>
      </c>
      <c r="F101" s="2" t="str">
        <f t="shared" ca="1" si="16"/>
        <v/>
      </c>
      <c r="G101" s="41" t="str">
        <f t="shared" ca="1" si="17"/>
        <v/>
      </c>
      <c r="H101" s="38" t="str">
        <f ca="1">IF(COUNTIF($W$2:W1086,A101)=1,VLOOKUP(A101,S:T,2), IF(COUNTIF($W$2:W1086,A101)=0,$D$9,""))</f>
        <v/>
      </c>
      <c r="I101" s="39" t="str">
        <f ca="1">IF(COUNTIF($X$2:X1086,INT(A101))=1,VLOOKUP(INT(A101),X:Y,2), IF(ISERROR(H101-2),"",I100*(1-$D$8*(H101-H100)*0.0001)))</f>
        <v/>
      </c>
      <c r="J101" s="39" t="str">
        <f t="shared" ca="1" si="18"/>
        <v/>
      </c>
      <c r="K101" s="41" t="str">
        <f t="shared" ca="1" si="19"/>
        <v/>
      </c>
      <c r="L101" s="41" t="str">
        <f ca="1">IF($A101="","",IF(COUNTIFS(Dividends!$G:$G,"&gt;"&amp;INT($A100),Dividends!$G:$G,"&lt;="&amp;INT($A101))=0,"",$H$2*SUMIFS(Dividends!$H:$H,Dividends!$G:$G,"&gt;"&amp;INT($A100),Dividends!$G:$G,"&lt;="&amp;INT($A101))))</f>
        <v/>
      </c>
      <c r="M101" s="42" t="str">
        <f ca="1">IF(ISERROR(B101-2),"",C101+D101-F101-G101-K101+SUM($L$14:L101))</f>
        <v/>
      </c>
      <c r="O101" s="3">
        <v>46195.625</v>
      </c>
      <c r="P101" s="4">
        <v>91.17</v>
      </c>
      <c r="Q101" s="3">
        <v>46189.625</v>
      </c>
      <c r="R101" s="4">
        <v>99.625</v>
      </c>
      <c r="S101" s="3">
        <v>46190.625</v>
      </c>
      <c r="T101" s="4">
        <v>252.459</v>
      </c>
      <c r="U101" s="3">
        <f t="shared" si="10"/>
        <v>46195.625</v>
      </c>
      <c r="V101" s="3">
        <f t="shared" si="11"/>
        <v>46195.625</v>
      </c>
      <c r="X101" s="3">
        <v>46185</v>
      </c>
      <c r="Y101" s="5">
        <v>269.7552</v>
      </c>
      <c r="Z101" s="3">
        <v>45919</v>
      </c>
      <c r="AA101" s="4">
        <v>244.01089999999999</v>
      </c>
      <c r="AB101" s="74">
        <v>45919</v>
      </c>
      <c r="AC101" s="4">
        <v>248.416</v>
      </c>
      <c r="AD101" s="6">
        <f t="shared" si="12"/>
        <v>45919</v>
      </c>
    </row>
    <row r="102" spans="1:30" x14ac:dyDescent="0.25">
      <c r="A102" s="37" t="str">
        <f t="shared" ca="1" si="13"/>
        <v/>
      </c>
      <c r="B102" s="38" t="str">
        <f ca="1">IF(COUNTIF($W$2:W1087,A102)=1,VLOOKUP(A102,O:P,2), IF(COUNTIF($W$2:W1087,A102)=0,$B$9,""))</f>
        <v/>
      </c>
      <c r="C102" s="2" t="str">
        <f t="shared" ca="1" si="14"/>
        <v/>
      </c>
      <c r="D102" s="41" t="str">
        <f t="shared" ca="1" si="15"/>
        <v/>
      </c>
      <c r="E102" s="38" t="str">
        <f ca="1">IF(COUNTIF($W$2:W1087,A102)=1,VLOOKUP(A102,Q:R,2), IF(COUNTIF($W$2:W1087,A102)=0,$C$9,""))</f>
        <v/>
      </c>
      <c r="F102" s="2" t="str">
        <f t="shared" ca="1" si="16"/>
        <v/>
      </c>
      <c r="G102" s="41" t="str">
        <f t="shared" ca="1" si="17"/>
        <v/>
      </c>
      <c r="H102" s="38" t="str">
        <f ca="1">IF(COUNTIF($W$2:W1087,A102)=1,VLOOKUP(A102,S:T,2), IF(COUNTIF($W$2:W1087,A102)=0,$D$9,""))</f>
        <v/>
      </c>
      <c r="I102" s="39" t="str">
        <f ca="1">IF(COUNTIF($X$2:X1087,INT(A102))=1,VLOOKUP(INT(A102),X:Y,2), IF(ISERROR(H102-2),"",I101*(1-$D$8*(H102-H101)*0.0001)))</f>
        <v/>
      </c>
      <c r="J102" s="39" t="str">
        <f t="shared" ca="1" si="18"/>
        <v/>
      </c>
      <c r="K102" s="41" t="str">
        <f t="shared" ca="1" si="19"/>
        <v/>
      </c>
      <c r="L102" s="41" t="str">
        <f ca="1">IF($A102="","",IF(COUNTIFS(Dividends!$G:$G,"&gt;"&amp;INT($A101),Dividends!$G:$G,"&lt;="&amp;INT($A102))=0,"",$H$2*SUMIFS(Dividends!$H:$H,Dividends!$G:$G,"&gt;"&amp;INT($A101),Dividends!$G:$G,"&lt;="&amp;INT($A102))))</f>
        <v/>
      </c>
      <c r="M102" s="42" t="str">
        <f ca="1">IF(ISERROR(B102-2),"",C102+D102-F102-G102-K102+SUM($L$14:L102))</f>
        <v/>
      </c>
      <c r="O102" s="3">
        <v>46196.625</v>
      </c>
      <c r="P102" s="4">
        <v>91.08</v>
      </c>
      <c r="Q102" s="3">
        <v>46190.625</v>
      </c>
      <c r="R102" s="4">
        <v>99.600999999999999</v>
      </c>
      <c r="S102" s="3">
        <v>46191.625</v>
      </c>
      <c r="T102" s="4">
        <v>249.42099999999999</v>
      </c>
      <c r="U102" s="3">
        <f t="shared" si="10"/>
        <v>46196.625</v>
      </c>
      <c r="V102" s="3">
        <f t="shared" si="11"/>
        <v>46196.625</v>
      </c>
      <c r="X102" s="3">
        <v>46188</v>
      </c>
      <c r="Y102" s="5">
        <v>270.47059999999999</v>
      </c>
      <c r="Z102" s="3">
        <v>45922</v>
      </c>
      <c r="AA102" s="4">
        <v>243.60169999999999</v>
      </c>
      <c r="AB102" s="74">
        <v>45922</v>
      </c>
      <c r="AC102" s="4">
        <v>268.25200000000001</v>
      </c>
      <c r="AD102" s="6">
        <f t="shared" si="12"/>
        <v>45922</v>
      </c>
    </row>
    <row r="103" spans="1:30" x14ac:dyDescent="0.25">
      <c r="A103" s="37" t="str">
        <f t="shared" ca="1" si="13"/>
        <v/>
      </c>
      <c r="B103" s="38" t="str">
        <f ca="1">IF(COUNTIF($W$2:W1088,A103)=1,VLOOKUP(A103,O:P,2), IF(COUNTIF($W$2:W1088,A103)=0,$B$9,""))</f>
        <v/>
      </c>
      <c r="C103" s="2" t="str">
        <f t="shared" ca="1" si="14"/>
        <v/>
      </c>
      <c r="D103" s="41" t="str">
        <f t="shared" ca="1" si="15"/>
        <v/>
      </c>
      <c r="E103" s="38" t="str">
        <f ca="1">IF(COUNTIF($W$2:W1088,A103)=1,VLOOKUP(A103,Q:R,2), IF(COUNTIF($W$2:W1088,A103)=0,$C$9,""))</f>
        <v/>
      </c>
      <c r="F103" s="2" t="str">
        <f t="shared" ca="1" si="16"/>
        <v/>
      </c>
      <c r="G103" s="41" t="str">
        <f t="shared" ca="1" si="17"/>
        <v/>
      </c>
      <c r="H103" s="38" t="str">
        <f ca="1">IF(COUNTIF($W$2:W1088,A103)=1,VLOOKUP(A103,S:T,2), IF(COUNTIF($W$2:W1088,A103)=0,$D$9,""))</f>
        <v/>
      </c>
      <c r="I103" s="39" t="str">
        <f ca="1">IF(COUNTIF($X$2:X1088,INT(A103))=1,VLOOKUP(INT(A103),X:Y,2), IF(ISERROR(H103-2),"",I102*(1-$D$8*(H103-H102)*0.0001)))</f>
        <v/>
      </c>
      <c r="J103" s="39" t="str">
        <f t="shared" ca="1" si="18"/>
        <v/>
      </c>
      <c r="K103" s="41" t="str">
        <f t="shared" ca="1" si="19"/>
        <v/>
      </c>
      <c r="L103" s="41" t="str">
        <f ca="1">IF($A103="","",IF(COUNTIFS(Dividends!$G:$G,"&gt;"&amp;INT($A102),Dividends!$G:$G,"&lt;="&amp;INT($A103))=0,"",$H$2*SUMIFS(Dividends!$H:$H,Dividends!$G:$G,"&gt;"&amp;INT($A102),Dividends!$G:$G,"&lt;="&amp;INT($A103))))</f>
        <v/>
      </c>
      <c r="M103" s="42" t="str">
        <f ca="1">IF(ISERROR(B103-2),"",C103+D103-F103-G103-K103+SUM($L$14:L103))</f>
        <v/>
      </c>
      <c r="O103" s="3">
        <v>46197.625</v>
      </c>
      <c r="P103" s="4">
        <v>91.03</v>
      </c>
      <c r="Q103" s="3">
        <v>46191.625</v>
      </c>
      <c r="R103" s="4">
        <v>99.582999999999998</v>
      </c>
      <c r="S103" s="3">
        <v>46192.625</v>
      </c>
      <c r="T103" s="4">
        <v>249.20599999999999</v>
      </c>
      <c r="U103" s="3">
        <f t="shared" si="10"/>
        <v>46197.625</v>
      </c>
      <c r="V103" s="3">
        <f t="shared" si="11"/>
        <v>46197.625</v>
      </c>
      <c r="X103" s="3">
        <v>46189</v>
      </c>
      <c r="Y103" s="5">
        <v>270.3356</v>
      </c>
      <c r="Z103" s="3">
        <v>45923</v>
      </c>
      <c r="AA103" s="4">
        <v>244.0994</v>
      </c>
      <c r="AB103" s="74">
        <v>45923</v>
      </c>
      <c r="AC103" s="4">
        <v>264.339</v>
      </c>
      <c r="AD103" s="6">
        <f t="shared" si="12"/>
        <v>45923</v>
      </c>
    </row>
    <row r="104" spans="1:30" x14ac:dyDescent="0.25">
      <c r="A104" s="37" t="str">
        <f t="shared" ca="1" si="13"/>
        <v/>
      </c>
      <c r="B104" s="38" t="str">
        <f ca="1">IF(COUNTIF($W$2:W1089,A104)=1,VLOOKUP(A104,O:P,2), IF(COUNTIF($W$2:W1089,A104)=0,$B$9,""))</f>
        <v/>
      </c>
      <c r="C104" s="2" t="str">
        <f t="shared" ca="1" si="14"/>
        <v/>
      </c>
      <c r="D104" s="41" t="str">
        <f t="shared" ca="1" si="15"/>
        <v/>
      </c>
      <c r="E104" s="38" t="str">
        <f ca="1">IF(COUNTIF($W$2:W1089,A104)=1,VLOOKUP(A104,Q:R,2), IF(COUNTIF($W$2:W1089,A104)=0,$C$9,""))</f>
        <v/>
      </c>
      <c r="F104" s="2" t="str">
        <f t="shared" ca="1" si="16"/>
        <v/>
      </c>
      <c r="G104" s="41" t="str">
        <f t="shared" ca="1" si="17"/>
        <v/>
      </c>
      <c r="H104" s="38" t="str">
        <f ca="1">IF(COUNTIF($W$2:W1089,A104)=1,VLOOKUP(A104,S:T,2), IF(COUNTIF($W$2:W1089,A104)=0,$D$9,""))</f>
        <v/>
      </c>
      <c r="I104" s="39" t="str">
        <f ca="1">IF(COUNTIF($X$2:X1089,INT(A104))=1,VLOOKUP(INT(A104),X:Y,2), IF(ISERROR(H104-2),"",I103*(1-$D$8*(H104-H103)*0.0001)))</f>
        <v/>
      </c>
      <c r="J104" s="39" t="str">
        <f t="shared" ca="1" si="18"/>
        <v/>
      </c>
      <c r="K104" s="41" t="str">
        <f t="shared" ca="1" si="19"/>
        <v/>
      </c>
      <c r="L104" s="41" t="str">
        <f ca="1">IF($A104="","",IF(COUNTIFS(Dividends!$G:$G,"&gt;"&amp;INT($A103),Dividends!$G:$G,"&lt;="&amp;INT($A104))=0,"",$H$2*SUMIFS(Dividends!$H:$H,Dividends!$G:$G,"&gt;"&amp;INT($A103),Dividends!$G:$G,"&lt;="&amp;INT($A104))))</f>
        <v/>
      </c>
      <c r="M104" s="42" t="str">
        <f ca="1">IF(ISERROR(B104-2),"",C104+D104-F104-G104-K104+SUM($L$14:L104))</f>
        <v/>
      </c>
      <c r="O104" s="3">
        <v>46198.625</v>
      </c>
      <c r="P104" s="4">
        <v>91.17</v>
      </c>
      <c r="Q104" s="3">
        <v>46192.625</v>
      </c>
      <c r="R104" s="4">
        <v>99.489000000000004</v>
      </c>
      <c r="S104" s="3">
        <v>46195.625</v>
      </c>
      <c r="T104" s="4">
        <v>246.90199999999999</v>
      </c>
      <c r="U104" s="3">
        <f t="shared" si="10"/>
        <v>46198.625</v>
      </c>
      <c r="V104" s="3">
        <f t="shared" si="11"/>
        <v>46198.625</v>
      </c>
      <c r="X104" s="3">
        <v>46190</v>
      </c>
      <c r="Y104" s="5">
        <v>270.1644</v>
      </c>
      <c r="Z104" s="3">
        <v>45924</v>
      </c>
      <c r="AA104" s="4">
        <v>244.1028</v>
      </c>
      <c r="AB104" s="74">
        <v>45924</v>
      </c>
      <c r="AC104" s="4">
        <v>264.625</v>
      </c>
      <c r="AD104" s="6">
        <f t="shared" si="12"/>
        <v>45924</v>
      </c>
    </row>
    <row r="105" spans="1:30" x14ac:dyDescent="0.25">
      <c r="A105" s="37" t="str">
        <f t="shared" ca="1" si="13"/>
        <v/>
      </c>
      <c r="B105" s="38" t="str">
        <f ca="1">IF(COUNTIF($W$2:W1090,A105)=1,VLOOKUP(A105,O:P,2), IF(COUNTIF($W$2:W1090,A105)=0,$B$9,""))</f>
        <v/>
      </c>
      <c r="C105" s="2" t="str">
        <f t="shared" ca="1" si="14"/>
        <v/>
      </c>
      <c r="D105" s="41" t="str">
        <f t="shared" ca="1" si="15"/>
        <v/>
      </c>
      <c r="E105" s="38" t="str">
        <f ca="1">IF(COUNTIF($W$2:W1090,A105)=1,VLOOKUP(A105,Q:R,2), IF(COUNTIF($W$2:W1090,A105)=0,$C$9,""))</f>
        <v/>
      </c>
      <c r="F105" s="2" t="str">
        <f t="shared" ca="1" si="16"/>
        <v/>
      </c>
      <c r="G105" s="41" t="str">
        <f t="shared" ca="1" si="17"/>
        <v/>
      </c>
      <c r="H105" s="38" t="str">
        <f ca="1">IF(COUNTIF($W$2:W1090,A105)=1,VLOOKUP(A105,S:T,2), IF(COUNTIF($W$2:W1090,A105)=0,$D$9,""))</f>
        <v/>
      </c>
      <c r="I105" s="39" t="str">
        <f ca="1">IF(COUNTIF($X$2:X1090,INT(A105))=1,VLOOKUP(INT(A105),X:Y,2), IF(ISERROR(H105-2),"",I104*(1-$D$8*(H105-H104)*0.0001)))</f>
        <v/>
      </c>
      <c r="J105" s="39" t="str">
        <f t="shared" ca="1" si="18"/>
        <v/>
      </c>
      <c r="K105" s="41" t="str">
        <f t="shared" ca="1" si="19"/>
        <v/>
      </c>
      <c r="L105" s="41" t="str">
        <f ca="1">IF($A105="","",IF(COUNTIFS(Dividends!$G:$G,"&gt;"&amp;INT($A104),Dividends!$G:$G,"&lt;="&amp;INT($A105))=0,"",$H$2*SUMIFS(Dividends!$H:$H,Dividends!$G:$G,"&gt;"&amp;INT($A104),Dividends!$G:$G,"&lt;="&amp;INT($A105))))</f>
        <v/>
      </c>
      <c r="M105" s="42" t="str">
        <f ca="1">IF(ISERROR(B105-2),"",C105+D105-F105-G105-K105+SUM($L$14:L105))</f>
        <v/>
      </c>
      <c r="Q105" s="3">
        <v>46195.625</v>
      </c>
      <c r="R105" s="4">
        <v>99.591999999999999</v>
      </c>
      <c r="S105" s="3">
        <v>46196.625</v>
      </c>
      <c r="T105" s="4">
        <v>248.29</v>
      </c>
      <c r="U105" s="3" t="str">
        <f t="shared" si="10"/>
        <v/>
      </c>
      <c r="V105" s="3" t="str">
        <f t="shared" si="11"/>
        <v/>
      </c>
      <c r="X105" s="3">
        <v>46191</v>
      </c>
      <c r="Y105" s="5">
        <v>270.5043</v>
      </c>
      <c r="Z105" s="3">
        <v>45925</v>
      </c>
      <c r="AA105" s="4">
        <v>243.57409999999999</v>
      </c>
      <c r="AB105" s="74">
        <v>45925</v>
      </c>
      <c r="AC105" s="4">
        <v>268.18400000000003</v>
      </c>
      <c r="AD105" s="6">
        <f t="shared" si="12"/>
        <v>45925</v>
      </c>
    </row>
    <row r="106" spans="1:30" x14ac:dyDescent="0.25">
      <c r="A106" s="37" t="str">
        <f t="shared" ca="1" si="13"/>
        <v/>
      </c>
      <c r="B106" s="38" t="str">
        <f ca="1">IF(COUNTIF($W$2:W1091,A106)=1,VLOOKUP(A106,O:P,2), IF(COUNTIF($W$2:W1091,A106)=0,$B$9,""))</f>
        <v/>
      </c>
      <c r="C106" s="2" t="str">
        <f t="shared" ca="1" si="14"/>
        <v/>
      </c>
      <c r="D106" s="41" t="str">
        <f t="shared" ca="1" si="15"/>
        <v/>
      </c>
      <c r="E106" s="38" t="str">
        <f ca="1">IF(COUNTIF($W$2:W1091,A106)=1,VLOOKUP(A106,Q:R,2), IF(COUNTIF($W$2:W1091,A106)=0,$C$9,""))</f>
        <v/>
      </c>
      <c r="F106" s="2" t="str">
        <f t="shared" ca="1" si="16"/>
        <v/>
      </c>
      <c r="G106" s="41" t="str">
        <f t="shared" ca="1" si="17"/>
        <v/>
      </c>
      <c r="H106" s="38" t="str">
        <f ca="1">IF(COUNTIF($W$2:W1091,A106)=1,VLOOKUP(A106,S:T,2), IF(COUNTIF($W$2:W1091,A106)=0,$D$9,""))</f>
        <v/>
      </c>
      <c r="I106" s="39" t="str">
        <f ca="1">IF(COUNTIF($X$2:X1091,INT(A106))=1,VLOOKUP(INT(A106),X:Y,2), IF(ISERROR(H106-2),"",I105*(1-$D$8*(H106-H105)*0.0001)))</f>
        <v/>
      </c>
      <c r="J106" s="39" t="str">
        <f t="shared" ca="1" si="18"/>
        <v/>
      </c>
      <c r="K106" s="41" t="str">
        <f t="shared" ca="1" si="19"/>
        <v/>
      </c>
      <c r="L106" s="41" t="str">
        <f ca="1">IF($A106="","",IF(COUNTIFS(Dividends!$G:$G,"&gt;"&amp;INT($A105),Dividends!$G:$G,"&lt;="&amp;INT($A106))=0,"",$H$2*SUMIFS(Dividends!$H:$H,Dividends!$G:$G,"&gt;"&amp;INT($A105),Dividends!$G:$G,"&lt;="&amp;INT($A106))))</f>
        <v/>
      </c>
      <c r="M106" s="42" t="str">
        <f ca="1">IF(ISERROR(B106-2),"",C106+D106-F106-G106-K106+SUM($L$14:L106))</f>
        <v/>
      </c>
      <c r="Q106" s="3">
        <v>46196.625</v>
      </c>
      <c r="R106" s="4">
        <v>99.66</v>
      </c>
      <c r="S106" s="3">
        <v>46197.625</v>
      </c>
      <c r="T106" s="4">
        <v>247.875</v>
      </c>
      <c r="U106" s="3" t="str">
        <f t="shared" si="10"/>
        <v/>
      </c>
      <c r="V106" s="3" t="str">
        <f t="shared" si="11"/>
        <v/>
      </c>
      <c r="X106" s="3">
        <v>46192</v>
      </c>
      <c r="Y106" s="5">
        <v>270.44040000000001</v>
      </c>
      <c r="Z106" s="3">
        <v>45926</v>
      </c>
      <c r="AA106" s="4">
        <v>244.00890000000001</v>
      </c>
      <c r="AB106" s="74">
        <v>45926</v>
      </c>
      <c r="AC106" s="4">
        <v>265.48200000000003</v>
      </c>
      <c r="AD106" s="6">
        <f t="shared" si="12"/>
        <v>45926</v>
      </c>
    </row>
    <row r="107" spans="1:30" x14ac:dyDescent="0.25">
      <c r="A107" s="37" t="str">
        <f t="shared" ca="1" si="13"/>
        <v/>
      </c>
      <c r="B107" s="38" t="str">
        <f ca="1">IF(COUNTIF($W$2:W1092,A107)=1,VLOOKUP(A107,O:P,2), IF(COUNTIF($W$2:W1092,A107)=0,$B$9,""))</f>
        <v/>
      </c>
      <c r="C107" s="2" t="str">
        <f t="shared" ca="1" si="14"/>
        <v/>
      </c>
      <c r="D107" s="41" t="str">
        <f t="shared" ca="1" si="15"/>
        <v/>
      </c>
      <c r="E107" s="38" t="str">
        <f ca="1">IF(COUNTIF($W$2:W1092,A107)=1,VLOOKUP(A107,Q:R,2), IF(COUNTIF($W$2:W1092,A107)=0,$C$9,""))</f>
        <v/>
      </c>
      <c r="F107" s="2" t="str">
        <f t="shared" ca="1" si="16"/>
        <v/>
      </c>
      <c r="G107" s="41" t="str">
        <f t="shared" ca="1" si="17"/>
        <v/>
      </c>
      <c r="H107" s="38" t="str">
        <f ca="1">IF(COUNTIF($W$2:W1092,A107)=1,VLOOKUP(A107,S:T,2), IF(COUNTIF($W$2:W1092,A107)=0,$D$9,""))</f>
        <v/>
      </c>
      <c r="I107" s="39" t="str">
        <f ca="1">IF(COUNTIF($X$2:X1092,INT(A107))=1,VLOOKUP(INT(A107),X:Y,2), IF(ISERROR(H107-2),"",I106*(1-$D$8*(H107-H106)*0.0001)))</f>
        <v/>
      </c>
      <c r="J107" s="39" t="str">
        <f t="shared" ca="1" si="18"/>
        <v/>
      </c>
      <c r="K107" s="41" t="str">
        <f t="shared" ca="1" si="19"/>
        <v/>
      </c>
      <c r="L107" s="41" t="str">
        <f ca="1">IF($A107="","",IF(COUNTIFS(Dividends!$G:$G,"&gt;"&amp;INT($A106),Dividends!$G:$G,"&lt;="&amp;INT($A107))=0,"",$H$2*SUMIFS(Dividends!$H:$H,Dividends!$G:$G,"&gt;"&amp;INT($A106),Dividends!$G:$G,"&lt;="&amp;INT($A107))))</f>
        <v/>
      </c>
      <c r="M107" s="42" t="str">
        <f ca="1">IF(ISERROR(B107-2),"",C107+D107-F107-G107-K107+SUM($L$14:L107))</f>
        <v/>
      </c>
      <c r="Q107" s="3">
        <v>46197.625</v>
      </c>
      <c r="R107" s="4">
        <v>99.724999999999994</v>
      </c>
      <c r="S107" s="3">
        <v>46198.625</v>
      </c>
      <c r="T107" s="4">
        <v>246.71700000000001</v>
      </c>
      <c r="U107" s="3" t="str">
        <f t="shared" si="10"/>
        <v/>
      </c>
      <c r="V107" s="3" t="str">
        <f t="shared" si="11"/>
        <v/>
      </c>
      <c r="X107" s="3">
        <v>46195</v>
      </c>
      <c r="Y107" s="5">
        <v>270.85840000000002</v>
      </c>
      <c r="Z107" s="3">
        <v>45929</v>
      </c>
      <c r="AA107" s="4">
        <v>244.41050000000001</v>
      </c>
      <c r="AB107" s="74">
        <v>45929</v>
      </c>
      <c r="AC107" s="4">
        <v>262.72199999999998</v>
      </c>
      <c r="AD107" s="6">
        <f t="shared" si="12"/>
        <v>45929</v>
      </c>
    </row>
    <row r="108" spans="1:30" x14ac:dyDescent="0.25">
      <c r="A108" s="37" t="str">
        <f t="shared" ca="1" si="13"/>
        <v/>
      </c>
      <c r="B108" s="38" t="str">
        <f ca="1">IF(COUNTIF($W$2:W1093,A108)=1,VLOOKUP(A108,O:P,2), IF(COUNTIF($W$2:W1093,A108)=0,$B$9,""))</f>
        <v/>
      </c>
      <c r="C108" s="2" t="str">
        <f t="shared" ca="1" si="14"/>
        <v/>
      </c>
      <c r="D108" s="41" t="str">
        <f t="shared" ca="1" si="15"/>
        <v/>
      </c>
      <c r="E108" s="38" t="str">
        <f ca="1">IF(COUNTIF($W$2:W1093,A108)=1,VLOOKUP(A108,Q:R,2), IF(COUNTIF($W$2:W1093,A108)=0,$C$9,""))</f>
        <v/>
      </c>
      <c r="F108" s="2" t="str">
        <f t="shared" ca="1" si="16"/>
        <v/>
      </c>
      <c r="G108" s="41" t="str">
        <f t="shared" ca="1" si="17"/>
        <v/>
      </c>
      <c r="H108" s="38" t="str">
        <f ca="1">IF(COUNTIF($W$2:W1093,A108)=1,VLOOKUP(A108,S:T,2), IF(COUNTIF($W$2:W1093,A108)=0,$D$9,""))</f>
        <v/>
      </c>
      <c r="I108" s="39" t="str">
        <f ca="1">IF(COUNTIF($X$2:X1093,INT(A108))=1,VLOOKUP(INT(A108),X:Y,2), IF(ISERROR(H108-2),"",I107*(1-$D$8*(H108-H107)*0.0001)))</f>
        <v/>
      </c>
      <c r="J108" s="39" t="str">
        <f t="shared" ca="1" si="18"/>
        <v/>
      </c>
      <c r="K108" s="41" t="str">
        <f t="shared" ca="1" si="19"/>
        <v/>
      </c>
      <c r="L108" s="41" t="str">
        <f ca="1">IF($A108="","",IF(COUNTIFS(Dividends!$G:$G,"&gt;"&amp;INT($A107),Dividends!$G:$G,"&lt;="&amp;INT($A108))=0,"",$H$2*SUMIFS(Dividends!$H:$H,Dividends!$G:$G,"&gt;"&amp;INT($A107),Dividends!$G:$G,"&lt;="&amp;INT($A108))))</f>
        <v/>
      </c>
      <c r="M108" s="42" t="str">
        <f ca="1">IF(ISERROR(B108-2),"",C108+D108-F108-G108-K108+SUM($L$14:L108))</f>
        <v/>
      </c>
      <c r="Q108" s="3">
        <v>46198.625</v>
      </c>
      <c r="R108" s="4">
        <v>99.748999999999995</v>
      </c>
      <c r="U108" s="3" t="str">
        <f t="shared" si="10"/>
        <v/>
      </c>
      <c r="V108" s="3" t="str">
        <f t="shared" si="11"/>
        <v/>
      </c>
      <c r="X108" s="3">
        <v>46196</v>
      </c>
      <c r="Y108" s="5">
        <v>270.70330000000001</v>
      </c>
      <c r="Z108" s="3">
        <v>45930</v>
      </c>
      <c r="AA108" s="4">
        <v>244.4126</v>
      </c>
      <c r="AB108" s="74">
        <v>45930</v>
      </c>
      <c r="AC108" s="4">
        <v>262.26600000000002</v>
      </c>
      <c r="AD108" s="6">
        <f t="shared" si="12"/>
        <v>45930</v>
      </c>
    </row>
    <row r="109" spans="1:30" x14ac:dyDescent="0.25">
      <c r="A109" s="37" t="str">
        <f t="shared" ca="1" si="13"/>
        <v/>
      </c>
      <c r="B109" s="38" t="str">
        <f ca="1">IF(COUNTIF($W$2:W1094,A109)=1,VLOOKUP(A109,O:P,2), IF(COUNTIF($W$2:W1094,A109)=0,$B$9,""))</f>
        <v/>
      </c>
      <c r="C109" s="2" t="str">
        <f t="shared" ca="1" si="14"/>
        <v/>
      </c>
      <c r="D109" s="41" t="str">
        <f t="shared" ca="1" si="15"/>
        <v/>
      </c>
      <c r="E109" s="38" t="str">
        <f ca="1">IF(COUNTIF($W$2:W1094,A109)=1,VLOOKUP(A109,Q:R,2), IF(COUNTIF($W$2:W1094,A109)=0,$C$9,""))</f>
        <v/>
      </c>
      <c r="F109" s="2" t="str">
        <f t="shared" ca="1" si="16"/>
        <v/>
      </c>
      <c r="G109" s="41" t="str">
        <f t="shared" ca="1" si="17"/>
        <v/>
      </c>
      <c r="H109" s="38" t="str">
        <f ca="1">IF(COUNTIF($W$2:W1094,A109)=1,VLOOKUP(A109,S:T,2), IF(COUNTIF($W$2:W1094,A109)=0,$D$9,""))</f>
        <v/>
      </c>
      <c r="I109" s="39" t="str">
        <f ca="1">IF(COUNTIF($X$2:X1094,INT(A109))=1,VLOOKUP(INT(A109),X:Y,2), IF(ISERROR(H109-2),"",I108*(1-$D$8*(H109-H108)*0.0001)))</f>
        <v/>
      </c>
      <c r="J109" s="39" t="str">
        <f t="shared" ca="1" si="18"/>
        <v/>
      </c>
      <c r="K109" s="41" t="str">
        <f t="shared" ca="1" si="19"/>
        <v/>
      </c>
      <c r="L109" s="41" t="str">
        <f ca="1">IF($A109="","",IF(COUNTIFS(Dividends!$G:$G,"&gt;"&amp;INT($A108),Dividends!$G:$G,"&lt;="&amp;INT($A109))=0,"",$H$2*SUMIFS(Dividends!$H:$H,Dividends!$G:$G,"&gt;"&amp;INT($A108),Dividends!$G:$G,"&lt;="&amp;INT($A109))))</f>
        <v/>
      </c>
      <c r="M109" s="42" t="str">
        <f ca="1">IF(ISERROR(B109-2),"",C109+D109-F109-G109-K109+SUM($L$14:L109))</f>
        <v/>
      </c>
      <c r="U109" s="3" t="str">
        <f t="shared" si="10"/>
        <v/>
      </c>
      <c r="V109" s="3" t="str">
        <f t="shared" si="11"/>
        <v/>
      </c>
      <c r="X109" s="3">
        <v>46197</v>
      </c>
      <c r="Y109" s="5">
        <v>270.80290000000002</v>
      </c>
      <c r="Z109" s="3">
        <v>45931</v>
      </c>
      <c r="AA109" s="4">
        <v>244.68109999999999</v>
      </c>
      <c r="AB109" s="74">
        <v>45931</v>
      </c>
      <c r="AC109" s="4">
        <v>260.63</v>
      </c>
      <c r="AD109" s="6">
        <f t="shared" si="12"/>
        <v>45931</v>
      </c>
    </row>
    <row r="110" spans="1:30" x14ac:dyDescent="0.25">
      <c r="A110" s="37" t="str">
        <f t="shared" ca="1" si="13"/>
        <v/>
      </c>
      <c r="B110" s="38" t="str">
        <f ca="1">IF(COUNTIF($W$2:W1095,A110)=1,VLOOKUP(A110,O:P,2), IF(COUNTIF($W$2:W1095,A110)=0,$B$9,""))</f>
        <v/>
      </c>
      <c r="C110" s="2" t="str">
        <f t="shared" ca="1" si="14"/>
        <v/>
      </c>
      <c r="D110" s="41" t="str">
        <f t="shared" ca="1" si="15"/>
        <v/>
      </c>
      <c r="E110" s="38" t="str">
        <f ca="1">IF(COUNTIF($W$2:W1095,A110)=1,VLOOKUP(A110,Q:R,2), IF(COUNTIF($W$2:W1095,A110)=0,$C$9,""))</f>
        <v/>
      </c>
      <c r="F110" s="2" t="str">
        <f t="shared" ca="1" si="16"/>
        <v/>
      </c>
      <c r="G110" s="41" t="str">
        <f t="shared" ca="1" si="17"/>
        <v/>
      </c>
      <c r="H110" s="38" t="str">
        <f ca="1">IF(COUNTIF($W$2:W1095,A110)=1,VLOOKUP(A110,S:T,2), IF(COUNTIF($W$2:W1095,A110)=0,$D$9,""))</f>
        <v/>
      </c>
      <c r="I110" s="39" t="str">
        <f ca="1">IF(COUNTIF($X$2:X1095,INT(A110))=1,VLOOKUP(INT(A110),X:Y,2), IF(ISERROR(H110-2),"",I109*(1-$D$8*(H110-H109)*0.0001)))</f>
        <v/>
      </c>
      <c r="J110" s="39" t="str">
        <f t="shared" ca="1" si="18"/>
        <v/>
      </c>
      <c r="K110" s="41" t="str">
        <f t="shared" ca="1" si="19"/>
        <v/>
      </c>
      <c r="L110" s="41" t="str">
        <f ca="1">IF($A110="","",IF(COUNTIFS(Dividends!$G:$G,"&gt;"&amp;INT($A109),Dividends!$G:$G,"&lt;="&amp;INT($A110))=0,"",$H$2*SUMIFS(Dividends!$H:$H,Dividends!$G:$G,"&gt;"&amp;INT($A109),Dividends!$G:$G,"&lt;="&amp;INT($A110))))</f>
        <v/>
      </c>
      <c r="M110" s="42" t="str">
        <f ca="1">IF(ISERROR(B110-2),"",C110+D110-F110-G110-K110+SUM($L$14:L110))</f>
        <v/>
      </c>
      <c r="U110" s="3" t="str">
        <f t="shared" si="10"/>
        <v/>
      </c>
      <c r="V110" s="3" t="str">
        <f t="shared" si="11"/>
        <v/>
      </c>
      <c r="X110" s="3">
        <v>46198</v>
      </c>
      <c r="Y110" s="5">
        <v>270.97930000000002</v>
      </c>
      <c r="Z110" s="3">
        <v>45932</v>
      </c>
      <c r="AA110" s="4">
        <v>245.01730000000001</v>
      </c>
      <c r="AB110" s="74">
        <v>45932</v>
      </c>
      <c r="AC110" s="4">
        <v>257.88900000000001</v>
      </c>
      <c r="AD110" s="6">
        <f t="shared" si="12"/>
        <v>45932</v>
      </c>
    </row>
    <row r="111" spans="1:30" x14ac:dyDescent="0.25">
      <c r="A111" s="37" t="str">
        <f t="shared" ca="1" si="13"/>
        <v/>
      </c>
      <c r="B111" s="38" t="str">
        <f ca="1">IF(COUNTIF($W$2:W1096,A111)=1,VLOOKUP(A111,O:P,2), IF(COUNTIF($W$2:W1096,A111)=0,$B$9,""))</f>
        <v/>
      </c>
      <c r="C111" s="2" t="str">
        <f t="shared" ca="1" si="14"/>
        <v/>
      </c>
      <c r="D111" s="41" t="str">
        <f t="shared" ca="1" si="15"/>
        <v/>
      </c>
      <c r="E111" s="38" t="str">
        <f ca="1">IF(COUNTIF($W$2:W1096,A111)=1,VLOOKUP(A111,Q:R,2), IF(COUNTIF($W$2:W1096,A111)=0,$C$9,""))</f>
        <v/>
      </c>
      <c r="F111" s="2" t="str">
        <f t="shared" ca="1" si="16"/>
        <v/>
      </c>
      <c r="G111" s="41" t="str">
        <f t="shared" ca="1" si="17"/>
        <v/>
      </c>
      <c r="H111" s="38" t="str">
        <f ca="1">IF(COUNTIF($W$2:W1096,A111)=1,VLOOKUP(A111,S:T,2), IF(COUNTIF($W$2:W1096,A111)=0,$D$9,""))</f>
        <v/>
      </c>
      <c r="I111" s="39" t="str">
        <f ca="1">IF(COUNTIF($X$2:X1096,INT(A111))=1,VLOOKUP(INT(A111),X:Y,2), IF(ISERROR(H111-2),"",I110*(1-$D$8*(H111-H110)*0.0001)))</f>
        <v/>
      </c>
      <c r="J111" s="39" t="str">
        <f t="shared" ca="1" si="18"/>
        <v/>
      </c>
      <c r="K111" s="41" t="str">
        <f t="shared" ca="1" si="19"/>
        <v/>
      </c>
      <c r="L111" s="41" t="str">
        <f ca="1">IF($A111="","",IF(COUNTIFS(Dividends!$G:$G,"&gt;"&amp;INT($A110),Dividends!$G:$G,"&lt;="&amp;INT($A111))=0,"",$H$2*SUMIFS(Dividends!$H:$H,Dividends!$G:$G,"&gt;"&amp;INT($A110),Dividends!$G:$G,"&lt;="&amp;INT($A111))))</f>
        <v/>
      </c>
      <c r="M111" s="42" t="str">
        <f ca="1">IF(ISERROR(B111-2),"",C111+D111-F111-G111-K111+SUM($L$14:L111))</f>
        <v/>
      </c>
      <c r="U111" s="3" t="str">
        <f t="shared" si="10"/>
        <v/>
      </c>
      <c r="V111" s="3" t="str">
        <f t="shared" si="11"/>
        <v/>
      </c>
      <c r="Z111" s="3">
        <v>45933</v>
      </c>
      <c r="AA111" s="4">
        <v>244.96510000000001</v>
      </c>
      <c r="AB111" s="74">
        <v>45933</v>
      </c>
      <c r="AC111" s="4">
        <v>258.346</v>
      </c>
      <c r="AD111" s="6">
        <f t="shared" si="12"/>
        <v>45933</v>
      </c>
    </row>
    <row r="112" spans="1:30" x14ac:dyDescent="0.25">
      <c r="A112" s="37" t="str">
        <f t="shared" ca="1" si="13"/>
        <v/>
      </c>
      <c r="B112" s="38" t="str">
        <f ca="1">IF(COUNTIF($W$2:W1097,A112)=1,VLOOKUP(A112,O:P,2), IF(COUNTIF($W$2:W1097,A112)=0,$B$9,""))</f>
        <v/>
      </c>
      <c r="C112" s="2" t="str">
        <f t="shared" ca="1" si="14"/>
        <v/>
      </c>
      <c r="D112" s="41" t="str">
        <f t="shared" ca="1" si="15"/>
        <v/>
      </c>
      <c r="E112" s="38" t="str">
        <f ca="1">IF(COUNTIF($W$2:W1097,A112)=1,VLOOKUP(A112,Q:R,2), IF(COUNTIF($W$2:W1097,A112)=0,$C$9,""))</f>
        <v/>
      </c>
      <c r="F112" s="2" t="str">
        <f t="shared" ca="1" si="16"/>
        <v/>
      </c>
      <c r="G112" s="41" t="str">
        <f t="shared" ca="1" si="17"/>
        <v/>
      </c>
      <c r="H112" s="38" t="str">
        <f ca="1">IF(COUNTIF($W$2:W1097,A112)=1,VLOOKUP(A112,S:T,2), IF(COUNTIF($W$2:W1097,A112)=0,$D$9,""))</f>
        <v/>
      </c>
      <c r="I112" s="39" t="str">
        <f ca="1">IF(COUNTIF($X$2:X1097,INT(A112))=1,VLOOKUP(INT(A112),X:Y,2), IF(ISERROR(H112-2),"",I111*(1-$D$8*(H112-H111)*0.0001)))</f>
        <v/>
      </c>
      <c r="J112" s="39" t="str">
        <f t="shared" ca="1" si="18"/>
        <v/>
      </c>
      <c r="K112" s="41" t="str">
        <f t="shared" ca="1" si="19"/>
        <v/>
      </c>
      <c r="L112" s="41" t="str">
        <f ca="1">IF($A112="","",IF(COUNTIFS(Dividends!$G:$G,"&gt;"&amp;INT($A111),Dividends!$G:$G,"&lt;="&amp;INT($A112))=0,"",$H$2*SUMIFS(Dividends!$H:$H,Dividends!$G:$G,"&gt;"&amp;INT($A111),Dividends!$G:$G,"&lt;="&amp;INT($A112))))</f>
        <v/>
      </c>
      <c r="M112" s="42" t="str">
        <f ca="1">IF(ISERROR(B112-2),"",C112+D112-F112-G112-K112+SUM($L$14:L112))</f>
        <v/>
      </c>
      <c r="U112" s="3" t="str">
        <f t="shared" si="10"/>
        <v/>
      </c>
      <c r="V112" s="3" t="str">
        <f t="shared" si="11"/>
        <v/>
      </c>
      <c r="Z112" s="3">
        <v>45936</v>
      </c>
      <c r="AA112" s="4">
        <v>244.72149999999999</v>
      </c>
      <c r="AB112" s="74">
        <v>45936</v>
      </c>
      <c r="AC112" s="4">
        <v>261.209</v>
      </c>
      <c r="AD112" s="6">
        <f t="shared" si="12"/>
        <v>45936</v>
      </c>
    </row>
    <row r="113" spans="1:30" x14ac:dyDescent="0.25">
      <c r="A113" s="37" t="str">
        <f t="shared" ca="1" si="13"/>
        <v/>
      </c>
      <c r="B113" s="38" t="str">
        <f ca="1">IF(COUNTIF($W$2:W1098,A113)=1,VLOOKUP(A113,O:P,2), IF(COUNTIF($W$2:W1098,A113)=0,$B$9,""))</f>
        <v/>
      </c>
      <c r="C113" s="2" t="str">
        <f t="shared" ca="1" si="14"/>
        <v/>
      </c>
      <c r="D113" s="41" t="str">
        <f t="shared" ca="1" si="15"/>
        <v/>
      </c>
      <c r="E113" s="38" t="str">
        <f ca="1">IF(COUNTIF($W$2:W1098,A113)=1,VLOOKUP(A113,Q:R,2), IF(COUNTIF($W$2:W1098,A113)=0,$C$9,""))</f>
        <v/>
      </c>
      <c r="F113" s="2" t="str">
        <f t="shared" ca="1" si="16"/>
        <v/>
      </c>
      <c r="G113" s="41" t="str">
        <f t="shared" ca="1" si="17"/>
        <v/>
      </c>
      <c r="H113" s="38" t="str">
        <f ca="1">IF(COUNTIF($W$2:W1098,A113)=1,VLOOKUP(A113,S:T,2), IF(COUNTIF($W$2:W1098,A113)=0,$D$9,""))</f>
        <v/>
      </c>
      <c r="I113" s="39" t="str">
        <f ca="1">IF(COUNTIF($X$2:X1098,INT(A113))=1,VLOOKUP(INT(A113),X:Y,2), IF(ISERROR(H113-2),"",I112*(1-$D$8*(H113-H112)*0.0001)))</f>
        <v/>
      </c>
      <c r="J113" s="39" t="str">
        <f t="shared" ca="1" si="18"/>
        <v/>
      </c>
      <c r="K113" s="41" t="str">
        <f t="shared" ca="1" si="19"/>
        <v/>
      </c>
      <c r="L113" s="41" t="str">
        <f ca="1">IF($A113="","",IF(COUNTIFS(Dividends!$G:$G,"&gt;"&amp;INT($A112),Dividends!$G:$G,"&lt;="&amp;INT($A113))=0,"",$H$2*SUMIFS(Dividends!$H:$H,Dividends!$G:$G,"&gt;"&amp;INT($A112),Dividends!$G:$G,"&lt;="&amp;INT($A113))))</f>
        <v/>
      </c>
      <c r="M113" s="42" t="str">
        <f ca="1">IF(ISERROR(B113-2),"",C113+D113-F113-G113-K113+SUM($L$14:L113))</f>
        <v/>
      </c>
      <c r="U113" s="3" t="str">
        <f t="shared" si="10"/>
        <v/>
      </c>
      <c r="V113" s="3" t="str">
        <f t="shared" si="11"/>
        <v/>
      </c>
      <c r="Z113" s="3">
        <v>45937</v>
      </c>
      <c r="AA113" s="4">
        <v>244.3331</v>
      </c>
      <c r="AB113" s="74">
        <v>45937</v>
      </c>
      <c r="AC113" s="4">
        <v>265.35199999999998</v>
      </c>
      <c r="AD113" s="6">
        <f t="shared" si="12"/>
        <v>45937</v>
      </c>
    </row>
    <row r="114" spans="1:30" x14ac:dyDescent="0.25">
      <c r="A114" s="37" t="str">
        <f t="shared" ca="1" si="13"/>
        <v/>
      </c>
      <c r="B114" s="38" t="str">
        <f ca="1">IF(COUNTIF($W$2:W1099,A114)=1,VLOOKUP(A114,O:P,2), IF(COUNTIF($W$2:W1099,A114)=0,$B$9,""))</f>
        <v/>
      </c>
      <c r="C114" s="2" t="str">
        <f t="shared" ca="1" si="14"/>
        <v/>
      </c>
      <c r="D114" s="41" t="str">
        <f t="shared" ca="1" si="15"/>
        <v/>
      </c>
      <c r="E114" s="38" t="str">
        <f ca="1">IF(COUNTIF($W$2:W1099,A114)=1,VLOOKUP(A114,Q:R,2), IF(COUNTIF($W$2:W1099,A114)=0,$C$9,""))</f>
        <v/>
      </c>
      <c r="F114" s="2" t="str">
        <f t="shared" ca="1" si="16"/>
        <v/>
      </c>
      <c r="G114" s="41" t="str">
        <f t="shared" ca="1" si="17"/>
        <v/>
      </c>
      <c r="H114" s="38" t="str">
        <f ca="1">IF(COUNTIF($W$2:W1099,A114)=1,VLOOKUP(A114,S:T,2), IF(COUNTIF($W$2:W1099,A114)=0,$D$9,""))</f>
        <v/>
      </c>
      <c r="I114" s="39" t="str">
        <f ca="1">IF(COUNTIF($X$2:X1099,INT(A114))=1,VLOOKUP(INT(A114),X:Y,2), IF(ISERROR(H114-2),"",I113*(1-$D$8*(H114-H113)*0.0001)))</f>
        <v/>
      </c>
      <c r="J114" s="39" t="str">
        <f t="shared" ca="1" si="18"/>
        <v/>
      </c>
      <c r="K114" s="41" t="str">
        <f t="shared" ca="1" si="19"/>
        <v/>
      </c>
      <c r="L114" s="41" t="str">
        <f ca="1">IF($A114="","",IF(COUNTIFS(Dividends!$G:$G,"&gt;"&amp;INT($A113),Dividends!$G:$G,"&lt;="&amp;INT($A114))=0,"",$H$2*SUMIFS(Dividends!$H:$H,Dividends!$G:$G,"&gt;"&amp;INT($A113),Dividends!$G:$G,"&lt;="&amp;INT($A114))))</f>
        <v/>
      </c>
      <c r="M114" s="42" t="str">
        <f ca="1">IF(ISERROR(B114-2),"",C114+D114-F114-G114-K114+SUM($L$14:L114))</f>
        <v/>
      </c>
      <c r="U114" s="3" t="str">
        <f t="shared" si="10"/>
        <v/>
      </c>
      <c r="V114" s="3" t="str">
        <f t="shared" si="11"/>
        <v/>
      </c>
      <c r="Z114" s="3">
        <v>45938</v>
      </c>
      <c r="AA114" s="4">
        <v>244.23560000000001</v>
      </c>
      <c r="AB114" s="74">
        <v>45938</v>
      </c>
      <c r="AC114" s="4">
        <v>265.35300000000001</v>
      </c>
      <c r="AD114" s="6">
        <f t="shared" si="12"/>
        <v>45938</v>
      </c>
    </row>
    <row r="115" spans="1:30" x14ac:dyDescent="0.25">
      <c r="A115" s="37" t="str">
        <f t="shared" ca="1" si="13"/>
        <v/>
      </c>
      <c r="B115" s="38" t="str">
        <f ca="1">IF(COUNTIF($W$2:W1100,A115)=1,VLOOKUP(A115,O:P,2), IF(COUNTIF($W$2:W1100,A115)=0,$B$9,""))</f>
        <v/>
      </c>
      <c r="C115" s="2" t="str">
        <f t="shared" ca="1" si="14"/>
        <v/>
      </c>
      <c r="D115" s="41" t="str">
        <f t="shared" ca="1" si="15"/>
        <v/>
      </c>
      <c r="E115" s="38" t="str">
        <f ca="1">IF(COUNTIF($W$2:W1100,A115)=1,VLOOKUP(A115,Q:R,2), IF(COUNTIF($W$2:W1100,A115)=0,$C$9,""))</f>
        <v/>
      </c>
      <c r="F115" s="2" t="str">
        <f t="shared" ca="1" si="16"/>
        <v/>
      </c>
      <c r="G115" s="41" t="str">
        <f t="shared" ca="1" si="17"/>
        <v/>
      </c>
      <c r="H115" s="38" t="str">
        <f ca="1">IF(COUNTIF($W$2:W1100,A115)=1,VLOOKUP(A115,S:T,2), IF(COUNTIF($W$2:W1100,A115)=0,$D$9,""))</f>
        <v/>
      </c>
      <c r="I115" s="39" t="str">
        <f ca="1">IF(COUNTIF($X$2:X1100,INT(A115))=1,VLOOKUP(INT(A115),X:Y,2), IF(ISERROR(H115-2),"",I114*(1-$D$8*(H115-H114)*0.0001)))</f>
        <v/>
      </c>
      <c r="J115" s="39" t="str">
        <f t="shared" ca="1" si="18"/>
        <v/>
      </c>
      <c r="K115" s="41" t="str">
        <f t="shared" ca="1" si="19"/>
        <v/>
      </c>
      <c r="L115" s="41" t="str">
        <f ca="1">IF($A115="","",IF(COUNTIFS(Dividends!$G:$G,"&gt;"&amp;INT($A114),Dividends!$G:$G,"&lt;="&amp;INT($A115))=0,"",$H$2*SUMIFS(Dividends!$H:$H,Dividends!$G:$G,"&gt;"&amp;INT($A114),Dividends!$G:$G,"&lt;="&amp;INT($A115))))</f>
        <v/>
      </c>
      <c r="M115" s="42" t="str">
        <f ca="1">IF(ISERROR(B115-2),"",C115+D115-F115-G115-K115+SUM($L$14:L115))</f>
        <v/>
      </c>
      <c r="U115" s="3" t="str">
        <f t="shared" si="10"/>
        <v/>
      </c>
      <c r="V115" s="3" t="str">
        <f t="shared" si="11"/>
        <v/>
      </c>
      <c r="Z115" s="3">
        <v>45939</v>
      </c>
      <c r="AA115" s="4">
        <v>243.46870000000001</v>
      </c>
      <c r="AB115" s="74">
        <v>45939</v>
      </c>
      <c r="AC115" s="4">
        <v>271.95800000000003</v>
      </c>
      <c r="AD115" s="6">
        <f t="shared" si="12"/>
        <v>45939</v>
      </c>
    </row>
    <row r="116" spans="1:30" x14ac:dyDescent="0.25">
      <c r="A116" s="37" t="str">
        <f t="shared" ca="1" si="13"/>
        <v/>
      </c>
      <c r="B116" s="38" t="str">
        <f ca="1">IF(COUNTIF($W$2:W1101,A116)=1,VLOOKUP(A116,O:P,2), IF(COUNTIF($W$2:W1101,A116)=0,$B$9,""))</f>
        <v/>
      </c>
      <c r="C116" s="2" t="str">
        <f t="shared" ca="1" si="14"/>
        <v/>
      </c>
      <c r="D116" s="41" t="str">
        <f t="shared" ca="1" si="15"/>
        <v/>
      </c>
      <c r="E116" s="38" t="str">
        <f ca="1">IF(COUNTIF($W$2:W1101,A116)=1,VLOOKUP(A116,Q:R,2), IF(COUNTIF($W$2:W1101,A116)=0,$C$9,""))</f>
        <v/>
      </c>
      <c r="F116" s="2" t="str">
        <f t="shared" ca="1" si="16"/>
        <v/>
      </c>
      <c r="G116" s="41" t="str">
        <f t="shared" ca="1" si="17"/>
        <v/>
      </c>
      <c r="H116" s="38" t="str">
        <f ca="1">IF(COUNTIF($W$2:W1101,A116)=1,VLOOKUP(A116,S:T,2), IF(COUNTIF($W$2:W1101,A116)=0,$D$9,""))</f>
        <v/>
      </c>
      <c r="I116" s="39" t="str">
        <f ca="1">IF(COUNTIF($X$2:X1101,INT(A116))=1,VLOOKUP(INT(A116),X:Y,2), IF(ISERROR(H116-2),"",I115*(1-$D$8*(H116-H115)*0.0001)))</f>
        <v/>
      </c>
      <c r="J116" s="39" t="str">
        <f t="shared" ca="1" si="18"/>
        <v/>
      </c>
      <c r="K116" s="41" t="str">
        <f t="shared" ca="1" si="19"/>
        <v/>
      </c>
      <c r="L116" s="41" t="str">
        <f ca="1">IF($A116="","",IF(COUNTIFS(Dividends!$G:$G,"&gt;"&amp;INT($A115),Dividends!$G:$G,"&lt;="&amp;INT($A116))=0,"",$H$2*SUMIFS(Dividends!$H:$H,Dividends!$G:$G,"&gt;"&amp;INT($A115),Dividends!$G:$G,"&lt;="&amp;INT($A116))))</f>
        <v/>
      </c>
      <c r="M116" s="42" t="str">
        <f ca="1">IF(ISERROR(B116-2),"",C116+D116-F116-G116-K116+SUM($L$14:L116))</f>
        <v/>
      </c>
      <c r="U116" s="3" t="str">
        <f t="shared" si="10"/>
        <v/>
      </c>
      <c r="V116" s="3" t="str">
        <f t="shared" si="11"/>
        <v/>
      </c>
      <c r="Z116" s="3">
        <v>45940</v>
      </c>
      <c r="AA116" s="4">
        <v>242.13290000000001</v>
      </c>
      <c r="AB116" s="74">
        <v>45940</v>
      </c>
      <c r="AC116" s="4">
        <v>283.27499999999998</v>
      </c>
      <c r="AD116" s="6">
        <f t="shared" si="12"/>
        <v>45940</v>
      </c>
    </row>
    <row r="117" spans="1:30" x14ac:dyDescent="0.25">
      <c r="A117" s="37" t="str">
        <f t="shared" ca="1" si="13"/>
        <v/>
      </c>
      <c r="B117" s="38" t="str">
        <f ca="1">IF(COUNTIF($W$2:W1102,A117)=1,VLOOKUP(A117,O:P,2), IF(COUNTIF($W$2:W1102,A117)=0,$B$9,""))</f>
        <v/>
      </c>
      <c r="C117" s="2" t="str">
        <f t="shared" ca="1" si="14"/>
        <v/>
      </c>
      <c r="D117" s="41" t="str">
        <f t="shared" ca="1" si="15"/>
        <v/>
      </c>
      <c r="E117" s="38" t="str">
        <f ca="1">IF(COUNTIF($W$2:W1102,A117)=1,VLOOKUP(A117,Q:R,2), IF(COUNTIF($W$2:W1102,A117)=0,$C$9,""))</f>
        <v/>
      </c>
      <c r="F117" s="2" t="str">
        <f t="shared" ca="1" si="16"/>
        <v/>
      </c>
      <c r="G117" s="41" t="str">
        <f t="shared" ca="1" si="17"/>
        <v/>
      </c>
      <c r="H117" s="38" t="str">
        <f ca="1">IF(COUNTIF($W$2:W1102,A117)=1,VLOOKUP(A117,S:T,2), IF(COUNTIF($W$2:W1102,A117)=0,$D$9,""))</f>
        <v/>
      </c>
      <c r="I117" s="39" t="str">
        <f ca="1">IF(COUNTIF($X$2:X1102,INT(A117))=1,VLOOKUP(INT(A117),X:Y,2), IF(ISERROR(H117-2),"",I116*(1-$D$8*(H117-H116)*0.0001)))</f>
        <v/>
      </c>
      <c r="J117" s="39" t="str">
        <f t="shared" ca="1" si="18"/>
        <v/>
      </c>
      <c r="K117" s="41" t="str">
        <f t="shared" ca="1" si="19"/>
        <v/>
      </c>
      <c r="L117" s="41" t="str">
        <f ca="1">IF($A117="","",IF(COUNTIFS(Dividends!$G:$G,"&gt;"&amp;INT($A116),Dividends!$G:$G,"&lt;="&amp;INT($A117))=0,"",$H$2*SUMIFS(Dividends!$H:$H,Dividends!$G:$G,"&gt;"&amp;INT($A116),Dividends!$G:$G,"&lt;="&amp;INT($A117))))</f>
        <v/>
      </c>
      <c r="M117" s="42" t="str">
        <f ca="1">IF(ISERROR(B117-2),"",C117+D117-F117-G117-K117+SUM($L$14:L117))</f>
        <v/>
      </c>
      <c r="U117" s="3" t="str">
        <f t="shared" si="10"/>
        <v/>
      </c>
      <c r="V117" s="3" t="str">
        <f t="shared" si="11"/>
        <v/>
      </c>
      <c r="Z117" s="3">
        <v>45943</v>
      </c>
      <c r="AA117" s="4">
        <v>242.50720000000001</v>
      </c>
      <c r="AB117" s="74">
        <v>45943</v>
      </c>
      <c r="AC117" s="4">
        <v>280.70100000000002</v>
      </c>
      <c r="AD117" s="6">
        <f t="shared" si="12"/>
        <v>45943</v>
      </c>
    </row>
    <row r="118" spans="1:30" x14ac:dyDescent="0.25">
      <c r="A118" s="37" t="str">
        <f t="shared" ca="1" si="13"/>
        <v/>
      </c>
      <c r="B118" s="38" t="str">
        <f ca="1">IF(COUNTIF($W$2:W1103,A118)=1,VLOOKUP(A118,O:P,2), IF(COUNTIF($W$2:W1103,A118)=0,$B$9,""))</f>
        <v/>
      </c>
      <c r="C118" s="2" t="str">
        <f t="shared" ca="1" si="14"/>
        <v/>
      </c>
      <c r="D118" s="41" t="str">
        <f t="shared" ca="1" si="15"/>
        <v/>
      </c>
      <c r="E118" s="38" t="str">
        <f ca="1">IF(COUNTIF($W$2:W1103,A118)=1,VLOOKUP(A118,Q:R,2), IF(COUNTIF($W$2:W1103,A118)=0,$C$9,""))</f>
        <v/>
      </c>
      <c r="F118" s="2" t="str">
        <f t="shared" ca="1" si="16"/>
        <v/>
      </c>
      <c r="G118" s="41" t="str">
        <f t="shared" ca="1" si="17"/>
        <v/>
      </c>
      <c r="H118" s="38" t="str">
        <f ca="1">IF(COUNTIF($W$2:W1103,A118)=1,VLOOKUP(A118,S:T,2), IF(COUNTIF($W$2:W1103,A118)=0,$D$9,""))</f>
        <v/>
      </c>
      <c r="I118" s="39" t="str">
        <f ca="1">IF(COUNTIF($X$2:X1103,INT(A118))=1,VLOOKUP(INT(A118),X:Y,2), IF(ISERROR(H118-2),"",I117*(1-$D$8*(H118-H117)*0.0001)))</f>
        <v/>
      </c>
      <c r="J118" s="39" t="str">
        <f t="shared" ca="1" si="18"/>
        <v/>
      </c>
      <c r="K118" s="41" t="str">
        <f t="shared" ca="1" si="19"/>
        <v/>
      </c>
      <c r="L118" s="41" t="str">
        <f ca="1">IF($A118="","",IF(COUNTIFS(Dividends!$G:$G,"&gt;"&amp;INT($A117),Dividends!$G:$G,"&lt;="&amp;INT($A118))=0,"",$H$2*SUMIFS(Dividends!$H:$H,Dividends!$G:$G,"&gt;"&amp;INT($A117),Dividends!$G:$G,"&lt;="&amp;INT($A118))))</f>
        <v/>
      </c>
      <c r="M118" s="42" t="str">
        <f ca="1">IF(ISERROR(B118-2),"",C118+D118-F118-G118-K118+SUM($L$14:L118))</f>
        <v/>
      </c>
      <c r="U118" s="3" t="str">
        <f t="shared" si="10"/>
        <v/>
      </c>
      <c r="V118" s="3" t="str">
        <f t="shared" si="11"/>
        <v/>
      </c>
      <c r="Z118" s="3">
        <v>45944</v>
      </c>
      <c r="AA118" s="4">
        <v>242.9716</v>
      </c>
      <c r="AB118" s="74">
        <v>45944</v>
      </c>
      <c r="AC118" s="4">
        <v>275.89800000000002</v>
      </c>
      <c r="AD118" s="6">
        <f t="shared" si="12"/>
        <v>45944</v>
      </c>
    </row>
    <row r="119" spans="1:30" x14ac:dyDescent="0.25">
      <c r="A119" s="37" t="str">
        <f t="shared" ca="1" si="13"/>
        <v/>
      </c>
      <c r="B119" s="38" t="str">
        <f ca="1">IF(COUNTIF($W$2:W1104,A119)=1,VLOOKUP(A119,O:P,2), IF(COUNTIF($W$2:W1104,A119)=0,$B$9,""))</f>
        <v/>
      </c>
      <c r="C119" s="2" t="str">
        <f t="shared" ca="1" si="14"/>
        <v/>
      </c>
      <c r="D119" s="41" t="str">
        <f t="shared" ca="1" si="15"/>
        <v/>
      </c>
      <c r="E119" s="38" t="str">
        <f ca="1">IF(COUNTIF($W$2:W1104,A119)=1,VLOOKUP(A119,Q:R,2), IF(COUNTIF($W$2:W1104,A119)=0,$C$9,""))</f>
        <v/>
      </c>
      <c r="F119" s="2" t="str">
        <f t="shared" ca="1" si="16"/>
        <v/>
      </c>
      <c r="G119" s="41" t="str">
        <f t="shared" ca="1" si="17"/>
        <v/>
      </c>
      <c r="H119" s="38" t="str">
        <f ca="1">IF(COUNTIF($W$2:W1104,A119)=1,VLOOKUP(A119,S:T,2), IF(COUNTIF($W$2:W1104,A119)=0,$D$9,""))</f>
        <v/>
      </c>
      <c r="I119" s="39" t="str">
        <f ca="1">IF(COUNTIF($X$2:X1104,INT(A119))=1,VLOOKUP(INT(A119),X:Y,2), IF(ISERROR(H119-2),"",I118*(1-$D$8*(H119-H118)*0.0001)))</f>
        <v/>
      </c>
      <c r="J119" s="39" t="str">
        <f t="shared" ca="1" si="18"/>
        <v/>
      </c>
      <c r="K119" s="41" t="str">
        <f t="shared" ca="1" si="19"/>
        <v/>
      </c>
      <c r="L119" s="41" t="str">
        <f ca="1">IF($A119="","",IF(COUNTIFS(Dividends!$G:$G,"&gt;"&amp;INT($A118),Dividends!$G:$G,"&lt;="&amp;INT($A119))=0,"",$H$2*SUMIFS(Dividends!$H:$H,Dividends!$G:$G,"&gt;"&amp;INT($A118),Dividends!$G:$G,"&lt;="&amp;INT($A119))))</f>
        <v/>
      </c>
      <c r="M119" s="42" t="str">
        <f ca="1">IF(ISERROR(B119-2),"",C119+D119-F119-G119-K119+SUM($L$14:L119))</f>
        <v/>
      </c>
      <c r="U119" s="3" t="str">
        <f t="shared" si="10"/>
        <v/>
      </c>
      <c r="V119" s="3" t="str">
        <f t="shared" si="11"/>
        <v/>
      </c>
      <c r="Z119" s="3">
        <v>45945</v>
      </c>
      <c r="AA119" s="4">
        <v>244.08959999999999</v>
      </c>
      <c r="AB119" s="74">
        <v>45945</v>
      </c>
      <c r="AC119" s="4">
        <v>269.79700000000003</v>
      </c>
      <c r="AD119" s="6">
        <f t="shared" si="12"/>
        <v>45945</v>
      </c>
    </row>
    <row r="120" spans="1:30" x14ac:dyDescent="0.25">
      <c r="A120" s="37" t="str">
        <f t="shared" ca="1" si="13"/>
        <v/>
      </c>
      <c r="B120" s="38" t="str">
        <f ca="1">IF(COUNTIF($W$2:W1105,A120)=1,VLOOKUP(A120,O:P,2), IF(COUNTIF($W$2:W1105,A120)=0,$B$9,""))</f>
        <v/>
      </c>
      <c r="C120" s="2" t="str">
        <f t="shared" ca="1" si="14"/>
        <v/>
      </c>
      <c r="D120" s="41" t="str">
        <f t="shared" ca="1" si="15"/>
        <v/>
      </c>
      <c r="E120" s="38" t="str">
        <f ca="1">IF(COUNTIF($W$2:W1105,A120)=1,VLOOKUP(A120,Q:R,2), IF(COUNTIF($W$2:W1105,A120)=0,$C$9,""))</f>
        <v/>
      </c>
      <c r="F120" s="2" t="str">
        <f t="shared" ca="1" si="16"/>
        <v/>
      </c>
      <c r="G120" s="41" t="str">
        <f t="shared" ca="1" si="17"/>
        <v/>
      </c>
      <c r="H120" s="38" t="str">
        <f ca="1">IF(COUNTIF($W$2:W1105,A120)=1,VLOOKUP(A120,S:T,2), IF(COUNTIF($W$2:W1105,A120)=0,$D$9,""))</f>
        <v/>
      </c>
      <c r="I120" s="39" t="str">
        <f ca="1">IF(COUNTIF($X$2:X1105,INT(A120))=1,VLOOKUP(INT(A120),X:Y,2), IF(ISERROR(H120-2),"",I119*(1-$D$8*(H120-H119)*0.0001)))</f>
        <v/>
      </c>
      <c r="J120" s="39" t="str">
        <f t="shared" ca="1" si="18"/>
        <v/>
      </c>
      <c r="K120" s="41" t="str">
        <f t="shared" ca="1" si="19"/>
        <v/>
      </c>
      <c r="L120" s="41" t="str">
        <f ca="1">IF($A120="","",IF(COUNTIFS(Dividends!$G:$G,"&gt;"&amp;INT($A119),Dividends!$G:$G,"&lt;="&amp;INT($A120))=0,"",$H$2*SUMIFS(Dividends!$H:$H,Dividends!$G:$G,"&gt;"&amp;INT($A119),Dividends!$G:$G,"&lt;="&amp;INT($A120))))</f>
        <v/>
      </c>
      <c r="M120" s="42" t="str">
        <f ca="1">IF(ISERROR(B120-2),"",C120+D120-F120-G120-K120+SUM($L$14:L120))</f>
        <v/>
      </c>
      <c r="U120" s="3" t="str">
        <f t="shared" si="10"/>
        <v/>
      </c>
      <c r="V120" s="3" t="str">
        <f t="shared" si="11"/>
        <v/>
      </c>
      <c r="Z120" s="3">
        <v>45946</v>
      </c>
      <c r="AA120" s="4">
        <v>243.5917</v>
      </c>
      <c r="AB120" s="74">
        <v>45946</v>
      </c>
      <c r="AC120" s="4">
        <v>273.65499999999997</v>
      </c>
      <c r="AD120" s="6">
        <f t="shared" si="12"/>
        <v>45946</v>
      </c>
    </row>
    <row r="121" spans="1:30" x14ac:dyDescent="0.25">
      <c r="A121" s="37" t="str">
        <f t="shared" ca="1" si="13"/>
        <v/>
      </c>
      <c r="B121" s="38" t="str">
        <f ca="1">IF(COUNTIF($W$2:W1106,A121)=1,VLOOKUP(A121,O:P,2), IF(COUNTIF($W$2:W1106,A121)=0,$B$9,""))</f>
        <v/>
      </c>
      <c r="C121" s="2" t="str">
        <f t="shared" ca="1" si="14"/>
        <v/>
      </c>
      <c r="D121" s="41" t="str">
        <f t="shared" ca="1" si="15"/>
        <v/>
      </c>
      <c r="E121" s="38" t="str">
        <f ca="1">IF(COUNTIF($W$2:W1106,A121)=1,VLOOKUP(A121,Q:R,2), IF(COUNTIF($W$2:W1106,A121)=0,$C$9,""))</f>
        <v/>
      </c>
      <c r="F121" s="2" t="str">
        <f t="shared" ca="1" si="16"/>
        <v/>
      </c>
      <c r="G121" s="41" t="str">
        <f t="shared" ca="1" si="17"/>
        <v/>
      </c>
      <c r="H121" s="38" t="str">
        <f ca="1">IF(COUNTIF($W$2:W1106,A121)=1,VLOOKUP(A121,S:T,2), IF(COUNTIF($W$2:W1106,A121)=0,$D$9,""))</f>
        <v/>
      </c>
      <c r="I121" s="39" t="str">
        <f ca="1">IF(COUNTIF($X$2:X1106,INT(A121))=1,VLOOKUP(INT(A121),X:Y,2), IF(ISERROR(H121-2),"",I120*(1-$D$8*(H121-H120)*0.0001)))</f>
        <v/>
      </c>
      <c r="J121" s="39" t="str">
        <f t="shared" ca="1" si="18"/>
        <v/>
      </c>
      <c r="K121" s="41" t="str">
        <f t="shared" ca="1" si="19"/>
        <v/>
      </c>
      <c r="L121" s="41" t="str">
        <f ca="1">IF($A121="","",IF(COUNTIFS(Dividends!$G:$G,"&gt;"&amp;INT($A120),Dividends!$G:$G,"&lt;="&amp;INT($A121))=0,"",$H$2*SUMIFS(Dividends!$H:$H,Dividends!$G:$G,"&gt;"&amp;INT($A120),Dividends!$G:$G,"&lt;="&amp;INT($A121))))</f>
        <v/>
      </c>
      <c r="M121" s="42" t="str">
        <f ca="1">IF(ISERROR(B121-2),"",C121+D121-F121-G121-K121+SUM($L$14:L121))</f>
        <v/>
      </c>
      <c r="U121" s="3" t="str">
        <f t="shared" si="10"/>
        <v/>
      </c>
      <c r="V121" s="3" t="str">
        <f t="shared" si="11"/>
        <v/>
      </c>
      <c r="Z121" s="3">
        <v>45947</v>
      </c>
      <c r="AA121" s="4">
        <v>243.0658</v>
      </c>
      <c r="AB121" s="74">
        <v>45947</v>
      </c>
      <c r="AC121" s="4">
        <v>277.44600000000003</v>
      </c>
      <c r="AD121" s="6">
        <f t="shared" si="12"/>
        <v>45947</v>
      </c>
    </row>
    <row r="122" spans="1:30" x14ac:dyDescent="0.25">
      <c r="A122" s="37" t="str">
        <f t="shared" ca="1" si="13"/>
        <v/>
      </c>
      <c r="B122" s="38" t="str">
        <f ca="1">IF(COUNTIF($W$2:W1107,A122)=1,VLOOKUP(A122,O:P,2), IF(COUNTIF($W$2:W1107,A122)=0,$B$9,""))</f>
        <v/>
      </c>
      <c r="C122" s="2" t="str">
        <f t="shared" ca="1" si="14"/>
        <v/>
      </c>
      <c r="D122" s="41" t="str">
        <f t="shared" ca="1" si="15"/>
        <v/>
      </c>
      <c r="E122" s="38" t="str">
        <f ca="1">IF(COUNTIF($W$2:W1107,A122)=1,VLOOKUP(A122,Q:R,2), IF(COUNTIF($W$2:W1107,A122)=0,$C$9,""))</f>
        <v/>
      </c>
      <c r="F122" s="2" t="str">
        <f t="shared" ca="1" si="16"/>
        <v/>
      </c>
      <c r="G122" s="41" t="str">
        <f t="shared" ca="1" si="17"/>
        <v/>
      </c>
      <c r="H122" s="38" t="str">
        <f ca="1">IF(COUNTIF($W$2:W1107,A122)=1,VLOOKUP(A122,S:T,2), IF(COUNTIF($W$2:W1107,A122)=0,$D$9,""))</f>
        <v/>
      </c>
      <c r="I122" s="39" t="str">
        <f ca="1">IF(COUNTIF($X$2:X1107,INT(A122))=1,VLOOKUP(INT(A122),X:Y,2), IF(ISERROR(H122-2),"",I121*(1-$D$8*(H122-H121)*0.0001)))</f>
        <v/>
      </c>
      <c r="J122" s="39" t="str">
        <f t="shared" ca="1" si="18"/>
        <v/>
      </c>
      <c r="K122" s="41" t="str">
        <f t="shared" ca="1" si="19"/>
        <v/>
      </c>
      <c r="L122" s="41" t="str">
        <f ca="1">IF($A122="","",IF(COUNTIFS(Dividends!$G:$G,"&gt;"&amp;INT($A121),Dividends!$G:$G,"&lt;="&amp;INT($A122))=0,"",$H$2*SUMIFS(Dividends!$H:$H,Dividends!$G:$G,"&gt;"&amp;INT($A121),Dividends!$G:$G,"&lt;="&amp;INT($A122))))</f>
        <v/>
      </c>
      <c r="M122" s="42" t="str">
        <f ca="1">IF(ISERROR(B122-2),"",C122+D122-F122-G122-K122+SUM($L$14:L122))</f>
        <v/>
      </c>
      <c r="U122" s="3" t="str">
        <f t="shared" si="10"/>
        <v/>
      </c>
      <c r="V122" s="3" t="str">
        <f t="shared" si="11"/>
        <v/>
      </c>
      <c r="Z122" s="3">
        <v>45950</v>
      </c>
      <c r="AA122" s="4">
        <v>244.0598</v>
      </c>
      <c r="AB122" s="74">
        <v>45950</v>
      </c>
      <c r="AC122" s="4">
        <v>269.54399999999998</v>
      </c>
      <c r="AD122" s="6">
        <f t="shared" si="12"/>
        <v>45950</v>
      </c>
    </row>
    <row r="123" spans="1:30" x14ac:dyDescent="0.25">
      <c r="A123" s="37" t="str">
        <f t="shared" ca="1" si="13"/>
        <v/>
      </c>
      <c r="B123" s="38" t="str">
        <f ca="1">IF(COUNTIF($W$2:W1108,A123)=1,VLOOKUP(A123,O:P,2), IF(COUNTIF($W$2:W1108,A123)=0,$B$9,""))</f>
        <v/>
      </c>
      <c r="C123" s="2" t="str">
        <f t="shared" ca="1" si="14"/>
        <v/>
      </c>
      <c r="D123" s="41" t="str">
        <f t="shared" ca="1" si="15"/>
        <v/>
      </c>
      <c r="E123" s="38" t="str">
        <f ca="1">IF(COUNTIF($W$2:W1108,A123)=1,VLOOKUP(A123,Q:R,2), IF(COUNTIF($W$2:W1108,A123)=0,$C$9,""))</f>
        <v/>
      </c>
      <c r="F123" s="2" t="str">
        <f t="shared" ca="1" si="16"/>
        <v/>
      </c>
      <c r="G123" s="41" t="str">
        <f t="shared" ca="1" si="17"/>
        <v/>
      </c>
      <c r="H123" s="38" t="str">
        <f ca="1">IF(COUNTIF($W$2:W1108,A123)=1,VLOOKUP(A123,S:T,2), IF(COUNTIF($W$2:W1108,A123)=0,$D$9,""))</f>
        <v/>
      </c>
      <c r="I123" s="39" t="str">
        <f ca="1">IF(COUNTIF($X$2:X1108,INT(A123))=1,VLOOKUP(INT(A123),X:Y,2), IF(ISERROR(H123-2),"",I122*(1-$D$8*(H123-H122)*0.0001)))</f>
        <v/>
      </c>
      <c r="J123" s="39" t="str">
        <f t="shared" ca="1" si="18"/>
        <v/>
      </c>
      <c r="K123" s="41" t="str">
        <f t="shared" ca="1" si="19"/>
        <v/>
      </c>
      <c r="L123" s="41" t="str">
        <f ca="1">IF($A123="","",IF(COUNTIFS(Dividends!$G:$G,"&gt;"&amp;INT($A122),Dividends!$G:$G,"&lt;="&amp;INT($A123))=0,"",$H$2*SUMIFS(Dividends!$H:$H,Dividends!$G:$G,"&gt;"&amp;INT($A122),Dividends!$G:$G,"&lt;="&amp;INT($A123))))</f>
        <v/>
      </c>
      <c r="M123" s="42" t="str">
        <f ca="1">IF(ISERROR(B123-2),"",C123+D123-F123-G123-K123+SUM($L$14:L123))</f>
        <v/>
      </c>
      <c r="U123" s="3" t="str">
        <f t="shared" si="10"/>
        <v/>
      </c>
      <c r="V123" s="3" t="str">
        <f t="shared" si="11"/>
        <v/>
      </c>
      <c r="Z123" s="3">
        <v>45951</v>
      </c>
      <c r="AA123" s="4">
        <v>244.31870000000001</v>
      </c>
      <c r="AB123" s="74">
        <v>45951</v>
      </c>
      <c r="AC123" s="4">
        <v>267.43400000000003</v>
      </c>
      <c r="AD123" s="6">
        <f t="shared" si="12"/>
        <v>45951</v>
      </c>
    </row>
    <row r="124" spans="1:30" x14ac:dyDescent="0.25">
      <c r="A124" s="37" t="str">
        <f t="shared" ca="1" si="13"/>
        <v/>
      </c>
      <c r="B124" s="38" t="str">
        <f ca="1">IF(COUNTIF($W$2:W1109,A124)=1,VLOOKUP(A124,O:P,2), IF(COUNTIF($W$2:W1109,A124)=0,$B$9,""))</f>
        <v/>
      </c>
      <c r="C124" s="2" t="str">
        <f t="shared" ca="1" si="14"/>
        <v/>
      </c>
      <c r="D124" s="41" t="str">
        <f t="shared" ca="1" si="15"/>
        <v/>
      </c>
      <c r="E124" s="38" t="str">
        <f ca="1">IF(COUNTIF($W$2:W1109,A124)=1,VLOOKUP(A124,Q:R,2), IF(COUNTIF($W$2:W1109,A124)=0,$C$9,""))</f>
        <v/>
      </c>
      <c r="F124" s="2" t="str">
        <f t="shared" ca="1" si="16"/>
        <v/>
      </c>
      <c r="G124" s="41" t="str">
        <f t="shared" ca="1" si="17"/>
        <v/>
      </c>
      <c r="H124" s="38" t="str">
        <f ca="1">IF(COUNTIF($W$2:W1109,A124)=1,VLOOKUP(A124,S:T,2), IF(COUNTIF($W$2:W1109,A124)=0,$D$9,""))</f>
        <v/>
      </c>
      <c r="I124" s="39" t="str">
        <f ca="1">IF(COUNTIF($X$2:X1109,INT(A124))=1,VLOOKUP(INT(A124),X:Y,2), IF(ISERROR(H124-2),"",I123*(1-$D$8*(H124-H123)*0.0001)))</f>
        <v/>
      </c>
      <c r="J124" s="39" t="str">
        <f t="shared" ca="1" si="18"/>
        <v/>
      </c>
      <c r="K124" s="41" t="str">
        <f t="shared" ca="1" si="19"/>
        <v/>
      </c>
      <c r="L124" s="41" t="str">
        <f ca="1">IF($A124="","",IF(COUNTIFS(Dividends!$G:$G,"&gt;"&amp;INT($A123),Dividends!$G:$G,"&lt;="&amp;INT($A124))=0,"",$H$2*SUMIFS(Dividends!$H:$H,Dividends!$G:$G,"&gt;"&amp;INT($A123),Dividends!$G:$G,"&lt;="&amp;INT($A124))))</f>
        <v/>
      </c>
      <c r="M124" s="42" t="str">
        <f ca="1">IF(ISERROR(B124-2),"",C124+D124-F124-G124-K124+SUM($L$14:L124))</f>
        <v/>
      </c>
      <c r="U124" s="3" t="str">
        <f t="shared" si="10"/>
        <v/>
      </c>
      <c r="V124" s="3" t="str">
        <f t="shared" si="11"/>
        <v/>
      </c>
      <c r="Z124" s="3">
        <v>45952</v>
      </c>
      <c r="AA124" s="4">
        <v>244.07040000000001</v>
      </c>
      <c r="AB124" s="74">
        <v>45952</v>
      </c>
      <c r="AC124" s="4">
        <v>269.74599999999998</v>
      </c>
      <c r="AD124" s="6">
        <f t="shared" si="12"/>
        <v>45952</v>
      </c>
    </row>
    <row r="125" spans="1:30" x14ac:dyDescent="0.25">
      <c r="A125" s="37" t="str">
        <f t="shared" ca="1" si="13"/>
        <v/>
      </c>
      <c r="B125" s="38" t="str">
        <f ca="1">IF(COUNTIF($W$2:W1110,A125)=1,VLOOKUP(A125,O:P,2), IF(COUNTIF($W$2:W1110,A125)=0,$B$9,""))</f>
        <v/>
      </c>
      <c r="C125" s="2" t="str">
        <f t="shared" ca="1" si="14"/>
        <v/>
      </c>
      <c r="D125" s="41" t="str">
        <f t="shared" ca="1" si="15"/>
        <v/>
      </c>
      <c r="E125" s="38" t="str">
        <f ca="1">IF(COUNTIF($W$2:W1110,A125)=1,VLOOKUP(A125,Q:R,2), IF(COUNTIF($W$2:W1110,A125)=0,$C$9,""))</f>
        <v/>
      </c>
      <c r="F125" s="2" t="str">
        <f t="shared" ca="1" si="16"/>
        <v/>
      </c>
      <c r="G125" s="41" t="str">
        <f t="shared" ca="1" si="17"/>
        <v/>
      </c>
      <c r="H125" s="38" t="str">
        <f ca="1">IF(COUNTIF($W$2:W1110,A125)=1,VLOOKUP(A125,S:T,2), IF(COUNTIF($W$2:W1110,A125)=0,$D$9,""))</f>
        <v/>
      </c>
      <c r="I125" s="39" t="str">
        <f ca="1">IF(COUNTIF($X$2:X1110,INT(A125))=1,VLOOKUP(INT(A125),X:Y,2), IF(ISERROR(H125-2),"",I124*(1-$D$8*(H125-H124)*0.0001)))</f>
        <v/>
      </c>
      <c r="J125" s="39" t="str">
        <f t="shared" ca="1" si="18"/>
        <v/>
      </c>
      <c r="K125" s="41" t="str">
        <f t="shared" ca="1" si="19"/>
        <v/>
      </c>
      <c r="L125" s="41" t="str">
        <f ca="1">IF($A125="","",IF(COUNTIFS(Dividends!$G:$G,"&gt;"&amp;INT($A124),Dividends!$G:$G,"&lt;="&amp;INT($A125))=0,"",$H$2*SUMIFS(Dividends!$H:$H,Dividends!$G:$G,"&gt;"&amp;INT($A124),Dividends!$G:$G,"&lt;="&amp;INT($A125))))</f>
        <v/>
      </c>
      <c r="M125" s="42" t="str">
        <f ca="1">IF(ISERROR(B125-2),"",C125+D125-F125-G125-K125+SUM($L$14:L125))</f>
        <v/>
      </c>
      <c r="U125" s="3" t="str">
        <f t="shared" si="10"/>
        <v/>
      </c>
      <c r="V125" s="3" t="str">
        <f t="shared" si="11"/>
        <v/>
      </c>
      <c r="Z125" s="3">
        <v>45953</v>
      </c>
      <c r="AA125" s="4">
        <v>244.25409999999999</v>
      </c>
      <c r="AB125" s="74">
        <v>45953</v>
      </c>
      <c r="AC125" s="4">
        <v>268.49799999999999</v>
      </c>
      <c r="AD125" s="6">
        <f t="shared" si="12"/>
        <v>45953</v>
      </c>
    </row>
    <row r="126" spans="1:30" x14ac:dyDescent="0.25">
      <c r="A126" s="37" t="str">
        <f t="shared" ca="1" si="13"/>
        <v/>
      </c>
      <c r="B126" s="38" t="str">
        <f ca="1">IF(COUNTIF($W$2:W1111,A126)=1,VLOOKUP(A126,O:P,2), IF(COUNTIF($W$2:W1111,A126)=0,$B$9,""))</f>
        <v/>
      </c>
      <c r="C126" s="2" t="str">
        <f t="shared" ca="1" si="14"/>
        <v/>
      </c>
      <c r="D126" s="41" t="str">
        <f t="shared" ca="1" si="15"/>
        <v/>
      </c>
      <c r="E126" s="38" t="str">
        <f ca="1">IF(COUNTIF($W$2:W1111,A126)=1,VLOOKUP(A126,Q:R,2), IF(COUNTIF($W$2:W1111,A126)=0,$C$9,""))</f>
        <v/>
      </c>
      <c r="F126" s="2" t="str">
        <f t="shared" ca="1" si="16"/>
        <v/>
      </c>
      <c r="G126" s="41" t="str">
        <f t="shared" ca="1" si="17"/>
        <v/>
      </c>
      <c r="H126" s="38" t="str">
        <f ca="1">IF(COUNTIF($W$2:W1111,A126)=1,VLOOKUP(A126,S:T,2), IF(COUNTIF($W$2:W1111,A126)=0,$D$9,""))</f>
        <v/>
      </c>
      <c r="I126" s="39" t="str">
        <f ca="1">IF(COUNTIF($X$2:X1111,INT(A126))=1,VLOOKUP(INT(A126),X:Y,2), IF(ISERROR(H126-2),"",I125*(1-$D$8*(H126-H125)*0.0001)))</f>
        <v/>
      </c>
      <c r="J126" s="39" t="str">
        <f t="shared" ca="1" si="18"/>
        <v/>
      </c>
      <c r="K126" s="41" t="str">
        <f t="shared" ca="1" si="19"/>
        <v/>
      </c>
      <c r="L126" s="41" t="str">
        <f ca="1">IF($A126="","",IF(COUNTIFS(Dividends!$G:$G,"&gt;"&amp;INT($A125),Dividends!$G:$G,"&lt;="&amp;INT($A126))=0,"",$H$2*SUMIFS(Dividends!$H:$H,Dividends!$G:$G,"&gt;"&amp;INT($A125),Dividends!$G:$G,"&lt;="&amp;INT($A126))))</f>
        <v/>
      </c>
      <c r="M126" s="42" t="str">
        <f ca="1">IF(ISERROR(B126-2),"",C126+D126-F126-G126-K126+SUM($L$14:L126))</f>
        <v/>
      </c>
      <c r="U126" s="3" t="str">
        <f t="shared" si="10"/>
        <v/>
      </c>
      <c r="V126" s="3" t="str">
        <f t="shared" si="11"/>
        <v/>
      </c>
      <c r="Z126" s="3">
        <v>45954</v>
      </c>
      <c r="AA126" s="4">
        <v>244.79400000000001</v>
      </c>
      <c r="AB126" s="74">
        <v>45954</v>
      </c>
      <c r="AC126" s="4">
        <v>265.077</v>
      </c>
      <c r="AD126" s="6">
        <f t="shared" si="12"/>
        <v>45954</v>
      </c>
    </row>
    <row r="127" spans="1:30" x14ac:dyDescent="0.25">
      <c r="A127" s="37" t="str">
        <f t="shared" ca="1" si="13"/>
        <v/>
      </c>
      <c r="B127" s="38" t="str">
        <f ca="1">IF(COUNTIF($W$2:W1112,A127)=1,VLOOKUP(A127,O:P,2), IF(COUNTIF($W$2:W1112,A127)=0,$B$9,""))</f>
        <v/>
      </c>
      <c r="C127" s="2" t="str">
        <f t="shared" ca="1" si="14"/>
        <v/>
      </c>
      <c r="D127" s="41" t="str">
        <f t="shared" ca="1" si="15"/>
        <v/>
      </c>
      <c r="E127" s="38" t="str">
        <f ca="1">IF(COUNTIF($W$2:W1112,A127)=1,VLOOKUP(A127,Q:R,2), IF(COUNTIF($W$2:W1112,A127)=0,$C$9,""))</f>
        <v/>
      </c>
      <c r="F127" s="2" t="str">
        <f t="shared" ca="1" si="16"/>
        <v/>
      </c>
      <c r="G127" s="41" t="str">
        <f t="shared" ca="1" si="17"/>
        <v/>
      </c>
      <c r="H127" s="38" t="str">
        <f ca="1">IF(COUNTIF($W$2:W1112,A127)=1,VLOOKUP(A127,S:T,2), IF(COUNTIF($W$2:W1112,A127)=0,$D$9,""))</f>
        <v/>
      </c>
      <c r="I127" s="39" t="str">
        <f ca="1">IF(COUNTIF($X$2:X1112,INT(A127))=1,VLOOKUP(INT(A127),X:Y,2), IF(ISERROR(H127-2),"",I126*(1-$D$8*(H127-H126)*0.0001)))</f>
        <v/>
      </c>
      <c r="J127" s="39" t="str">
        <f t="shared" ca="1" si="18"/>
        <v/>
      </c>
      <c r="K127" s="41" t="str">
        <f t="shared" ca="1" si="19"/>
        <v/>
      </c>
      <c r="L127" s="41" t="str">
        <f ca="1">IF($A127="","",IF(COUNTIFS(Dividends!$G:$G,"&gt;"&amp;INT($A126),Dividends!$G:$G,"&lt;="&amp;INT($A127))=0,"",$H$2*SUMIFS(Dividends!$H:$H,Dividends!$G:$G,"&gt;"&amp;INT($A126),Dividends!$G:$G,"&lt;="&amp;INT($A127))))</f>
        <v/>
      </c>
      <c r="M127" s="42" t="str">
        <f ca="1">IF(ISERROR(B127-2),"",C127+D127-F127-G127-K127+SUM($L$14:L127))</f>
        <v/>
      </c>
      <c r="U127" s="3" t="str">
        <f t="shared" si="10"/>
        <v/>
      </c>
      <c r="V127" s="3" t="str">
        <f t="shared" si="11"/>
        <v/>
      </c>
      <c r="Z127" s="3">
        <v>45957</v>
      </c>
      <c r="AA127" s="4">
        <v>245.7517</v>
      </c>
      <c r="AB127" s="74">
        <v>45957</v>
      </c>
      <c r="AC127" s="4">
        <v>256.41899999999998</v>
      </c>
      <c r="AD127" s="6">
        <f t="shared" si="12"/>
        <v>45957</v>
      </c>
    </row>
    <row r="128" spans="1:30" x14ac:dyDescent="0.25">
      <c r="A128" s="37" t="str">
        <f t="shared" ca="1" si="13"/>
        <v/>
      </c>
      <c r="B128" s="38" t="str">
        <f ca="1">IF(COUNTIF($W$2:W1113,A128)=1,VLOOKUP(A128,O:P,2), IF(COUNTIF($W$2:W1113,A128)=0,$B$9,""))</f>
        <v/>
      </c>
      <c r="C128" s="2" t="str">
        <f t="shared" ca="1" si="14"/>
        <v/>
      </c>
      <c r="D128" s="41" t="str">
        <f t="shared" ca="1" si="15"/>
        <v/>
      </c>
      <c r="E128" s="38" t="str">
        <f ca="1">IF(COUNTIF($W$2:W1113,A128)=1,VLOOKUP(A128,Q:R,2), IF(COUNTIF($W$2:W1113,A128)=0,$C$9,""))</f>
        <v/>
      </c>
      <c r="F128" s="2" t="str">
        <f t="shared" ca="1" si="16"/>
        <v/>
      </c>
      <c r="G128" s="41" t="str">
        <f t="shared" ca="1" si="17"/>
        <v/>
      </c>
      <c r="H128" s="38" t="str">
        <f ca="1">IF(COUNTIF($W$2:W1113,A128)=1,VLOOKUP(A128,S:T,2), IF(COUNTIF($W$2:W1113,A128)=0,$D$9,""))</f>
        <v/>
      </c>
      <c r="I128" s="39" t="str">
        <f ca="1">IF(COUNTIF($X$2:X1113,INT(A128))=1,VLOOKUP(INT(A128),X:Y,2), IF(ISERROR(H128-2),"",I127*(1-$D$8*(H128-H127)*0.0001)))</f>
        <v/>
      </c>
      <c r="J128" s="39" t="str">
        <f t="shared" ca="1" si="18"/>
        <v/>
      </c>
      <c r="K128" s="41" t="str">
        <f t="shared" ca="1" si="19"/>
        <v/>
      </c>
      <c r="L128" s="41" t="str">
        <f ca="1">IF($A128="","",IF(COUNTIFS(Dividends!$G:$G,"&gt;"&amp;INT($A127),Dividends!$G:$G,"&lt;="&amp;INT($A128))=0,"",$H$2*SUMIFS(Dividends!$H:$H,Dividends!$G:$G,"&gt;"&amp;INT($A127),Dividends!$G:$G,"&lt;="&amp;INT($A128))))</f>
        <v/>
      </c>
      <c r="M128" s="42" t="str">
        <f ca="1">IF(ISERROR(B128-2),"",C128+D128-F128-G128-K128+SUM($L$14:L128))</f>
        <v/>
      </c>
      <c r="U128" s="3" t="str">
        <f t="shared" si="10"/>
        <v/>
      </c>
      <c r="V128" s="3" t="str">
        <f t="shared" si="11"/>
        <v/>
      </c>
      <c r="Z128" s="3">
        <v>45958</v>
      </c>
      <c r="AA128" s="4">
        <v>245.49199999999999</v>
      </c>
      <c r="AB128" s="74">
        <v>45958</v>
      </c>
      <c r="AC128" s="4">
        <v>258.21699999999998</v>
      </c>
      <c r="AD128" s="6">
        <f t="shared" si="12"/>
        <v>45958</v>
      </c>
    </row>
    <row r="129" spans="1:30" x14ac:dyDescent="0.25">
      <c r="A129" s="37" t="str">
        <f t="shared" ca="1" si="13"/>
        <v/>
      </c>
      <c r="B129" s="38" t="str">
        <f ca="1">IF(COUNTIF($W$2:W1114,A129)=1,VLOOKUP(A129,O:P,2), IF(COUNTIF($W$2:W1114,A129)=0,$B$9,""))</f>
        <v/>
      </c>
      <c r="C129" s="2" t="str">
        <f t="shared" ca="1" si="14"/>
        <v/>
      </c>
      <c r="D129" s="41" t="str">
        <f t="shared" ca="1" si="15"/>
        <v/>
      </c>
      <c r="E129" s="38" t="str">
        <f ca="1">IF(COUNTIF($W$2:W1114,A129)=1,VLOOKUP(A129,Q:R,2), IF(COUNTIF($W$2:W1114,A129)=0,$C$9,""))</f>
        <v/>
      </c>
      <c r="F129" s="2" t="str">
        <f t="shared" ca="1" si="16"/>
        <v/>
      </c>
      <c r="G129" s="41" t="str">
        <f t="shared" ca="1" si="17"/>
        <v/>
      </c>
      <c r="H129" s="38" t="str">
        <f ca="1">IF(COUNTIF($W$2:W1114,A129)=1,VLOOKUP(A129,S:T,2), IF(COUNTIF($W$2:W1114,A129)=0,$D$9,""))</f>
        <v/>
      </c>
      <c r="I129" s="39" t="str">
        <f ca="1">IF(COUNTIF($X$2:X1114,INT(A129))=1,VLOOKUP(INT(A129),X:Y,2), IF(ISERROR(H129-2),"",I128*(1-$D$8*(H129-H128)*0.0001)))</f>
        <v/>
      </c>
      <c r="J129" s="39" t="str">
        <f t="shared" ca="1" si="18"/>
        <v/>
      </c>
      <c r="K129" s="41" t="str">
        <f t="shared" ca="1" si="19"/>
        <v/>
      </c>
      <c r="L129" s="41" t="str">
        <f ca="1">IF($A129="","",IF(COUNTIFS(Dividends!$G:$G,"&gt;"&amp;INT($A128),Dividends!$G:$G,"&lt;="&amp;INT($A129))=0,"",$H$2*SUMIFS(Dividends!$H:$H,Dividends!$G:$G,"&gt;"&amp;INT($A128),Dividends!$G:$G,"&lt;="&amp;INT($A129))))</f>
        <v/>
      </c>
      <c r="M129" s="42" t="str">
        <f ca="1">IF(ISERROR(B129-2),"",C129+D129-F129-G129-K129+SUM($L$14:L129))</f>
        <v/>
      </c>
      <c r="U129" s="3" t="str">
        <f t="shared" si="10"/>
        <v/>
      </c>
      <c r="V129" s="3" t="str">
        <f t="shared" si="11"/>
        <v/>
      </c>
      <c r="Z129" s="3">
        <v>45959</v>
      </c>
      <c r="AA129" s="4">
        <v>245.55119999999999</v>
      </c>
      <c r="AB129" s="74">
        <v>45959</v>
      </c>
      <c r="AC129" s="4">
        <v>258.82100000000003</v>
      </c>
      <c r="AD129" s="6">
        <f t="shared" si="12"/>
        <v>45959</v>
      </c>
    </row>
    <row r="130" spans="1:30" x14ac:dyDescent="0.25">
      <c r="A130" s="37" t="str">
        <f t="shared" ca="1" si="13"/>
        <v/>
      </c>
      <c r="B130" s="38" t="str">
        <f ca="1">IF(COUNTIF($W$2:W1115,A130)=1,VLOOKUP(A130,O:P,2), IF(COUNTIF($W$2:W1115,A130)=0,$B$9,""))</f>
        <v/>
      </c>
      <c r="C130" s="2" t="str">
        <f t="shared" ca="1" si="14"/>
        <v/>
      </c>
      <c r="D130" s="41" t="str">
        <f t="shared" ca="1" si="15"/>
        <v/>
      </c>
      <c r="E130" s="38" t="str">
        <f ca="1">IF(COUNTIF($W$2:W1115,A130)=1,VLOOKUP(A130,Q:R,2), IF(COUNTIF($W$2:W1115,A130)=0,$C$9,""))</f>
        <v/>
      </c>
      <c r="F130" s="2" t="str">
        <f t="shared" ca="1" si="16"/>
        <v/>
      </c>
      <c r="G130" s="41" t="str">
        <f t="shared" ca="1" si="17"/>
        <v/>
      </c>
      <c r="H130" s="38" t="str">
        <f ca="1">IF(COUNTIF($W$2:W1115,A130)=1,VLOOKUP(A130,S:T,2), IF(COUNTIF($W$2:W1115,A130)=0,$D$9,""))</f>
        <v/>
      </c>
      <c r="I130" s="39" t="str">
        <f ca="1">IF(COUNTIF($X$2:X1115,INT(A130))=1,VLOOKUP(INT(A130),X:Y,2), IF(ISERROR(H130-2),"",I129*(1-$D$8*(H130-H129)*0.0001)))</f>
        <v/>
      </c>
      <c r="J130" s="39" t="str">
        <f t="shared" ca="1" si="18"/>
        <v/>
      </c>
      <c r="K130" s="41" t="str">
        <f t="shared" ca="1" si="19"/>
        <v/>
      </c>
      <c r="L130" s="41" t="str">
        <f ca="1">IF($A130="","",IF(COUNTIFS(Dividends!$G:$G,"&gt;"&amp;INT($A129),Dividends!$G:$G,"&lt;="&amp;INT($A130))=0,"",$H$2*SUMIFS(Dividends!$H:$H,Dividends!$G:$G,"&gt;"&amp;INT($A129),Dividends!$G:$G,"&lt;="&amp;INT($A130))))</f>
        <v/>
      </c>
      <c r="M130" s="42" t="str">
        <f ca="1">IF(ISERROR(B130-2),"",C130+D130-F130-G130-K130+SUM($L$14:L130))</f>
        <v/>
      </c>
      <c r="U130" s="3" t="str">
        <f t="shared" si="10"/>
        <v/>
      </c>
      <c r="V130" s="3" t="str">
        <f t="shared" si="11"/>
        <v/>
      </c>
      <c r="Z130" s="3">
        <v>45960</v>
      </c>
      <c r="AA130" s="4">
        <v>245.16900000000001</v>
      </c>
      <c r="AB130" s="74">
        <v>45960</v>
      </c>
      <c r="AC130" s="4">
        <v>262.49700000000001</v>
      </c>
      <c r="AD130" s="6">
        <f t="shared" si="12"/>
        <v>45960</v>
      </c>
    </row>
    <row r="131" spans="1:30" x14ac:dyDescent="0.25">
      <c r="A131" s="37" t="str">
        <f t="shared" ca="1" si="13"/>
        <v/>
      </c>
      <c r="B131" s="38" t="str">
        <f ca="1">IF(COUNTIF($W$2:W1116,A131)=1,VLOOKUP(A131,O:P,2), IF(COUNTIF($W$2:W1116,A131)=0,$B$9,""))</f>
        <v/>
      </c>
      <c r="C131" s="2" t="str">
        <f t="shared" ca="1" si="14"/>
        <v/>
      </c>
      <c r="D131" s="41" t="str">
        <f t="shared" ca="1" si="15"/>
        <v/>
      </c>
      <c r="E131" s="38" t="str">
        <f ca="1">IF(COUNTIF($W$2:W1116,A131)=1,VLOOKUP(A131,Q:R,2), IF(COUNTIF($W$2:W1116,A131)=0,$C$9,""))</f>
        <v/>
      </c>
      <c r="F131" s="2" t="str">
        <f t="shared" ca="1" si="16"/>
        <v/>
      </c>
      <c r="G131" s="41" t="str">
        <f t="shared" ca="1" si="17"/>
        <v/>
      </c>
      <c r="H131" s="38" t="str">
        <f ca="1">IF(COUNTIF($W$2:W1116,A131)=1,VLOOKUP(A131,S:T,2), IF(COUNTIF($W$2:W1116,A131)=0,$D$9,""))</f>
        <v/>
      </c>
      <c r="I131" s="39" t="str">
        <f ca="1">IF(COUNTIF($X$2:X1116,INT(A131))=1,VLOOKUP(INT(A131),X:Y,2), IF(ISERROR(H131-2),"",I130*(1-$D$8*(H131-H130)*0.0001)))</f>
        <v/>
      </c>
      <c r="J131" s="39" t="str">
        <f t="shared" ca="1" si="18"/>
        <v/>
      </c>
      <c r="K131" s="41" t="str">
        <f t="shared" ca="1" si="19"/>
        <v/>
      </c>
      <c r="L131" s="41" t="str">
        <f ca="1">IF($A131="","",IF(COUNTIFS(Dividends!$G:$G,"&gt;"&amp;INT($A130),Dividends!$G:$G,"&lt;="&amp;INT($A131))=0,"",$H$2*SUMIFS(Dividends!$H:$H,Dividends!$G:$G,"&gt;"&amp;INT($A130),Dividends!$G:$G,"&lt;="&amp;INT($A131))))</f>
        <v/>
      </c>
      <c r="M131" s="42" t="str">
        <f ca="1">IF(ISERROR(B131-2),"",C131+D131-F131-G131-K131+SUM($L$14:L131))</f>
        <v/>
      </c>
      <c r="U131" s="3" t="str">
        <f t="shared" si="10"/>
        <v/>
      </c>
      <c r="V131" s="3" t="str">
        <f t="shared" si="11"/>
        <v/>
      </c>
      <c r="Z131" s="3">
        <v>45961</v>
      </c>
      <c r="AA131" s="4">
        <v>244.8545</v>
      </c>
      <c r="AB131" s="74">
        <v>45961</v>
      </c>
      <c r="AC131" s="4">
        <v>265.971</v>
      </c>
      <c r="AD131" s="6">
        <f t="shared" si="12"/>
        <v>45961</v>
      </c>
    </row>
    <row r="132" spans="1:30" x14ac:dyDescent="0.25">
      <c r="A132" s="37" t="str">
        <f t="shared" ca="1" si="13"/>
        <v/>
      </c>
      <c r="B132" s="38" t="str">
        <f ca="1">IF(COUNTIF($W$2:W1117,A132)=1,VLOOKUP(A132,O:P,2), IF(COUNTIF($W$2:W1117,A132)=0,$B$9,""))</f>
        <v/>
      </c>
      <c r="C132" s="2" t="str">
        <f t="shared" ca="1" si="14"/>
        <v/>
      </c>
      <c r="D132" s="41" t="str">
        <f t="shared" ca="1" si="15"/>
        <v/>
      </c>
      <c r="E132" s="38" t="str">
        <f ca="1">IF(COUNTIF($W$2:W1117,A132)=1,VLOOKUP(A132,Q:R,2), IF(COUNTIF($W$2:W1117,A132)=0,$C$9,""))</f>
        <v/>
      </c>
      <c r="F132" s="2" t="str">
        <f t="shared" ca="1" si="16"/>
        <v/>
      </c>
      <c r="G132" s="41" t="str">
        <f t="shared" ca="1" si="17"/>
        <v/>
      </c>
      <c r="H132" s="38" t="str">
        <f ca="1">IF(COUNTIF($W$2:W1117,A132)=1,VLOOKUP(A132,S:T,2), IF(COUNTIF($W$2:W1117,A132)=0,$D$9,""))</f>
        <v/>
      </c>
      <c r="I132" s="39" t="str">
        <f ca="1">IF(COUNTIF($X$2:X1117,INT(A132))=1,VLOOKUP(INT(A132),X:Y,2), IF(ISERROR(H132-2),"",I131*(1-$D$8*(H132-H131)*0.0001)))</f>
        <v/>
      </c>
      <c r="J132" s="39" t="str">
        <f t="shared" ca="1" si="18"/>
        <v/>
      </c>
      <c r="K132" s="41" t="str">
        <f t="shared" ca="1" si="19"/>
        <v/>
      </c>
      <c r="L132" s="41" t="str">
        <f ca="1">IF($A132="","",IF(COUNTIFS(Dividends!$G:$G,"&gt;"&amp;INT($A131),Dividends!$G:$G,"&lt;="&amp;INT($A132))=0,"",$H$2*SUMIFS(Dividends!$H:$H,Dividends!$G:$G,"&gt;"&amp;INT($A131),Dividends!$G:$G,"&lt;="&amp;INT($A132))))</f>
        <v/>
      </c>
      <c r="M132" s="42" t="str">
        <f ca="1">IF(ISERROR(B132-2),"",C132+D132-F132-G132-K132+SUM($L$14:L132))</f>
        <v/>
      </c>
      <c r="U132" s="3" t="str">
        <f t="shared" ref="U132:U195" si="20">IF(COUNTIF(Q:Q,O132)*COUNTIF(S:S,O132),O132,"")</f>
        <v/>
      </c>
      <c r="V132" s="3" t="str">
        <f t="shared" ref="V132:V195" si="21">IF(U132&gt;$A$14,U132,"")</f>
        <v/>
      </c>
      <c r="Z132" s="3">
        <v>45964</v>
      </c>
      <c r="AA132" s="4">
        <v>244.89699999999999</v>
      </c>
      <c r="AB132" s="74">
        <v>45964</v>
      </c>
      <c r="AC132" s="4">
        <v>264.774</v>
      </c>
      <c r="AD132" s="6">
        <f t="shared" ref="AD132:AD195" si="22">IF(COUNTIF(AB:AB,Z132),Z132,"")</f>
        <v>45964</v>
      </c>
    </row>
    <row r="133" spans="1:30" x14ac:dyDescent="0.25">
      <c r="A133" s="37" t="str">
        <f t="shared" ca="1" si="13"/>
        <v/>
      </c>
      <c r="B133" s="38" t="str">
        <f ca="1">IF(COUNTIF($W$2:W1118,A133)=1,VLOOKUP(A133,O:P,2), IF(COUNTIF($W$2:W1118,A133)=0,$B$9,""))</f>
        <v/>
      </c>
      <c r="C133" s="2" t="str">
        <f t="shared" ca="1" si="14"/>
        <v/>
      </c>
      <c r="D133" s="41" t="str">
        <f t="shared" ca="1" si="15"/>
        <v/>
      </c>
      <c r="E133" s="38" t="str">
        <f ca="1">IF(COUNTIF($W$2:W1118,A133)=1,VLOOKUP(A133,Q:R,2), IF(COUNTIF($W$2:W1118,A133)=0,$C$9,""))</f>
        <v/>
      </c>
      <c r="F133" s="2" t="str">
        <f t="shared" ca="1" si="16"/>
        <v/>
      </c>
      <c r="G133" s="41" t="str">
        <f t="shared" ca="1" si="17"/>
        <v/>
      </c>
      <c r="H133" s="38" t="str">
        <f ca="1">IF(COUNTIF($W$2:W1118,A133)=1,VLOOKUP(A133,S:T,2), IF(COUNTIF($W$2:W1118,A133)=0,$D$9,""))</f>
        <v/>
      </c>
      <c r="I133" s="39" t="str">
        <f ca="1">IF(COUNTIF($X$2:X1118,INT(A133))=1,VLOOKUP(INT(A133),X:Y,2), IF(ISERROR(H133-2),"",I132*(1-$D$8*(H133-H132)*0.0001)))</f>
        <v/>
      </c>
      <c r="J133" s="39" t="str">
        <f t="shared" ca="1" si="18"/>
        <v/>
      </c>
      <c r="K133" s="41" t="str">
        <f t="shared" ca="1" si="19"/>
        <v/>
      </c>
      <c r="L133" s="41" t="str">
        <f ca="1">IF($A133="","",IF(COUNTIFS(Dividends!$G:$G,"&gt;"&amp;INT($A132),Dividends!$G:$G,"&lt;="&amp;INT($A133))=0,"",$H$2*SUMIFS(Dividends!$H:$H,Dividends!$G:$G,"&gt;"&amp;INT($A132),Dividends!$G:$G,"&lt;="&amp;INT($A133))))</f>
        <v/>
      </c>
      <c r="M133" s="42" t="str">
        <f ca="1">IF(ISERROR(B133-2),"",C133+D133-F133-G133-K133+SUM($L$14:L133))</f>
        <v/>
      </c>
      <c r="U133" s="3" t="str">
        <f t="shared" si="20"/>
        <v/>
      </c>
      <c r="V133" s="3" t="str">
        <f t="shared" si="21"/>
        <v/>
      </c>
      <c r="Z133" s="3">
        <v>45965</v>
      </c>
      <c r="AA133" s="4">
        <v>244.79839999999999</v>
      </c>
      <c r="AB133" s="74">
        <v>45965</v>
      </c>
      <c r="AC133" s="4">
        <v>265.75200000000001</v>
      </c>
      <c r="AD133" s="6">
        <f t="shared" si="22"/>
        <v>45965</v>
      </c>
    </row>
    <row r="134" spans="1:30" x14ac:dyDescent="0.25">
      <c r="A134" s="37" t="str">
        <f t="shared" ca="1" si="13"/>
        <v/>
      </c>
      <c r="B134" s="38" t="str">
        <f ca="1">IF(COUNTIF($W$2:W1119,A134)=1,VLOOKUP(A134,O:P,2), IF(COUNTIF($W$2:W1119,A134)=0,$B$9,""))</f>
        <v/>
      </c>
      <c r="C134" s="2" t="str">
        <f t="shared" ca="1" si="14"/>
        <v/>
      </c>
      <c r="D134" s="41" t="str">
        <f t="shared" ca="1" si="15"/>
        <v/>
      </c>
      <c r="E134" s="38" t="str">
        <f ca="1">IF(COUNTIF($W$2:W1119,A134)=1,VLOOKUP(A134,Q:R,2), IF(COUNTIF($W$2:W1119,A134)=0,$C$9,""))</f>
        <v/>
      </c>
      <c r="F134" s="2" t="str">
        <f t="shared" ca="1" si="16"/>
        <v/>
      </c>
      <c r="G134" s="41" t="str">
        <f t="shared" ca="1" si="17"/>
        <v/>
      </c>
      <c r="H134" s="38" t="str">
        <f ca="1">IF(COUNTIF($W$2:W1119,A134)=1,VLOOKUP(A134,S:T,2), IF(COUNTIF($W$2:W1119,A134)=0,$D$9,""))</f>
        <v/>
      </c>
      <c r="I134" s="39" t="str">
        <f ca="1">IF(COUNTIF($X$2:X1119,INT(A134))=1,VLOOKUP(INT(A134),X:Y,2), IF(ISERROR(H134-2),"",I133*(1-$D$8*(H134-H133)*0.0001)))</f>
        <v/>
      </c>
      <c r="J134" s="39" t="str">
        <f t="shared" ca="1" si="18"/>
        <v/>
      </c>
      <c r="K134" s="41" t="str">
        <f t="shared" ca="1" si="19"/>
        <v/>
      </c>
      <c r="L134" s="41" t="str">
        <f ca="1">IF($A134="","",IF(COUNTIFS(Dividends!$G:$G,"&gt;"&amp;INT($A133),Dividends!$G:$G,"&lt;="&amp;INT($A134))=0,"",$H$2*SUMIFS(Dividends!$H:$H,Dividends!$G:$G,"&gt;"&amp;INT($A133),Dividends!$G:$G,"&lt;="&amp;INT($A134))))</f>
        <v/>
      </c>
      <c r="M134" s="42" t="str">
        <f ca="1">IF(ISERROR(B134-2),"",C134+D134-F134-G134-K134+SUM($L$14:L134))</f>
        <v/>
      </c>
      <c r="U134" s="3" t="str">
        <f t="shared" si="20"/>
        <v/>
      </c>
      <c r="V134" s="3" t="str">
        <f t="shared" si="21"/>
        <v/>
      </c>
      <c r="Z134" s="3">
        <v>45966</v>
      </c>
      <c r="AA134" s="4">
        <v>245.10939999999999</v>
      </c>
      <c r="AB134" s="74">
        <v>45966</v>
      </c>
      <c r="AC134" s="4">
        <v>262.87900000000002</v>
      </c>
      <c r="AD134" s="6">
        <f t="shared" si="22"/>
        <v>45966</v>
      </c>
    </row>
    <row r="135" spans="1:30" x14ac:dyDescent="0.25">
      <c r="A135" s="37" t="str">
        <f t="shared" ca="1" si="13"/>
        <v/>
      </c>
      <c r="B135" s="38" t="str">
        <f ca="1">IF(COUNTIF($W$2:W1120,A135)=1,VLOOKUP(A135,O:P,2), IF(COUNTIF($W$2:W1120,A135)=0,$B$9,""))</f>
        <v/>
      </c>
      <c r="C135" s="2" t="str">
        <f t="shared" ca="1" si="14"/>
        <v/>
      </c>
      <c r="D135" s="41" t="str">
        <f t="shared" ca="1" si="15"/>
        <v/>
      </c>
      <c r="E135" s="38" t="str">
        <f ca="1">IF(COUNTIF($W$2:W1120,A135)=1,VLOOKUP(A135,Q:R,2), IF(COUNTIF($W$2:W1120,A135)=0,$C$9,""))</f>
        <v/>
      </c>
      <c r="F135" s="2" t="str">
        <f t="shared" ca="1" si="16"/>
        <v/>
      </c>
      <c r="G135" s="41" t="str">
        <f t="shared" ca="1" si="17"/>
        <v/>
      </c>
      <c r="H135" s="38" t="str">
        <f ca="1">IF(COUNTIF($W$2:W1120,A135)=1,VLOOKUP(A135,S:T,2), IF(COUNTIF($W$2:W1120,A135)=0,$D$9,""))</f>
        <v/>
      </c>
      <c r="I135" s="39" t="str">
        <f ca="1">IF(COUNTIF($X$2:X1120,INT(A135))=1,VLOOKUP(INT(A135),X:Y,2), IF(ISERROR(H135-2),"",I134*(1-$D$8*(H135-H134)*0.0001)))</f>
        <v/>
      </c>
      <c r="J135" s="39" t="str">
        <f t="shared" ca="1" si="18"/>
        <v/>
      </c>
      <c r="K135" s="41" t="str">
        <f t="shared" ca="1" si="19"/>
        <v/>
      </c>
      <c r="L135" s="41" t="str">
        <f ca="1">IF($A135="","",IF(COUNTIFS(Dividends!$G:$G,"&gt;"&amp;INT($A134),Dividends!$G:$G,"&lt;="&amp;INT($A135))=0,"",$H$2*SUMIFS(Dividends!$H:$H,Dividends!$G:$G,"&gt;"&amp;INT($A134),Dividends!$G:$G,"&lt;="&amp;INT($A135))))</f>
        <v/>
      </c>
      <c r="M135" s="42" t="str">
        <f ca="1">IF(ISERROR(B135-2),"",C135+D135-F135-G135-K135+SUM($L$14:L135))</f>
        <v/>
      </c>
      <c r="U135" s="3" t="str">
        <f t="shared" si="20"/>
        <v/>
      </c>
      <c r="V135" s="3" t="str">
        <f t="shared" si="21"/>
        <v/>
      </c>
      <c r="Z135" s="3">
        <v>45967</v>
      </c>
      <c r="AA135" s="4">
        <v>244.75219999999999</v>
      </c>
      <c r="AB135" s="74">
        <v>45967</v>
      </c>
      <c r="AC135" s="4">
        <v>268.62700000000001</v>
      </c>
      <c r="AD135" s="6">
        <f t="shared" si="22"/>
        <v>45967</v>
      </c>
    </row>
    <row r="136" spans="1:30" x14ac:dyDescent="0.25">
      <c r="A136" s="37" t="str">
        <f t="shared" ca="1" si="13"/>
        <v/>
      </c>
      <c r="B136" s="38" t="str">
        <f ca="1">IF(COUNTIF($W$2:W1121,A136)=1,VLOOKUP(A136,O:P,2), IF(COUNTIF($W$2:W1121,A136)=0,$B$9,""))</f>
        <v/>
      </c>
      <c r="C136" s="2" t="str">
        <f t="shared" ca="1" si="14"/>
        <v/>
      </c>
      <c r="D136" s="41" t="str">
        <f t="shared" ca="1" si="15"/>
        <v/>
      </c>
      <c r="E136" s="38" t="str">
        <f ca="1">IF(COUNTIF($W$2:W1121,A136)=1,VLOOKUP(A136,Q:R,2), IF(COUNTIF($W$2:W1121,A136)=0,$C$9,""))</f>
        <v/>
      </c>
      <c r="F136" s="2" t="str">
        <f t="shared" ca="1" si="16"/>
        <v/>
      </c>
      <c r="G136" s="41" t="str">
        <f t="shared" ca="1" si="17"/>
        <v/>
      </c>
      <c r="H136" s="38" t="str">
        <f ca="1">IF(COUNTIF($W$2:W1121,A136)=1,VLOOKUP(A136,S:T,2), IF(COUNTIF($W$2:W1121,A136)=0,$D$9,""))</f>
        <v/>
      </c>
      <c r="I136" s="39" t="str">
        <f ca="1">IF(COUNTIF($X$2:X1121,INT(A136))=1,VLOOKUP(INT(A136),X:Y,2), IF(ISERROR(H136-2),"",I135*(1-$D$8*(H136-H135)*0.0001)))</f>
        <v/>
      </c>
      <c r="J136" s="39" t="str">
        <f t="shared" ca="1" si="18"/>
        <v/>
      </c>
      <c r="K136" s="41" t="str">
        <f t="shared" ca="1" si="19"/>
        <v/>
      </c>
      <c r="L136" s="41" t="str">
        <f ca="1">IF($A136="","",IF(COUNTIFS(Dividends!$G:$G,"&gt;"&amp;INT($A135),Dividends!$G:$G,"&lt;="&amp;INT($A136))=0,"",$H$2*SUMIFS(Dividends!$H:$H,Dividends!$G:$G,"&gt;"&amp;INT($A135),Dividends!$G:$G,"&lt;="&amp;INT($A136))))</f>
        <v/>
      </c>
      <c r="M136" s="42" t="str">
        <f ca="1">IF(ISERROR(B136-2),"",C136+D136-F136-G136-K136+SUM($L$14:L136))</f>
        <v/>
      </c>
      <c r="U136" s="3" t="str">
        <f t="shared" si="20"/>
        <v/>
      </c>
      <c r="V136" s="3" t="str">
        <f t="shared" si="21"/>
        <v/>
      </c>
      <c r="Z136" s="3">
        <v>45968</v>
      </c>
      <c r="AA136" s="4">
        <v>244.27430000000001</v>
      </c>
      <c r="AB136" s="74">
        <v>45968</v>
      </c>
      <c r="AC136" s="4">
        <v>272.18799999999999</v>
      </c>
      <c r="AD136" s="6">
        <f t="shared" si="22"/>
        <v>45968</v>
      </c>
    </row>
    <row r="137" spans="1:30" x14ac:dyDescent="0.25">
      <c r="A137" s="37" t="str">
        <f t="shared" ca="1" si="13"/>
        <v/>
      </c>
      <c r="B137" s="38" t="str">
        <f ca="1">IF(COUNTIF($W$2:W1122,A137)=1,VLOOKUP(A137,O:P,2), IF(COUNTIF($W$2:W1122,A137)=0,$B$9,""))</f>
        <v/>
      </c>
      <c r="C137" s="2" t="str">
        <f t="shared" ca="1" si="14"/>
        <v/>
      </c>
      <c r="D137" s="41" t="str">
        <f t="shared" ca="1" si="15"/>
        <v/>
      </c>
      <c r="E137" s="38" t="str">
        <f ca="1">IF(COUNTIF($W$2:W1122,A137)=1,VLOOKUP(A137,Q:R,2), IF(COUNTIF($W$2:W1122,A137)=0,$C$9,""))</f>
        <v/>
      </c>
      <c r="F137" s="2" t="str">
        <f t="shared" ca="1" si="16"/>
        <v/>
      </c>
      <c r="G137" s="41" t="str">
        <f t="shared" ca="1" si="17"/>
        <v/>
      </c>
      <c r="H137" s="38" t="str">
        <f ca="1">IF(COUNTIF($W$2:W1122,A137)=1,VLOOKUP(A137,S:T,2), IF(COUNTIF($W$2:W1122,A137)=0,$D$9,""))</f>
        <v/>
      </c>
      <c r="I137" s="39" t="str">
        <f ca="1">IF(COUNTIF($X$2:X1122,INT(A137))=1,VLOOKUP(INT(A137),X:Y,2), IF(ISERROR(H137-2),"",I136*(1-$D$8*(H137-H136)*0.0001)))</f>
        <v/>
      </c>
      <c r="J137" s="39" t="str">
        <f t="shared" ca="1" si="18"/>
        <v/>
      </c>
      <c r="K137" s="41" t="str">
        <f t="shared" ca="1" si="19"/>
        <v/>
      </c>
      <c r="L137" s="41" t="str">
        <f ca="1">IF($A137="","",IF(COUNTIFS(Dividends!$G:$G,"&gt;"&amp;INT($A136),Dividends!$G:$G,"&lt;="&amp;INT($A137))=0,"",$H$2*SUMIFS(Dividends!$H:$H,Dividends!$G:$G,"&gt;"&amp;INT($A136),Dividends!$G:$G,"&lt;="&amp;INT($A137))))</f>
        <v/>
      </c>
      <c r="M137" s="42" t="str">
        <f ca="1">IF(ISERROR(B137-2),"",C137+D137-F137-G137-K137+SUM($L$14:L137))</f>
        <v/>
      </c>
      <c r="U137" s="3" t="str">
        <f t="shared" si="20"/>
        <v/>
      </c>
      <c r="V137" s="3" t="str">
        <f t="shared" si="21"/>
        <v/>
      </c>
      <c r="Z137" s="3">
        <v>45971</v>
      </c>
      <c r="AA137" s="4">
        <v>245.4716</v>
      </c>
      <c r="AB137" s="74">
        <v>45971</v>
      </c>
      <c r="AC137" s="4">
        <v>261.46800000000002</v>
      </c>
      <c r="AD137" s="6">
        <f t="shared" si="22"/>
        <v>45971</v>
      </c>
    </row>
    <row r="138" spans="1:30" x14ac:dyDescent="0.25">
      <c r="A138" s="37" t="str">
        <f t="shared" ca="1" si="13"/>
        <v/>
      </c>
      <c r="B138" s="38" t="str">
        <f ca="1">IF(COUNTIF($W$2:W1123,A138)=1,VLOOKUP(A138,O:P,2), IF(COUNTIF($W$2:W1123,A138)=0,$B$9,""))</f>
        <v/>
      </c>
      <c r="C138" s="2" t="str">
        <f t="shared" ca="1" si="14"/>
        <v/>
      </c>
      <c r="D138" s="41" t="str">
        <f t="shared" ca="1" si="15"/>
        <v/>
      </c>
      <c r="E138" s="38" t="str">
        <f ca="1">IF(COUNTIF($W$2:W1123,A138)=1,VLOOKUP(A138,Q:R,2), IF(COUNTIF($W$2:W1123,A138)=0,$C$9,""))</f>
        <v/>
      </c>
      <c r="F138" s="2" t="str">
        <f t="shared" ca="1" si="16"/>
        <v/>
      </c>
      <c r="G138" s="41" t="str">
        <f t="shared" ca="1" si="17"/>
        <v/>
      </c>
      <c r="H138" s="38" t="str">
        <f ca="1">IF(COUNTIF($W$2:W1123,A138)=1,VLOOKUP(A138,S:T,2), IF(COUNTIF($W$2:W1123,A138)=0,$D$9,""))</f>
        <v/>
      </c>
      <c r="I138" s="39" t="str">
        <f ca="1">IF(COUNTIF($X$2:X1123,INT(A138))=1,VLOOKUP(INT(A138),X:Y,2), IF(ISERROR(H138-2),"",I137*(1-$D$8*(H138-H137)*0.0001)))</f>
        <v/>
      </c>
      <c r="J138" s="39" t="str">
        <f t="shared" ca="1" si="18"/>
        <v/>
      </c>
      <c r="K138" s="41" t="str">
        <f t="shared" ca="1" si="19"/>
        <v/>
      </c>
      <c r="L138" s="41" t="str">
        <f ca="1">IF($A138="","",IF(COUNTIFS(Dividends!$G:$G,"&gt;"&amp;INT($A137),Dividends!$G:$G,"&lt;="&amp;INT($A138))=0,"",$H$2*SUMIFS(Dividends!$H:$H,Dividends!$G:$G,"&gt;"&amp;INT($A137),Dividends!$G:$G,"&lt;="&amp;INT($A138))))</f>
        <v/>
      </c>
      <c r="M138" s="42" t="str">
        <f ca="1">IF(ISERROR(B138-2),"",C138+D138-F138-G138-K138+SUM($L$14:L138))</f>
        <v/>
      </c>
      <c r="U138" s="3" t="str">
        <f t="shared" si="20"/>
        <v/>
      </c>
      <c r="V138" s="3" t="str">
        <f t="shared" si="21"/>
        <v/>
      </c>
      <c r="Z138" s="3">
        <v>45972</v>
      </c>
      <c r="AA138" s="4">
        <v>245.6224</v>
      </c>
      <c r="AB138" s="74">
        <v>45972</v>
      </c>
      <c r="AC138" s="4">
        <v>260.42200000000003</v>
      </c>
      <c r="AD138" s="6">
        <f t="shared" si="22"/>
        <v>45972</v>
      </c>
    </row>
    <row r="139" spans="1:30" x14ac:dyDescent="0.25">
      <c r="A139" s="37" t="str">
        <f t="shared" ca="1" si="13"/>
        <v/>
      </c>
      <c r="B139" s="38" t="str">
        <f ca="1">IF(COUNTIF($W$2:W1124,A139)=1,VLOOKUP(A139,O:P,2), IF(COUNTIF($W$2:W1124,A139)=0,$B$9,""))</f>
        <v/>
      </c>
      <c r="C139" s="2" t="str">
        <f t="shared" ca="1" si="14"/>
        <v/>
      </c>
      <c r="D139" s="41" t="str">
        <f t="shared" ca="1" si="15"/>
        <v/>
      </c>
      <c r="E139" s="38" t="str">
        <f ca="1">IF(COUNTIF($W$2:W1124,A139)=1,VLOOKUP(A139,Q:R,2), IF(COUNTIF($W$2:W1124,A139)=0,$C$9,""))</f>
        <v/>
      </c>
      <c r="F139" s="2" t="str">
        <f t="shared" ca="1" si="16"/>
        <v/>
      </c>
      <c r="G139" s="41" t="str">
        <f t="shared" ca="1" si="17"/>
        <v/>
      </c>
      <c r="H139" s="38" t="str">
        <f ca="1">IF(COUNTIF($W$2:W1124,A139)=1,VLOOKUP(A139,S:T,2), IF(COUNTIF($W$2:W1124,A139)=0,$D$9,""))</f>
        <v/>
      </c>
      <c r="I139" s="39" t="str">
        <f ca="1">IF(COUNTIF($X$2:X1124,INT(A139))=1,VLOOKUP(INT(A139),X:Y,2), IF(ISERROR(H139-2),"",I138*(1-$D$8*(H139-H138)*0.0001)))</f>
        <v/>
      </c>
      <c r="J139" s="39" t="str">
        <f t="shared" ca="1" si="18"/>
        <v/>
      </c>
      <c r="K139" s="41" t="str">
        <f t="shared" ca="1" si="19"/>
        <v/>
      </c>
      <c r="L139" s="41" t="str">
        <f ca="1">IF($A139="","",IF(COUNTIFS(Dividends!$G:$G,"&gt;"&amp;INT($A138),Dividends!$G:$G,"&lt;="&amp;INT($A139))=0,"",$H$2*SUMIFS(Dividends!$H:$H,Dividends!$G:$G,"&gt;"&amp;INT($A138),Dividends!$G:$G,"&lt;="&amp;INT($A139))))</f>
        <v/>
      </c>
      <c r="M139" s="42" t="str">
        <f ca="1">IF(ISERROR(B139-2),"",C139+D139-F139-G139-K139+SUM($L$14:L139))</f>
        <v/>
      </c>
      <c r="U139" s="3" t="str">
        <f t="shared" si="20"/>
        <v/>
      </c>
      <c r="V139" s="3" t="str">
        <f t="shared" si="21"/>
        <v/>
      </c>
      <c r="Z139" s="3">
        <v>45973</v>
      </c>
      <c r="AA139" s="4">
        <v>245.78739999999999</v>
      </c>
      <c r="AB139" s="74">
        <v>45973</v>
      </c>
      <c r="AC139" s="4">
        <v>259.49700000000001</v>
      </c>
      <c r="AD139" s="6">
        <f t="shared" si="22"/>
        <v>45973</v>
      </c>
    </row>
    <row r="140" spans="1:30" x14ac:dyDescent="0.25">
      <c r="A140" s="37" t="str">
        <f t="shared" ca="1" si="13"/>
        <v/>
      </c>
      <c r="B140" s="38" t="str">
        <f ca="1">IF(COUNTIF($W$2:W1125,A140)=1,VLOOKUP(A140,O:P,2), IF(COUNTIF($W$2:W1125,A140)=0,$B$9,""))</f>
        <v/>
      </c>
      <c r="C140" s="2" t="str">
        <f t="shared" ca="1" si="14"/>
        <v/>
      </c>
      <c r="D140" s="41" t="str">
        <f t="shared" ca="1" si="15"/>
        <v/>
      </c>
      <c r="E140" s="38" t="str">
        <f ca="1">IF(COUNTIF($W$2:W1125,A140)=1,VLOOKUP(A140,Q:R,2), IF(COUNTIF($W$2:W1125,A140)=0,$C$9,""))</f>
        <v/>
      </c>
      <c r="F140" s="2" t="str">
        <f t="shared" ca="1" si="16"/>
        <v/>
      </c>
      <c r="G140" s="41" t="str">
        <f t="shared" ca="1" si="17"/>
        <v/>
      </c>
      <c r="H140" s="38" t="str">
        <f ca="1">IF(COUNTIF($W$2:W1125,A140)=1,VLOOKUP(A140,S:T,2), IF(COUNTIF($W$2:W1125,A140)=0,$D$9,""))</f>
        <v/>
      </c>
      <c r="I140" s="39" t="str">
        <f ca="1">IF(COUNTIF($X$2:X1125,INT(A140))=1,VLOOKUP(INT(A140),X:Y,2), IF(ISERROR(H140-2),"",I139*(1-$D$8*(H140-H139)*0.0001)))</f>
        <v/>
      </c>
      <c r="J140" s="39" t="str">
        <f t="shared" ca="1" si="18"/>
        <v/>
      </c>
      <c r="K140" s="41" t="str">
        <f t="shared" ca="1" si="19"/>
        <v/>
      </c>
      <c r="L140" s="41" t="str">
        <f ca="1">IF($A140="","",IF(COUNTIFS(Dividends!$G:$G,"&gt;"&amp;INT($A139),Dividends!$G:$G,"&lt;="&amp;INT($A140))=0,"",$H$2*SUMIFS(Dividends!$H:$H,Dividends!$G:$G,"&gt;"&amp;INT($A139),Dividends!$G:$G,"&lt;="&amp;INT($A140))))</f>
        <v/>
      </c>
      <c r="M140" s="42" t="str">
        <f ca="1">IF(ISERROR(B140-2),"",C140+D140-F140-G140-K140+SUM($L$14:L140))</f>
        <v/>
      </c>
      <c r="U140" s="3" t="str">
        <f t="shared" si="20"/>
        <v/>
      </c>
      <c r="V140" s="3" t="str">
        <f t="shared" si="21"/>
        <v/>
      </c>
      <c r="Z140" s="3">
        <v>45974</v>
      </c>
      <c r="AA140" s="4">
        <v>245.34219999999999</v>
      </c>
      <c r="AB140" s="74">
        <v>45974</v>
      </c>
      <c r="AC140" s="4">
        <v>263.71800000000002</v>
      </c>
      <c r="AD140" s="6">
        <f t="shared" si="22"/>
        <v>45974</v>
      </c>
    </row>
    <row r="141" spans="1:30" x14ac:dyDescent="0.25">
      <c r="A141" s="37" t="str">
        <f t="shared" ca="1" si="13"/>
        <v/>
      </c>
      <c r="B141" s="38" t="str">
        <f ca="1">IF(COUNTIF($W$2:W1126,A141)=1,VLOOKUP(A141,O:P,2), IF(COUNTIF($W$2:W1126,A141)=0,$B$9,""))</f>
        <v/>
      </c>
      <c r="C141" s="2" t="str">
        <f t="shared" ca="1" si="14"/>
        <v/>
      </c>
      <c r="D141" s="41" t="str">
        <f t="shared" ca="1" si="15"/>
        <v/>
      </c>
      <c r="E141" s="38" t="str">
        <f ca="1">IF(COUNTIF($W$2:W1126,A141)=1,VLOOKUP(A141,Q:R,2), IF(COUNTIF($W$2:W1126,A141)=0,$C$9,""))</f>
        <v/>
      </c>
      <c r="F141" s="2" t="str">
        <f t="shared" ca="1" si="16"/>
        <v/>
      </c>
      <c r="G141" s="41" t="str">
        <f t="shared" ca="1" si="17"/>
        <v/>
      </c>
      <c r="H141" s="38" t="str">
        <f ca="1">IF(COUNTIF($W$2:W1126,A141)=1,VLOOKUP(A141,S:T,2), IF(COUNTIF($W$2:W1126,A141)=0,$D$9,""))</f>
        <v/>
      </c>
      <c r="I141" s="39" t="str">
        <f ca="1">IF(COUNTIF($X$2:X1126,INT(A141))=1,VLOOKUP(INT(A141),X:Y,2), IF(ISERROR(H141-2),"",I140*(1-$D$8*(H141-H140)*0.0001)))</f>
        <v/>
      </c>
      <c r="J141" s="39" t="str">
        <f t="shared" ca="1" si="18"/>
        <v/>
      </c>
      <c r="K141" s="41" t="str">
        <f t="shared" ca="1" si="19"/>
        <v/>
      </c>
      <c r="L141" s="41" t="str">
        <f ca="1">IF($A141="","",IF(COUNTIFS(Dividends!$G:$G,"&gt;"&amp;INT($A140),Dividends!$G:$G,"&lt;="&amp;INT($A141))=0,"",$H$2*SUMIFS(Dividends!$H:$H,Dividends!$G:$G,"&gt;"&amp;INT($A140),Dividends!$G:$G,"&lt;="&amp;INT($A141))))</f>
        <v/>
      </c>
      <c r="M141" s="42" t="str">
        <f ca="1">IF(ISERROR(B141-2),"",C141+D141-F141-G141-K141+SUM($L$14:L141))</f>
        <v/>
      </c>
      <c r="U141" s="3" t="str">
        <f t="shared" si="20"/>
        <v/>
      </c>
      <c r="V141" s="3" t="str">
        <f t="shared" si="21"/>
        <v/>
      </c>
      <c r="Z141" s="3">
        <v>45975</v>
      </c>
      <c r="AA141" s="4">
        <v>245.24520000000001</v>
      </c>
      <c r="AB141" s="74">
        <v>45975</v>
      </c>
      <c r="AC141" s="4">
        <v>263.74200000000002</v>
      </c>
      <c r="AD141" s="6">
        <f t="shared" si="22"/>
        <v>45975</v>
      </c>
    </row>
    <row r="142" spans="1:30" x14ac:dyDescent="0.25">
      <c r="A142" s="37" t="str">
        <f t="shared" ca="1" si="13"/>
        <v/>
      </c>
      <c r="B142" s="38" t="str">
        <f ca="1">IF(COUNTIF($W$2:W1127,A142)=1,VLOOKUP(A142,O:P,2), IF(COUNTIF($W$2:W1127,A142)=0,$B$9,""))</f>
        <v/>
      </c>
      <c r="C142" s="2" t="str">
        <f t="shared" ca="1" si="14"/>
        <v/>
      </c>
      <c r="D142" s="41" t="str">
        <f t="shared" ca="1" si="15"/>
        <v/>
      </c>
      <c r="E142" s="38" t="str">
        <f ca="1">IF(COUNTIF($W$2:W1127,A142)=1,VLOOKUP(A142,Q:R,2), IF(COUNTIF($W$2:W1127,A142)=0,$C$9,""))</f>
        <v/>
      </c>
      <c r="F142" s="2" t="str">
        <f t="shared" ca="1" si="16"/>
        <v/>
      </c>
      <c r="G142" s="41" t="str">
        <f t="shared" ca="1" si="17"/>
        <v/>
      </c>
      <c r="H142" s="38" t="str">
        <f ca="1">IF(COUNTIF($W$2:W1127,A142)=1,VLOOKUP(A142,S:T,2), IF(COUNTIF($W$2:W1127,A142)=0,$D$9,""))</f>
        <v/>
      </c>
      <c r="I142" s="39" t="str">
        <f ca="1">IF(COUNTIF($X$2:X1127,INT(A142))=1,VLOOKUP(INT(A142),X:Y,2), IF(ISERROR(H142-2),"",I141*(1-$D$8*(H142-H141)*0.0001)))</f>
        <v/>
      </c>
      <c r="J142" s="39" t="str">
        <f t="shared" ca="1" si="18"/>
        <v/>
      </c>
      <c r="K142" s="41" t="str">
        <f t="shared" ca="1" si="19"/>
        <v/>
      </c>
      <c r="L142" s="41" t="str">
        <f ca="1">IF($A142="","",IF(COUNTIFS(Dividends!$G:$G,"&gt;"&amp;INT($A141),Dividends!$G:$G,"&lt;="&amp;INT($A142))=0,"",$H$2*SUMIFS(Dividends!$H:$H,Dividends!$G:$G,"&gt;"&amp;INT($A141),Dividends!$G:$G,"&lt;="&amp;INT($A142))))</f>
        <v/>
      </c>
      <c r="M142" s="42" t="str">
        <f ca="1">IF(ISERROR(B142-2),"",C142+D142-F142-G142-K142+SUM($L$14:L142))</f>
        <v/>
      </c>
      <c r="U142" s="3" t="str">
        <f t="shared" si="20"/>
        <v/>
      </c>
      <c r="V142" s="3" t="str">
        <f t="shared" si="21"/>
        <v/>
      </c>
      <c r="Z142" s="3">
        <v>45978</v>
      </c>
      <c r="AA142" s="4">
        <v>244.98150000000001</v>
      </c>
      <c r="AB142" s="74">
        <v>45978</v>
      </c>
      <c r="AC142" s="4">
        <v>266.43900000000002</v>
      </c>
      <c r="AD142" s="6">
        <f t="shared" si="22"/>
        <v>45978</v>
      </c>
    </row>
    <row r="143" spans="1:30" x14ac:dyDescent="0.25">
      <c r="A143" s="37" t="str">
        <f t="shared" ref="A143:A204" ca="1" si="23">IF(AND(ISBLANK(W132), A142 = $W$1),NOW(),IF(ISBLANK(W132),"",W132))</f>
        <v/>
      </c>
      <c r="B143" s="38" t="str">
        <f ca="1">IF(COUNTIF($W$2:W1128,A143)=1,VLOOKUP(A143,O:P,2), IF(COUNTIF($W$2:W1128,A143)=0,$B$9,""))</f>
        <v/>
      </c>
      <c r="C143" s="2" t="str">
        <f t="shared" ca="1" si="14"/>
        <v/>
      </c>
      <c r="D143" s="41" t="str">
        <f t="shared" ca="1" si="15"/>
        <v/>
      </c>
      <c r="E143" s="38" t="str">
        <f ca="1">IF(COUNTIF($W$2:W1128,A143)=1,VLOOKUP(A143,Q:R,2), IF(COUNTIF($W$2:W1128,A143)=0,$C$9,""))</f>
        <v/>
      </c>
      <c r="F143" s="2" t="str">
        <f t="shared" ca="1" si="16"/>
        <v/>
      </c>
      <c r="G143" s="41" t="str">
        <f t="shared" ca="1" si="17"/>
        <v/>
      </c>
      <c r="H143" s="38" t="str">
        <f ca="1">IF(COUNTIF($W$2:W1128,A143)=1,VLOOKUP(A143,S:T,2), IF(COUNTIF($W$2:W1128,A143)=0,$D$9,""))</f>
        <v/>
      </c>
      <c r="I143" s="39" t="str">
        <f ca="1">IF(COUNTIF($X$2:X1128,INT(A143))=1,VLOOKUP(INT(A143),X:Y,2), IF(ISERROR(H143-2),"",I142*(1-$D$8*(H143-H142)*0.0001)))</f>
        <v/>
      </c>
      <c r="J143" s="39" t="str">
        <f t="shared" ca="1" si="18"/>
        <v/>
      </c>
      <c r="K143" s="41" t="str">
        <f t="shared" ca="1" si="19"/>
        <v/>
      </c>
      <c r="L143" s="41" t="str">
        <f ca="1">IF($A143="","",IF(COUNTIFS(Dividends!$G:$G,"&gt;"&amp;INT($A142),Dividends!$G:$G,"&lt;="&amp;INT($A143))=0,"",$H$2*SUMIFS(Dividends!$H:$H,Dividends!$G:$G,"&gt;"&amp;INT($A142),Dividends!$G:$G,"&lt;="&amp;INT($A143))))</f>
        <v/>
      </c>
      <c r="M143" s="42" t="str">
        <f ca="1">IF(ISERROR(B143-2),"",C143+D143-F143-G143-K143+SUM($L$14:L143))</f>
        <v/>
      </c>
      <c r="U143" s="3" t="str">
        <f t="shared" si="20"/>
        <v/>
      </c>
      <c r="V143" s="3" t="str">
        <f t="shared" si="21"/>
        <v/>
      </c>
      <c r="Z143" s="3">
        <v>45979</v>
      </c>
      <c r="AA143" s="4">
        <v>244.39429999999999</v>
      </c>
      <c r="AB143" s="74">
        <v>45979</v>
      </c>
      <c r="AC143" s="4">
        <v>272.28399999999999</v>
      </c>
      <c r="AD143" s="6">
        <f t="shared" si="22"/>
        <v>45979</v>
      </c>
    </row>
    <row r="144" spans="1:30" x14ac:dyDescent="0.25">
      <c r="A144" s="37" t="str">
        <f t="shared" ca="1" si="23"/>
        <v/>
      </c>
      <c r="B144" s="38" t="str">
        <f ca="1">IF(COUNTIF($W$2:W1129,A144)=1,VLOOKUP(A144,O:P,2), IF(COUNTIF($W$2:W1129,A144)=0,$B$9,""))</f>
        <v/>
      </c>
      <c r="C144" s="2" t="str">
        <f t="shared" ref="C144:C204" ca="1" si="24">IF(ISERROR(B144-2),"",(B144/$B$14-1)*$B$5)</f>
        <v/>
      </c>
      <c r="D144" s="41" t="str">
        <f t="shared" ref="D144:D204" ca="1" si="25">IF(ISERROR(B144-2),"",-1*(INT(A144)-INT($A$14))/360*$B$7*$B$5)</f>
        <v/>
      </c>
      <c r="E144" s="38" t="str">
        <f ca="1">IF(COUNTIF($W$2:W1129,A144)=1,VLOOKUP(A144,Q:R,2), IF(COUNTIF($W$2:W1129,A144)=0,$C$9,""))</f>
        <v/>
      </c>
      <c r="F144" s="2" t="str">
        <f t="shared" ref="F144:F204" ca="1" si="26">IF(ISERROR(B144-2),"",(E144-$E$14)/100*$C$5)</f>
        <v/>
      </c>
      <c r="G144" s="41" t="str">
        <f t="shared" ref="G144:G204" ca="1" si="27">IF(ISERROR(B144-2),"",(INT(A144)-INT($A$14))/360*$C$6*$C$5-(INT(A144)-INT($A$14))/360*$C$7*$C$5*$E$14/100)</f>
        <v/>
      </c>
      <c r="H144" s="38" t="str">
        <f ca="1">IF(COUNTIF($W$2:W1129,A144)=1,VLOOKUP(A144,S:T,2), IF(COUNTIF($W$2:W1129,A144)=0,$D$9,""))</f>
        <v/>
      </c>
      <c r="I144" s="39" t="str">
        <f ca="1">IF(COUNTIF($X$2:X1129,INT(A144))=1,VLOOKUP(INT(A144),X:Y,2), IF(ISERROR(H144-2),"",I143*(1-$D$8*(H144-H143)*0.0001)))</f>
        <v/>
      </c>
      <c r="J144" s="39" t="str">
        <f t="shared" ref="J144:J204" ca="1" si="28">IF(ISERROR(H144-2),"",I144)</f>
        <v/>
      </c>
      <c r="K144" s="41" t="str">
        <f t="shared" ref="K144:K204" ca="1" si="29">IF(ISERROR(H144-2),"",(J144/$J$14-1)*$D$5)</f>
        <v/>
      </c>
      <c r="L144" s="41" t="str">
        <f ca="1">IF($A144="","",IF(COUNTIFS(Dividends!$G:$G,"&gt;"&amp;INT($A143),Dividends!$G:$G,"&lt;="&amp;INT($A144))=0,"",$H$2*SUMIFS(Dividends!$H:$H,Dividends!$G:$G,"&gt;"&amp;INT($A143),Dividends!$G:$G,"&lt;="&amp;INT($A144))))</f>
        <v/>
      </c>
      <c r="M144" s="42" t="str">
        <f ca="1">IF(ISERROR(B144-2),"",C144+D144-F144-G144-K144+SUM($L$14:L144))</f>
        <v/>
      </c>
      <c r="U144" s="3" t="str">
        <f t="shared" si="20"/>
        <v/>
      </c>
      <c r="V144" s="3" t="str">
        <f t="shared" si="21"/>
        <v/>
      </c>
      <c r="Z144" s="3">
        <v>45980</v>
      </c>
      <c r="AA144" s="4">
        <v>244.95580000000001</v>
      </c>
      <c r="AB144" s="74">
        <v>45980</v>
      </c>
      <c r="AC144" s="4">
        <v>267.14499999999998</v>
      </c>
      <c r="AD144" s="6">
        <f t="shared" si="22"/>
        <v>45980</v>
      </c>
    </row>
    <row r="145" spans="1:30" x14ac:dyDescent="0.25">
      <c r="A145" s="37" t="str">
        <f t="shared" ca="1" si="23"/>
        <v/>
      </c>
      <c r="B145" s="38" t="str">
        <f ca="1">IF(COUNTIF($W$2:W1130,A145)=1,VLOOKUP(A145,O:P,2), IF(COUNTIF($W$2:W1130,A145)=0,$B$9,""))</f>
        <v/>
      </c>
      <c r="C145" s="2" t="str">
        <f t="shared" ca="1" si="24"/>
        <v/>
      </c>
      <c r="D145" s="41" t="str">
        <f t="shared" ca="1" si="25"/>
        <v/>
      </c>
      <c r="E145" s="38" t="str">
        <f ca="1">IF(COUNTIF($W$2:W1130,A145)=1,VLOOKUP(A145,Q:R,2), IF(COUNTIF($W$2:W1130,A145)=0,$C$9,""))</f>
        <v/>
      </c>
      <c r="F145" s="2" t="str">
        <f t="shared" ca="1" si="26"/>
        <v/>
      </c>
      <c r="G145" s="41" t="str">
        <f t="shared" ca="1" si="27"/>
        <v/>
      </c>
      <c r="H145" s="38" t="str">
        <f ca="1">IF(COUNTIF($W$2:W1130,A145)=1,VLOOKUP(A145,S:T,2), IF(COUNTIF($W$2:W1130,A145)=0,$D$9,""))</f>
        <v/>
      </c>
      <c r="I145" s="39" t="str">
        <f ca="1">IF(COUNTIF($X$2:X1130,INT(A145))=1,VLOOKUP(INT(A145),X:Y,2), IF(ISERROR(H145-2),"",I144*(1-$D$8*(H145-H144)*0.0001)))</f>
        <v/>
      </c>
      <c r="J145" s="39" t="str">
        <f t="shared" ca="1" si="28"/>
        <v/>
      </c>
      <c r="K145" s="41" t="str">
        <f t="shared" ca="1" si="29"/>
        <v/>
      </c>
      <c r="L145" s="41" t="str">
        <f ca="1">IF($A145="","",IF(COUNTIFS(Dividends!$G:$G,"&gt;"&amp;INT($A144),Dividends!$G:$G,"&lt;="&amp;INT($A145))=0,"",$H$2*SUMIFS(Dividends!$H:$H,Dividends!$G:$G,"&gt;"&amp;INT($A144),Dividends!$G:$G,"&lt;="&amp;INT($A145))))</f>
        <v/>
      </c>
      <c r="M145" s="42" t="str">
        <f ca="1">IF(ISERROR(B145-2),"",C145+D145-F145-G145-K145+SUM($L$14:L145))</f>
        <v/>
      </c>
      <c r="U145" s="3" t="str">
        <f t="shared" si="20"/>
        <v/>
      </c>
      <c r="V145" s="3" t="str">
        <f t="shared" si="21"/>
        <v/>
      </c>
      <c r="Z145" s="3">
        <v>45981</v>
      </c>
      <c r="AA145" s="4">
        <v>245.47790000000001</v>
      </c>
      <c r="AB145" s="74">
        <v>45981</v>
      </c>
      <c r="AC145" s="4">
        <v>265.76900000000001</v>
      </c>
      <c r="AD145" s="6">
        <f t="shared" si="22"/>
        <v>45981</v>
      </c>
    </row>
    <row r="146" spans="1:30" x14ac:dyDescent="0.25">
      <c r="A146" s="37" t="str">
        <f t="shared" ca="1" si="23"/>
        <v/>
      </c>
      <c r="B146" s="38" t="str">
        <f ca="1">IF(COUNTIF($W$2:W1131,A146)=1,VLOOKUP(A146,O:P,2), IF(COUNTIF($W$2:W1131,A146)=0,$B$9,""))</f>
        <v/>
      </c>
      <c r="C146" s="2" t="str">
        <f t="shared" ca="1" si="24"/>
        <v/>
      </c>
      <c r="D146" s="41" t="str">
        <f t="shared" ca="1" si="25"/>
        <v/>
      </c>
      <c r="E146" s="38" t="str">
        <f ca="1">IF(COUNTIF($W$2:W1131,A146)=1,VLOOKUP(A146,Q:R,2), IF(COUNTIF($W$2:W1131,A146)=0,$C$9,""))</f>
        <v/>
      </c>
      <c r="F146" s="2" t="str">
        <f t="shared" ca="1" si="26"/>
        <v/>
      </c>
      <c r="G146" s="41" t="str">
        <f t="shared" ca="1" si="27"/>
        <v/>
      </c>
      <c r="H146" s="38" t="str">
        <f ca="1">IF(COUNTIF($W$2:W1131,A146)=1,VLOOKUP(A146,S:T,2), IF(COUNTIF($W$2:W1131,A146)=0,$D$9,""))</f>
        <v/>
      </c>
      <c r="I146" s="39" t="str">
        <f ca="1">IF(COUNTIF($X$2:X1131,INT(A146))=1,VLOOKUP(INT(A146),X:Y,2), IF(ISERROR(H146-2),"",I145*(1-$D$8*(H146-H145)*0.0001)))</f>
        <v/>
      </c>
      <c r="J146" s="39" t="str">
        <f t="shared" ca="1" si="28"/>
        <v/>
      </c>
      <c r="K146" s="41" t="str">
        <f t="shared" ca="1" si="29"/>
        <v/>
      </c>
      <c r="L146" s="41" t="str">
        <f ca="1">IF($A146="","",IF(COUNTIFS(Dividends!$G:$G,"&gt;"&amp;INT($A145),Dividends!$G:$G,"&lt;="&amp;INT($A146))=0,"",$H$2*SUMIFS(Dividends!$H:$H,Dividends!$G:$G,"&gt;"&amp;INT($A145),Dividends!$G:$G,"&lt;="&amp;INT($A146))))</f>
        <v/>
      </c>
      <c r="M146" s="42" t="str">
        <f ca="1">IF(ISERROR(B146-2),"",C146+D146-F146-G146-K146+SUM($L$14:L146))</f>
        <v/>
      </c>
      <c r="U146" s="3" t="str">
        <f t="shared" si="20"/>
        <v/>
      </c>
      <c r="V146" s="3" t="str">
        <f t="shared" si="21"/>
        <v/>
      </c>
      <c r="Z146" s="3">
        <v>45982</v>
      </c>
      <c r="AA146" s="4">
        <v>244.55760000000001</v>
      </c>
      <c r="AB146" s="74">
        <v>45982</v>
      </c>
      <c r="AC146" s="4">
        <v>267.34800000000001</v>
      </c>
      <c r="AD146" s="6">
        <f t="shared" si="22"/>
        <v>45982</v>
      </c>
    </row>
    <row r="147" spans="1:30" x14ac:dyDescent="0.25">
      <c r="A147" s="37" t="str">
        <f t="shared" ca="1" si="23"/>
        <v/>
      </c>
      <c r="B147" s="38" t="str">
        <f ca="1">IF(COUNTIF($W$2:W1132,A147)=1,VLOOKUP(A147,O:P,2), IF(COUNTIF($W$2:W1132,A147)=0,$B$9,""))</f>
        <v/>
      </c>
      <c r="C147" s="2" t="str">
        <f t="shared" ca="1" si="24"/>
        <v/>
      </c>
      <c r="D147" s="41" t="str">
        <f t="shared" ca="1" si="25"/>
        <v/>
      </c>
      <c r="E147" s="38" t="str">
        <f ca="1">IF(COUNTIF($W$2:W1132,A147)=1,VLOOKUP(A147,Q:R,2), IF(COUNTIF($W$2:W1132,A147)=0,$C$9,""))</f>
        <v/>
      </c>
      <c r="F147" s="2" t="str">
        <f t="shared" ca="1" si="26"/>
        <v/>
      </c>
      <c r="G147" s="41" t="str">
        <f t="shared" ca="1" si="27"/>
        <v/>
      </c>
      <c r="H147" s="38" t="str">
        <f ca="1">IF(COUNTIF($W$2:W1132,A147)=1,VLOOKUP(A147,S:T,2), IF(COUNTIF($W$2:W1132,A147)=0,$D$9,""))</f>
        <v/>
      </c>
      <c r="I147" s="39" t="str">
        <f ca="1">IF(COUNTIF($X$2:X1132,INT(A147))=1,VLOOKUP(INT(A147),X:Y,2), IF(ISERROR(H147-2),"",I146*(1-$D$8*(H147-H146)*0.0001)))</f>
        <v/>
      </c>
      <c r="J147" s="39" t="str">
        <f t="shared" ca="1" si="28"/>
        <v/>
      </c>
      <c r="K147" s="41" t="str">
        <f t="shared" ca="1" si="29"/>
        <v/>
      </c>
      <c r="L147" s="41" t="str">
        <f ca="1">IF($A147="","",IF(COUNTIFS(Dividends!$G:$G,"&gt;"&amp;INT($A146),Dividends!$G:$G,"&lt;="&amp;INT($A147))=0,"",$H$2*SUMIFS(Dividends!$H:$H,Dividends!$G:$G,"&gt;"&amp;INT($A146),Dividends!$G:$G,"&lt;="&amp;INT($A147))))</f>
        <v/>
      </c>
      <c r="M147" s="42" t="str">
        <f ca="1">IF(ISERROR(B147-2),"",C147+D147-F147-G147-K147+SUM($L$14:L147))</f>
        <v/>
      </c>
      <c r="U147" s="3" t="str">
        <f t="shared" si="20"/>
        <v/>
      </c>
      <c r="V147" s="3" t="str">
        <f t="shared" si="21"/>
        <v/>
      </c>
      <c r="Z147" s="3">
        <v>45985</v>
      </c>
      <c r="AA147" s="4">
        <v>245.57339999999999</v>
      </c>
      <c r="AB147" s="74">
        <v>45985</v>
      </c>
      <c r="AC147" s="4">
        <v>264.28199999999998</v>
      </c>
      <c r="AD147" s="6">
        <f t="shared" si="22"/>
        <v>45985</v>
      </c>
    </row>
    <row r="148" spans="1:30" x14ac:dyDescent="0.25">
      <c r="A148" s="37" t="str">
        <f t="shared" ca="1" si="23"/>
        <v/>
      </c>
      <c r="B148" s="38" t="str">
        <f ca="1">IF(COUNTIF($W$2:W1133,A148)=1,VLOOKUP(A148,O:P,2), IF(COUNTIF($W$2:W1133,A148)=0,$B$9,""))</f>
        <v/>
      </c>
      <c r="C148" s="2" t="str">
        <f t="shared" ca="1" si="24"/>
        <v/>
      </c>
      <c r="D148" s="41" t="str">
        <f t="shared" ca="1" si="25"/>
        <v/>
      </c>
      <c r="E148" s="38" t="str">
        <f ca="1">IF(COUNTIF($W$2:W1133,A148)=1,VLOOKUP(A148,Q:R,2), IF(COUNTIF($W$2:W1133,A148)=0,$C$9,""))</f>
        <v/>
      </c>
      <c r="F148" s="2" t="str">
        <f t="shared" ca="1" si="26"/>
        <v/>
      </c>
      <c r="G148" s="41" t="str">
        <f t="shared" ca="1" si="27"/>
        <v/>
      </c>
      <c r="H148" s="38" t="str">
        <f ca="1">IF(COUNTIF($W$2:W1133,A148)=1,VLOOKUP(A148,S:T,2), IF(COUNTIF($W$2:W1133,A148)=0,$D$9,""))</f>
        <v/>
      </c>
      <c r="I148" s="39" t="str">
        <f ca="1">IF(COUNTIF($X$2:X1133,INT(A148))=1,VLOOKUP(INT(A148),X:Y,2), IF(ISERROR(H148-2),"",I147*(1-$D$8*(H148-H147)*0.0001)))</f>
        <v/>
      </c>
      <c r="J148" s="39" t="str">
        <f t="shared" ca="1" si="28"/>
        <v/>
      </c>
      <c r="K148" s="41" t="str">
        <f t="shared" ca="1" si="29"/>
        <v/>
      </c>
      <c r="L148" s="41" t="str">
        <f ca="1">IF($A148="","",IF(COUNTIFS(Dividends!$G:$G,"&gt;"&amp;INT($A147),Dividends!$G:$G,"&lt;="&amp;INT($A148))=0,"",$H$2*SUMIFS(Dividends!$H:$H,Dividends!$G:$G,"&gt;"&amp;INT($A147),Dividends!$G:$G,"&lt;="&amp;INT($A148))))</f>
        <v/>
      </c>
      <c r="M148" s="42" t="str">
        <f ca="1">IF(ISERROR(B148-2),"",C148+D148-F148-G148-K148+SUM($L$14:L148))</f>
        <v/>
      </c>
      <c r="U148" s="3" t="str">
        <f t="shared" si="20"/>
        <v/>
      </c>
      <c r="V148" s="3" t="str">
        <f t="shared" si="21"/>
        <v/>
      </c>
      <c r="Z148" s="3">
        <v>45986</v>
      </c>
      <c r="AA148" s="4">
        <v>245.78149999999999</v>
      </c>
      <c r="AB148" s="74">
        <v>45986</v>
      </c>
      <c r="AC148" s="4">
        <v>260.93599999999998</v>
      </c>
      <c r="AD148" s="6">
        <f t="shared" si="22"/>
        <v>45986</v>
      </c>
    </row>
    <row r="149" spans="1:30" x14ac:dyDescent="0.25">
      <c r="A149" s="37" t="str">
        <f t="shared" ca="1" si="23"/>
        <v/>
      </c>
      <c r="B149" s="38" t="str">
        <f ca="1">IF(COUNTIF($W$2:W1134,A149)=1,VLOOKUP(A149,O:P,2), IF(COUNTIF($W$2:W1134,A149)=0,$B$9,""))</f>
        <v/>
      </c>
      <c r="C149" s="2" t="str">
        <f t="shared" ca="1" si="24"/>
        <v/>
      </c>
      <c r="D149" s="41" t="str">
        <f t="shared" ca="1" si="25"/>
        <v/>
      </c>
      <c r="E149" s="38" t="str">
        <f ca="1">IF(COUNTIF($W$2:W1134,A149)=1,VLOOKUP(A149,Q:R,2), IF(COUNTIF($W$2:W1134,A149)=0,$C$9,""))</f>
        <v/>
      </c>
      <c r="F149" s="2" t="str">
        <f t="shared" ca="1" si="26"/>
        <v/>
      </c>
      <c r="G149" s="41" t="str">
        <f t="shared" ca="1" si="27"/>
        <v/>
      </c>
      <c r="H149" s="38" t="str">
        <f ca="1">IF(COUNTIF($W$2:W1134,A149)=1,VLOOKUP(A149,S:T,2), IF(COUNTIF($W$2:W1134,A149)=0,$D$9,""))</f>
        <v/>
      </c>
      <c r="I149" s="39" t="str">
        <f ca="1">IF(COUNTIF($X$2:X1134,INT(A149))=1,VLOOKUP(INT(A149),X:Y,2), IF(ISERROR(H149-2),"",I148*(1-$D$8*(H149-H148)*0.0001)))</f>
        <v/>
      </c>
      <c r="J149" s="39" t="str">
        <f t="shared" ca="1" si="28"/>
        <v/>
      </c>
      <c r="K149" s="41" t="str">
        <f t="shared" ca="1" si="29"/>
        <v/>
      </c>
      <c r="L149" s="41" t="str">
        <f ca="1">IF($A149="","",IF(COUNTIFS(Dividends!$G:$G,"&gt;"&amp;INT($A148),Dividends!$G:$G,"&lt;="&amp;INT($A149))=0,"",$H$2*SUMIFS(Dividends!$H:$H,Dividends!$G:$G,"&gt;"&amp;INT($A148),Dividends!$G:$G,"&lt;="&amp;INT($A149))))</f>
        <v/>
      </c>
      <c r="M149" s="42" t="str">
        <f ca="1">IF(ISERROR(B149-2),"",C149+D149-F149-G149-K149+SUM($L$14:L149))</f>
        <v/>
      </c>
      <c r="U149" s="3" t="str">
        <f t="shared" si="20"/>
        <v/>
      </c>
      <c r="V149" s="3" t="str">
        <f t="shared" si="21"/>
        <v/>
      </c>
      <c r="Z149" s="3">
        <v>45987</v>
      </c>
      <c r="AA149" s="4">
        <v>246.1097</v>
      </c>
      <c r="AB149" s="74">
        <v>45987</v>
      </c>
      <c r="AC149" s="4">
        <v>258.24200000000002</v>
      </c>
      <c r="AD149" s="6">
        <f t="shared" si="22"/>
        <v>45987</v>
      </c>
    </row>
    <row r="150" spans="1:30" x14ac:dyDescent="0.25">
      <c r="A150" s="37" t="str">
        <f t="shared" ca="1" si="23"/>
        <v/>
      </c>
      <c r="B150" s="38" t="str">
        <f ca="1">IF(COUNTIF($W$2:W1135,A150)=1,VLOOKUP(A150,O:P,2), IF(COUNTIF($W$2:W1135,A150)=0,$B$9,""))</f>
        <v/>
      </c>
      <c r="C150" s="2" t="str">
        <f t="shared" ca="1" si="24"/>
        <v/>
      </c>
      <c r="D150" s="41" t="str">
        <f t="shared" ca="1" si="25"/>
        <v/>
      </c>
      <c r="E150" s="38" t="str">
        <f ca="1">IF(COUNTIF($W$2:W1135,A150)=1,VLOOKUP(A150,Q:R,2), IF(COUNTIF($W$2:W1135,A150)=0,$C$9,""))</f>
        <v/>
      </c>
      <c r="F150" s="2" t="str">
        <f t="shared" ca="1" si="26"/>
        <v/>
      </c>
      <c r="G150" s="41" t="str">
        <f t="shared" ca="1" si="27"/>
        <v/>
      </c>
      <c r="H150" s="38" t="str">
        <f ca="1">IF(COUNTIF($W$2:W1135,A150)=1,VLOOKUP(A150,S:T,2), IF(COUNTIF($W$2:W1135,A150)=0,$D$9,""))</f>
        <v/>
      </c>
      <c r="I150" s="39" t="str">
        <f ca="1">IF(COUNTIF($X$2:X1135,INT(A150))=1,VLOOKUP(INT(A150),X:Y,2), IF(ISERROR(H150-2),"",I149*(1-$D$8*(H150-H149)*0.0001)))</f>
        <v/>
      </c>
      <c r="J150" s="39" t="str">
        <f t="shared" ca="1" si="28"/>
        <v/>
      </c>
      <c r="K150" s="41" t="str">
        <f t="shared" ca="1" si="29"/>
        <v/>
      </c>
      <c r="L150" s="41" t="str">
        <f ca="1">IF($A150="","",IF(COUNTIFS(Dividends!$G:$G,"&gt;"&amp;INT($A149),Dividends!$G:$G,"&lt;="&amp;INT($A150))=0,"",$H$2*SUMIFS(Dividends!$H:$H,Dividends!$G:$G,"&gt;"&amp;INT($A149),Dividends!$G:$G,"&lt;="&amp;INT($A150))))</f>
        <v/>
      </c>
      <c r="M150" s="42" t="str">
        <f ca="1">IF(ISERROR(B150-2),"",C150+D150-F150-G150-K150+SUM($L$14:L150))</f>
        <v/>
      </c>
      <c r="U150" s="3" t="str">
        <f t="shared" si="20"/>
        <v/>
      </c>
      <c r="V150" s="3" t="str">
        <f t="shared" si="21"/>
        <v/>
      </c>
      <c r="Z150" s="3">
        <v>45988</v>
      </c>
      <c r="AA150" s="4">
        <v>246.30340000000001</v>
      </c>
      <c r="AB150" s="74">
        <v>45988</v>
      </c>
      <c r="AC150" s="4">
        <v>257.72500000000002</v>
      </c>
      <c r="AD150" s="6">
        <f t="shared" si="22"/>
        <v>45988</v>
      </c>
    </row>
    <row r="151" spans="1:30" x14ac:dyDescent="0.25">
      <c r="A151" s="37" t="str">
        <f t="shared" ca="1" si="23"/>
        <v/>
      </c>
      <c r="B151" s="38" t="str">
        <f ca="1">IF(COUNTIF($W$2:W1136,A151)=1,VLOOKUP(A151,O:P,2), IF(COUNTIF($W$2:W1136,A151)=0,$B$9,""))</f>
        <v/>
      </c>
      <c r="C151" s="2" t="str">
        <f t="shared" ca="1" si="24"/>
        <v/>
      </c>
      <c r="D151" s="41" t="str">
        <f t="shared" ca="1" si="25"/>
        <v/>
      </c>
      <c r="E151" s="38" t="str">
        <f ca="1">IF(COUNTIF($W$2:W1136,A151)=1,VLOOKUP(A151,Q:R,2), IF(COUNTIF($W$2:W1136,A151)=0,$C$9,""))</f>
        <v/>
      </c>
      <c r="F151" s="2" t="str">
        <f t="shared" ca="1" si="26"/>
        <v/>
      </c>
      <c r="G151" s="41" t="str">
        <f t="shared" ca="1" si="27"/>
        <v/>
      </c>
      <c r="H151" s="38" t="str">
        <f ca="1">IF(COUNTIF($W$2:W1136,A151)=1,VLOOKUP(A151,S:T,2), IF(COUNTIF($W$2:W1136,A151)=0,$D$9,""))</f>
        <v/>
      </c>
      <c r="I151" s="39" t="str">
        <f ca="1">IF(COUNTIF($X$2:X1136,INT(A151))=1,VLOOKUP(INT(A151),X:Y,2), IF(ISERROR(H151-2),"",I150*(1-$D$8*(H151-H150)*0.0001)))</f>
        <v/>
      </c>
      <c r="J151" s="39" t="str">
        <f t="shared" ca="1" si="28"/>
        <v/>
      </c>
      <c r="K151" s="41" t="str">
        <f t="shared" ca="1" si="29"/>
        <v/>
      </c>
      <c r="L151" s="41" t="str">
        <f ca="1">IF($A151="","",IF(COUNTIFS(Dividends!$G:$G,"&gt;"&amp;INT($A150),Dividends!$G:$G,"&lt;="&amp;INT($A151))=0,"",$H$2*SUMIFS(Dividends!$H:$H,Dividends!$G:$G,"&gt;"&amp;INT($A150),Dividends!$G:$G,"&lt;="&amp;INT($A151))))</f>
        <v/>
      </c>
      <c r="M151" s="42" t="str">
        <f ca="1">IF(ISERROR(B151-2),"",C151+D151-F151-G151-K151+SUM($L$14:L151))</f>
        <v/>
      </c>
      <c r="U151" s="3" t="str">
        <f t="shared" si="20"/>
        <v/>
      </c>
      <c r="V151" s="3" t="str">
        <f t="shared" si="21"/>
        <v/>
      </c>
      <c r="Z151" s="3">
        <v>45989</v>
      </c>
      <c r="AA151" s="4">
        <v>246.51609999999999</v>
      </c>
      <c r="AB151" s="74">
        <v>45989</v>
      </c>
      <c r="AC151" s="4">
        <v>255.52199999999999</v>
      </c>
      <c r="AD151" s="6">
        <f t="shared" si="22"/>
        <v>45989</v>
      </c>
    </row>
    <row r="152" spans="1:30" x14ac:dyDescent="0.25">
      <c r="A152" s="37" t="str">
        <f t="shared" ca="1" si="23"/>
        <v/>
      </c>
      <c r="B152" s="38" t="str">
        <f ca="1">IF(COUNTIF($W$2:W1137,A152)=1,VLOOKUP(A152,O:P,2), IF(COUNTIF($W$2:W1137,A152)=0,$B$9,""))</f>
        <v/>
      </c>
      <c r="C152" s="2" t="str">
        <f t="shared" ca="1" si="24"/>
        <v/>
      </c>
      <c r="D152" s="41" t="str">
        <f t="shared" ca="1" si="25"/>
        <v/>
      </c>
      <c r="E152" s="38" t="str">
        <f ca="1">IF(COUNTIF($W$2:W1137,A152)=1,VLOOKUP(A152,Q:R,2), IF(COUNTIF($W$2:W1137,A152)=0,$C$9,""))</f>
        <v/>
      </c>
      <c r="F152" s="2" t="str">
        <f t="shared" ca="1" si="26"/>
        <v/>
      </c>
      <c r="G152" s="41" t="str">
        <f t="shared" ca="1" si="27"/>
        <v/>
      </c>
      <c r="H152" s="38" t="str">
        <f ca="1">IF(COUNTIF($W$2:W1137,A152)=1,VLOOKUP(A152,S:T,2), IF(COUNTIF($W$2:W1137,A152)=0,$D$9,""))</f>
        <v/>
      </c>
      <c r="I152" s="39" t="str">
        <f ca="1">IF(COUNTIF($X$2:X1137,INT(A152))=1,VLOOKUP(INT(A152),X:Y,2), IF(ISERROR(H152-2),"",I151*(1-$D$8*(H152-H151)*0.0001)))</f>
        <v/>
      </c>
      <c r="J152" s="39" t="str">
        <f t="shared" ca="1" si="28"/>
        <v/>
      </c>
      <c r="K152" s="41" t="str">
        <f t="shared" ca="1" si="29"/>
        <v/>
      </c>
      <c r="L152" s="41" t="str">
        <f ca="1">IF($A152="","",IF(COUNTIFS(Dividends!$G:$G,"&gt;"&amp;INT($A151),Dividends!$G:$G,"&lt;="&amp;INT($A152))=0,"",$H$2*SUMIFS(Dividends!$H:$H,Dividends!$G:$G,"&gt;"&amp;INT($A151),Dividends!$G:$G,"&lt;="&amp;INT($A152))))</f>
        <v/>
      </c>
      <c r="M152" s="42" t="str">
        <f ca="1">IF(ISERROR(B152-2),"",C152+D152-F152-G152-K152+SUM($L$14:L152))</f>
        <v/>
      </c>
      <c r="U152" s="3" t="str">
        <f t="shared" si="20"/>
        <v/>
      </c>
      <c r="V152" s="3" t="str">
        <f t="shared" si="21"/>
        <v/>
      </c>
      <c r="Z152" s="3">
        <v>45992</v>
      </c>
      <c r="AA152" s="4">
        <v>246.52199999999999</v>
      </c>
      <c r="AB152" s="74">
        <v>45992</v>
      </c>
      <c r="AC152" s="4">
        <v>256.12799999999999</v>
      </c>
      <c r="AD152" s="6">
        <f t="shared" si="22"/>
        <v>45992</v>
      </c>
    </row>
    <row r="153" spans="1:30" x14ac:dyDescent="0.25">
      <c r="A153" s="37" t="str">
        <f t="shared" ca="1" si="23"/>
        <v/>
      </c>
      <c r="B153" s="38" t="str">
        <f ca="1">IF(COUNTIF($W$2:W1138,A153)=1,VLOOKUP(A153,O:P,2), IF(COUNTIF($W$2:W1138,A153)=0,$B$9,""))</f>
        <v/>
      </c>
      <c r="C153" s="2" t="str">
        <f t="shared" ca="1" si="24"/>
        <v/>
      </c>
      <c r="D153" s="41" t="str">
        <f t="shared" ca="1" si="25"/>
        <v/>
      </c>
      <c r="E153" s="38" t="str">
        <f ca="1">IF(COUNTIF($W$2:W1138,A153)=1,VLOOKUP(A153,Q:R,2), IF(COUNTIF($W$2:W1138,A153)=0,$C$9,""))</f>
        <v/>
      </c>
      <c r="F153" s="2" t="str">
        <f t="shared" ca="1" si="26"/>
        <v/>
      </c>
      <c r="G153" s="41" t="str">
        <f t="shared" ca="1" si="27"/>
        <v/>
      </c>
      <c r="H153" s="38" t="str">
        <f ca="1">IF(COUNTIF($W$2:W1138,A153)=1,VLOOKUP(A153,S:T,2), IF(COUNTIF($W$2:W1138,A153)=0,$D$9,""))</f>
        <v/>
      </c>
      <c r="I153" s="39" t="str">
        <f ca="1">IF(COUNTIF($X$2:X1138,INT(A153))=1,VLOOKUP(INT(A153),X:Y,2), IF(ISERROR(H153-2),"",I152*(1-$D$8*(H153-H152)*0.0001)))</f>
        <v/>
      </c>
      <c r="J153" s="39" t="str">
        <f t="shared" ca="1" si="28"/>
        <v/>
      </c>
      <c r="K153" s="41" t="str">
        <f t="shared" ca="1" si="29"/>
        <v/>
      </c>
      <c r="L153" s="41" t="str">
        <f ca="1">IF($A153="","",IF(COUNTIFS(Dividends!$G:$G,"&gt;"&amp;INT($A152),Dividends!$G:$G,"&lt;="&amp;INT($A153))=0,"",$H$2*SUMIFS(Dividends!$H:$H,Dividends!$G:$G,"&gt;"&amp;INT($A152),Dividends!$G:$G,"&lt;="&amp;INT($A153))))</f>
        <v/>
      </c>
      <c r="M153" s="42" t="str">
        <f ca="1">IF(ISERROR(B153-2),"",C153+D153-F153-G153-K153+SUM($L$14:L153))</f>
        <v/>
      </c>
      <c r="U153" s="3" t="str">
        <f t="shared" si="20"/>
        <v/>
      </c>
      <c r="V153" s="3" t="str">
        <f t="shared" si="21"/>
        <v/>
      </c>
      <c r="Z153" s="3">
        <v>45993</v>
      </c>
      <c r="AA153" s="4">
        <v>246.64009999999999</v>
      </c>
      <c r="AB153" s="74">
        <v>45993</v>
      </c>
      <c r="AC153" s="4">
        <v>255.16499999999999</v>
      </c>
      <c r="AD153" s="6">
        <f t="shared" si="22"/>
        <v>45993</v>
      </c>
    </row>
    <row r="154" spans="1:30" x14ac:dyDescent="0.25">
      <c r="A154" s="37" t="str">
        <f t="shared" ca="1" si="23"/>
        <v/>
      </c>
      <c r="B154" s="38" t="str">
        <f ca="1">IF(COUNTIF($W$2:W1139,A154)=1,VLOOKUP(A154,O:P,2), IF(COUNTIF($W$2:W1139,A154)=0,$B$9,""))</f>
        <v/>
      </c>
      <c r="C154" s="2" t="str">
        <f t="shared" ca="1" si="24"/>
        <v/>
      </c>
      <c r="D154" s="41" t="str">
        <f t="shared" ca="1" si="25"/>
        <v/>
      </c>
      <c r="E154" s="38" t="str">
        <f ca="1">IF(COUNTIF($W$2:W1139,A154)=1,VLOOKUP(A154,Q:R,2), IF(COUNTIF($W$2:W1139,A154)=0,$C$9,""))</f>
        <v/>
      </c>
      <c r="F154" s="2" t="str">
        <f t="shared" ca="1" si="26"/>
        <v/>
      </c>
      <c r="G154" s="41" t="str">
        <f t="shared" ca="1" si="27"/>
        <v/>
      </c>
      <c r="H154" s="38" t="str">
        <f ca="1">IF(COUNTIF($W$2:W1139,A154)=1,VLOOKUP(A154,S:T,2), IF(COUNTIF($W$2:W1139,A154)=0,$D$9,""))</f>
        <v/>
      </c>
      <c r="I154" s="39" t="str">
        <f ca="1">IF(COUNTIF($X$2:X1139,INT(A154))=1,VLOOKUP(INT(A154),X:Y,2), IF(ISERROR(H154-2),"",I153*(1-$D$8*(H154-H153)*0.0001)))</f>
        <v/>
      </c>
      <c r="J154" s="39" t="str">
        <f t="shared" ca="1" si="28"/>
        <v/>
      </c>
      <c r="K154" s="41" t="str">
        <f t="shared" ca="1" si="29"/>
        <v/>
      </c>
      <c r="L154" s="41" t="str">
        <f ca="1">IF($A154="","",IF(COUNTIFS(Dividends!$G:$G,"&gt;"&amp;INT($A153),Dividends!$G:$G,"&lt;="&amp;INT($A154))=0,"",$H$2*SUMIFS(Dividends!$H:$H,Dividends!$G:$G,"&gt;"&amp;INT($A153),Dividends!$G:$G,"&lt;="&amp;INT($A154))))</f>
        <v/>
      </c>
      <c r="M154" s="42" t="str">
        <f ca="1">IF(ISERROR(B154-2),"",C154+D154-F154-G154-K154+SUM($L$14:L154))</f>
        <v/>
      </c>
      <c r="U154" s="3" t="str">
        <f t="shared" si="20"/>
        <v/>
      </c>
      <c r="V154" s="3" t="str">
        <f t="shared" si="21"/>
        <v/>
      </c>
      <c r="Z154" s="3">
        <v>45994</v>
      </c>
      <c r="AA154" s="4">
        <v>246.69659999999999</v>
      </c>
      <c r="AB154" s="74">
        <v>45994</v>
      </c>
      <c r="AC154" s="4">
        <v>254.90700000000001</v>
      </c>
      <c r="AD154" s="6">
        <f t="shared" si="22"/>
        <v>45994</v>
      </c>
    </row>
    <row r="155" spans="1:30" x14ac:dyDescent="0.25">
      <c r="A155" s="37" t="str">
        <f t="shared" ca="1" si="23"/>
        <v/>
      </c>
      <c r="B155" s="38" t="str">
        <f ca="1">IF(COUNTIF($W$2:W1140,A155)=1,VLOOKUP(A155,O:P,2), IF(COUNTIF($W$2:W1140,A155)=0,$B$9,""))</f>
        <v/>
      </c>
      <c r="C155" s="2" t="str">
        <f t="shared" ca="1" si="24"/>
        <v/>
      </c>
      <c r="D155" s="41" t="str">
        <f t="shared" ca="1" si="25"/>
        <v/>
      </c>
      <c r="E155" s="38" t="str">
        <f ca="1">IF(COUNTIF($W$2:W1140,A155)=1,VLOOKUP(A155,Q:R,2), IF(COUNTIF($W$2:W1140,A155)=0,$C$9,""))</f>
        <v/>
      </c>
      <c r="F155" s="2" t="str">
        <f t="shared" ca="1" si="26"/>
        <v/>
      </c>
      <c r="G155" s="41" t="str">
        <f t="shared" ca="1" si="27"/>
        <v/>
      </c>
      <c r="H155" s="38" t="str">
        <f ca="1">IF(COUNTIF($W$2:W1140,A155)=1,VLOOKUP(A155,S:T,2), IF(COUNTIF($W$2:W1140,A155)=0,$D$9,""))</f>
        <v/>
      </c>
      <c r="I155" s="39" t="str">
        <f ca="1">IF(COUNTIF($X$2:X1140,INT(A155))=1,VLOOKUP(INT(A155),X:Y,2), IF(ISERROR(H155-2),"",I154*(1-$D$8*(H155-H154)*0.0001)))</f>
        <v/>
      </c>
      <c r="J155" s="39" t="str">
        <f t="shared" ca="1" si="28"/>
        <v/>
      </c>
      <c r="K155" s="41" t="str">
        <f t="shared" ca="1" si="29"/>
        <v/>
      </c>
      <c r="L155" s="41" t="str">
        <f ca="1">IF($A155="","",IF(COUNTIFS(Dividends!$G:$G,"&gt;"&amp;INT($A154),Dividends!$G:$G,"&lt;="&amp;INT($A155))=0,"",$H$2*SUMIFS(Dividends!$H:$H,Dividends!$G:$G,"&gt;"&amp;INT($A154),Dividends!$G:$G,"&lt;="&amp;INT($A155))))</f>
        <v/>
      </c>
      <c r="M155" s="42" t="str">
        <f ca="1">IF(ISERROR(B155-2),"",C155+D155-F155-G155-K155+SUM($L$14:L155))</f>
        <v/>
      </c>
      <c r="U155" s="3" t="str">
        <f t="shared" si="20"/>
        <v/>
      </c>
      <c r="V155" s="3" t="str">
        <f t="shared" si="21"/>
        <v/>
      </c>
      <c r="Z155" s="3">
        <v>45995</v>
      </c>
      <c r="AA155" s="4">
        <v>246.7276</v>
      </c>
      <c r="AB155" s="74">
        <v>45995</v>
      </c>
      <c r="AC155" s="4">
        <v>254.619</v>
      </c>
      <c r="AD155" s="6">
        <f t="shared" si="22"/>
        <v>45995</v>
      </c>
    </row>
    <row r="156" spans="1:30" x14ac:dyDescent="0.25">
      <c r="A156" s="37" t="str">
        <f t="shared" ca="1" si="23"/>
        <v/>
      </c>
      <c r="B156" s="38" t="str">
        <f ca="1">IF(COUNTIF($W$2:W1141,A156)=1,VLOOKUP(A156,O:P,2), IF(COUNTIF($W$2:W1141,A156)=0,$B$9,""))</f>
        <v/>
      </c>
      <c r="C156" s="2" t="str">
        <f t="shared" ca="1" si="24"/>
        <v/>
      </c>
      <c r="D156" s="41" t="str">
        <f t="shared" ca="1" si="25"/>
        <v/>
      </c>
      <c r="E156" s="38" t="str">
        <f ca="1">IF(COUNTIF($W$2:W1141,A156)=1,VLOOKUP(A156,Q:R,2), IF(COUNTIF($W$2:W1141,A156)=0,$C$9,""))</f>
        <v/>
      </c>
      <c r="F156" s="2" t="str">
        <f t="shared" ca="1" si="26"/>
        <v/>
      </c>
      <c r="G156" s="41" t="str">
        <f t="shared" ca="1" si="27"/>
        <v/>
      </c>
      <c r="H156" s="38" t="str">
        <f ca="1">IF(COUNTIF($W$2:W1141,A156)=1,VLOOKUP(A156,S:T,2), IF(COUNTIF($W$2:W1141,A156)=0,$D$9,""))</f>
        <v/>
      </c>
      <c r="I156" s="39" t="str">
        <f ca="1">IF(COUNTIF($X$2:X1141,INT(A156))=1,VLOOKUP(INT(A156),X:Y,2), IF(ISERROR(H156-2),"",I155*(1-$D$8*(H156-H155)*0.0001)))</f>
        <v/>
      </c>
      <c r="J156" s="39" t="str">
        <f t="shared" ca="1" si="28"/>
        <v/>
      </c>
      <c r="K156" s="41" t="str">
        <f t="shared" ca="1" si="29"/>
        <v/>
      </c>
      <c r="L156" s="41" t="str">
        <f ca="1">IF($A156="","",IF(COUNTIFS(Dividends!$G:$G,"&gt;"&amp;INT($A155),Dividends!$G:$G,"&lt;="&amp;INT($A156))=0,"",$H$2*SUMIFS(Dividends!$H:$H,Dividends!$G:$G,"&gt;"&amp;INT($A155),Dividends!$G:$G,"&lt;="&amp;INT($A156))))</f>
        <v/>
      </c>
      <c r="M156" s="42" t="str">
        <f ca="1">IF(ISERROR(B156-2),"",C156+D156-F156-G156-K156+SUM($L$14:L156))</f>
        <v/>
      </c>
      <c r="U156" s="3" t="str">
        <f t="shared" si="20"/>
        <v/>
      </c>
      <c r="V156" s="3" t="str">
        <f t="shared" si="21"/>
        <v/>
      </c>
      <c r="Z156" s="3">
        <v>45996</v>
      </c>
      <c r="AA156" s="4">
        <v>246.92910000000001</v>
      </c>
      <c r="AB156" s="74">
        <v>45996</v>
      </c>
      <c r="AC156" s="4">
        <v>252.95500000000001</v>
      </c>
      <c r="AD156" s="6">
        <f t="shared" si="22"/>
        <v>45996</v>
      </c>
    </row>
    <row r="157" spans="1:30" x14ac:dyDescent="0.25">
      <c r="A157" s="37" t="str">
        <f t="shared" ca="1" si="23"/>
        <v/>
      </c>
      <c r="B157" s="38" t="str">
        <f ca="1">IF(COUNTIF($W$2:W1142,A157)=1,VLOOKUP(A157,O:P,2), IF(COUNTIF($W$2:W1142,A157)=0,$B$9,""))</f>
        <v/>
      </c>
      <c r="C157" s="2" t="str">
        <f t="shared" ca="1" si="24"/>
        <v/>
      </c>
      <c r="D157" s="41" t="str">
        <f t="shared" ca="1" si="25"/>
        <v/>
      </c>
      <c r="E157" s="38" t="str">
        <f ca="1">IF(COUNTIF($W$2:W1142,A157)=1,VLOOKUP(A157,Q:R,2), IF(COUNTIF($W$2:W1142,A157)=0,$C$9,""))</f>
        <v/>
      </c>
      <c r="F157" s="2" t="str">
        <f t="shared" ca="1" si="26"/>
        <v/>
      </c>
      <c r="G157" s="41" t="str">
        <f t="shared" ca="1" si="27"/>
        <v/>
      </c>
      <c r="H157" s="38" t="str">
        <f ca="1">IF(COUNTIF($W$2:W1142,A157)=1,VLOOKUP(A157,S:T,2), IF(COUNTIF($W$2:W1142,A157)=0,$D$9,""))</f>
        <v/>
      </c>
      <c r="I157" s="39" t="str">
        <f ca="1">IF(COUNTIF($X$2:X1142,INT(A157))=1,VLOOKUP(INT(A157),X:Y,2), IF(ISERROR(H157-2),"",I156*(1-$D$8*(H157-H156)*0.0001)))</f>
        <v/>
      </c>
      <c r="J157" s="39" t="str">
        <f t="shared" ca="1" si="28"/>
        <v/>
      </c>
      <c r="K157" s="41" t="str">
        <f t="shared" ca="1" si="29"/>
        <v/>
      </c>
      <c r="L157" s="41" t="str">
        <f ca="1">IF($A157="","",IF(COUNTIFS(Dividends!$G:$G,"&gt;"&amp;INT($A156),Dividends!$G:$G,"&lt;="&amp;INT($A157))=0,"",$H$2*SUMIFS(Dividends!$H:$H,Dividends!$G:$G,"&gt;"&amp;INT($A156),Dividends!$G:$G,"&lt;="&amp;INT($A157))))</f>
        <v/>
      </c>
      <c r="M157" s="42" t="str">
        <f ca="1">IF(ISERROR(B157-2),"",C157+D157-F157-G157-K157+SUM($L$14:L157))</f>
        <v/>
      </c>
      <c r="U157" s="3" t="str">
        <f t="shared" si="20"/>
        <v/>
      </c>
      <c r="V157" s="3" t="str">
        <f t="shared" si="21"/>
        <v/>
      </c>
      <c r="Z157" s="3">
        <v>45999</v>
      </c>
      <c r="AA157" s="4">
        <v>246.71809999999999</v>
      </c>
      <c r="AB157" s="74">
        <v>45999</v>
      </c>
      <c r="AC157" s="4">
        <v>256.38</v>
      </c>
      <c r="AD157" s="6">
        <f t="shared" si="22"/>
        <v>45999</v>
      </c>
    </row>
    <row r="158" spans="1:30" x14ac:dyDescent="0.25">
      <c r="A158" s="37" t="str">
        <f t="shared" ca="1" si="23"/>
        <v/>
      </c>
      <c r="B158" s="38" t="str">
        <f ca="1">IF(COUNTIF($W$2:W1143,A158)=1,VLOOKUP(A158,O:P,2), IF(COUNTIF($W$2:W1143,A158)=0,$B$9,""))</f>
        <v/>
      </c>
      <c r="C158" s="2" t="str">
        <f t="shared" ca="1" si="24"/>
        <v/>
      </c>
      <c r="D158" s="41" t="str">
        <f t="shared" ca="1" si="25"/>
        <v/>
      </c>
      <c r="E158" s="38" t="str">
        <f ca="1">IF(COUNTIF($W$2:W1143,A158)=1,VLOOKUP(A158,Q:R,2), IF(COUNTIF($W$2:W1143,A158)=0,$C$9,""))</f>
        <v/>
      </c>
      <c r="F158" s="2" t="str">
        <f t="shared" ca="1" si="26"/>
        <v/>
      </c>
      <c r="G158" s="41" t="str">
        <f t="shared" ca="1" si="27"/>
        <v/>
      </c>
      <c r="H158" s="38" t="str">
        <f ca="1">IF(COUNTIF($W$2:W1143,A158)=1,VLOOKUP(A158,S:T,2), IF(COUNTIF($W$2:W1143,A158)=0,$D$9,""))</f>
        <v/>
      </c>
      <c r="I158" s="39" t="str">
        <f ca="1">IF(COUNTIF($X$2:X1143,INT(A158))=1,VLOOKUP(INT(A158),X:Y,2), IF(ISERROR(H158-2),"",I157*(1-$D$8*(H158-H157)*0.0001)))</f>
        <v/>
      </c>
      <c r="J158" s="39" t="str">
        <f t="shared" ca="1" si="28"/>
        <v/>
      </c>
      <c r="K158" s="41" t="str">
        <f t="shared" ca="1" si="29"/>
        <v/>
      </c>
      <c r="L158" s="41" t="str">
        <f ca="1">IF($A158="","",IF(COUNTIFS(Dividends!$G:$G,"&gt;"&amp;INT($A157),Dividends!$G:$G,"&lt;="&amp;INT($A158))=0,"",$H$2*SUMIFS(Dividends!$H:$H,Dividends!$G:$G,"&gt;"&amp;INT($A157),Dividends!$G:$G,"&lt;="&amp;INT($A158))))</f>
        <v/>
      </c>
      <c r="M158" s="42" t="str">
        <f ca="1">IF(ISERROR(B158-2),"",C158+D158-F158-G158-K158+SUM($L$14:L158))</f>
        <v/>
      </c>
      <c r="U158" s="3" t="str">
        <f t="shared" si="20"/>
        <v/>
      </c>
      <c r="V158" s="3" t="str">
        <f t="shared" si="21"/>
        <v/>
      </c>
      <c r="Z158" s="3">
        <v>46000</v>
      </c>
      <c r="AA158" s="4">
        <v>246.76429999999999</v>
      </c>
      <c r="AB158" s="74">
        <v>46000</v>
      </c>
      <c r="AC158" s="4">
        <v>254.755</v>
      </c>
      <c r="AD158" s="6">
        <f t="shared" si="22"/>
        <v>46000</v>
      </c>
    </row>
    <row r="159" spans="1:30" x14ac:dyDescent="0.25">
      <c r="A159" s="37" t="str">
        <f t="shared" ca="1" si="23"/>
        <v/>
      </c>
      <c r="B159" s="38" t="str">
        <f ca="1">IF(COUNTIF($W$2:W1144,A159)=1,VLOOKUP(A159,O:P,2), IF(COUNTIF($W$2:W1144,A159)=0,$B$9,""))</f>
        <v/>
      </c>
      <c r="C159" s="2" t="str">
        <f t="shared" ca="1" si="24"/>
        <v/>
      </c>
      <c r="D159" s="41" t="str">
        <f t="shared" ca="1" si="25"/>
        <v/>
      </c>
      <c r="E159" s="38" t="str">
        <f ca="1">IF(COUNTIF($W$2:W1144,A159)=1,VLOOKUP(A159,Q:R,2), IF(COUNTIF($W$2:W1144,A159)=0,$C$9,""))</f>
        <v/>
      </c>
      <c r="F159" s="2" t="str">
        <f t="shared" ca="1" si="26"/>
        <v/>
      </c>
      <c r="G159" s="41" t="str">
        <f t="shared" ca="1" si="27"/>
        <v/>
      </c>
      <c r="H159" s="38" t="str">
        <f ca="1">IF(COUNTIF($W$2:W1144,A159)=1,VLOOKUP(A159,S:T,2), IF(COUNTIF($W$2:W1144,A159)=0,$D$9,""))</f>
        <v/>
      </c>
      <c r="I159" s="39" t="str">
        <f ca="1">IF(COUNTIF($X$2:X1144,INT(A159))=1,VLOOKUP(INT(A159),X:Y,2), IF(ISERROR(H159-2),"",I158*(1-$D$8*(H159-H158)*0.0001)))</f>
        <v/>
      </c>
      <c r="J159" s="39" t="str">
        <f t="shared" ca="1" si="28"/>
        <v/>
      </c>
      <c r="K159" s="41" t="str">
        <f t="shared" ca="1" si="29"/>
        <v/>
      </c>
      <c r="L159" s="41" t="str">
        <f ca="1">IF($A159="","",IF(COUNTIFS(Dividends!$G:$G,"&gt;"&amp;INT($A158),Dividends!$G:$G,"&lt;="&amp;INT($A159))=0,"",$H$2*SUMIFS(Dividends!$H:$H,Dividends!$G:$G,"&gt;"&amp;INT($A158),Dividends!$G:$G,"&lt;="&amp;INT($A159))))</f>
        <v/>
      </c>
      <c r="M159" s="42" t="str">
        <f ca="1">IF(ISERROR(B159-2),"",C159+D159-F159-G159-K159+SUM($L$14:L159))</f>
        <v/>
      </c>
      <c r="U159" s="3" t="str">
        <f t="shared" si="20"/>
        <v/>
      </c>
      <c r="V159" s="3" t="str">
        <f t="shared" si="21"/>
        <v/>
      </c>
      <c r="Z159" s="3">
        <v>46001</v>
      </c>
      <c r="AA159" s="4">
        <v>246.89660000000001</v>
      </c>
      <c r="AB159" s="74">
        <v>46001</v>
      </c>
      <c r="AC159" s="4">
        <v>253.602</v>
      </c>
      <c r="AD159" s="6">
        <f t="shared" si="22"/>
        <v>46001</v>
      </c>
    </row>
    <row r="160" spans="1:30" x14ac:dyDescent="0.25">
      <c r="A160" s="37" t="str">
        <f t="shared" ca="1" si="23"/>
        <v/>
      </c>
      <c r="B160" s="38" t="str">
        <f ca="1">IF(COUNTIF($W$2:W1145,A160)=1,VLOOKUP(A160,O:P,2), IF(COUNTIF($W$2:W1145,A160)=0,$B$9,""))</f>
        <v/>
      </c>
      <c r="C160" s="2" t="str">
        <f t="shared" ca="1" si="24"/>
        <v/>
      </c>
      <c r="D160" s="41" t="str">
        <f t="shared" ca="1" si="25"/>
        <v/>
      </c>
      <c r="E160" s="38" t="str">
        <f ca="1">IF(COUNTIF($W$2:W1145,A160)=1,VLOOKUP(A160,Q:R,2), IF(COUNTIF($W$2:W1145,A160)=0,$C$9,""))</f>
        <v/>
      </c>
      <c r="F160" s="2" t="str">
        <f t="shared" ca="1" si="26"/>
        <v/>
      </c>
      <c r="G160" s="41" t="str">
        <f t="shared" ca="1" si="27"/>
        <v/>
      </c>
      <c r="H160" s="38" t="str">
        <f ca="1">IF(COUNTIF($W$2:W1145,A160)=1,VLOOKUP(A160,S:T,2), IF(COUNTIF($W$2:W1145,A160)=0,$D$9,""))</f>
        <v/>
      </c>
      <c r="I160" s="39" t="str">
        <f ca="1">IF(COUNTIF($X$2:X1145,INT(A160))=1,VLOOKUP(INT(A160),X:Y,2), IF(ISERROR(H160-2),"",I159*(1-$D$8*(H160-H159)*0.0001)))</f>
        <v/>
      </c>
      <c r="J160" s="39" t="str">
        <f t="shared" ca="1" si="28"/>
        <v/>
      </c>
      <c r="K160" s="41" t="str">
        <f t="shared" ca="1" si="29"/>
        <v/>
      </c>
      <c r="L160" s="41" t="str">
        <f ca="1">IF($A160="","",IF(COUNTIFS(Dividends!$G:$G,"&gt;"&amp;INT($A159),Dividends!$G:$G,"&lt;="&amp;INT($A160))=0,"",$H$2*SUMIFS(Dividends!$H:$H,Dividends!$G:$G,"&gt;"&amp;INT($A159),Dividends!$G:$G,"&lt;="&amp;INT($A160))))</f>
        <v/>
      </c>
      <c r="M160" s="42" t="str">
        <f ca="1">IF(ISERROR(B160-2),"",C160+D160-F160-G160-K160+SUM($L$14:L160))</f>
        <v/>
      </c>
      <c r="U160" s="3" t="str">
        <f t="shared" si="20"/>
        <v/>
      </c>
      <c r="V160" s="3" t="str">
        <f t="shared" si="21"/>
        <v/>
      </c>
      <c r="Z160" s="3">
        <v>46002</v>
      </c>
      <c r="AA160" s="4">
        <v>247.6378</v>
      </c>
      <c r="AB160" s="74">
        <v>46002</v>
      </c>
      <c r="AC160" s="4">
        <v>247.48400000000001</v>
      </c>
      <c r="AD160" s="6">
        <f t="shared" si="22"/>
        <v>46002</v>
      </c>
    </row>
    <row r="161" spans="1:30" x14ac:dyDescent="0.25">
      <c r="A161" s="37" t="str">
        <f t="shared" ca="1" si="23"/>
        <v/>
      </c>
      <c r="B161" s="38" t="str">
        <f ca="1">IF(COUNTIF($W$2:W1146,A161)=1,VLOOKUP(A161,O:P,2), IF(COUNTIF($W$2:W1146,A161)=0,$B$9,""))</f>
        <v/>
      </c>
      <c r="C161" s="2" t="str">
        <f t="shared" ca="1" si="24"/>
        <v/>
      </c>
      <c r="D161" s="41" t="str">
        <f t="shared" ca="1" si="25"/>
        <v/>
      </c>
      <c r="E161" s="38" t="str">
        <f ca="1">IF(COUNTIF($W$2:W1146,A161)=1,VLOOKUP(A161,Q:R,2), IF(COUNTIF($W$2:W1146,A161)=0,$C$9,""))</f>
        <v/>
      </c>
      <c r="F161" s="2" t="str">
        <f t="shared" ca="1" si="26"/>
        <v/>
      </c>
      <c r="G161" s="41" t="str">
        <f t="shared" ca="1" si="27"/>
        <v/>
      </c>
      <c r="H161" s="38" t="str">
        <f ca="1">IF(COUNTIF($W$2:W1146,A161)=1,VLOOKUP(A161,S:T,2), IF(COUNTIF($W$2:W1146,A161)=0,$D$9,""))</f>
        <v/>
      </c>
      <c r="I161" s="39" t="str">
        <f ca="1">IF(COUNTIF($X$2:X1146,INT(A161))=1,VLOOKUP(INT(A161),X:Y,2), IF(ISERROR(H161-2),"",I160*(1-$D$8*(H161-H160)*0.0001)))</f>
        <v/>
      </c>
      <c r="J161" s="39" t="str">
        <f t="shared" ca="1" si="28"/>
        <v/>
      </c>
      <c r="K161" s="41" t="str">
        <f t="shared" ca="1" si="29"/>
        <v/>
      </c>
      <c r="L161" s="41" t="str">
        <f ca="1">IF($A161="","",IF(COUNTIFS(Dividends!$G:$G,"&gt;"&amp;INT($A160),Dividends!$G:$G,"&lt;="&amp;INT($A161))=0,"",$H$2*SUMIFS(Dividends!$H:$H,Dividends!$G:$G,"&gt;"&amp;INT($A160),Dividends!$G:$G,"&lt;="&amp;INT($A161))))</f>
        <v/>
      </c>
      <c r="M161" s="42" t="str">
        <f ca="1">IF(ISERROR(B161-2),"",C161+D161-F161-G161-K161+SUM($L$14:L161))</f>
        <v/>
      </c>
      <c r="U161" s="3" t="str">
        <f t="shared" si="20"/>
        <v/>
      </c>
      <c r="V161" s="3" t="str">
        <f t="shared" si="21"/>
        <v/>
      </c>
      <c r="Z161" s="3">
        <v>46003</v>
      </c>
      <c r="AA161" s="4">
        <v>247.29140000000001</v>
      </c>
      <c r="AB161" s="74">
        <v>46003</v>
      </c>
      <c r="AC161" s="4">
        <v>251.251</v>
      </c>
      <c r="AD161" s="6">
        <f t="shared" si="22"/>
        <v>46003</v>
      </c>
    </row>
    <row r="162" spans="1:30" x14ac:dyDescent="0.25">
      <c r="A162" s="37" t="str">
        <f t="shared" ca="1" si="23"/>
        <v/>
      </c>
      <c r="B162" s="38" t="str">
        <f ca="1">IF(COUNTIF($W$2:W1147,A162)=1,VLOOKUP(A162,O:P,2), IF(COUNTIF($W$2:W1147,A162)=0,$B$9,""))</f>
        <v/>
      </c>
      <c r="C162" s="2" t="str">
        <f t="shared" ca="1" si="24"/>
        <v/>
      </c>
      <c r="D162" s="41" t="str">
        <f t="shared" ca="1" si="25"/>
        <v/>
      </c>
      <c r="E162" s="38" t="str">
        <f ca="1">IF(COUNTIF($W$2:W1147,A162)=1,VLOOKUP(A162,Q:R,2), IF(COUNTIF($W$2:W1147,A162)=0,$C$9,""))</f>
        <v/>
      </c>
      <c r="F162" s="2" t="str">
        <f t="shared" ca="1" si="26"/>
        <v/>
      </c>
      <c r="G162" s="41" t="str">
        <f t="shared" ca="1" si="27"/>
        <v/>
      </c>
      <c r="H162" s="38" t="str">
        <f ca="1">IF(COUNTIF($W$2:W1147,A162)=1,VLOOKUP(A162,S:T,2), IF(COUNTIF($W$2:W1147,A162)=0,$D$9,""))</f>
        <v/>
      </c>
      <c r="I162" s="39" t="str">
        <f ca="1">IF(COUNTIF($X$2:X1147,INT(A162))=1,VLOOKUP(INT(A162),X:Y,2), IF(ISERROR(H162-2),"",I161*(1-$D$8*(H162-H161)*0.0001)))</f>
        <v/>
      </c>
      <c r="J162" s="39" t="str">
        <f t="shared" ca="1" si="28"/>
        <v/>
      </c>
      <c r="K162" s="41" t="str">
        <f t="shared" ca="1" si="29"/>
        <v/>
      </c>
      <c r="L162" s="41" t="str">
        <f ca="1">IF($A162="","",IF(COUNTIFS(Dividends!$G:$G,"&gt;"&amp;INT($A161),Dividends!$G:$G,"&lt;="&amp;INT($A162))=0,"",$H$2*SUMIFS(Dividends!$H:$H,Dividends!$G:$G,"&gt;"&amp;INT($A161),Dividends!$G:$G,"&lt;="&amp;INT($A162))))</f>
        <v/>
      </c>
      <c r="M162" s="42" t="str">
        <f ca="1">IF(ISERROR(B162-2),"",C162+D162-F162-G162-K162+SUM($L$14:L162))</f>
        <v/>
      </c>
      <c r="U162" s="3" t="str">
        <f t="shared" si="20"/>
        <v/>
      </c>
      <c r="V162" s="3" t="str">
        <f t="shared" si="21"/>
        <v/>
      </c>
      <c r="Z162" s="3">
        <v>46006</v>
      </c>
      <c r="AA162" s="4">
        <v>247.6292</v>
      </c>
      <c r="AB162" s="74">
        <v>46006</v>
      </c>
      <c r="AC162" s="4">
        <v>248.71100000000001</v>
      </c>
      <c r="AD162" s="6">
        <f t="shared" si="22"/>
        <v>46006</v>
      </c>
    </row>
    <row r="163" spans="1:30" x14ac:dyDescent="0.25">
      <c r="A163" s="37" t="str">
        <f t="shared" ca="1" si="23"/>
        <v/>
      </c>
      <c r="B163" s="38" t="str">
        <f ca="1">IF(COUNTIF($W$2:W1148,A163)=1,VLOOKUP(A163,O:P,2), IF(COUNTIF($W$2:W1148,A163)=0,$B$9,""))</f>
        <v/>
      </c>
      <c r="C163" s="2" t="str">
        <f t="shared" ca="1" si="24"/>
        <v/>
      </c>
      <c r="D163" s="41" t="str">
        <f t="shared" ca="1" si="25"/>
        <v/>
      </c>
      <c r="E163" s="38" t="str">
        <f ca="1">IF(COUNTIF($W$2:W1148,A163)=1,VLOOKUP(A163,Q:R,2), IF(COUNTIF($W$2:W1148,A163)=0,$C$9,""))</f>
        <v/>
      </c>
      <c r="F163" s="2" t="str">
        <f t="shared" ca="1" si="26"/>
        <v/>
      </c>
      <c r="G163" s="41" t="str">
        <f t="shared" ca="1" si="27"/>
        <v/>
      </c>
      <c r="H163" s="38" t="str">
        <f ca="1">IF(COUNTIF($W$2:W1148,A163)=1,VLOOKUP(A163,S:T,2), IF(COUNTIF($W$2:W1148,A163)=0,$D$9,""))</f>
        <v/>
      </c>
      <c r="I163" s="39" t="str">
        <f ca="1">IF(COUNTIF($X$2:X1148,INT(A163))=1,VLOOKUP(INT(A163),X:Y,2), IF(ISERROR(H163-2),"",I162*(1-$D$8*(H163-H162)*0.0001)))</f>
        <v/>
      </c>
      <c r="J163" s="39" t="str">
        <f t="shared" ca="1" si="28"/>
        <v/>
      </c>
      <c r="K163" s="41" t="str">
        <f t="shared" ca="1" si="29"/>
        <v/>
      </c>
      <c r="L163" s="41" t="str">
        <f ca="1">IF($A163="","",IF(COUNTIFS(Dividends!$G:$G,"&gt;"&amp;INT($A162),Dividends!$G:$G,"&lt;="&amp;INT($A163))=0,"",$H$2*SUMIFS(Dividends!$H:$H,Dividends!$G:$G,"&gt;"&amp;INT($A162),Dividends!$G:$G,"&lt;="&amp;INT($A163))))</f>
        <v/>
      </c>
      <c r="M163" s="42" t="str">
        <f ca="1">IF(ISERROR(B163-2),"",C163+D163-F163-G163-K163+SUM($L$14:L163))</f>
        <v/>
      </c>
      <c r="U163" s="3" t="str">
        <f t="shared" si="20"/>
        <v/>
      </c>
      <c r="V163" s="3" t="str">
        <f t="shared" si="21"/>
        <v/>
      </c>
      <c r="Z163" s="3">
        <v>46007</v>
      </c>
      <c r="AA163" s="4">
        <v>247.4761</v>
      </c>
      <c r="AB163" s="74">
        <v>46007</v>
      </c>
      <c r="AC163" s="4">
        <v>250.40600000000001</v>
      </c>
      <c r="AD163" s="6">
        <f t="shared" si="22"/>
        <v>46007</v>
      </c>
    </row>
    <row r="164" spans="1:30" x14ac:dyDescent="0.25">
      <c r="A164" s="37" t="str">
        <f t="shared" ca="1" si="23"/>
        <v/>
      </c>
      <c r="B164" s="38" t="str">
        <f ca="1">IF(COUNTIF($W$2:W1149,A164)=1,VLOOKUP(A164,O:P,2), IF(COUNTIF($W$2:W1149,A164)=0,$B$9,""))</f>
        <v/>
      </c>
      <c r="C164" s="2" t="str">
        <f t="shared" ca="1" si="24"/>
        <v/>
      </c>
      <c r="D164" s="41" t="str">
        <f t="shared" ca="1" si="25"/>
        <v/>
      </c>
      <c r="E164" s="38" t="str">
        <f ca="1">IF(COUNTIF($W$2:W1149,A164)=1,VLOOKUP(A164,Q:R,2), IF(COUNTIF($W$2:W1149,A164)=0,$C$9,""))</f>
        <v/>
      </c>
      <c r="F164" s="2" t="str">
        <f t="shared" ca="1" si="26"/>
        <v/>
      </c>
      <c r="G164" s="41" t="str">
        <f t="shared" ca="1" si="27"/>
        <v/>
      </c>
      <c r="H164" s="38" t="str">
        <f ca="1">IF(COUNTIF($W$2:W1149,A164)=1,VLOOKUP(A164,S:T,2), IF(COUNTIF($W$2:W1149,A164)=0,$D$9,""))</f>
        <v/>
      </c>
      <c r="I164" s="39" t="str">
        <f ca="1">IF(COUNTIF($X$2:X1149,INT(A164))=1,VLOOKUP(INT(A164),X:Y,2), IF(ISERROR(H164-2),"",I163*(1-$D$8*(H164-H163)*0.0001)))</f>
        <v/>
      </c>
      <c r="J164" s="39" t="str">
        <f t="shared" ca="1" si="28"/>
        <v/>
      </c>
      <c r="K164" s="41" t="str">
        <f t="shared" ca="1" si="29"/>
        <v/>
      </c>
      <c r="L164" s="41" t="str">
        <f ca="1">IF($A164="","",IF(COUNTIFS(Dividends!$G:$G,"&gt;"&amp;INT($A163),Dividends!$G:$G,"&lt;="&amp;INT($A164))=0,"",$H$2*SUMIFS(Dividends!$H:$H,Dividends!$G:$G,"&gt;"&amp;INT($A163),Dividends!$G:$G,"&lt;="&amp;INT($A164))))</f>
        <v/>
      </c>
      <c r="M164" s="42" t="str">
        <f ca="1">IF(ISERROR(B164-2),"",C164+D164-F164-G164-K164+SUM($L$14:L164))</f>
        <v/>
      </c>
      <c r="U164" s="3" t="str">
        <f t="shared" si="20"/>
        <v/>
      </c>
      <c r="V164" s="3" t="str">
        <f t="shared" si="21"/>
        <v/>
      </c>
      <c r="Z164" s="3">
        <v>46008</v>
      </c>
      <c r="AA164" s="4">
        <v>247.34719999999999</v>
      </c>
      <c r="AB164" s="74">
        <v>46008</v>
      </c>
      <c r="AC164" s="4">
        <v>251.99100000000001</v>
      </c>
      <c r="AD164" s="6">
        <f t="shared" si="22"/>
        <v>46008</v>
      </c>
    </row>
    <row r="165" spans="1:30" x14ac:dyDescent="0.25">
      <c r="A165" s="37" t="str">
        <f t="shared" ca="1" si="23"/>
        <v/>
      </c>
      <c r="B165" s="38" t="str">
        <f ca="1">IF(COUNTIF($W$2:W1150,A165)=1,VLOOKUP(A165,O:P,2), IF(COUNTIF($W$2:W1150,A165)=0,$B$9,""))</f>
        <v/>
      </c>
      <c r="C165" s="2" t="str">
        <f t="shared" ca="1" si="24"/>
        <v/>
      </c>
      <c r="D165" s="41" t="str">
        <f t="shared" ca="1" si="25"/>
        <v/>
      </c>
      <c r="E165" s="38" t="str">
        <f ca="1">IF(COUNTIF($W$2:W1150,A165)=1,VLOOKUP(A165,Q:R,2), IF(COUNTIF($W$2:W1150,A165)=0,$C$9,""))</f>
        <v/>
      </c>
      <c r="F165" s="2" t="str">
        <f t="shared" ca="1" si="26"/>
        <v/>
      </c>
      <c r="G165" s="41" t="str">
        <f t="shared" ca="1" si="27"/>
        <v/>
      </c>
      <c r="H165" s="38" t="str">
        <f ca="1">IF(COUNTIF($W$2:W1150,A165)=1,VLOOKUP(A165,S:T,2), IF(COUNTIF($W$2:W1150,A165)=0,$D$9,""))</f>
        <v/>
      </c>
      <c r="I165" s="39" t="str">
        <f ca="1">IF(COUNTIF($X$2:X1150,INT(A165))=1,VLOOKUP(INT(A165),X:Y,2), IF(ISERROR(H165-2),"",I164*(1-$D$8*(H165-H164)*0.0001)))</f>
        <v/>
      </c>
      <c r="J165" s="39" t="str">
        <f t="shared" ca="1" si="28"/>
        <v/>
      </c>
      <c r="K165" s="41" t="str">
        <f t="shared" ca="1" si="29"/>
        <v/>
      </c>
      <c r="L165" s="41" t="str">
        <f ca="1">IF($A165="","",IF(COUNTIFS(Dividends!$G:$G,"&gt;"&amp;INT($A164),Dividends!$G:$G,"&lt;="&amp;INT($A165))=0,"",$H$2*SUMIFS(Dividends!$H:$H,Dividends!$G:$G,"&gt;"&amp;INT($A164),Dividends!$G:$G,"&lt;="&amp;INT($A165))))</f>
        <v/>
      </c>
      <c r="M165" s="42" t="str">
        <f ca="1">IF(ISERROR(B165-2),"",C165+D165-F165-G165-K165+SUM($L$14:L165))</f>
        <v/>
      </c>
      <c r="U165" s="3" t="str">
        <f t="shared" si="20"/>
        <v/>
      </c>
      <c r="V165" s="3" t="str">
        <f t="shared" si="21"/>
        <v/>
      </c>
      <c r="Z165" s="3">
        <v>46009</v>
      </c>
      <c r="AA165" s="4">
        <v>248.1044</v>
      </c>
      <c r="AB165" s="74">
        <v>46009</v>
      </c>
      <c r="AC165" s="4">
        <v>245.59399999999999</v>
      </c>
      <c r="AD165" s="6">
        <f t="shared" si="22"/>
        <v>46009</v>
      </c>
    </row>
    <row r="166" spans="1:30" x14ac:dyDescent="0.25">
      <c r="A166" s="37" t="str">
        <f t="shared" ca="1" si="23"/>
        <v/>
      </c>
      <c r="B166" s="38" t="str">
        <f ca="1">IF(COUNTIF($W$2:W1151,A166)=1,VLOOKUP(A166,O:P,2), IF(COUNTIF($W$2:W1151,A166)=0,$B$9,""))</f>
        <v/>
      </c>
      <c r="C166" s="2" t="str">
        <f t="shared" ca="1" si="24"/>
        <v/>
      </c>
      <c r="D166" s="41" t="str">
        <f t="shared" ca="1" si="25"/>
        <v/>
      </c>
      <c r="E166" s="38" t="str">
        <f ca="1">IF(COUNTIF($W$2:W1151,A166)=1,VLOOKUP(A166,Q:R,2), IF(COUNTIF($W$2:W1151,A166)=0,$C$9,""))</f>
        <v/>
      </c>
      <c r="F166" s="2" t="str">
        <f t="shared" ca="1" si="26"/>
        <v/>
      </c>
      <c r="G166" s="41" t="str">
        <f t="shared" ca="1" si="27"/>
        <v/>
      </c>
      <c r="H166" s="38" t="str">
        <f ca="1">IF(COUNTIF($W$2:W1151,A166)=1,VLOOKUP(A166,S:T,2), IF(COUNTIF($W$2:W1151,A166)=0,$D$9,""))</f>
        <v/>
      </c>
      <c r="I166" s="39" t="str">
        <f ca="1">IF(COUNTIF($X$2:X1151,INT(A166))=1,VLOOKUP(INT(A166),X:Y,2), IF(ISERROR(H166-2),"",I165*(1-$D$8*(H166-H165)*0.0001)))</f>
        <v/>
      </c>
      <c r="J166" s="39" t="str">
        <f t="shared" ca="1" si="28"/>
        <v/>
      </c>
      <c r="K166" s="41" t="str">
        <f t="shared" ca="1" si="29"/>
        <v/>
      </c>
      <c r="L166" s="41" t="str">
        <f ca="1">IF($A166="","",IF(COUNTIFS(Dividends!$G:$G,"&gt;"&amp;INT($A165),Dividends!$G:$G,"&lt;="&amp;INT($A166))=0,"",$H$2*SUMIFS(Dividends!$H:$H,Dividends!$G:$G,"&gt;"&amp;INT($A165),Dividends!$G:$G,"&lt;="&amp;INT($A166))))</f>
        <v/>
      </c>
      <c r="M166" s="42" t="str">
        <f ca="1">IF(ISERROR(B166-2),"",C166+D166-F166-G166-K166+SUM($L$14:L166))</f>
        <v/>
      </c>
      <c r="U166" s="3" t="str">
        <f t="shared" si="20"/>
        <v/>
      </c>
      <c r="V166" s="3" t="str">
        <f t="shared" si="21"/>
        <v/>
      </c>
      <c r="Z166" s="3">
        <v>46010</v>
      </c>
      <c r="AA166" s="4">
        <v>248.1113</v>
      </c>
      <c r="AB166" s="74">
        <v>46010</v>
      </c>
      <c r="AC166" s="4">
        <v>245.69</v>
      </c>
      <c r="AD166" s="6">
        <f t="shared" si="22"/>
        <v>46010</v>
      </c>
    </row>
    <row r="167" spans="1:30" x14ac:dyDescent="0.25">
      <c r="A167" s="37" t="str">
        <f t="shared" ca="1" si="23"/>
        <v/>
      </c>
      <c r="B167" s="38" t="str">
        <f ca="1">IF(COUNTIF($W$2:W1152,A167)=1,VLOOKUP(A167,O:P,2), IF(COUNTIF($W$2:W1152,A167)=0,$B$9,""))</f>
        <v/>
      </c>
      <c r="C167" s="2" t="str">
        <f t="shared" ca="1" si="24"/>
        <v/>
      </c>
      <c r="D167" s="41" t="str">
        <f t="shared" ca="1" si="25"/>
        <v/>
      </c>
      <c r="E167" s="38" t="str">
        <f ca="1">IF(COUNTIF($W$2:W1152,A167)=1,VLOOKUP(A167,Q:R,2), IF(COUNTIF($W$2:W1152,A167)=0,$C$9,""))</f>
        <v/>
      </c>
      <c r="F167" s="2" t="str">
        <f t="shared" ca="1" si="26"/>
        <v/>
      </c>
      <c r="G167" s="41" t="str">
        <f t="shared" ca="1" si="27"/>
        <v/>
      </c>
      <c r="H167" s="38" t="str">
        <f ca="1">IF(COUNTIF($W$2:W1152,A167)=1,VLOOKUP(A167,S:T,2), IF(COUNTIF($W$2:W1152,A167)=0,$D$9,""))</f>
        <v/>
      </c>
      <c r="I167" s="39" t="str">
        <f ca="1">IF(COUNTIF($X$2:X1152,INT(A167))=1,VLOOKUP(INT(A167),X:Y,2), IF(ISERROR(H167-2),"",I166*(1-$D$8*(H167-H166)*0.0001)))</f>
        <v/>
      </c>
      <c r="J167" s="39" t="str">
        <f t="shared" ca="1" si="28"/>
        <v/>
      </c>
      <c r="K167" s="41" t="str">
        <f t="shared" ca="1" si="29"/>
        <v/>
      </c>
      <c r="L167" s="41" t="str">
        <f ca="1">IF($A167="","",IF(COUNTIFS(Dividends!$G:$G,"&gt;"&amp;INT($A166),Dividends!$G:$G,"&lt;="&amp;INT($A167))=0,"",$H$2*SUMIFS(Dividends!$H:$H,Dividends!$G:$G,"&gt;"&amp;INT($A166),Dividends!$G:$G,"&lt;="&amp;INT($A167))))</f>
        <v/>
      </c>
      <c r="M167" s="42" t="str">
        <f ca="1">IF(ISERROR(B167-2),"",C167+D167-F167-G167-K167+SUM($L$14:L167))</f>
        <v/>
      </c>
      <c r="U167" s="3" t="str">
        <f t="shared" si="20"/>
        <v/>
      </c>
      <c r="V167" s="3" t="str">
        <f t="shared" si="21"/>
        <v/>
      </c>
      <c r="Z167" s="3">
        <v>46013</v>
      </c>
      <c r="AA167" s="4">
        <v>248.3845</v>
      </c>
      <c r="AB167" s="74">
        <v>46013</v>
      </c>
      <c r="AC167" s="4">
        <v>244.00800000000001</v>
      </c>
      <c r="AD167" s="6">
        <f t="shared" si="22"/>
        <v>46013</v>
      </c>
    </row>
    <row r="168" spans="1:30" x14ac:dyDescent="0.25">
      <c r="A168" s="37" t="str">
        <f t="shared" ca="1" si="23"/>
        <v/>
      </c>
      <c r="B168" s="38" t="str">
        <f ca="1">IF(COUNTIF($W$2:W1153,A168)=1,VLOOKUP(A168,O:P,2), IF(COUNTIF($W$2:W1153,A168)=0,$B$9,""))</f>
        <v/>
      </c>
      <c r="C168" s="2" t="str">
        <f t="shared" ca="1" si="24"/>
        <v/>
      </c>
      <c r="D168" s="41" t="str">
        <f t="shared" ca="1" si="25"/>
        <v/>
      </c>
      <c r="E168" s="38" t="str">
        <f ca="1">IF(COUNTIF($W$2:W1153,A168)=1,VLOOKUP(A168,Q:R,2), IF(COUNTIF($W$2:W1153,A168)=0,$C$9,""))</f>
        <v/>
      </c>
      <c r="F168" s="2" t="str">
        <f t="shared" ca="1" si="26"/>
        <v/>
      </c>
      <c r="G168" s="41" t="str">
        <f t="shared" ca="1" si="27"/>
        <v/>
      </c>
      <c r="H168" s="38" t="str">
        <f ca="1">IF(COUNTIF($W$2:W1153,A168)=1,VLOOKUP(A168,S:T,2), IF(COUNTIF($W$2:W1153,A168)=0,$D$9,""))</f>
        <v/>
      </c>
      <c r="I168" s="39" t="str">
        <f ca="1">IF(COUNTIF($X$2:X1153,INT(A168))=1,VLOOKUP(INT(A168),X:Y,2), IF(ISERROR(H168-2),"",I167*(1-$D$8*(H168-H167)*0.0001)))</f>
        <v/>
      </c>
      <c r="J168" s="39" t="str">
        <f t="shared" ca="1" si="28"/>
        <v/>
      </c>
      <c r="K168" s="41" t="str">
        <f t="shared" ca="1" si="29"/>
        <v/>
      </c>
      <c r="L168" s="41" t="str">
        <f ca="1">IF($A168="","",IF(COUNTIFS(Dividends!$G:$G,"&gt;"&amp;INT($A167),Dividends!$G:$G,"&lt;="&amp;INT($A168))=0,"",$H$2*SUMIFS(Dividends!$H:$H,Dividends!$G:$G,"&gt;"&amp;INT($A167),Dividends!$G:$G,"&lt;="&amp;INT($A168))))</f>
        <v/>
      </c>
      <c r="M168" s="42" t="str">
        <f ca="1">IF(ISERROR(B168-2),"",C168+D168-F168-G168-K168+SUM($L$14:L168))</f>
        <v/>
      </c>
      <c r="U168" s="3" t="str">
        <f t="shared" si="20"/>
        <v/>
      </c>
      <c r="V168" s="3" t="str">
        <f t="shared" si="21"/>
        <v/>
      </c>
      <c r="Z168" s="3">
        <v>46014</v>
      </c>
      <c r="AA168" s="4">
        <v>248.27979999999999</v>
      </c>
      <c r="AB168" s="74">
        <v>46014</v>
      </c>
      <c r="AC168" s="4">
        <v>244.649</v>
      </c>
      <c r="AD168" s="6">
        <f t="shared" si="22"/>
        <v>46014</v>
      </c>
    </row>
    <row r="169" spans="1:30" x14ac:dyDescent="0.25">
      <c r="A169" s="37" t="str">
        <f t="shared" ca="1" si="23"/>
        <v/>
      </c>
      <c r="B169" s="38" t="str">
        <f ca="1">IF(COUNTIF($W$2:W1154,A169)=1,VLOOKUP(A169,O:P,2), IF(COUNTIF($W$2:W1154,A169)=0,$B$9,""))</f>
        <v/>
      </c>
      <c r="C169" s="2" t="str">
        <f t="shared" ca="1" si="24"/>
        <v/>
      </c>
      <c r="D169" s="41" t="str">
        <f t="shared" ca="1" si="25"/>
        <v/>
      </c>
      <c r="E169" s="38" t="str">
        <f ca="1">IF(COUNTIF($W$2:W1154,A169)=1,VLOOKUP(A169,Q:R,2), IF(COUNTIF($W$2:W1154,A169)=0,$C$9,""))</f>
        <v/>
      </c>
      <c r="F169" s="2" t="str">
        <f t="shared" ca="1" si="26"/>
        <v/>
      </c>
      <c r="G169" s="41" t="str">
        <f t="shared" ca="1" si="27"/>
        <v/>
      </c>
      <c r="H169" s="38" t="str">
        <f ca="1">IF(COUNTIF($W$2:W1154,A169)=1,VLOOKUP(A169,S:T,2), IF(COUNTIF($W$2:W1154,A169)=0,$D$9,""))</f>
        <v/>
      </c>
      <c r="I169" s="39" t="str">
        <f ca="1">IF(COUNTIF($X$2:X1154,INT(A169))=1,VLOOKUP(INT(A169),X:Y,2), IF(ISERROR(H169-2),"",I168*(1-$D$8*(H169-H168)*0.0001)))</f>
        <v/>
      </c>
      <c r="J169" s="39" t="str">
        <f t="shared" ca="1" si="28"/>
        <v/>
      </c>
      <c r="K169" s="41" t="str">
        <f t="shared" ca="1" si="29"/>
        <v/>
      </c>
      <c r="L169" s="41" t="str">
        <f ca="1">IF($A169="","",IF(COUNTIFS(Dividends!$G:$G,"&gt;"&amp;INT($A168),Dividends!$G:$G,"&lt;="&amp;INT($A169))=0,"",$H$2*SUMIFS(Dividends!$H:$H,Dividends!$G:$G,"&gt;"&amp;INT($A168),Dividends!$G:$G,"&lt;="&amp;INT($A169))))</f>
        <v/>
      </c>
      <c r="M169" s="42" t="str">
        <f ca="1">IF(ISERROR(B169-2),"",C169+D169-F169-G169-K169+SUM($L$14:L169))</f>
        <v/>
      </c>
      <c r="U169" s="3" t="str">
        <f t="shared" si="20"/>
        <v/>
      </c>
      <c r="V169" s="3" t="str">
        <f t="shared" si="21"/>
        <v/>
      </c>
      <c r="Z169" s="3">
        <v>46015</v>
      </c>
      <c r="AA169" s="4">
        <v>248.3295</v>
      </c>
      <c r="AB169" s="74">
        <v>46015</v>
      </c>
      <c r="AC169" s="4">
        <v>244.44200000000001</v>
      </c>
      <c r="AD169" s="6">
        <f t="shared" si="22"/>
        <v>46015</v>
      </c>
    </row>
    <row r="170" spans="1:30" x14ac:dyDescent="0.25">
      <c r="A170" s="37" t="str">
        <f t="shared" ca="1" si="23"/>
        <v/>
      </c>
      <c r="B170" s="38" t="str">
        <f ca="1">IF(COUNTIF($W$2:W1155,A170)=1,VLOOKUP(A170,O:P,2), IF(COUNTIF($W$2:W1155,A170)=0,$B$9,""))</f>
        <v/>
      </c>
      <c r="C170" s="2" t="str">
        <f t="shared" ca="1" si="24"/>
        <v/>
      </c>
      <c r="D170" s="41" t="str">
        <f t="shared" ca="1" si="25"/>
        <v/>
      </c>
      <c r="E170" s="38" t="str">
        <f ca="1">IF(COUNTIF($W$2:W1155,A170)=1,VLOOKUP(A170,Q:R,2), IF(COUNTIF($W$2:W1155,A170)=0,$C$9,""))</f>
        <v/>
      </c>
      <c r="F170" s="2" t="str">
        <f t="shared" ca="1" si="26"/>
        <v/>
      </c>
      <c r="G170" s="41" t="str">
        <f t="shared" ca="1" si="27"/>
        <v/>
      </c>
      <c r="H170" s="38" t="str">
        <f ca="1">IF(COUNTIF($W$2:W1155,A170)=1,VLOOKUP(A170,S:T,2), IF(COUNTIF($W$2:W1155,A170)=0,$D$9,""))</f>
        <v/>
      </c>
      <c r="I170" s="39" t="str">
        <f ca="1">IF(COUNTIF($X$2:X1155,INT(A170))=1,VLOOKUP(INT(A170),X:Y,2), IF(ISERROR(H170-2),"",I169*(1-$D$8*(H170-H169)*0.0001)))</f>
        <v/>
      </c>
      <c r="J170" s="39" t="str">
        <f t="shared" ca="1" si="28"/>
        <v/>
      </c>
      <c r="K170" s="41" t="str">
        <f t="shared" ca="1" si="29"/>
        <v/>
      </c>
      <c r="L170" s="41" t="str">
        <f ca="1">IF($A170="","",IF(COUNTIFS(Dividends!$G:$G,"&gt;"&amp;INT($A169),Dividends!$G:$G,"&lt;="&amp;INT($A170))=0,"",$H$2*SUMIFS(Dividends!$H:$H,Dividends!$G:$G,"&gt;"&amp;INT($A169),Dividends!$G:$G,"&lt;="&amp;INT($A170))))</f>
        <v/>
      </c>
      <c r="M170" s="42" t="str">
        <f ca="1">IF(ISERROR(B170-2),"",C170+D170-F170-G170-K170+SUM($L$14:L170))</f>
        <v/>
      </c>
      <c r="U170" s="3" t="str">
        <f t="shared" si="20"/>
        <v/>
      </c>
      <c r="V170" s="3" t="str">
        <f t="shared" si="21"/>
        <v/>
      </c>
      <c r="Z170" s="3">
        <v>46020</v>
      </c>
      <c r="AA170" s="4">
        <v>248.321</v>
      </c>
      <c r="AB170" s="74">
        <v>46020</v>
      </c>
      <c r="AC170" s="4">
        <v>245.09</v>
      </c>
      <c r="AD170" s="6">
        <f t="shared" si="22"/>
        <v>46020</v>
      </c>
    </row>
    <row r="171" spans="1:30" x14ac:dyDescent="0.25">
      <c r="A171" s="37" t="str">
        <f t="shared" ca="1" si="23"/>
        <v/>
      </c>
      <c r="B171" s="38" t="str">
        <f ca="1">IF(COUNTIF($W$2:W1156,A171)=1,VLOOKUP(A171,O:P,2), IF(COUNTIF($W$2:W1156,A171)=0,$B$9,""))</f>
        <v/>
      </c>
      <c r="C171" s="2" t="str">
        <f t="shared" ca="1" si="24"/>
        <v/>
      </c>
      <c r="D171" s="41" t="str">
        <f t="shared" ca="1" si="25"/>
        <v/>
      </c>
      <c r="E171" s="38" t="str">
        <f ca="1">IF(COUNTIF($W$2:W1156,A171)=1,VLOOKUP(A171,Q:R,2), IF(COUNTIF($W$2:W1156,A171)=0,$C$9,""))</f>
        <v/>
      </c>
      <c r="F171" s="2" t="str">
        <f t="shared" ca="1" si="26"/>
        <v/>
      </c>
      <c r="G171" s="41" t="str">
        <f t="shared" ca="1" si="27"/>
        <v/>
      </c>
      <c r="H171" s="38" t="str">
        <f ca="1">IF(COUNTIF($W$2:W1156,A171)=1,VLOOKUP(A171,S:T,2), IF(COUNTIF($W$2:W1156,A171)=0,$D$9,""))</f>
        <v/>
      </c>
      <c r="I171" s="39" t="str">
        <f ca="1">IF(COUNTIF($X$2:X1156,INT(A171))=1,VLOOKUP(INT(A171),X:Y,2), IF(ISERROR(H171-2),"",I170*(1-$D$8*(H171-H170)*0.0001)))</f>
        <v/>
      </c>
      <c r="J171" s="39" t="str">
        <f t="shared" ca="1" si="28"/>
        <v/>
      </c>
      <c r="K171" s="41" t="str">
        <f t="shared" ca="1" si="29"/>
        <v/>
      </c>
      <c r="L171" s="41" t="str">
        <f ca="1">IF($A171="","",IF(COUNTIFS(Dividends!$G:$G,"&gt;"&amp;INT($A170),Dividends!$G:$G,"&lt;="&amp;INT($A171))=0,"",$H$2*SUMIFS(Dividends!$H:$H,Dividends!$G:$G,"&gt;"&amp;INT($A170),Dividends!$G:$G,"&lt;="&amp;INT($A171))))</f>
        <v/>
      </c>
      <c r="M171" s="42" t="str">
        <f ca="1">IF(ISERROR(B171-2),"",C171+D171-F171-G171-K171+SUM($L$14:L171))</f>
        <v/>
      </c>
      <c r="U171" s="3" t="str">
        <f t="shared" si="20"/>
        <v/>
      </c>
      <c r="V171" s="3" t="str">
        <f t="shared" si="21"/>
        <v/>
      </c>
      <c r="Z171" s="3">
        <v>46021</v>
      </c>
      <c r="AA171" s="4">
        <v>248.6404</v>
      </c>
      <c r="AB171" s="74">
        <v>46021</v>
      </c>
      <c r="AC171" s="4">
        <v>244.19900000000001</v>
      </c>
      <c r="AD171" s="6">
        <f t="shared" si="22"/>
        <v>46021</v>
      </c>
    </row>
    <row r="172" spans="1:30" x14ac:dyDescent="0.25">
      <c r="A172" s="37" t="str">
        <f t="shared" ca="1" si="23"/>
        <v/>
      </c>
      <c r="B172" s="38" t="str">
        <f ca="1">IF(COUNTIF($W$2:W1157,A172)=1,VLOOKUP(A172,O:P,2), IF(COUNTIF($W$2:W1157,A172)=0,$B$9,""))</f>
        <v/>
      </c>
      <c r="C172" s="2" t="str">
        <f t="shared" ca="1" si="24"/>
        <v/>
      </c>
      <c r="D172" s="41" t="str">
        <f t="shared" ca="1" si="25"/>
        <v/>
      </c>
      <c r="E172" s="38" t="str">
        <f ca="1">IF(COUNTIF($W$2:W1157,A172)=1,VLOOKUP(A172,Q:R,2), IF(COUNTIF($W$2:W1157,A172)=0,$C$9,""))</f>
        <v/>
      </c>
      <c r="F172" s="2" t="str">
        <f t="shared" ca="1" si="26"/>
        <v/>
      </c>
      <c r="G172" s="41" t="str">
        <f t="shared" ca="1" si="27"/>
        <v/>
      </c>
      <c r="H172" s="38" t="str">
        <f ca="1">IF(COUNTIF($W$2:W1157,A172)=1,VLOOKUP(A172,S:T,2), IF(COUNTIF($W$2:W1157,A172)=0,$D$9,""))</f>
        <v/>
      </c>
      <c r="I172" s="39" t="str">
        <f ca="1">IF(COUNTIF($X$2:X1157,INT(A172))=1,VLOOKUP(INT(A172),X:Y,2), IF(ISERROR(H172-2),"",I171*(1-$D$8*(H172-H171)*0.0001)))</f>
        <v/>
      </c>
      <c r="J172" s="39" t="str">
        <f t="shared" ca="1" si="28"/>
        <v/>
      </c>
      <c r="K172" s="41" t="str">
        <f t="shared" ca="1" si="29"/>
        <v/>
      </c>
      <c r="L172" s="41" t="str">
        <f ca="1">IF($A172="","",IF(COUNTIFS(Dividends!$G:$G,"&gt;"&amp;INT($A171),Dividends!$G:$G,"&lt;="&amp;INT($A172))=0,"",$H$2*SUMIFS(Dividends!$H:$H,Dividends!$G:$G,"&gt;"&amp;INT($A171),Dividends!$G:$G,"&lt;="&amp;INT($A172))))</f>
        <v/>
      </c>
      <c r="M172" s="42" t="str">
        <f ca="1">IF(ISERROR(B172-2),"",C172+D172-F172-G172-K172+SUM($L$14:L172))</f>
        <v/>
      </c>
      <c r="U172" s="3" t="str">
        <f t="shared" si="20"/>
        <v/>
      </c>
      <c r="V172" s="3" t="str">
        <f t="shared" si="21"/>
        <v/>
      </c>
      <c r="Z172" s="3">
        <v>46022</v>
      </c>
      <c r="AA172" s="4">
        <v>248.5951</v>
      </c>
      <c r="AB172" s="74">
        <v>46022</v>
      </c>
      <c r="AC172" s="4">
        <v>244.239</v>
      </c>
      <c r="AD172" s="6">
        <f t="shared" si="22"/>
        <v>46022</v>
      </c>
    </row>
    <row r="173" spans="1:30" x14ac:dyDescent="0.25">
      <c r="A173" s="37" t="str">
        <f t="shared" ca="1" si="23"/>
        <v/>
      </c>
      <c r="B173" s="38" t="str">
        <f ca="1">IF(COUNTIF($W$2:W1158,A173)=1,VLOOKUP(A173,O:P,2), IF(COUNTIF($W$2:W1158,A173)=0,$B$9,""))</f>
        <v/>
      </c>
      <c r="C173" s="2" t="str">
        <f t="shared" ca="1" si="24"/>
        <v/>
      </c>
      <c r="D173" s="41" t="str">
        <f t="shared" ca="1" si="25"/>
        <v/>
      </c>
      <c r="E173" s="38" t="str">
        <f ca="1">IF(COUNTIF($W$2:W1158,A173)=1,VLOOKUP(A173,Q:R,2), IF(COUNTIF($W$2:W1158,A173)=0,$C$9,""))</f>
        <v/>
      </c>
      <c r="F173" s="2" t="str">
        <f t="shared" ca="1" si="26"/>
        <v/>
      </c>
      <c r="G173" s="41" t="str">
        <f t="shared" ca="1" si="27"/>
        <v/>
      </c>
      <c r="H173" s="38" t="str">
        <f ca="1">IF(COUNTIF($W$2:W1158,A173)=1,VLOOKUP(A173,S:T,2), IF(COUNTIF($W$2:W1158,A173)=0,$D$9,""))</f>
        <v/>
      </c>
      <c r="I173" s="39" t="str">
        <f ca="1">IF(COUNTIF($X$2:X1158,INT(A173))=1,VLOOKUP(INT(A173),X:Y,2), IF(ISERROR(H173-2),"",I172*(1-$D$8*(H173-H172)*0.0001)))</f>
        <v/>
      </c>
      <c r="J173" s="39" t="str">
        <f t="shared" ca="1" si="28"/>
        <v/>
      </c>
      <c r="K173" s="41" t="str">
        <f t="shared" ca="1" si="29"/>
        <v/>
      </c>
      <c r="L173" s="41" t="str">
        <f ca="1">IF($A173="","",IF(COUNTIFS(Dividends!$G:$G,"&gt;"&amp;INT($A172),Dividends!$G:$G,"&lt;="&amp;INT($A173))=0,"",$H$2*SUMIFS(Dividends!$H:$H,Dividends!$G:$G,"&gt;"&amp;INT($A172),Dividends!$G:$G,"&lt;="&amp;INT($A173))))</f>
        <v/>
      </c>
      <c r="M173" s="42" t="str">
        <f ca="1">IF(ISERROR(B173-2),"",C173+D173-F173-G173-K173+SUM($L$14:L173))</f>
        <v/>
      </c>
      <c r="U173" s="3" t="str">
        <f t="shared" si="20"/>
        <v/>
      </c>
      <c r="V173" s="3" t="str">
        <f t="shared" si="21"/>
        <v/>
      </c>
      <c r="Z173" s="3">
        <v>46024</v>
      </c>
      <c r="AA173" s="4">
        <v>248.6541</v>
      </c>
      <c r="AB173" s="74">
        <v>46024</v>
      </c>
      <c r="AC173" s="4">
        <v>243.732</v>
      </c>
      <c r="AD173" s="6">
        <f t="shared" si="22"/>
        <v>46024</v>
      </c>
    </row>
    <row r="174" spans="1:30" x14ac:dyDescent="0.25">
      <c r="A174" s="37" t="str">
        <f t="shared" ca="1" si="23"/>
        <v/>
      </c>
      <c r="B174" s="38" t="str">
        <f ca="1">IF(COUNTIF($W$2:W1159,A174)=1,VLOOKUP(A174,O:P,2), IF(COUNTIF($W$2:W1159,A174)=0,$B$9,""))</f>
        <v/>
      </c>
      <c r="C174" s="2" t="str">
        <f t="shared" ca="1" si="24"/>
        <v/>
      </c>
      <c r="D174" s="41" t="str">
        <f t="shared" ca="1" si="25"/>
        <v/>
      </c>
      <c r="E174" s="38" t="str">
        <f ca="1">IF(COUNTIF($W$2:W1159,A174)=1,VLOOKUP(A174,Q:R,2), IF(COUNTIF($W$2:W1159,A174)=0,$C$9,""))</f>
        <v/>
      </c>
      <c r="F174" s="2" t="str">
        <f t="shared" ca="1" si="26"/>
        <v/>
      </c>
      <c r="G174" s="41" t="str">
        <f t="shared" ca="1" si="27"/>
        <v/>
      </c>
      <c r="H174" s="38" t="str">
        <f ca="1">IF(COUNTIF($W$2:W1159,A174)=1,VLOOKUP(A174,S:T,2), IF(COUNTIF($W$2:W1159,A174)=0,$D$9,""))</f>
        <v/>
      </c>
      <c r="I174" s="39" t="str">
        <f ca="1">IF(COUNTIF($X$2:X1159,INT(A174))=1,VLOOKUP(INT(A174),X:Y,2), IF(ISERROR(H174-2),"",I173*(1-$D$8*(H174-H173)*0.0001)))</f>
        <v/>
      </c>
      <c r="J174" s="39" t="str">
        <f t="shared" ca="1" si="28"/>
        <v/>
      </c>
      <c r="K174" s="41" t="str">
        <f t="shared" ca="1" si="29"/>
        <v/>
      </c>
      <c r="L174" s="41" t="str">
        <f ca="1">IF($A174="","",IF(COUNTIFS(Dividends!$G:$G,"&gt;"&amp;INT($A173),Dividends!$G:$G,"&lt;="&amp;INT($A174))=0,"",$H$2*SUMIFS(Dividends!$H:$H,Dividends!$G:$G,"&gt;"&amp;INT($A173),Dividends!$G:$G,"&lt;="&amp;INT($A174))))</f>
        <v/>
      </c>
      <c r="M174" s="42" t="str">
        <f ca="1">IF(ISERROR(B174-2),"",C174+D174-F174-G174-K174+SUM($L$14:L174))</f>
        <v/>
      </c>
      <c r="U174" s="3" t="str">
        <f t="shared" si="20"/>
        <v/>
      </c>
      <c r="V174" s="3" t="str">
        <f t="shared" si="21"/>
        <v/>
      </c>
      <c r="Z174" s="3">
        <v>46027</v>
      </c>
      <c r="AA174" s="4">
        <v>248.83519999999999</v>
      </c>
      <c r="AB174" s="74">
        <v>46027</v>
      </c>
      <c r="AC174" s="4">
        <v>242.14599999999999</v>
      </c>
      <c r="AD174" s="6">
        <f t="shared" si="22"/>
        <v>46027</v>
      </c>
    </row>
    <row r="175" spans="1:30" x14ac:dyDescent="0.25">
      <c r="A175" s="37" t="str">
        <f t="shared" ca="1" si="23"/>
        <v/>
      </c>
      <c r="B175" s="38" t="str">
        <f ca="1">IF(COUNTIF($W$2:W1160,A175)=1,VLOOKUP(A175,O:P,2), IF(COUNTIF($W$2:W1160,A175)=0,$B$9,""))</f>
        <v/>
      </c>
      <c r="C175" s="2" t="str">
        <f t="shared" ca="1" si="24"/>
        <v/>
      </c>
      <c r="D175" s="41" t="str">
        <f t="shared" ca="1" si="25"/>
        <v/>
      </c>
      <c r="E175" s="38" t="str">
        <f ca="1">IF(COUNTIF($W$2:W1160,A175)=1,VLOOKUP(A175,Q:R,2), IF(COUNTIF($W$2:W1160,A175)=0,$C$9,""))</f>
        <v/>
      </c>
      <c r="F175" s="2" t="str">
        <f t="shared" ca="1" si="26"/>
        <v/>
      </c>
      <c r="G175" s="41" t="str">
        <f t="shared" ca="1" si="27"/>
        <v/>
      </c>
      <c r="H175" s="38" t="str">
        <f ca="1">IF(COUNTIF($W$2:W1160,A175)=1,VLOOKUP(A175,S:T,2), IF(COUNTIF($W$2:W1160,A175)=0,$D$9,""))</f>
        <v/>
      </c>
      <c r="I175" s="39" t="str">
        <f ca="1">IF(COUNTIF($X$2:X1160,INT(A175))=1,VLOOKUP(INT(A175),X:Y,2), IF(ISERROR(H175-2),"",I174*(1-$D$8*(H175-H174)*0.0001)))</f>
        <v/>
      </c>
      <c r="J175" s="39" t="str">
        <f t="shared" ca="1" si="28"/>
        <v/>
      </c>
      <c r="K175" s="41" t="str">
        <f t="shared" ca="1" si="29"/>
        <v/>
      </c>
      <c r="L175" s="41" t="str">
        <f ca="1">IF($A175="","",IF(COUNTIFS(Dividends!$G:$G,"&gt;"&amp;INT($A174),Dividends!$G:$G,"&lt;="&amp;INT($A175))=0,"",$H$2*SUMIFS(Dividends!$H:$H,Dividends!$G:$G,"&gt;"&amp;INT($A174),Dividends!$G:$G,"&lt;="&amp;INT($A175))))</f>
        <v/>
      </c>
      <c r="M175" s="42" t="str">
        <f ca="1">IF(ISERROR(B175-2),"",C175+D175-F175-G175-K175+SUM($L$14:L175))</f>
        <v/>
      </c>
      <c r="U175" s="3" t="str">
        <f t="shared" si="20"/>
        <v/>
      </c>
      <c r="V175" s="3" t="str">
        <f t="shared" si="21"/>
        <v/>
      </c>
      <c r="Z175" s="3">
        <v>46028</v>
      </c>
      <c r="AA175" s="4">
        <v>248.91249999999999</v>
      </c>
      <c r="AB175" s="74">
        <v>46028</v>
      </c>
      <c r="AC175" s="4">
        <v>242.20400000000001</v>
      </c>
      <c r="AD175" s="6">
        <f t="shared" si="22"/>
        <v>46028</v>
      </c>
    </row>
    <row r="176" spans="1:30" x14ac:dyDescent="0.25">
      <c r="A176" s="37" t="str">
        <f t="shared" ca="1" si="23"/>
        <v/>
      </c>
      <c r="B176" s="38" t="str">
        <f ca="1">IF(COUNTIF($W$2:W1161,A176)=1,VLOOKUP(A176,O:P,2), IF(COUNTIF($W$2:W1161,A176)=0,$B$9,""))</f>
        <v/>
      </c>
      <c r="C176" s="2" t="str">
        <f t="shared" ca="1" si="24"/>
        <v/>
      </c>
      <c r="D176" s="41" t="str">
        <f t="shared" ca="1" si="25"/>
        <v/>
      </c>
      <c r="E176" s="38" t="str">
        <f ca="1">IF(COUNTIF($W$2:W1161,A176)=1,VLOOKUP(A176,Q:R,2), IF(COUNTIF($W$2:W1161,A176)=0,$C$9,""))</f>
        <v/>
      </c>
      <c r="F176" s="2" t="str">
        <f t="shared" ca="1" si="26"/>
        <v/>
      </c>
      <c r="G176" s="41" t="str">
        <f t="shared" ca="1" si="27"/>
        <v/>
      </c>
      <c r="H176" s="38" t="str">
        <f ca="1">IF(COUNTIF($W$2:W1161,A176)=1,VLOOKUP(A176,S:T,2), IF(COUNTIF($W$2:W1161,A176)=0,$D$9,""))</f>
        <v/>
      </c>
      <c r="I176" s="39" t="str">
        <f ca="1">IF(COUNTIF($X$2:X1161,INT(A176))=1,VLOOKUP(INT(A176),X:Y,2), IF(ISERROR(H176-2),"",I175*(1-$D$8*(H176-H175)*0.0001)))</f>
        <v/>
      </c>
      <c r="J176" s="39" t="str">
        <f t="shared" ca="1" si="28"/>
        <v/>
      </c>
      <c r="K176" s="41" t="str">
        <f t="shared" ca="1" si="29"/>
        <v/>
      </c>
      <c r="L176" s="41" t="str">
        <f ca="1">IF($A176="","",IF(COUNTIFS(Dividends!$G:$G,"&gt;"&amp;INT($A175),Dividends!$G:$G,"&lt;="&amp;INT($A176))=0,"",$H$2*SUMIFS(Dividends!$H:$H,Dividends!$G:$G,"&gt;"&amp;INT($A175),Dividends!$G:$G,"&lt;="&amp;INT($A176))))</f>
        <v/>
      </c>
      <c r="M176" s="42" t="str">
        <f ca="1">IF(ISERROR(B176-2),"",C176+D176-F176-G176-K176+SUM($L$14:L176))</f>
        <v/>
      </c>
      <c r="U176" s="3" t="str">
        <f t="shared" si="20"/>
        <v/>
      </c>
      <c r="V176" s="3" t="str">
        <f t="shared" si="21"/>
        <v/>
      </c>
      <c r="Z176" s="3">
        <v>46029</v>
      </c>
      <c r="AA176" s="4">
        <v>248.8612</v>
      </c>
      <c r="AB176" s="74">
        <v>46029</v>
      </c>
      <c r="AC176" s="4">
        <v>242.517</v>
      </c>
      <c r="AD176" s="6">
        <f t="shared" si="22"/>
        <v>46029</v>
      </c>
    </row>
    <row r="177" spans="1:30" x14ac:dyDescent="0.25">
      <c r="A177" s="37" t="str">
        <f t="shared" ca="1" si="23"/>
        <v/>
      </c>
      <c r="B177" s="38" t="str">
        <f ca="1">IF(COUNTIF($W$2:W1162,A177)=1,VLOOKUP(A177,O:P,2), IF(COUNTIF($W$2:W1162,A177)=0,$B$9,""))</f>
        <v/>
      </c>
      <c r="C177" s="2" t="str">
        <f t="shared" ca="1" si="24"/>
        <v/>
      </c>
      <c r="D177" s="41" t="str">
        <f t="shared" ca="1" si="25"/>
        <v/>
      </c>
      <c r="E177" s="38" t="str">
        <f ca="1">IF(COUNTIF($W$2:W1162,A177)=1,VLOOKUP(A177,Q:R,2), IF(COUNTIF($W$2:W1162,A177)=0,$C$9,""))</f>
        <v/>
      </c>
      <c r="F177" s="2" t="str">
        <f t="shared" ca="1" si="26"/>
        <v/>
      </c>
      <c r="G177" s="41" t="str">
        <f t="shared" ca="1" si="27"/>
        <v/>
      </c>
      <c r="H177" s="38" t="str">
        <f ca="1">IF(COUNTIF($W$2:W1162,A177)=1,VLOOKUP(A177,S:T,2), IF(COUNTIF($W$2:W1162,A177)=0,$D$9,""))</f>
        <v/>
      </c>
      <c r="I177" s="39" t="str">
        <f ca="1">IF(COUNTIF($X$2:X1162,INT(A177))=1,VLOOKUP(INT(A177),X:Y,2), IF(ISERROR(H177-2),"",I176*(1-$D$8*(H177-H176)*0.0001)))</f>
        <v/>
      </c>
      <c r="J177" s="39" t="str">
        <f t="shared" ca="1" si="28"/>
        <v/>
      </c>
      <c r="K177" s="41" t="str">
        <f t="shared" ca="1" si="29"/>
        <v/>
      </c>
      <c r="L177" s="41" t="str">
        <f ca="1">IF($A177="","",IF(COUNTIFS(Dividends!$G:$G,"&gt;"&amp;INT($A176),Dividends!$G:$G,"&lt;="&amp;INT($A177))=0,"",$H$2*SUMIFS(Dividends!$H:$H,Dividends!$G:$G,"&gt;"&amp;INT($A176),Dividends!$G:$G,"&lt;="&amp;INT($A177))))</f>
        <v/>
      </c>
      <c r="M177" s="42" t="str">
        <f ca="1">IF(ISERROR(B177-2),"",C177+D177-F177-G177-K177+SUM($L$14:L177))</f>
        <v/>
      </c>
      <c r="U177" s="3" t="str">
        <f t="shared" si="20"/>
        <v/>
      </c>
      <c r="V177" s="3" t="str">
        <f t="shared" si="21"/>
        <v/>
      </c>
      <c r="Z177" s="3">
        <v>46030</v>
      </c>
      <c r="AA177" s="4">
        <v>248.84979999999999</v>
      </c>
      <c r="AB177" s="74">
        <v>46030</v>
      </c>
      <c r="AC177" s="4">
        <v>242.678</v>
      </c>
      <c r="AD177" s="6">
        <f t="shared" si="22"/>
        <v>46030</v>
      </c>
    </row>
    <row r="178" spans="1:30" x14ac:dyDescent="0.25">
      <c r="A178" s="37" t="str">
        <f t="shared" ca="1" si="23"/>
        <v/>
      </c>
      <c r="B178" s="38" t="str">
        <f ca="1">IF(COUNTIF($W$2:W1163,A178)=1,VLOOKUP(A178,O:P,2), IF(COUNTIF($W$2:W1163,A178)=0,$B$9,""))</f>
        <v/>
      </c>
      <c r="C178" s="2" t="str">
        <f t="shared" ca="1" si="24"/>
        <v/>
      </c>
      <c r="D178" s="41" t="str">
        <f t="shared" ca="1" si="25"/>
        <v/>
      </c>
      <c r="E178" s="38" t="str">
        <f ca="1">IF(COUNTIF($W$2:W1163,A178)=1,VLOOKUP(A178,Q:R,2), IF(COUNTIF($W$2:W1163,A178)=0,$C$9,""))</f>
        <v/>
      </c>
      <c r="F178" s="2" t="str">
        <f t="shared" ca="1" si="26"/>
        <v/>
      </c>
      <c r="G178" s="41" t="str">
        <f t="shared" ca="1" si="27"/>
        <v/>
      </c>
      <c r="H178" s="38" t="str">
        <f ca="1">IF(COUNTIF($W$2:W1163,A178)=1,VLOOKUP(A178,S:T,2), IF(COUNTIF($W$2:W1163,A178)=0,$D$9,""))</f>
        <v/>
      </c>
      <c r="I178" s="39" t="str">
        <f ca="1">IF(COUNTIF($X$2:X1163,INT(A178))=1,VLOOKUP(INT(A178),X:Y,2), IF(ISERROR(H178-2),"",I177*(1-$D$8*(H178-H177)*0.0001)))</f>
        <v/>
      </c>
      <c r="J178" s="39" t="str">
        <f t="shared" ca="1" si="28"/>
        <v/>
      </c>
      <c r="K178" s="41" t="str">
        <f t="shared" ca="1" si="29"/>
        <v/>
      </c>
      <c r="L178" s="41" t="str">
        <f ca="1">IF($A178="","",IF(COUNTIFS(Dividends!$G:$G,"&gt;"&amp;INT($A177),Dividends!$G:$G,"&lt;="&amp;INT($A178))=0,"",$H$2*SUMIFS(Dividends!$H:$H,Dividends!$G:$G,"&gt;"&amp;INT($A177),Dividends!$G:$G,"&lt;="&amp;INT($A178))))</f>
        <v/>
      </c>
      <c r="M178" s="42" t="str">
        <f ca="1">IF(ISERROR(B178-2),"",C178+D178-F178-G178-K178+SUM($L$14:L178))</f>
        <v/>
      </c>
      <c r="U178" s="3" t="str">
        <f t="shared" si="20"/>
        <v/>
      </c>
      <c r="V178" s="3" t="str">
        <f t="shared" si="21"/>
        <v/>
      </c>
      <c r="Z178" s="3">
        <v>46031</v>
      </c>
      <c r="AA178" s="4">
        <v>249.13050000000001</v>
      </c>
      <c r="AB178" s="74">
        <v>46031</v>
      </c>
      <c r="AC178" s="4">
        <v>240.93600000000001</v>
      </c>
      <c r="AD178" s="6">
        <f t="shared" si="22"/>
        <v>46031</v>
      </c>
    </row>
    <row r="179" spans="1:30" x14ac:dyDescent="0.25">
      <c r="A179" s="37" t="str">
        <f t="shared" ca="1" si="23"/>
        <v/>
      </c>
      <c r="B179" s="38" t="str">
        <f ca="1">IF(COUNTIF($W$2:W1164,A179)=1,VLOOKUP(A179,O:P,2), IF(COUNTIF($W$2:W1164,A179)=0,$B$9,""))</f>
        <v/>
      </c>
      <c r="C179" s="2" t="str">
        <f t="shared" ca="1" si="24"/>
        <v/>
      </c>
      <c r="D179" s="41" t="str">
        <f t="shared" ca="1" si="25"/>
        <v/>
      </c>
      <c r="E179" s="38" t="str">
        <f ca="1">IF(COUNTIF($W$2:W1164,A179)=1,VLOOKUP(A179,Q:R,2), IF(COUNTIF($W$2:W1164,A179)=0,$C$9,""))</f>
        <v/>
      </c>
      <c r="F179" s="2" t="str">
        <f t="shared" ca="1" si="26"/>
        <v/>
      </c>
      <c r="G179" s="41" t="str">
        <f t="shared" ca="1" si="27"/>
        <v/>
      </c>
      <c r="H179" s="38" t="str">
        <f ca="1">IF(COUNTIF($W$2:W1164,A179)=1,VLOOKUP(A179,S:T,2), IF(COUNTIF($W$2:W1164,A179)=0,$D$9,""))</f>
        <v/>
      </c>
      <c r="I179" s="39" t="str">
        <f ca="1">IF(COUNTIF($X$2:X1164,INT(A179))=1,VLOOKUP(INT(A179),X:Y,2), IF(ISERROR(H179-2),"",I178*(1-$D$8*(H179-H178)*0.0001)))</f>
        <v/>
      </c>
      <c r="J179" s="39" t="str">
        <f t="shared" ca="1" si="28"/>
        <v/>
      </c>
      <c r="K179" s="41" t="str">
        <f t="shared" ca="1" si="29"/>
        <v/>
      </c>
      <c r="L179" s="41" t="str">
        <f ca="1">IF($A179="","",IF(COUNTIFS(Dividends!$G:$G,"&gt;"&amp;INT($A178),Dividends!$G:$G,"&lt;="&amp;INT($A179))=0,"",$H$2*SUMIFS(Dividends!$H:$H,Dividends!$G:$G,"&gt;"&amp;INT($A178),Dividends!$G:$G,"&lt;="&amp;INT($A179))))</f>
        <v/>
      </c>
      <c r="M179" s="42" t="str">
        <f ca="1">IF(ISERROR(B179-2),"",C179+D179-F179-G179-K179+SUM($L$14:L179))</f>
        <v/>
      </c>
      <c r="U179" s="3" t="str">
        <f t="shared" si="20"/>
        <v/>
      </c>
      <c r="V179" s="3" t="str">
        <f t="shared" si="21"/>
        <v/>
      </c>
      <c r="Z179" s="3">
        <v>46034</v>
      </c>
      <c r="AA179" s="4">
        <v>249.25470000000001</v>
      </c>
      <c r="AB179" s="74">
        <v>46034</v>
      </c>
      <c r="AC179" s="4">
        <v>240.25800000000001</v>
      </c>
      <c r="AD179" s="6">
        <f t="shared" si="22"/>
        <v>46034</v>
      </c>
    </row>
    <row r="180" spans="1:30" x14ac:dyDescent="0.25">
      <c r="A180" s="37" t="str">
        <f t="shared" ca="1" si="23"/>
        <v/>
      </c>
      <c r="B180" s="38" t="str">
        <f ca="1">IF(COUNTIF($W$2:W1165,A180)=1,VLOOKUP(A180,O:P,2), IF(COUNTIF($W$2:W1165,A180)=0,$B$9,""))</f>
        <v/>
      </c>
      <c r="C180" s="2" t="str">
        <f t="shared" ca="1" si="24"/>
        <v/>
      </c>
      <c r="D180" s="41" t="str">
        <f t="shared" ca="1" si="25"/>
        <v/>
      </c>
      <c r="E180" s="38" t="str">
        <f ca="1">IF(COUNTIF($W$2:W1165,A180)=1,VLOOKUP(A180,Q:R,2), IF(COUNTIF($W$2:W1165,A180)=0,$C$9,""))</f>
        <v/>
      </c>
      <c r="F180" s="2" t="str">
        <f t="shared" ca="1" si="26"/>
        <v/>
      </c>
      <c r="G180" s="41" t="str">
        <f t="shared" ca="1" si="27"/>
        <v/>
      </c>
      <c r="H180" s="38" t="str">
        <f ca="1">IF(COUNTIF($W$2:W1165,A180)=1,VLOOKUP(A180,S:T,2), IF(COUNTIF($W$2:W1165,A180)=0,$D$9,""))</f>
        <v/>
      </c>
      <c r="I180" s="39" t="str">
        <f ca="1">IF(COUNTIF($X$2:X1165,INT(A180))=1,VLOOKUP(INT(A180),X:Y,2), IF(ISERROR(H180-2),"",I179*(1-$D$8*(H180-H179)*0.0001)))</f>
        <v/>
      </c>
      <c r="J180" s="39" t="str">
        <f t="shared" ca="1" si="28"/>
        <v/>
      </c>
      <c r="K180" s="41" t="str">
        <f t="shared" ca="1" si="29"/>
        <v/>
      </c>
      <c r="L180" s="41" t="str">
        <f ca="1">IF($A180="","",IF(COUNTIFS(Dividends!$G:$G,"&gt;"&amp;INT($A179),Dividends!$G:$G,"&lt;="&amp;INT($A180))=0,"",$H$2*SUMIFS(Dividends!$H:$H,Dividends!$G:$G,"&gt;"&amp;INT($A179),Dividends!$G:$G,"&lt;="&amp;INT($A180))))</f>
        <v/>
      </c>
      <c r="M180" s="42" t="str">
        <f ca="1">IF(ISERROR(B180-2),"",C180+D180-F180-G180-K180+SUM($L$14:L180))</f>
        <v/>
      </c>
      <c r="U180" s="3" t="str">
        <f t="shared" si="20"/>
        <v/>
      </c>
      <c r="V180" s="3" t="str">
        <f t="shared" si="21"/>
        <v/>
      </c>
      <c r="Z180" s="3">
        <v>46035</v>
      </c>
      <c r="AA180" s="4">
        <v>249.17660000000001</v>
      </c>
      <c r="AB180" s="74">
        <v>46035</v>
      </c>
      <c r="AC180" s="4">
        <v>240.88900000000001</v>
      </c>
      <c r="AD180" s="6">
        <f t="shared" si="22"/>
        <v>46035</v>
      </c>
    </row>
    <row r="181" spans="1:30" x14ac:dyDescent="0.25">
      <c r="A181" s="37" t="str">
        <f t="shared" ca="1" si="23"/>
        <v/>
      </c>
      <c r="B181" s="38" t="str">
        <f ca="1">IF(COUNTIF($W$2:W1166,A181)=1,VLOOKUP(A181,O:P,2), IF(COUNTIF($W$2:W1166,A181)=0,$B$9,""))</f>
        <v/>
      </c>
      <c r="C181" s="2" t="str">
        <f t="shared" ca="1" si="24"/>
        <v/>
      </c>
      <c r="D181" s="41" t="str">
        <f t="shared" ca="1" si="25"/>
        <v/>
      </c>
      <c r="E181" s="38" t="str">
        <f ca="1">IF(COUNTIF($W$2:W1166,A181)=1,VLOOKUP(A181,Q:R,2), IF(COUNTIF($W$2:W1166,A181)=0,$C$9,""))</f>
        <v/>
      </c>
      <c r="F181" s="2" t="str">
        <f t="shared" ca="1" si="26"/>
        <v/>
      </c>
      <c r="G181" s="41" t="str">
        <f t="shared" ca="1" si="27"/>
        <v/>
      </c>
      <c r="H181" s="38" t="str">
        <f ca="1">IF(COUNTIF($W$2:W1166,A181)=1,VLOOKUP(A181,S:T,2), IF(COUNTIF($W$2:W1166,A181)=0,$D$9,""))</f>
        <v/>
      </c>
      <c r="I181" s="39" t="str">
        <f ca="1">IF(COUNTIF($X$2:X1166,INT(A181))=1,VLOOKUP(INT(A181),X:Y,2), IF(ISERROR(H181-2),"",I180*(1-$D$8*(H181-H180)*0.0001)))</f>
        <v/>
      </c>
      <c r="J181" s="39" t="str">
        <f t="shared" ca="1" si="28"/>
        <v/>
      </c>
      <c r="K181" s="41" t="str">
        <f t="shared" ca="1" si="29"/>
        <v/>
      </c>
      <c r="L181" s="41" t="str">
        <f ca="1">IF($A181="","",IF(COUNTIFS(Dividends!$G:$G,"&gt;"&amp;INT($A180),Dividends!$G:$G,"&lt;="&amp;INT($A181))=0,"",$H$2*SUMIFS(Dividends!$H:$H,Dividends!$G:$G,"&gt;"&amp;INT($A180),Dividends!$G:$G,"&lt;="&amp;INT($A181))))</f>
        <v/>
      </c>
      <c r="M181" s="42" t="str">
        <f ca="1">IF(ISERROR(B181-2),"",C181+D181-F181-G181-K181+SUM($L$14:L181))</f>
        <v/>
      </c>
      <c r="U181" s="3" t="str">
        <f t="shared" si="20"/>
        <v/>
      </c>
      <c r="V181" s="3" t="str">
        <f t="shared" si="21"/>
        <v/>
      </c>
      <c r="Z181" s="3">
        <v>46036</v>
      </c>
      <c r="AA181" s="4">
        <v>248.81209999999999</v>
      </c>
      <c r="AB181" s="74">
        <v>46036</v>
      </c>
      <c r="AC181" s="4">
        <v>244.88200000000001</v>
      </c>
      <c r="AD181" s="6">
        <f t="shared" si="22"/>
        <v>46036</v>
      </c>
    </row>
    <row r="182" spans="1:30" x14ac:dyDescent="0.25">
      <c r="A182" s="37" t="str">
        <f t="shared" ca="1" si="23"/>
        <v/>
      </c>
      <c r="B182" s="38" t="str">
        <f ca="1">IF(COUNTIF($W$2:W1167,A182)=1,VLOOKUP(A182,O:P,2), IF(COUNTIF($W$2:W1167,A182)=0,$B$9,""))</f>
        <v/>
      </c>
      <c r="C182" s="2" t="str">
        <f t="shared" ca="1" si="24"/>
        <v/>
      </c>
      <c r="D182" s="41" t="str">
        <f t="shared" ca="1" si="25"/>
        <v/>
      </c>
      <c r="E182" s="38" t="str">
        <f ca="1">IF(COUNTIF($W$2:W1167,A182)=1,VLOOKUP(A182,Q:R,2), IF(COUNTIF($W$2:W1167,A182)=0,$C$9,""))</f>
        <v/>
      </c>
      <c r="F182" s="2" t="str">
        <f t="shared" ca="1" si="26"/>
        <v/>
      </c>
      <c r="G182" s="41" t="str">
        <f t="shared" ca="1" si="27"/>
        <v/>
      </c>
      <c r="H182" s="38" t="str">
        <f ca="1">IF(COUNTIF($W$2:W1167,A182)=1,VLOOKUP(A182,S:T,2), IF(COUNTIF($W$2:W1167,A182)=0,$D$9,""))</f>
        <v/>
      </c>
      <c r="I182" s="39" t="str">
        <f ca="1">IF(COUNTIF($X$2:X1167,INT(A182))=1,VLOOKUP(INT(A182),X:Y,2), IF(ISERROR(H182-2),"",I181*(1-$D$8*(H182-H181)*0.0001)))</f>
        <v/>
      </c>
      <c r="J182" s="39" t="str">
        <f t="shared" ca="1" si="28"/>
        <v/>
      </c>
      <c r="K182" s="41" t="str">
        <f t="shared" ca="1" si="29"/>
        <v/>
      </c>
      <c r="L182" s="41" t="str">
        <f ca="1">IF($A182="","",IF(COUNTIFS(Dividends!$G:$G,"&gt;"&amp;INT($A181),Dividends!$G:$G,"&lt;="&amp;INT($A182))=0,"",$H$2*SUMIFS(Dividends!$H:$H,Dividends!$G:$G,"&gt;"&amp;INT($A181),Dividends!$G:$G,"&lt;="&amp;INT($A182))))</f>
        <v/>
      </c>
      <c r="M182" s="42" t="str">
        <f ca="1">IF(ISERROR(B182-2),"",C182+D182-F182-G182-K182+SUM($L$14:L182))</f>
        <v/>
      </c>
      <c r="U182" s="3" t="str">
        <f t="shared" si="20"/>
        <v/>
      </c>
      <c r="V182" s="3" t="str">
        <f t="shared" si="21"/>
        <v/>
      </c>
      <c r="Z182" s="3">
        <v>46037</v>
      </c>
      <c r="AA182" s="4">
        <v>249.15880000000001</v>
      </c>
      <c r="AB182" s="74">
        <v>46037</v>
      </c>
      <c r="AC182" s="4">
        <v>241.666</v>
      </c>
      <c r="AD182" s="6">
        <f t="shared" si="22"/>
        <v>46037</v>
      </c>
    </row>
    <row r="183" spans="1:30" x14ac:dyDescent="0.25">
      <c r="A183" s="37" t="str">
        <f t="shared" ca="1" si="23"/>
        <v/>
      </c>
      <c r="B183" s="38" t="str">
        <f ca="1">IF(COUNTIF($W$2:W1168,A183)=1,VLOOKUP(A183,O:P,2), IF(COUNTIF($W$2:W1168,A183)=0,$B$9,""))</f>
        <v/>
      </c>
      <c r="C183" s="2" t="str">
        <f t="shared" ca="1" si="24"/>
        <v/>
      </c>
      <c r="D183" s="41" t="str">
        <f t="shared" ca="1" si="25"/>
        <v/>
      </c>
      <c r="E183" s="38" t="str">
        <f ca="1">IF(COUNTIF($W$2:W1168,A183)=1,VLOOKUP(A183,Q:R,2), IF(COUNTIF($W$2:W1168,A183)=0,$C$9,""))</f>
        <v/>
      </c>
      <c r="F183" s="2" t="str">
        <f t="shared" ca="1" si="26"/>
        <v/>
      </c>
      <c r="G183" s="41" t="str">
        <f t="shared" ca="1" si="27"/>
        <v/>
      </c>
      <c r="H183" s="38" t="str">
        <f ca="1">IF(COUNTIF($W$2:W1168,A183)=1,VLOOKUP(A183,S:T,2), IF(COUNTIF($W$2:W1168,A183)=0,$D$9,""))</f>
        <v/>
      </c>
      <c r="I183" s="39" t="str">
        <f ca="1">IF(COUNTIF($X$2:X1168,INT(A183))=1,VLOOKUP(INT(A183),X:Y,2), IF(ISERROR(H183-2),"",I182*(1-$D$8*(H183-H182)*0.0001)))</f>
        <v/>
      </c>
      <c r="J183" s="39" t="str">
        <f t="shared" ca="1" si="28"/>
        <v/>
      </c>
      <c r="K183" s="41" t="str">
        <f t="shared" ca="1" si="29"/>
        <v/>
      </c>
      <c r="L183" s="41" t="str">
        <f ca="1">IF($A183="","",IF(COUNTIFS(Dividends!$G:$G,"&gt;"&amp;INT($A182),Dividends!$G:$G,"&lt;="&amp;INT($A183))=0,"",$H$2*SUMIFS(Dividends!$H:$H,Dividends!$G:$G,"&gt;"&amp;INT($A182),Dividends!$G:$G,"&lt;="&amp;INT($A183))))</f>
        <v/>
      </c>
      <c r="M183" s="42" t="str">
        <f ca="1">IF(ISERROR(B183-2),"",C183+D183-F183-G183-K183+SUM($L$14:L183))</f>
        <v/>
      </c>
      <c r="U183" s="3" t="str">
        <f t="shared" si="20"/>
        <v/>
      </c>
      <c r="V183" s="3" t="str">
        <f t="shared" si="21"/>
        <v/>
      </c>
      <c r="Z183" s="3">
        <v>46038</v>
      </c>
      <c r="AA183" s="4">
        <v>249.01169999999999</v>
      </c>
      <c r="AB183" s="74">
        <v>46038</v>
      </c>
      <c r="AC183" s="4">
        <v>243.13399999999999</v>
      </c>
      <c r="AD183" s="6">
        <f t="shared" si="22"/>
        <v>46038</v>
      </c>
    </row>
    <row r="184" spans="1:30" x14ac:dyDescent="0.25">
      <c r="A184" s="37" t="str">
        <f t="shared" ca="1" si="23"/>
        <v/>
      </c>
      <c r="B184" s="38" t="str">
        <f ca="1">IF(COUNTIF($W$2:W1169,A184)=1,VLOOKUP(A184,O:P,2), IF(COUNTIF($W$2:W1169,A184)=0,$B$9,""))</f>
        <v/>
      </c>
      <c r="C184" s="2" t="str">
        <f t="shared" ca="1" si="24"/>
        <v/>
      </c>
      <c r="D184" s="41" t="str">
        <f t="shared" ca="1" si="25"/>
        <v/>
      </c>
      <c r="E184" s="38" t="str">
        <f ca="1">IF(COUNTIF($W$2:W1169,A184)=1,VLOOKUP(A184,Q:R,2), IF(COUNTIF($W$2:W1169,A184)=0,$C$9,""))</f>
        <v/>
      </c>
      <c r="F184" s="2" t="str">
        <f t="shared" ca="1" si="26"/>
        <v/>
      </c>
      <c r="G184" s="41" t="str">
        <f t="shared" ca="1" si="27"/>
        <v/>
      </c>
      <c r="H184" s="38" t="str">
        <f ca="1">IF(COUNTIF($W$2:W1169,A184)=1,VLOOKUP(A184,S:T,2), IF(COUNTIF($W$2:W1169,A184)=0,$D$9,""))</f>
        <v/>
      </c>
      <c r="I184" s="39" t="str">
        <f ca="1">IF(COUNTIF($X$2:X1169,INT(A184))=1,VLOOKUP(INT(A184),X:Y,2), IF(ISERROR(H184-2),"",I183*(1-$D$8*(H184-H183)*0.0001)))</f>
        <v/>
      </c>
      <c r="J184" s="39" t="str">
        <f t="shared" ca="1" si="28"/>
        <v/>
      </c>
      <c r="K184" s="41" t="str">
        <f t="shared" ca="1" si="29"/>
        <v/>
      </c>
      <c r="L184" s="41" t="str">
        <f ca="1">IF($A184="","",IF(COUNTIFS(Dividends!$G:$G,"&gt;"&amp;INT($A183),Dividends!$G:$G,"&lt;="&amp;INT($A184))=0,"",$H$2*SUMIFS(Dividends!$H:$H,Dividends!$G:$G,"&gt;"&amp;INT($A183),Dividends!$G:$G,"&lt;="&amp;INT($A184))))</f>
        <v/>
      </c>
      <c r="M184" s="42" t="str">
        <f ca="1">IF(ISERROR(B184-2),"",C184+D184-F184-G184-K184+SUM($L$14:L184))</f>
        <v/>
      </c>
      <c r="U184" s="3" t="str">
        <f t="shared" si="20"/>
        <v/>
      </c>
      <c r="V184" s="3" t="str">
        <f t="shared" si="21"/>
        <v/>
      </c>
      <c r="Z184" s="3">
        <v>46041</v>
      </c>
      <c r="AA184" s="4">
        <v>248.35810000000001</v>
      </c>
      <c r="AB184" s="74">
        <v>46041</v>
      </c>
      <c r="AC184" s="4">
        <v>250.24199999999999</v>
      </c>
      <c r="AD184" s="6">
        <f t="shared" si="22"/>
        <v>46041</v>
      </c>
    </row>
    <row r="185" spans="1:30" x14ac:dyDescent="0.25">
      <c r="A185" s="37" t="str">
        <f t="shared" ca="1" si="23"/>
        <v/>
      </c>
      <c r="B185" s="38" t="str">
        <f ca="1">IF(COUNTIF($W$2:W1170,A185)=1,VLOOKUP(A185,O:P,2), IF(COUNTIF($W$2:W1170,A185)=0,$B$9,""))</f>
        <v/>
      </c>
      <c r="C185" s="2" t="str">
        <f t="shared" ca="1" si="24"/>
        <v/>
      </c>
      <c r="D185" s="41" t="str">
        <f t="shared" ca="1" si="25"/>
        <v/>
      </c>
      <c r="E185" s="38" t="str">
        <f ca="1">IF(COUNTIF($W$2:W1170,A185)=1,VLOOKUP(A185,Q:R,2), IF(COUNTIF($W$2:W1170,A185)=0,$C$9,""))</f>
        <v/>
      </c>
      <c r="F185" s="2" t="str">
        <f t="shared" ca="1" si="26"/>
        <v/>
      </c>
      <c r="G185" s="41" t="str">
        <f t="shared" ca="1" si="27"/>
        <v/>
      </c>
      <c r="H185" s="38" t="str">
        <f ca="1">IF(COUNTIF($W$2:W1170,A185)=1,VLOOKUP(A185,S:T,2), IF(COUNTIF($W$2:W1170,A185)=0,$D$9,""))</f>
        <v/>
      </c>
      <c r="I185" s="39" t="str">
        <f ca="1">IF(COUNTIF($X$2:X1170,INT(A185))=1,VLOOKUP(INT(A185),X:Y,2), IF(ISERROR(H185-2),"",I184*(1-$D$8*(H185-H184)*0.0001)))</f>
        <v/>
      </c>
      <c r="J185" s="39" t="str">
        <f t="shared" ca="1" si="28"/>
        <v/>
      </c>
      <c r="K185" s="41" t="str">
        <f t="shared" ca="1" si="29"/>
        <v/>
      </c>
      <c r="L185" s="41" t="str">
        <f ca="1">IF($A185="","",IF(COUNTIFS(Dividends!$G:$G,"&gt;"&amp;INT($A184),Dividends!$G:$G,"&lt;="&amp;INT($A185))=0,"",$H$2*SUMIFS(Dividends!$H:$H,Dividends!$G:$G,"&gt;"&amp;INT($A184),Dividends!$G:$G,"&lt;="&amp;INT($A185))))</f>
        <v/>
      </c>
      <c r="M185" s="42" t="str">
        <f ca="1">IF(ISERROR(B185-2),"",C185+D185-F185-G185-K185+SUM($L$14:L185))</f>
        <v/>
      </c>
      <c r="U185" s="3" t="str">
        <f t="shared" si="20"/>
        <v/>
      </c>
      <c r="V185" s="3" t="str">
        <f t="shared" si="21"/>
        <v/>
      </c>
      <c r="Z185" s="3">
        <v>46042</v>
      </c>
      <c r="AA185" s="4">
        <v>248.08500000000001</v>
      </c>
      <c r="AB185" s="74">
        <v>46042</v>
      </c>
      <c r="AC185" s="4">
        <v>252.017</v>
      </c>
      <c r="AD185" s="6">
        <f t="shared" si="22"/>
        <v>46042</v>
      </c>
    </row>
    <row r="186" spans="1:30" x14ac:dyDescent="0.25">
      <c r="A186" s="37" t="str">
        <f t="shared" ca="1" si="23"/>
        <v/>
      </c>
      <c r="B186" s="38" t="str">
        <f ca="1">IF(COUNTIF($W$2:W1171,A186)=1,VLOOKUP(A186,O:P,2), IF(COUNTIF($W$2:W1171,A186)=0,$B$9,""))</f>
        <v/>
      </c>
      <c r="C186" s="2" t="str">
        <f t="shared" ca="1" si="24"/>
        <v/>
      </c>
      <c r="D186" s="41" t="str">
        <f t="shared" ca="1" si="25"/>
        <v/>
      </c>
      <c r="E186" s="38" t="str">
        <f ca="1">IF(COUNTIF($W$2:W1171,A186)=1,VLOOKUP(A186,Q:R,2), IF(COUNTIF($W$2:W1171,A186)=0,$C$9,""))</f>
        <v/>
      </c>
      <c r="F186" s="2" t="str">
        <f t="shared" ca="1" si="26"/>
        <v/>
      </c>
      <c r="G186" s="41" t="str">
        <f t="shared" ca="1" si="27"/>
        <v/>
      </c>
      <c r="H186" s="38" t="str">
        <f ca="1">IF(COUNTIF($W$2:W1171,A186)=1,VLOOKUP(A186,S:T,2), IF(COUNTIF($W$2:W1171,A186)=0,$D$9,""))</f>
        <v/>
      </c>
      <c r="I186" s="39" t="str">
        <f ca="1">IF(COUNTIF($X$2:X1171,INT(A186))=1,VLOOKUP(INT(A186),X:Y,2), IF(ISERROR(H186-2),"",I185*(1-$D$8*(H186-H185)*0.0001)))</f>
        <v/>
      </c>
      <c r="J186" s="39" t="str">
        <f t="shared" ca="1" si="28"/>
        <v/>
      </c>
      <c r="K186" s="41" t="str">
        <f t="shared" ca="1" si="29"/>
        <v/>
      </c>
      <c r="L186" s="41" t="str">
        <f ca="1">IF($A186="","",IF(COUNTIFS(Dividends!$G:$G,"&gt;"&amp;INT($A185),Dividends!$G:$G,"&lt;="&amp;INT($A186))=0,"",$H$2*SUMIFS(Dividends!$H:$H,Dividends!$G:$G,"&gt;"&amp;INT($A185),Dividends!$G:$G,"&lt;="&amp;INT($A186))))</f>
        <v/>
      </c>
      <c r="M186" s="42" t="str">
        <f ca="1">IF(ISERROR(B186-2),"",C186+D186-F186-G186-K186+SUM($L$14:L186))</f>
        <v/>
      </c>
      <c r="U186" s="3" t="str">
        <f t="shared" si="20"/>
        <v/>
      </c>
      <c r="V186" s="3" t="str">
        <f t="shared" si="21"/>
        <v/>
      </c>
      <c r="Z186" s="3">
        <v>46043</v>
      </c>
      <c r="AA186" s="4">
        <v>248.64510000000001</v>
      </c>
      <c r="AB186" s="74">
        <v>46043</v>
      </c>
      <c r="AC186" s="4">
        <v>248.50399999999999</v>
      </c>
      <c r="AD186" s="6">
        <f t="shared" si="22"/>
        <v>46043</v>
      </c>
    </row>
    <row r="187" spans="1:30" x14ac:dyDescent="0.25">
      <c r="A187" s="37" t="str">
        <f t="shared" ca="1" si="23"/>
        <v/>
      </c>
      <c r="B187" s="38" t="str">
        <f ca="1">IF(COUNTIF($W$2:W1172,A187)=1,VLOOKUP(A187,O:P,2), IF(COUNTIF($W$2:W1172,A187)=0,$B$9,""))</f>
        <v/>
      </c>
      <c r="C187" s="2" t="str">
        <f t="shared" ca="1" si="24"/>
        <v/>
      </c>
      <c r="D187" s="41" t="str">
        <f t="shared" ca="1" si="25"/>
        <v/>
      </c>
      <c r="E187" s="38" t="str">
        <f ca="1">IF(COUNTIF($W$2:W1172,A187)=1,VLOOKUP(A187,Q:R,2), IF(COUNTIF($W$2:W1172,A187)=0,$C$9,""))</f>
        <v/>
      </c>
      <c r="F187" s="2" t="str">
        <f t="shared" ca="1" si="26"/>
        <v/>
      </c>
      <c r="G187" s="41" t="str">
        <f t="shared" ca="1" si="27"/>
        <v/>
      </c>
      <c r="H187" s="38" t="str">
        <f ca="1">IF(COUNTIF($W$2:W1172,A187)=1,VLOOKUP(A187,S:T,2), IF(COUNTIF($W$2:W1172,A187)=0,$D$9,""))</f>
        <v/>
      </c>
      <c r="I187" s="39" t="str">
        <f ca="1">IF(COUNTIF($X$2:X1172,INT(A187))=1,VLOOKUP(INT(A187),X:Y,2), IF(ISERROR(H187-2),"",I186*(1-$D$8*(H187-H186)*0.0001)))</f>
        <v/>
      </c>
      <c r="J187" s="39" t="str">
        <f t="shared" ca="1" si="28"/>
        <v/>
      </c>
      <c r="K187" s="41" t="str">
        <f t="shared" ca="1" si="29"/>
        <v/>
      </c>
      <c r="L187" s="41" t="str">
        <f ca="1">IF($A187="","",IF(COUNTIFS(Dividends!$G:$G,"&gt;"&amp;INT($A186),Dividends!$G:$G,"&lt;="&amp;INT($A187))=0,"",$H$2*SUMIFS(Dividends!$H:$H,Dividends!$G:$G,"&gt;"&amp;INT($A186),Dividends!$G:$G,"&lt;="&amp;INT($A187))))</f>
        <v/>
      </c>
      <c r="M187" s="42" t="str">
        <f ca="1">IF(ISERROR(B187-2),"",C187+D187-F187-G187-K187+SUM($L$14:L187))</f>
        <v/>
      </c>
      <c r="U187" s="3" t="str">
        <f t="shared" si="20"/>
        <v/>
      </c>
      <c r="V187" s="3" t="str">
        <f t="shared" si="21"/>
        <v/>
      </c>
      <c r="Z187" s="3">
        <v>46044</v>
      </c>
      <c r="AA187" s="4">
        <v>249.4425</v>
      </c>
      <c r="AB187" s="74">
        <v>46044</v>
      </c>
      <c r="AC187" s="4">
        <v>240.483</v>
      </c>
      <c r="AD187" s="6">
        <f t="shared" si="22"/>
        <v>46044</v>
      </c>
    </row>
    <row r="188" spans="1:30" x14ac:dyDescent="0.25">
      <c r="A188" s="37" t="str">
        <f t="shared" ca="1" si="23"/>
        <v/>
      </c>
      <c r="B188" s="38" t="str">
        <f ca="1">IF(COUNTIF($W$2:W1173,A188)=1,VLOOKUP(A188,O:P,2), IF(COUNTIF($W$2:W1173,A188)=0,$B$9,""))</f>
        <v/>
      </c>
      <c r="C188" s="2" t="str">
        <f t="shared" ca="1" si="24"/>
        <v/>
      </c>
      <c r="D188" s="41" t="str">
        <f t="shared" ca="1" si="25"/>
        <v/>
      </c>
      <c r="E188" s="38" t="str">
        <f ca="1">IF(COUNTIF($W$2:W1173,A188)=1,VLOOKUP(A188,Q:R,2), IF(COUNTIF($W$2:W1173,A188)=0,$C$9,""))</f>
        <v/>
      </c>
      <c r="F188" s="2" t="str">
        <f t="shared" ca="1" si="26"/>
        <v/>
      </c>
      <c r="G188" s="41" t="str">
        <f t="shared" ca="1" si="27"/>
        <v/>
      </c>
      <c r="H188" s="38" t="str">
        <f ca="1">IF(COUNTIF($W$2:W1173,A188)=1,VLOOKUP(A188,S:T,2), IF(COUNTIF($W$2:W1173,A188)=0,$D$9,""))</f>
        <v/>
      </c>
      <c r="I188" s="39" t="str">
        <f ca="1">IF(COUNTIF($X$2:X1173,INT(A188))=1,VLOOKUP(INT(A188),X:Y,2), IF(ISERROR(H188-2),"",I187*(1-$D$8*(H188-H187)*0.0001)))</f>
        <v/>
      </c>
      <c r="J188" s="39" t="str">
        <f t="shared" ca="1" si="28"/>
        <v/>
      </c>
      <c r="K188" s="41" t="str">
        <f t="shared" ca="1" si="29"/>
        <v/>
      </c>
      <c r="L188" s="41" t="str">
        <f ca="1">IF($A188="","",IF(COUNTIFS(Dividends!$G:$G,"&gt;"&amp;INT($A187),Dividends!$G:$G,"&lt;="&amp;INT($A188))=0,"",$H$2*SUMIFS(Dividends!$H:$H,Dividends!$G:$G,"&gt;"&amp;INT($A187),Dividends!$G:$G,"&lt;="&amp;INT($A188))))</f>
        <v/>
      </c>
      <c r="M188" s="42" t="str">
        <f ca="1">IF(ISERROR(B188-2),"",C188+D188-F188-G188-K188+SUM($L$14:L188))</f>
        <v/>
      </c>
      <c r="U188" s="3" t="str">
        <f t="shared" si="20"/>
        <v/>
      </c>
      <c r="V188" s="3" t="str">
        <f t="shared" si="21"/>
        <v/>
      </c>
      <c r="Z188" s="3">
        <v>46045</v>
      </c>
      <c r="AA188" s="4">
        <v>249.2397</v>
      </c>
      <c r="AB188" s="74">
        <v>46045</v>
      </c>
      <c r="AC188" s="4">
        <v>242.67099999999999</v>
      </c>
      <c r="AD188" s="6">
        <f t="shared" si="22"/>
        <v>46045</v>
      </c>
    </row>
    <row r="189" spans="1:30" x14ac:dyDescent="0.25">
      <c r="A189" s="37" t="str">
        <f t="shared" ca="1" si="23"/>
        <v/>
      </c>
      <c r="B189" s="38" t="str">
        <f ca="1">IF(COUNTIF($W$2:W1174,A189)=1,VLOOKUP(A189,O:P,2), IF(COUNTIF($W$2:W1174,A189)=0,$B$9,""))</f>
        <v/>
      </c>
      <c r="C189" s="2" t="str">
        <f t="shared" ca="1" si="24"/>
        <v/>
      </c>
      <c r="D189" s="41" t="str">
        <f t="shared" ca="1" si="25"/>
        <v/>
      </c>
      <c r="E189" s="38" t="str">
        <f ca="1">IF(COUNTIF($W$2:W1174,A189)=1,VLOOKUP(A189,Q:R,2), IF(COUNTIF($W$2:W1174,A189)=0,$C$9,""))</f>
        <v/>
      </c>
      <c r="F189" s="2" t="str">
        <f t="shared" ca="1" si="26"/>
        <v/>
      </c>
      <c r="G189" s="41" t="str">
        <f t="shared" ca="1" si="27"/>
        <v/>
      </c>
      <c r="H189" s="38" t="str">
        <f ca="1">IF(COUNTIF($W$2:W1174,A189)=1,VLOOKUP(A189,S:T,2), IF(COUNTIF($W$2:W1174,A189)=0,$D$9,""))</f>
        <v/>
      </c>
      <c r="I189" s="39" t="str">
        <f ca="1">IF(COUNTIF($X$2:X1174,INT(A189))=1,VLOOKUP(INT(A189),X:Y,2), IF(ISERROR(H189-2),"",I188*(1-$D$8*(H189-H188)*0.0001)))</f>
        <v/>
      </c>
      <c r="J189" s="39" t="str">
        <f t="shared" ca="1" si="28"/>
        <v/>
      </c>
      <c r="K189" s="41" t="str">
        <f t="shared" ca="1" si="29"/>
        <v/>
      </c>
      <c r="L189" s="41" t="str">
        <f ca="1">IF($A189="","",IF(COUNTIFS(Dividends!$G:$G,"&gt;"&amp;INT($A188),Dividends!$G:$G,"&lt;="&amp;INT($A189))=0,"",$H$2*SUMIFS(Dividends!$H:$H,Dividends!$G:$G,"&gt;"&amp;INT($A188),Dividends!$G:$G,"&lt;="&amp;INT($A189))))</f>
        <v/>
      </c>
      <c r="M189" s="42" t="str">
        <f ca="1">IF(ISERROR(B189-2),"",C189+D189-F189-G189-K189+SUM($L$14:L189))</f>
        <v/>
      </c>
      <c r="U189" s="3" t="str">
        <f t="shared" si="20"/>
        <v/>
      </c>
      <c r="V189" s="3" t="str">
        <f t="shared" si="21"/>
        <v/>
      </c>
      <c r="Z189" s="3">
        <v>46048</v>
      </c>
      <c r="AA189" s="4">
        <v>249.3184</v>
      </c>
      <c r="AB189" s="74">
        <v>46048</v>
      </c>
      <c r="AC189" s="4">
        <v>242.38300000000001</v>
      </c>
      <c r="AD189" s="6">
        <f t="shared" si="22"/>
        <v>46048</v>
      </c>
    </row>
    <row r="190" spans="1:30" x14ac:dyDescent="0.25">
      <c r="A190" s="37" t="str">
        <f t="shared" ca="1" si="23"/>
        <v/>
      </c>
      <c r="B190" s="38" t="str">
        <f ca="1">IF(COUNTIF($W$2:W1175,A190)=1,VLOOKUP(A190,O:P,2), IF(COUNTIF($W$2:W1175,A190)=0,$B$9,""))</f>
        <v/>
      </c>
      <c r="C190" s="2" t="str">
        <f t="shared" ca="1" si="24"/>
        <v/>
      </c>
      <c r="D190" s="41" t="str">
        <f t="shared" ca="1" si="25"/>
        <v/>
      </c>
      <c r="E190" s="38" t="str">
        <f ca="1">IF(COUNTIF($W$2:W1175,A190)=1,VLOOKUP(A190,Q:R,2), IF(COUNTIF($W$2:W1175,A190)=0,$C$9,""))</f>
        <v/>
      </c>
      <c r="F190" s="2" t="str">
        <f t="shared" ca="1" si="26"/>
        <v/>
      </c>
      <c r="G190" s="41" t="str">
        <f t="shared" ca="1" si="27"/>
        <v/>
      </c>
      <c r="H190" s="38" t="str">
        <f ca="1">IF(COUNTIF($W$2:W1175,A190)=1,VLOOKUP(A190,S:T,2), IF(COUNTIF($W$2:W1175,A190)=0,$D$9,""))</f>
        <v/>
      </c>
      <c r="I190" s="39" t="str">
        <f ca="1">IF(COUNTIF($X$2:X1175,INT(A190))=1,VLOOKUP(INT(A190),X:Y,2), IF(ISERROR(H190-2),"",I189*(1-$D$8*(H190-H189)*0.0001)))</f>
        <v/>
      </c>
      <c r="J190" s="39" t="str">
        <f t="shared" ca="1" si="28"/>
        <v/>
      </c>
      <c r="K190" s="41" t="str">
        <f t="shared" ca="1" si="29"/>
        <v/>
      </c>
      <c r="L190" s="41" t="str">
        <f ca="1">IF($A190="","",IF(COUNTIFS(Dividends!$G:$G,"&gt;"&amp;INT($A189),Dividends!$G:$G,"&lt;="&amp;INT($A190))=0,"",$H$2*SUMIFS(Dividends!$H:$H,Dividends!$G:$G,"&gt;"&amp;INT($A189),Dividends!$G:$G,"&lt;="&amp;INT($A190))))</f>
        <v/>
      </c>
      <c r="M190" s="42" t="str">
        <f ca="1">IF(ISERROR(B190-2),"",C190+D190-F190-G190-K190+SUM($L$14:L190))</f>
        <v/>
      </c>
      <c r="U190" s="3" t="str">
        <f t="shared" si="20"/>
        <v/>
      </c>
      <c r="V190" s="3" t="str">
        <f t="shared" si="21"/>
        <v/>
      </c>
      <c r="Z190" s="3">
        <v>46049</v>
      </c>
      <c r="AA190" s="4">
        <v>249.45769999999999</v>
      </c>
      <c r="AB190" s="74">
        <v>46049</v>
      </c>
      <c r="AC190" s="4">
        <v>241.536</v>
      </c>
      <c r="AD190" s="6">
        <f t="shared" si="22"/>
        <v>46049</v>
      </c>
    </row>
    <row r="191" spans="1:30" x14ac:dyDescent="0.25">
      <c r="A191" s="37" t="str">
        <f t="shared" ca="1" si="23"/>
        <v/>
      </c>
      <c r="B191" s="38" t="str">
        <f ca="1">IF(COUNTIF($W$2:W1176,A191)=1,VLOOKUP(A191,O:P,2), IF(COUNTIF($W$2:W1176,A191)=0,$B$9,""))</f>
        <v/>
      </c>
      <c r="C191" s="2" t="str">
        <f t="shared" ca="1" si="24"/>
        <v/>
      </c>
      <c r="D191" s="41" t="str">
        <f t="shared" ca="1" si="25"/>
        <v/>
      </c>
      <c r="E191" s="38" t="str">
        <f ca="1">IF(COUNTIF($W$2:W1176,A191)=1,VLOOKUP(A191,Q:R,2), IF(COUNTIF($W$2:W1176,A191)=0,$C$9,""))</f>
        <v/>
      </c>
      <c r="F191" s="2" t="str">
        <f t="shared" ca="1" si="26"/>
        <v/>
      </c>
      <c r="G191" s="41" t="str">
        <f t="shared" ca="1" si="27"/>
        <v/>
      </c>
      <c r="H191" s="38" t="str">
        <f ca="1">IF(COUNTIF($W$2:W1176,A191)=1,VLOOKUP(A191,S:T,2), IF(COUNTIF($W$2:W1176,A191)=0,$D$9,""))</f>
        <v/>
      </c>
      <c r="I191" s="39" t="str">
        <f ca="1">IF(COUNTIF($X$2:X1176,INT(A191))=1,VLOOKUP(INT(A191),X:Y,2), IF(ISERROR(H191-2),"",I190*(1-$D$8*(H191-H190)*0.0001)))</f>
        <v/>
      </c>
      <c r="J191" s="39" t="str">
        <f t="shared" ca="1" si="28"/>
        <v/>
      </c>
      <c r="K191" s="41" t="str">
        <f t="shared" ca="1" si="29"/>
        <v/>
      </c>
      <c r="L191" s="41" t="str">
        <f ca="1">IF($A191="","",IF(COUNTIFS(Dividends!$G:$G,"&gt;"&amp;INT($A190),Dividends!$G:$G,"&lt;="&amp;INT($A191))=0,"",$H$2*SUMIFS(Dividends!$H:$H,Dividends!$G:$G,"&gt;"&amp;INT($A190),Dividends!$G:$G,"&lt;="&amp;INT($A191))))</f>
        <v/>
      </c>
      <c r="M191" s="42" t="str">
        <f ca="1">IF(ISERROR(B191-2),"",C191+D191-F191-G191-K191+SUM($L$14:L191))</f>
        <v/>
      </c>
      <c r="U191" s="3" t="str">
        <f t="shared" si="20"/>
        <v/>
      </c>
      <c r="V191" s="3" t="str">
        <f t="shared" si="21"/>
        <v/>
      </c>
      <c r="Z191" s="3">
        <v>46050</v>
      </c>
      <c r="AA191" s="4">
        <v>249.07820000000001</v>
      </c>
      <c r="AB191" s="74">
        <v>46050</v>
      </c>
      <c r="AC191" s="4">
        <v>245.107</v>
      </c>
      <c r="AD191" s="6">
        <f t="shared" si="22"/>
        <v>46050</v>
      </c>
    </row>
    <row r="192" spans="1:30" x14ac:dyDescent="0.25">
      <c r="A192" s="37" t="str">
        <f t="shared" ca="1" si="23"/>
        <v/>
      </c>
      <c r="B192" s="38" t="str">
        <f ca="1">IF(COUNTIF($W$2:W1177,A192)=1,VLOOKUP(A192,O:P,2), IF(COUNTIF($W$2:W1177,A192)=0,$B$9,""))</f>
        <v/>
      </c>
      <c r="C192" s="2" t="str">
        <f t="shared" ca="1" si="24"/>
        <v/>
      </c>
      <c r="D192" s="41" t="str">
        <f t="shared" ca="1" si="25"/>
        <v/>
      </c>
      <c r="E192" s="38" t="str">
        <f ca="1">IF(COUNTIF($W$2:W1177,A192)=1,VLOOKUP(A192,Q:R,2), IF(COUNTIF($W$2:W1177,A192)=0,$C$9,""))</f>
        <v/>
      </c>
      <c r="F192" s="2" t="str">
        <f t="shared" ca="1" si="26"/>
        <v/>
      </c>
      <c r="G192" s="41" t="str">
        <f t="shared" ca="1" si="27"/>
        <v/>
      </c>
      <c r="H192" s="38" t="str">
        <f ca="1">IF(COUNTIF($W$2:W1177,A192)=1,VLOOKUP(A192,S:T,2), IF(COUNTIF($W$2:W1177,A192)=0,$D$9,""))</f>
        <v/>
      </c>
      <c r="I192" s="39" t="str">
        <f ca="1">IF(COUNTIF($X$2:X1177,INT(A192))=1,VLOOKUP(INT(A192),X:Y,2), IF(ISERROR(H192-2),"",I191*(1-$D$8*(H192-H191)*0.0001)))</f>
        <v/>
      </c>
      <c r="J192" s="39" t="str">
        <f t="shared" ca="1" si="28"/>
        <v/>
      </c>
      <c r="K192" s="41" t="str">
        <f t="shared" ca="1" si="29"/>
        <v/>
      </c>
      <c r="L192" s="41" t="str">
        <f ca="1">IF($A192="","",IF(COUNTIFS(Dividends!$G:$G,"&gt;"&amp;INT($A191),Dividends!$G:$G,"&lt;="&amp;INT($A192))=0,"",$H$2*SUMIFS(Dividends!$H:$H,Dividends!$G:$G,"&gt;"&amp;INT($A191),Dividends!$G:$G,"&lt;="&amp;INT($A192))))</f>
        <v/>
      </c>
      <c r="M192" s="42" t="str">
        <f ca="1">IF(ISERROR(B192-2),"",C192+D192-F192-G192-K192+SUM($L$14:L192))</f>
        <v/>
      </c>
      <c r="U192" s="3" t="str">
        <f t="shared" si="20"/>
        <v/>
      </c>
      <c r="V192" s="3" t="str">
        <f t="shared" si="21"/>
        <v/>
      </c>
      <c r="Z192" s="3">
        <v>46051</v>
      </c>
      <c r="AA192" s="4">
        <v>248.7859</v>
      </c>
      <c r="AB192" s="74">
        <v>46051</v>
      </c>
      <c r="AC192" s="4">
        <v>247.57400000000001</v>
      </c>
      <c r="AD192" s="6">
        <f t="shared" si="22"/>
        <v>46051</v>
      </c>
    </row>
    <row r="193" spans="1:30" x14ac:dyDescent="0.25">
      <c r="A193" s="37" t="str">
        <f t="shared" ca="1" si="23"/>
        <v/>
      </c>
      <c r="B193" s="38" t="str">
        <f ca="1">IF(COUNTIF($W$2:W1178,A193)=1,VLOOKUP(A193,O:P,2), IF(COUNTIF($W$2:W1178,A193)=0,$B$9,""))</f>
        <v/>
      </c>
      <c r="C193" s="2" t="str">
        <f t="shared" ca="1" si="24"/>
        <v/>
      </c>
      <c r="D193" s="41" t="str">
        <f t="shared" ca="1" si="25"/>
        <v/>
      </c>
      <c r="E193" s="38" t="str">
        <f ca="1">IF(COUNTIF($W$2:W1178,A193)=1,VLOOKUP(A193,Q:R,2), IF(COUNTIF($W$2:W1178,A193)=0,$C$9,""))</f>
        <v/>
      </c>
      <c r="F193" s="2" t="str">
        <f t="shared" ca="1" si="26"/>
        <v/>
      </c>
      <c r="G193" s="41" t="str">
        <f t="shared" ca="1" si="27"/>
        <v/>
      </c>
      <c r="H193" s="38" t="str">
        <f ca="1">IF(COUNTIF($W$2:W1178,A193)=1,VLOOKUP(A193,S:T,2), IF(COUNTIF($W$2:W1178,A193)=0,$D$9,""))</f>
        <v/>
      </c>
      <c r="I193" s="39" t="str">
        <f ca="1">IF(COUNTIF($X$2:X1178,INT(A193))=1,VLOOKUP(INT(A193),X:Y,2), IF(ISERROR(H193-2),"",I192*(1-$D$8*(H193-H192)*0.0001)))</f>
        <v/>
      </c>
      <c r="J193" s="39" t="str">
        <f t="shared" ca="1" si="28"/>
        <v/>
      </c>
      <c r="K193" s="41" t="str">
        <f t="shared" ca="1" si="29"/>
        <v/>
      </c>
      <c r="L193" s="41" t="str">
        <f ca="1">IF($A193="","",IF(COUNTIFS(Dividends!$G:$G,"&gt;"&amp;INT($A192),Dividends!$G:$G,"&lt;="&amp;INT($A193))=0,"",$H$2*SUMIFS(Dividends!$H:$H,Dividends!$G:$G,"&gt;"&amp;INT($A192),Dividends!$G:$G,"&lt;="&amp;INT($A193))))</f>
        <v/>
      </c>
      <c r="M193" s="42" t="str">
        <f ca="1">IF(ISERROR(B193-2),"",C193+D193-F193-G193-K193+SUM($L$14:L193))</f>
        <v/>
      </c>
      <c r="U193" s="3" t="str">
        <f t="shared" si="20"/>
        <v/>
      </c>
      <c r="V193" s="3" t="str">
        <f t="shared" si="21"/>
        <v/>
      </c>
      <c r="Z193" s="3">
        <v>46052</v>
      </c>
      <c r="AA193" s="4">
        <v>248.92789999999999</v>
      </c>
      <c r="AB193" s="74">
        <v>46052</v>
      </c>
      <c r="AC193" s="4">
        <v>247.31899999999999</v>
      </c>
      <c r="AD193" s="6">
        <f t="shared" si="22"/>
        <v>46052</v>
      </c>
    </row>
    <row r="194" spans="1:30" x14ac:dyDescent="0.25">
      <c r="A194" s="37" t="str">
        <f t="shared" ca="1" si="23"/>
        <v/>
      </c>
      <c r="B194" s="38" t="str">
        <f ca="1">IF(COUNTIF($W$2:W1179,A194)=1,VLOOKUP(A194,O:P,2), IF(COUNTIF($W$2:W1179,A194)=0,$B$9,""))</f>
        <v/>
      </c>
      <c r="C194" s="2" t="str">
        <f t="shared" ca="1" si="24"/>
        <v/>
      </c>
      <c r="D194" s="41" t="str">
        <f t="shared" ca="1" si="25"/>
        <v/>
      </c>
      <c r="E194" s="38" t="str">
        <f ca="1">IF(COUNTIF($W$2:W1179,A194)=1,VLOOKUP(A194,Q:R,2), IF(COUNTIF($W$2:W1179,A194)=0,$C$9,""))</f>
        <v/>
      </c>
      <c r="F194" s="2" t="str">
        <f t="shared" ca="1" si="26"/>
        <v/>
      </c>
      <c r="G194" s="41" t="str">
        <f t="shared" ca="1" si="27"/>
        <v/>
      </c>
      <c r="H194" s="38" t="str">
        <f ca="1">IF(COUNTIF($W$2:W1179,A194)=1,VLOOKUP(A194,S:T,2), IF(COUNTIF($W$2:W1179,A194)=0,$D$9,""))</f>
        <v/>
      </c>
      <c r="I194" s="39" t="str">
        <f ca="1">IF(COUNTIF($X$2:X1179,INT(A194))=1,VLOOKUP(INT(A194),X:Y,2), IF(ISERROR(H194-2),"",I193*(1-$D$8*(H194-H193)*0.0001)))</f>
        <v/>
      </c>
      <c r="J194" s="39" t="str">
        <f t="shared" ca="1" si="28"/>
        <v/>
      </c>
      <c r="K194" s="41" t="str">
        <f t="shared" ca="1" si="29"/>
        <v/>
      </c>
      <c r="L194" s="41" t="str">
        <f ca="1">IF($A194="","",IF(COUNTIFS(Dividends!$G:$G,"&gt;"&amp;INT($A193),Dividends!$G:$G,"&lt;="&amp;INT($A194))=0,"",$H$2*SUMIFS(Dividends!$H:$H,Dividends!$G:$G,"&gt;"&amp;INT($A193),Dividends!$G:$G,"&lt;="&amp;INT($A194))))</f>
        <v/>
      </c>
      <c r="M194" s="42" t="str">
        <f ca="1">IF(ISERROR(B194-2),"",C194+D194-F194-G194-K194+SUM($L$14:L194))</f>
        <v/>
      </c>
      <c r="U194" s="3" t="str">
        <f t="shared" si="20"/>
        <v/>
      </c>
      <c r="V194" s="3" t="str">
        <f t="shared" si="21"/>
        <v/>
      </c>
      <c r="Z194" s="3">
        <v>46055</v>
      </c>
      <c r="AA194" s="4">
        <v>249.41380000000001</v>
      </c>
      <c r="AB194" s="74">
        <v>46055</v>
      </c>
      <c r="AC194" s="4">
        <v>242.94800000000001</v>
      </c>
      <c r="AD194" s="6">
        <f t="shared" si="22"/>
        <v>46055</v>
      </c>
    </row>
    <row r="195" spans="1:30" x14ac:dyDescent="0.25">
      <c r="A195" s="37" t="str">
        <f t="shared" ca="1" si="23"/>
        <v/>
      </c>
      <c r="B195" s="38" t="str">
        <f ca="1">IF(COUNTIF($W$2:W1180,A195)=1,VLOOKUP(A195,O:P,2), IF(COUNTIF($W$2:W1180,A195)=0,$B$9,""))</f>
        <v/>
      </c>
      <c r="C195" s="2" t="str">
        <f t="shared" ca="1" si="24"/>
        <v/>
      </c>
      <c r="D195" s="41" t="str">
        <f t="shared" ca="1" si="25"/>
        <v/>
      </c>
      <c r="E195" s="38" t="str">
        <f ca="1">IF(COUNTIF($W$2:W1180,A195)=1,VLOOKUP(A195,Q:R,2), IF(COUNTIF($W$2:W1180,A195)=0,$C$9,""))</f>
        <v/>
      </c>
      <c r="F195" s="2" t="str">
        <f t="shared" ca="1" si="26"/>
        <v/>
      </c>
      <c r="G195" s="41" t="str">
        <f t="shared" ca="1" si="27"/>
        <v/>
      </c>
      <c r="H195" s="38" t="str">
        <f ca="1">IF(COUNTIF($W$2:W1180,A195)=1,VLOOKUP(A195,S:T,2), IF(COUNTIF($W$2:W1180,A195)=0,$D$9,""))</f>
        <v/>
      </c>
      <c r="I195" s="39" t="str">
        <f ca="1">IF(COUNTIF($X$2:X1180,INT(A195))=1,VLOOKUP(INT(A195),X:Y,2), IF(ISERROR(H195-2),"",I194*(1-$D$8*(H195-H194)*0.0001)))</f>
        <v/>
      </c>
      <c r="J195" s="39" t="str">
        <f t="shared" ca="1" si="28"/>
        <v/>
      </c>
      <c r="K195" s="41" t="str">
        <f t="shared" ca="1" si="29"/>
        <v/>
      </c>
      <c r="L195" s="41" t="str">
        <f ca="1">IF($A195="","",IF(COUNTIFS(Dividends!$G:$G,"&gt;"&amp;INT($A194),Dividends!$G:$G,"&lt;="&amp;INT($A195))=0,"",$H$2*SUMIFS(Dividends!$H:$H,Dividends!$G:$G,"&gt;"&amp;INT($A194),Dividends!$G:$G,"&lt;="&amp;INT($A195))))</f>
        <v/>
      </c>
      <c r="M195" s="42" t="str">
        <f ca="1">IF(ISERROR(B195-2),"",C195+D195-F195-G195-K195+SUM($L$14:L195))</f>
        <v/>
      </c>
      <c r="U195" s="3" t="str">
        <f t="shared" si="20"/>
        <v/>
      </c>
      <c r="V195" s="3" t="str">
        <f t="shared" si="21"/>
        <v/>
      </c>
      <c r="Z195" s="3">
        <v>46056</v>
      </c>
      <c r="AA195" s="4">
        <v>249.29150000000001</v>
      </c>
      <c r="AB195" s="74">
        <v>46056</v>
      </c>
      <c r="AC195" s="4">
        <v>244.75399999999999</v>
      </c>
      <c r="AD195" s="6">
        <f t="shared" si="22"/>
        <v>46056</v>
      </c>
    </row>
    <row r="196" spans="1:30" x14ac:dyDescent="0.25">
      <c r="A196" s="37" t="str">
        <f t="shared" ca="1" si="23"/>
        <v/>
      </c>
      <c r="B196" s="38" t="str">
        <f ca="1">IF(COUNTIF($W$2:W1181,A196)=1,VLOOKUP(A196,O:P,2), IF(COUNTIF($W$2:W1181,A196)=0,$B$9,""))</f>
        <v/>
      </c>
      <c r="C196" s="2" t="str">
        <f t="shared" ca="1" si="24"/>
        <v/>
      </c>
      <c r="D196" s="41" t="str">
        <f t="shared" ca="1" si="25"/>
        <v/>
      </c>
      <c r="E196" s="38" t="str">
        <f ca="1">IF(COUNTIF($W$2:W1181,A196)=1,VLOOKUP(A196,Q:R,2), IF(COUNTIF($W$2:W1181,A196)=0,$C$9,""))</f>
        <v/>
      </c>
      <c r="F196" s="2" t="str">
        <f t="shared" ca="1" si="26"/>
        <v/>
      </c>
      <c r="G196" s="41" t="str">
        <f t="shared" ca="1" si="27"/>
        <v/>
      </c>
      <c r="H196" s="38" t="str">
        <f ca="1">IF(COUNTIF($W$2:W1181,A196)=1,VLOOKUP(A196,S:T,2), IF(COUNTIF($W$2:W1181,A196)=0,$D$9,""))</f>
        <v/>
      </c>
      <c r="I196" s="39" t="str">
        <f ca="1">IF(COUNTIF($X$2:X1181,INT(A196))=1,VLOOKUP(INT(A196),X:Y,2), IF(ISERROR(H196-2),"",I195*(1-$D$8*(H196-H195)*0.0001)))</f>
        <v/>
      </c>
      <c r="J196" s="39" t="str">
        <f t="shared" ca="1" si="28"/>
        <v/>
      </c>
      <c r="K196" s="41" t="str">
        <f t="shared" ca="1" si="29"/>
        <v/>
      </c>
      <c r="L196" s="41" t="str">
        <f ca="1">IF($A196="","",IF(COUNTIFS(Dividends!$G:$G,"&gt;"&amp;INT($A195),Dividends!$G:$G,"&lt;="&amp;INT($A196))=0,"",$H$2*SUMIFS(Dividends!$H:$H,Dividends!$G:$G,"&gt;"&amp;INT($A195),Dividends!$G:$G,"&lt;="&amp;INT($A196))))</f>
        <v/>
      </c>
      <c r="M196" s="42" t="str">
        <f ca="1">IF(ISERROR(B196-2),"",C196+D196-F196-G196-K196+SUM($L$14:L196))</f>
        <v/>
      </c>
      <c r="U196" s="3" t="str">
        <f t="shared" ref="U196:U259" si="30">IF(COUNTIF(Q:Q,O196)*COUNTIF(S:S,O196),O196,"")</f>
        <v/>
      </c>
      <c r="V196" s="3" t="str">
        <f t="shared" ref="V196:V259" si="31">IF(U196&gt;$A$14,U196,"")</f>
        <v/>
      </c>
      <c r="Z196" s="3">
        <v>46057</v>
      </c>
      <c r="AA196" s="4">
        <v>249.12110000000001</v>
      </c>
      <c r="AB196" s="74">
        <v>46057</v>
      </c>
      <c r="AC196" s="4">
        <v>246.44200000000001</v>
      </c>
      <c r="AD196" s="6">
        <f t="shared" ref="AD196:AD259" si="32">IF(COUNTIF(AB:AB,Z196),Z196,"")</f>
        <v>46057</v>
      </c>
    </row>
    <row r="197" spans="1:30" x14ac:dyDescent="0.25">
      <c r="A197" s="37" t="str">
        <f t="shared" ca="1" si="23"/>
        <v/>
      </c>
      <c r="B197" s="38" t="str">
        <f ca="1">IF(COUNTIF($W$2:W1182,A197)=1,VLOOKUP(A197,O:P,2), IF(COUNTIF($W$2:W1182,A197)=0,$B$9,""))</f>
        <v/>
      </c>
      <c r="C197" s="2" t="str">
        <f t="shared" ca="1" si="24"/>
        <v/>
      </c>
      <c r="D197" s="41" t="str">
        <f t="shared" ca="1" si="25"/>
        <v/>
      </c>
      <c r="E197" s="38" t="str">
        <f ca="1">IF(COUNTIF($W$2:W1182,A197)=1,VLOOKUP(A197,Q:R,2), IF(COUNTIF($W$2:W1182,A197)=0,$C$9,""))</f>
        <v/>
      </c>
      <c r="F197" s="2" t="str">
        <f t="shared" ca="1" si="26"/>
        <v/>
      </c>
      <c r="G197" s="41" t="str">
        <f t="shared" ca="1" si="27"/>
        <v/>
      </c>
      <c r="H197" s="38" t="str">
        <f ca="1">IF(COUNTIF($W$2:W1182,A197)=1,VLOOKUP(A197,S:T,2), IF(COUNTIF($W$2:W1182,A197)=0,$D$9,""))</f>
        <v/>
      </c>
      <c r="I197" s="39" t="str">
        <f ca="1">IF(COUNTIF($X$2:X1182,INT(A197))=1,VLOOKUP(INT(A197),X:Y,2), IF(ISERROR(H197-2),"",I196*(1-$D$8*(H197-H196)*0.0001)))</f>
        <v/>
      </c>
      <c r="J197" s="39" t="str">
        <f t="shared" ca="1" si="28"/>
        <v/>
      </c>
      <c r="K197" s="41" t="str">
        <f t="shared" ca="1" si="29"/>
        <v/>
      </c>
      <c r="L197" s="41" t="str">
        <f ca="1">IF($A197="","",IF(COUNTIFS(Dividends!$G:$G,"&gt;"&amp;INT($A196),Dividends!$G:$G,"&lt;="&amp;INT($A197))=0,"",$H$2*SUMIFS(Dividends!$H:$H,Dividends!$G:$G,"&gt;"&amp;INT($A196),Dividends!$G:$G,"&lt;="&amp;INT($A197))))</f>
        <v/>
      </c>
      <c r="M197" s="42" t="str">
        <f ca="1">IF(ISERROR(B197-2),"",C197+D197-F197-G197-K197+SUM($L$14:L197))</f>
        <v/>
      </c>
      <c r="U197" s="3" t="str">
        <f t="shared" si="30"/>
        <v/>
      </c>
      <c r="V197" s="3" t="str">
        <f t="shared" si="31"/>
        <v/>
      </c>
      <c r="Z197" s="3">
        <v>46058</v>
      </c>
      <c r="AA197" s="4">
        <v>248.86420000000001</v>
      </c>
      <c r="AB197" s="74">
        <v>46058</v>
      </c>
      <c r="AC197" s="4">
        <v>247.72399999999999</v>
      </c>
      <c r="AD197" s="6">
        <f t="shared" si="32"/>
        <v>46058</v>
      </c>
    </row>
    <row r="198" spans="1:30" x14ac:dyDescent="0.25">
      <c r="A198" s="37" t="str">
        <f t="shared" ca="1" si="23"/>
        <v/>
      </c>
      <c r="B198" s="38" t="str">
        <f ca="1">IF(COUNTIF($W$2:W1183,A198)=1,VLOOKUP(A198,O:P,2), IF(COUNTIF($W$2:W1183,A198)=0,$B$9,""))</f>
        <v/>
      </c>
      <c r="C198" s="2" t="str">
        <f t="shared" ca="1" si="24"/>
        <v/>
      </c>
      <c r="D198" s="41" t="str">
        <f t="shared" ca="1" si="25"/>
        <v/>
      </c>
      <c r="E198" s="38" t="str">
        <f ca="1">IF(COUNTIF($W$2:W1183,A198)=1,VLOOKUP(A198,Q:R,2), IF(COUNTIF($W$2:W1183,A198)=0,$C$9,""))</f>
        <v/>
      </c>
      <c r="F198" s="2" t="str">
        <f t="shared" ca="1" si="26"/>
        <v/>
      </c>
      <c r="G198" s="41" t="str">
        <f t="shared" ca="1" si="27"/>
        <v/>
      </c>
      <c r="H198" s="38" t="str">
        <f ca="1">IF(COUNTIF($W$2:W1183,A198)=1,VLOOKUP(A198,S:T,2), IF(COUNTIF($W$2:W1183,A198)=0,$D$9,""))</f>
        <v/>
      </c>
      <c r="I198" s="39" t="str">
        <f ca="1">IF(COUNTIF($X$2:X1183,INT(A198))=1,VLOOKUP(INT(A198),X:Y,2), IF(ISERROR(H198-2),"",I197*(1-$D$8*(H198-H197)*0.0001)))</f>
        <v/>
      </c>
      <c r="J198" s="39" t="str">
        <f t="shared" ca="1" si="28"/>
        <v/>
      </c>
      <c r="K198" s="41" t="str">
        <f t="shared" ca="1" si="29"/>
        <v/>
      </c>
      <c r="L198" s="41" t="str">
        <f ca="1">IF($A198="","",IF(COUNTIFS(Dividends!$G:$G,"&gt;"&amp;INT($A197),Dividends!$G:$G,"&lt;="&amp;INT($A198))=0,"",$H$2*SUMIFS(Dividends!$H:$H,Dividends!$G:$G,"&gt;"&amp;INT($A197),Dividends!$G:$G,"&lt;="&amp;INT($A198))))</f>
        <v/>
      </c>
      <c r="M198" s="42" t="str">
        <f ca="1">IF(ISERROR(B198-2),"",C198+D198-F198-G198-K198+SUM($L$14:L198))</f>
        <v/>
      </c>
      <c r="U198" s="3" t="str">
        <f t="shared" si="30"/>
        <v/>
      </c>
      <c r="V198" s="3" t="str">
        <f t="shared" si="31"/>
        <v/>
      </c>
      <c r="Z198" s="3">
        <v>46059</v>
      </c>
      <c r="AA198" s="4">
        <v>249.4572</v>
      </c>
      <c r="AB198" s="74">
        <v>46059</v>
      </c>
      <c r="AC198" s="4">
        <v>243.90799999999999</v>
      </c>
      <c r="AD198" s="6">
        <f t="shared" si="32"/>
        <v>46059</v>
      </c>
    </row>
    <row r="199" spans="1:30" x14ac:dyDescent="0.25">
      <c r="A199" s="37" t="str">
        <f t="shared" ca="1" si="23"/>
        <v/>
      </c>
      <c r="B199" s="38" t="str">
        <f ca="1">IF(COUNTIF($W$2:W1184,A199)=1,VLOOKUP(A199,O:P,2), IF(COUNTIF($W$2:W1184,A199)=0,$B$9,""))</f>
        <v/>
      </c>
      <c r="C199" s="2" t="str">
        <f t="shared" ca="1" si="24"/>
        <v/>
      </c>
      <c r="D199" s="41" t="str">
        <f t="shared" ca="1" si="25"/>
        <v/>
      </c>
      <c r="E199" s="38" t="str">
        <f ca="1">IF(COUNTIF($W$2:W1184,A199)=1,VLOOKUP(A199,Q:R,2), IF(COUNTIF($W$2:W1184,A199)=0,$C$9,""))</f>
        <v/>
      </c>
      <c r="F199" s="2" t="str">
        <f t="shared" ca="1" si="26"/>
        <v/>
      </c>
      <c r="G199" s="41" t="str">
        <f t="shared" ca="1" si="27"/>
        <v/>
      </c>
      <c r="H199" s="38" t="str">
        <f ca="1">IF(COUNTIF($W$2:W1184,A199)=1,VLOOKUP(A199,S:T,2), IF(COUNTIF($W$2:W1184,A199)=0,$D$9,""))</f>
        <v/>
      </c>
      <c r="I199" s="39" t="str">
        <f ca="1">IF(COUNTIF($X$2:X1184,INT(A199))=1,VLOOKUP(INT(A199),X:Y,2), IF(ISERROR(H199-2),"",I198*(1-$D$8*(H199-H198)*0.0001)))</f>
        <v/>
      </c>
      <c r="J199" s="39" t="str">
        <f t="shared" ca="1" si="28"/>
        <v/>
      </c>
      <c r="K199" s="41" t="str">
        <f t="shared" ca="1" si="29"/>
        <v/>
      </c>
      <c r="L199" s="41" t="str">
        <f ca="1">IF($A199="","",IF(COUNTIFS(Dividends!$G:$G,"&gt;"&amp;INT($A198),Dividends!$G:$G,"&lt;="&amp;INT($A199))=0,"",$H$2*SUMIFS(Dividends!$H:$H,Dividends!$G:$G,"&gt;"&amp;INT($A198),Dividends!$G:$G,"&lt;="&amp;INT($A199))))</f>
        <v/>
      </c>
      <c r="M199" s="42" t="str">
        <f ca="1">IF(ISERROR(B199-2),"",C199+D199-F199-G199-K199+SUM($L$14:L199))</f>
        <v/>
      </c>
      <c r="U199" s="3" t="str">
        <f t="shared" si="30"/>
        <v/>
      </c>
      <c r="V199" s="3" t="str">
        <f t="shared" si="31"/>
        <v/>
      </c>
      <c r="Z199" s="3">
        <v>46062</v>
      </c>
      <c r="AA199" s="4">
        <v>249.82130000000001</v>
      </c>
      <c r="AB199" s="74">
        <v>46062</v>
      </c>
      <c r="AC199" s="4">
        <v>240.52</v>
      </c>
      <c r="AD199" s="6">
        <f t="shared" si="32"/>
        <v>46062</v>
      </c>
    </row>
    <row r="200" spans="1:30" x14ac:dyDescent="0.25">
      <c r="A200" s="37" t="str">
        <f t="shared" ca="1" si="23"/>
        <v/>
      </c>
      <c r="B200" s="38" t="str">
        <f ca="1">IF(COUNTIF($W$2:W1185,A200)=1,VLOOKUP(A200,O:P,2), IF(COUNTIF($W$2:W1185,A200)=0,$B$9,""))</f>
        <v/>
      </c>
      <c r="C200" s="2" t="str">
        <f t="shared" ca="1" si="24"/>
        <v/>
      </c>
      <c r="D200" s="41" t="str">
        <f t="shared" ca="1" si="25"/>
        <v/>
      </c>
      <c r="E200" s="38" t="str">
        <f ca="1">IF(COUNTIF($W$2:W1185,A200)=1,VLOOKUP(A200,Q:R,2), IF(COUNTIF($W$2:W1185,A200)=0,$C$9,""))</f>
        <v/>
      </c>
      <c r="F200" s="2" t="str">
        <f t="shared" ca="1" si="26"/>
        <v/>
      </c>
      <c r="G200" s="41" t="str">
        <f t="shared" ca="1" si="27"/>
        <v/>
      </c>
      <c r="H200" s="38" t="str">
        <f ca="1">IF(COUNTIF($W$2:W1185,A200)=1,VLOOKUP(A200,S:T,2), IF(COUNTIF($W$2:W1185,A200)=0,$D$9,""))</f>
        <v/>
      </c>
      <c r="I200" s="39" t="str">
        <f ca="1">IF(COUNTIF($X$2:X1185,INT(A200))=1,VLOOKUP(INT(A200),X:Y,2), IF(ISERROR(H200-2),"",I199*(1-$D$8*(H200-H199)*0.0001)))</f>
        <v/>
      </c>
      <c r="J200" s="39" t="str">
        <f t="shared" ca="1" si="28"/>
        <v/>
      </c>
      <c r="K200" s="41" t="str">
        <f t="shared" ca="1" si="29"/>
        <v/>
      </c>
      <c r="L200" s="41" t="str">
        <f ca="1">IF($A200="","",IF(COUNTIFS(Dividends!$G:$G,"&gt;"&amp;INT($A199),Dividends!$G:$G,"&lt;="&amp;INT($A200))=0,"",$H$2*SUMIFS(Dividends!$H:$H,Dividends!$G:$G,"&gt;"&amp;INT($A199),Dividends!$G:$G,"&lt;="&amp;INT($A200))))</f>
        <v/>
      </c>
      <c r="M200" s="42" t="str">
        <f ca="1">IF(ISERROR(B200-2),"",C200+D200-F200-G200-K200+SUM($L$14:L200))</f>
        <v/>
      </c>
      <c r="U200" s="3" t="str">
        <f t="shared" si="30"/>
        <v/>
      </c>
      <c r="V200" s="3" t="str">
        <f t="shared" si="31"/>
        <v/>
      </c>
      <c r="Z200" s="3">
        <v>46063</v>
      </c>
      <c r="AA200" s="4">
        <v>249.73419999999999</v>
      </c>
      <c r="AB200" s="74">
        <v>46063</v>
      </c>
      <c r="AC200" s="4">
        <v>241.834</v>
      </c>
      <c r="AD200" s="6">
        <f t="shared" si="32"/>
        <v>46063</v>
      </c>
    </row>
    <row r="201" spans="1:30" x14ac:dyDescent="0.25">
      <c r="A201" s="37" t="str">
        <f t="shared" ca="1" si="23"/>
        <v/>
      </c>
      <c r="B201" s="38" t="str">
        <f ca="1">IF(COUNTIF($W$2:W1186,A201)=1,VLOOKUP(A201,O:P,2), IF(COUNTIF($W$2:W1186,A201)=0,$B$9,""))</f>
        <v/>
      </c>
      <c r="C201" s="2" t="str">
        <f t="shared" ca="1" si="24"/>
        <v/>
      </c>
      <c r="D201" s="41" t="str">
        <f t="shared" ca="1" si="25"/>
        <v/>
      </c>
      <c r="E201" s="38" t="str">
        <f ca="1">IF(COUNTIF($W$2:W1186,A201)=1,VLOOKUP(A201,Q:R,2), IF(COUNTIF($W$2:W1186,A201)=0,$C$9,""))</f>
        <v/>
      </c>
      <c r="F201" s="2" t="str">
        <f t="shared" ca="1" si="26"/>
        <v/>
      </c>
      <c r="G201" s="41" t="str">
        <f t="shared" ca="1" si="27"/>
        <v/>
      </c>
      <c r="H201" s="38" t="str">
        <f ca="1">IF(COUNTIF($W$2:W1186,A201)=1,VLOOKUP(A201,S:T,2), IF(COUNTIF($W$2:W1186,A201)=0,$D$9,""))</f>
        <v/>
      </c>
      <c r="I201" s="39" t="str">
        <f ca="1">IF(COUNTIF($X$2:X1186,INT(A201))=1,VLOOKUP(INT(A201),X:Y,2), IF(ISERROR(H201-2),"",I200*(1-$D$8*(H201-H200)*0.0001)))</f>
        <v/>
      </c>
      <c r="J201" s="39" t="str">
        <f t="shared" ca="1" si="28"/>
        <v/>
      </c>
      <c r="K201" s="41" t="str">
        <f t="shared" ca="1" si="29"/>
        <v/>
      </c>
      <c r="L201" s="41" t="str">
        <f ca="1">IF($A201="","",IF(COUNTIFS(Dividends!$G:$G,"&gt;"&amp;INT($A200),Dividends!$G:$G,"&lt;="&amp;INT($A201))=0,"",$H$2*SUMIFS(Dividends!$H:$H,Dividends!$G:$G,"&gt;"&amp;INT($A200),Dividends!$G:$G,"&lt;="&amp;INT($A201))))</f>
        <v/>
      </c>
      <c r="M201" s="42" t="str">
        <f ca="1">IF(ISERROR(B201-2),"",C201+D201-F201-G201-K201+SUM($L$14:L201))</f>
        <v/>
      </c>
      <c r="U201" s="3" t="str">
        <f t="shared" si="30"/>
        <v/>
      </c>
      <c r="V201" s="3" t="str">
        <f t="shared" si="31"/>
        <v/>
      </c>
      <c r="Z201" s="3">
        <v>46064</v>
      </c>
      <c r="AA201" s="4">
        <v>249.6275</v>
      </c>
      <c r="AB201" s="74">
        <v>46064</v>
      </c>
      <c r="AC201" s="4">
        <v>243.429</v>
      </c>
      <c r="AD201" s="6">
        <f t="shared" si="32"/>
        <v>46064</v>
      </c>
    </row>
    <row r="202" spans="1:30" x14ac:dyDescent="0.25">
      <c r="A202" s="37" t="str">
        <f t="shared" ca="1" si="23"/>
        <v/>
      </c>
      <c r="B202" s="38" t="str">
        <f ca="1">IF(COUNTIF($W$2:W1187,A202)=1,VLOOKUP(A202,O:P,2), IF(COUNTIF($W$2:W1187,A202)=0,$B$9,""))</f>
        <v/>
      </c>
      <c r="C202" s="2" t="str">
        <f t="shared" ca="1" si="24"/>
        <v/>
      </c>
      <c r="D202" s="41" t="str">
        <f t="shared" ca="1" si="25"/>
        <v/>
      </c>
      <c r="E202" s="38" t="str">
        <f ca="1">IF(COUNTIF($W$2:W1187,A202)=1,VLOOKUP(A202,Q:R,2), IF(COUNTIF($W$2:W1187,A202)=0,$C$9,""))</f>
        <v/>
      </c>
      <c r="F202" s="2" t="str">
        <f t="shared" ca="1" si="26"/>
        <v/>
      </c>
      <c r="G202" s="41" t="str">
        <f t="shared" ca="1" si="27"/>
        <v/>
      </c>
      <c r="H202" s="38" t="str">
        <f ca="1">IF(COUNTIF($W$2:W1187,A202)=1,VLOOKUP(A202,S:T,2), IF(COUNTIF($W$2:W1187,A202)=0,$D$9,""))</f>
        <v/>
      </c>
      <c r="I202" s="39" t="str">
        <f ca="1">IF(COUNTIF($X$2:X1187,INT(A202))=1,VLOOKUP(INT(A202),X:Y,2), IF(ISERROR(H202-2),"",I201*(1-$D$8*(H202-H201)*0.0001)))</f>
        <v/>
      </c>
      <c r="J202" s="39" t="str">
        <f t="shared" ca="1" si="28"/>
        <v/>
      </c>
      <c r="K202" s="41" t="str">
        <f t="shared" ca="1" si="29"/>
        <v/>
      </c>
      <c r="L202" s="41" t="str">
        <f ca="1">IF($A202="","",IF(COUNTIFS(Dividends!$G:$G,"&gt;"&amp;INT($A201),Dividends!$G:$G,"&lt;="&amp;INT($A202))=0,"",$H$2*SUMIFS(Dividends!$H:$H,Dividends!$G:$G,"&gt;"&amp;INT($A201),Dividends!$G:$G,"&lt;="&amp;INT($A202))))</f>
        <v/>
      </c>
      <c r="M202" s="42" t="str">
        <f ca="1">IF(ISERROR(B202-2),"",C202+D202-F202-G202-K202+SUM($L$14:L202))</f>
        <v/>
      </c>
      <c r="U202" s="3" t="str">
        <f t="shared" si="30"/>
        <v/>
      </c>
      <c r="V202" s="3" t="str">
        <f t="shared" si="31"/>
        <v/>
      </c>
      <c r="Z202" s="3">
        <v>46065</v>
      </c>
      <c r="AA202" s="4">
        <v>249.3349</v>
      </c>
      <c r="AB202" s="74">
        <v>46065</v>
      </c>
      <c r="AC202" s="4">
        <v>246.203</v>
      </c>
      <c r="AD202" s="6">
        <f t="shared" si="32"/>
        <v>46065</v>
      </c>
    </row>
    <row r="203" spans="1:30" x14ac:dyDescent="0.25">
      <c r="A203" s="37" t="str">
        <f t="shared" ca="1" si="23"/>
        <v/>
      </c>
      <c r="B203" s="38" t="str">
        <f ca="1">IF(COUNTIF($W$2:W1188,A203)=1,VLOOKUP(A203,O:P,2), IF(COUNTIF($W$2:W1188,A203)=0,$B$9,""))</f>
        <v/>
      </c>
      <c r="C203" s="2" t="str">
        <f t="shared" ca="1" si="24"/>
        <v/>
      </c>
      <c r="D203" s="41" t="str">
        <f t="shared" ca="1" si="25"/>
        <v/>
      </c>
      <c r="E203" s="38" t="str">
        <f ca="1">IF(COUNTIF($W$2:W1188,A203)=1,VLOOKUP(A203,Q:R,2), IF(COUNTIF($W$2:W1188,A203)=0,$C$9,""))</f>
        <v/>
      </c>
      <c r="F203" s="2" t="str">
        <f t="shared" ca="1" si="26"/>
        <v/>
      </c>
      <c r="G203" s="41" t="str">
        <f t="shared" ca="1" si="27"/>
        <v/>
      </c>
      <c r="H203" s="38" t="str">
        <f ca="1">IF(COUNTIF($W$2:W1188,A203)=1,VLOOKUP(A203,S:T,2), IF(COUNTIF($W$2:W1188,A203)=0,$D$9,""))</f>
        <v/>
      </c>
      <c r="I203" s="39" t="str">
        <f ca="1">IF(COUNTIF($X$2:X1188,INT(A203))=1,VLOOKUP(INT(A203),X:Y,2), IF(ISERROR(H203-2),"",I202*(1-$D$8*(H203-H202)*0.0001)))</f>
        <v/>
      </c>
      <c r="J203" s="39" t="str">
        <f t="shared" ca="1" si="28"/>
        <v/>
      </c>
      <c r="K203" s="41" t="str">
        <f t="shared" ca="1" si="29"/>
        <v/>
      </c>
      <c r="L203" s="41" t="str">
        <f ca="1">IF($A203="","",IF(COUNTIFS(Dividends!$G:$G,"&gt;"&amp;INT($A202),Dividends!$G:$G,"&lt;="&amp;INT($A203))=0,"",$H$2*SUMIFS(Dividends!$H:$H,Dividends!$G:$G,"&gt;"&amp;INT($A202),Dividends!$G:$G,"&lt;="&amp;INT($A203))))</f>
        <v/>
      </c>
      <c r="M203" s="42" t="str">
        <f ca="1">IF(ISERROR(B203-2),"",C203+D203-F203-G203-K203+SUM($L$14:L203))</f>
        <v/>
      </c>
      <c r="U203" s="3" t="str">
        <f t="shared" si="30"/>
        <v/>
      </c>
      <c r="V203" s="3" t="str">
        <f t="shared" si="31"/>
        <v/>
      </c>
      <c r="Z203" s="3">
        <v>46066</v>
      </c>
      <c r="AA203" s="4">
        <v>249.1874</v>
      </c>
      <c r="AB203" s="74">
        <v>46066</v>
      </c>
      <c r="AC203" s="4">
        <v>247.685</v>
      </c>
      <c r="AD203" s="6">
        <f t="shared" si="32"/>
        <v>46066</v>
      </c>
    </row>
    <row r="204" spans="1:30" x14ac:dyDescent="0.25">
      <c r="A204" s="37" t="str">
        <f t="shared" ca="1" si="23"/>
        <v/>
      </c>
      <c r="B204" s="38" t="str">
        <f ca="1">IF(COUNTIF($W$2:W1189,A204)=1,VLOOKUP(A204,O:P,2), IF(COUNTIF($W$2:W1189,A204)=0,$B$9,""))</f>
        <v/>
      </c>
      <c r="C204" s="2" t="str">
        <f t="shared" ca="1" si="24"/>
        <v/>
      </c>
      <c r="D204" s="41" t="str">
        <f t="shared" ca="1" si="25"/>
        <v/>
      </c>
      <c r="E204" s="38" t="str">
        <f ca="1">IF(COUNTIF($W$2:W1189,A204)=1,VLOOKUP(A204,Q:R,2), IF(COUNTIF($W$2:W1189,A204)=0,$C$9,""))</f>
        <v/>
      </c>
      <c r="F204" s="2" t="str">
        <f t="shared" ca="1" si="26"/>
        <v/>
      </c>
      <c r="G204" s="41" t="str">
        <f t="shared" ca="1" si="27"/>
        <v/>
      </c>
      <c r="H204" s="38" t="str">
        <f ca="1">IF(COUNTIF($W$2:W1189,A204)=1,VLOOKUP(A204,S:T,2), IF(COUNTIF($W$2:W1189,A204)=0,$D$9,""))</f>
        <v/>
      </c>
      <c r="I204" s="39" t="str">
        <f ca="1">IF(COUNTIF($X$2:X1189,INT(A204))=1,VLOOKUP(INT(A204),X:Y,2), IF(ISERROR(H204-2),"",I203*(1-$D$8*(H204-H203)*0.0001)))</f>
        <v/>
      </c>
      <c r="J204" s="39" t="str">
        <f t="shared" ca="1" si="28"/>
        <v/>
      </c>
      <c r="K204" s="41" t="str">
        <f t="shared" ca="1" si="29"/>
        <v/>
      </c>
      <c r="L204" s="41" t="str">
        <f ca="1">IF($A204="","",IF(COUNTIFS(Dividends!$G:$G,"&gt;"&amp;INT($A203),Dividends!$G:$G,"&lt;="&amp;INT($A204))=0,"",$H$2*SUMIFS(Dividends!$H:$H,Dividends!$G:$G,"&gt;"&amp;INT($A203),Dividends!$G:$G,"&lt;="&amp;INT($A204))))</f>
        <v/>
      </c>
      <c r="M204" s="42" t="str">
        <f ca="1">IF(ISERROR(B204-2),"",C204+D204-F204-G204-K204+SUM($L$14:L204))</f>
        <v/>
      </c>
      <c r="U204" s="3" t="str">
        <f t="shared" si="30"/>
        <v/>
      </c>
      <c r="V204" s="3" t="str">
        <f t="shared" si="31"/>
        <v/>
      </c>
      <c r="Z204" s="3">
        <v>46069</v>
      </c>
      <c r="AA204" s="4">
        <v>249.0668</v>
      </c>
      <c r="AB204" s="74">
        <v>46069</v>
      </c>
      <c r="AC204" s="4">
        <v>249.32300000000001</v>
      </c>
      <c r="AD204" s="6">
        <f t="shared" si="32"/>
        <v>46069</v>
      </c>
    </row>
    <row r="205" spans="1:30" x14ac:dyDescent="0.25">
      <c r="A205" s="37"/>
      <c r="B205" s="38"/>
      <c r="C205" s="2"/>
      <c r="D205" s="41"/>
      <c r="E205" s="38"/>
      <c r="F205" s="2"/>
      <c r="G205" s="41"/>
      <c r="H205" s="38"/>
      <c r="I205" s="39"/>
      <c r="J205" s="39"/>
      <c r="K205" s="41"/>
      <c r="L205" s="41"/>
      <c r="M205" s="42"/>
      <c r="U205" s="3" t="str">
        <f t="shared" si="30"/>
        <v/>
      </c>
      <c r="V205" s="3" t="str">
        <f t="shared" si="31"/>
        <v/>
      </c>
      <c r="Z205" s="3">
        <v>46070</v>
      </c>
      <c r="AA205" s="4">
        <v>248.9178</v>
      </c>
      <c r="AB205" s="74">
        <v>46070</v>
      </c>
      <c r="AC205" s="4">
        <v>250.65299999999999</v>
      </c>
      <c r="AD205" s="6">
        <f t="shared" si="32"/>
        <v>46070</v>
      </c>
    </row>
    <row r="206" spans="1:30" x14ac:dyDescent="0.25">
      <c r="A206" s="37"/>
      <c r="B206" s="38"/>
      <c r="C206" s="2"/>
      <c r="D206" s="41"/>
      <c r="E206" s="38"/>
      <c r="F206" s="2"/>
      <c r="G206" s="41"/>
      <c r="H206" s="38"/>
      <c r="I206" s="39"/>
      <c r="J206" s="39"/>
      <c r="K206" s="41"/>
      <c r="L206" s="41"/>
      <c r="M206" s="42"/>
      <c r="U206" s="3" t="str">
        <f t="shared" si="30"/>
        <v/>
      </c>
      <c r="V206" s="3" t="str">
        <f t="shared" si="31"/>
        <v/>
      </c>
      <c r="Z206" s="3">
        <v>46071</v>
      </c>
      <c r="AA206" s="4">
        <v>249.54349999999999</v>
      </c>
      <c r="AB206" s="74">
        <v>46071</v>
      </c>
      <c r="AC206" s="4">
        <v>245.28100000000001</v>
      </c>
      <c r="AD206" s="6">
        <f t="shared" si="32"/>
        <v>46071</v>
      </c>
    </row>
    <row r="207" spans="1:30" x14ac:dyDescent="0.25">
      <c r="A207" s="37"/>
      <c r="B207" s="38"/>
      <c r="C207" s="2"/>
      <c r="D207" s="41"/>
      <c r="E207" s="38"/>
      <c r="F207" s="2"/>
      <c r="G207" s="41"/>
      <c r="H207" s="38"/>
      <c r="I207" s="39"/>
      <c r="J207" s="39"/>
      <c r="K207" s="41"/>
      <c r="L207" s="41"/>
      <c r="M207" s="42"/>
      <c r="U207" s="3" t="str">
        <f t="shared" si="30"/>
        <v/>
      </c>
      <c r="V207" s="3" t="str">
        <f t="shared" si="31"/>
        <v/>
      </c>
      <c r="Z207" s="3">
        <v>46072</v>
      </c>
      <c r="AA207" s="4">
        <v>249.05619999999999</v>
      </c>
      <c r="AB207" s="74">
        <v>46072</v>
      </c>
      <c r="AC207" s="4">
        <v>249.80099999999999</v>
      </c>
      <c r="AD207" s="6">
        <f t="shared" si="32"/>
        <v>46072</v>
      </c>
    </row>
    <row r="208" spans="1:30" x14ac:dyDescent="0.25">
      <c r="A208" s="37"/>
      <c r="B208" s="38"/>
      <c r="C208" s="2"/>
      <c r="D208" s="41"/>
      <c r="E208" s="38"/>
      <c r="F208" s="2"/>
      <c r="G208" s="41"/>
      <c r="H208" s="38"/>
      <c r="I208" s="39"/>
      <c r="J208" s="39"/>
      <c r="K208" s="41"/>
      <c r="L208" s="41"/>
      <c r="M208" s="42"/>
      <c r="U208" s="3" t="str">
        <f t="shared" si="30"/>
        <v/>
      </c>
      <c r="V208" s="3" t="str">
        <f t="shared" si="31"/>
        <v/>
      </c>
      <c r="Z208" s="3">
        <v>46073</v>
      </c>
      <c r="AA208" s="4">
        <v>249.35589999999999</v>
      </c>
      <c r="AB208" s="74">
        <v>46073</v>
      </c>
      <c r="AC208" s="4">
        <v>247.39400000000001</v>
      </c>
      <c r="AD208" s="6">
        <f t="shared" si="32"/>
        <v>46073</v>
      </c>
    </row>
    <row r="209" spans="1:30" x14ac:dyDescent="0.25">
      <c r="A209" s="37"/>
      <c r="B209" s="38"/>
      <c r="C209" s="2"/>
      <c r="D209" s="41"/>
      <c r="E209" s="38"/>
      <c r="F209" s="2"/>
      <c r="G209" s="41"/>
      <c r="H209" s="38"/>
      <c r="I209" s="39"/>
      <c r="J209" s="39"/>
      <c r="K209" s="41"/>
      <c r="L209" s="41"/>
      <c r="M209" s="42"/>
      <c r="U209" s="3" t="str">
        <f t="shared" si="30"/>
        <v/>
      </c>
      <c r="V209" s="3" t="str">
        <f t="shared" si="31"/>
        <v/>
      </c>
      <c r="Z209" s="3">
        <v>46076</v>
      </c>
      <c r="AA209" s="4">
        <v>249.17140000000001</v>
      </c>
      <c r="AB209" s="74">
        <v>46076</v>
      </c>
      <c r="AC209" s="4">
        <v>249.6</v>
      </c>
      <c r="AD209" s="6">
        <f t="shared" si="32"/>
        <v>46076</v>
      </c>
    </row>
    <row r="210" spans="1:30" x14ac:dyDescent="0.25">
      <c r="A210" s="37"/>
      <c r="B210" s="38"/>
      <c r="C210" s="2"/>
      <c r="D210" s="41"/>
      <c r="E210" s="38"/>
      <c r="F210" s="2"/>
      <c r="G210" s="41"/>
      <c r="H210" s="38"/>
      <c r="I210" s="39"/>
      <c r="J210" s="39"/>
      <c r="K210" s="41"/>
      <c r="L210" s="41"/>
      <c r="M210" s="42"/>
      <c r="U210" s="3" t="str">
        <f t="shared" si="30"/>
        <v/>
      </c>
      <c r="V210" s="3" t="str">
        <f t="shared" si="31"/>
        <v/>
      </c>
      <c r="Z210" s="3">
        <v>46077</v>
      </c>
      <c r="AA210" s="4">
        <v>248.90289999999999</v>
      </c>
      <c r="AB210" s="74">
        <v>46077</v>
      </c>
      <c r="AC210" s="4">
        <v>251.95099999999999</v>
      </c>
      <c r="AD210" s="6">
        <f t="shared" si="32"/>
        <v>46077</v>
      </c>
    </row>
    <row r="211" spans="1:30" x14ac:dyDescent="0.25">
      <c r="A211" s="37"/>
      <c r="B211" s="38"/>
      <c r="C211" s="2"/>
      <c r="D211" s="41"/>
      <c r="E211" s="38"/>
      <c r="F211" s="2"/>
      <c r="G211" s="41"/>
      <c r="H211" s="38"/>
      <c r="I211" s="39"/>
      <c r="J211" s="39"/>
      <c r="K211" s="41"/>
      <c r="L211" s="41"/>
      <c r="M211" s="42"/>
      <c r="U211" s="3" t="str">
        <f t="shared" si="30"/>
        <v/>
      </c>
      <c r="V211" s="3" t="str">
        <f t="shared" si="31"/>
        <v/>
      </c>
      <c r="Z211" s="3">
        <v>46078</v>
      </c>
      <c r="AA211" s="4">
        <v>249.0966</v>
      </c>
      <c r="AB211" s="74">
        <v>46078</v>
      </c>
      <c r="AC211" s="4">
        <v>250.364</v>
      </c>
      <c r="AD211" s="6">
        <f t="shared" si="32"/>
        <v>46078</v>
      </c>
    </row>
    <row r="212" spans="1:30" x14ac:dyDescent="0.25">
      <c r="A212" s="37"/>
      <c r="B212" s="38"/>
      <c r="C212" s="2"/>
      <c r="D212" s="41"/>
      <c r="E212" s="38"/>
      <c r="F212" s="2"/>
      <c r="G212" s="41"/>
      <c r="H212" s="38"/>
      <c r="I212" s="39"/>
      <c r="J212" s="39"/>
      <c r="K212" s="41"/>
      <c r="L212" s="41"/>
      <c r="M212" s="42"/>
      <c r="U212" s="3" t="str">
        <f t="shared" si="30"/>
        <v/>
      </c>
      <c r="V212" s="3" t="str">
        <f t="shared" si="31"/>
        <v/>
      </c>
      <c r="Z212" s="3">
        <v>46079</v>
      </c>
      <c r="AA212" s="4">
        <v>248.75470000000001</v>
      </c>
      <c r="AB212" s="74">
        <v>46079</v>
      </c>
      <c r="AC212" s="4">
        <v>255.23400000000001</v>
      </c>
      <c r="AD212" s="6">
        <f t="shared" si="32"/>
        <v>46079</v>
      </c>
    </row>
    <row r="213" spans="1:30" x14ac:dyDescent="0.25">
      <c r="A213" s="37"/>
      <c r="B213" s="38"/>
      <c r="C213" s="2"/>
      <c r="D213" s="41"/>
      <c r="E213" s="38"/>
      <c r="F213" s="2"/>
      <c r="G213" s="41"/>
      <c r="H213" s="38"/>
      <c r="I213" s="39"/>
      <c r="J213" s="39"/>
      <c r="K213" s="41"/>
      <c r="L213" s="41"/>
      <c r="M213" s="42"/>
      <c r="U213" s="3" t="str">
        <f t="shared" si="30"/>
        <v/>
      </c>
      <c r="V213" s="3" t="str">
        <f t="shared" si="31"/>
        <v/>
      </c>
      <c r="Z213" s="3">
        <v>46080</v>
      </c>
      <c r="AA213" s="4">
        <v>248.09289999999999</v>
      </c>
      <c r="AB213" s="74">
        <v>46080</v>
      </c>
      <c r="AC213" s="4">
        <v>260.47699999999998</v>
      </c>
      <c r="AD213" s="6">
        <f t="shared" si="32"/>
        <v>46080</v>
      </c>
    </row>
    <row r="214" spans="1:30" x14ac:dyDescent="0.25">
      <c r="A214" s="37"/>
      <c r="B214" s="38"/>
      <c r="C214" s="2"/>
      <c r="D214" s="41"/>
      <c r="E214" s="38"/>
      <c r="F214" s="2"/>
      <c r="G214" s="41"/>
      <c r="H214" s="38"/>
      <c r="I214" s="39"/>
      <c r="J214" s="39"/>
      <c r="K214" s="41"/>
      <c r="L214" s="41"/>
      <c r="M214" s="42"/>
      <c r="U214" s="3" t="str">
        <f t="shared" si="30"/>
        <v/>
      </c>
      <c r="V214" s="3" t="str">
        <f t="shared" si="31"/>
        <v/>
      </c>
      <c r="Z214" s="3">
        <v>46083</v>
      </c>
      <c r="AA214" s="4">
        <v>247.5763</v>
      </c>
      <c r="AB214" s="74">
        <v>46083</v>
      </c>
      <c r="AC214" s="4">
        <v>263.697</v>
      </c>
      <c r="AD214" s="6">
        <f t="shared" si="32"/>
        <v>46083</v>
      </c>
    </row>
    <row r="215" spans="1:30" x14ac:dyDescent="0.25">
      <c r="A215" s="37"/>
      <c r="B215" s="38"/>
      <c r="C215" s="2"/>
      <c r="D215" s="41"/>
      <c r="E215" s="38"/>
      <c r="F215" s="2"/>
      <c r="G215" s="41"/>
      <c r="H215" s="38"/>
      <c r="I215" s="39"/>
      <c r="J215" s="39"/>
      <c r="K215" s="41"/>
      <c r="L215" s="41"/>
      <c r="M215" s="42"/>
      <c r="U215" s="3" t="str">
        <f t="shared" si="30"/>
        <v/>
      </c>
      <c r="V215" s="3" t="str">
        <f t="shared" si="31"/>
        <v/>
      </c>
      <c r="Z215" s="3">
        <v>46084</v>
      </c>
      <c r="AA215" s="4">
        <v>246.2878</v>
      </c>
      <c r="AB215" s="74">
        <v>46084</v>
      </c>
      <c r="AC215" s="4">
        <v>274.05799999999999</v>
      </c>
      <c r="AD215" s="6">
        <f t="shared" si="32"/>
        <v>46084</v>
      </c>
    </row>
    <row r="216" spans="1:30" x14ac:dyDescent="0.25">
      <c r="A216" s="37"/>
      <c r="B216" s="38"/>
      <c r="C216" s="2"/>
      <c r="D216" s="41"/>
      <c r="E216" s="38"/>
      <c r="F216" s="2"/>
      <c r="G216" s="41"/>
      <c r="H216" s="38"/>
      <c r="I216" s="39"/>
      <c r="J216" s="39"/>
      <c r="K216" s="41"/>
      <c r="L216" s="41"/>
      <c r="M216" s="42"/>
      <c r="U216" s="3" t="str">
        <f t="shared" si="30"/>
        <v/>
      </c>
      <c r="V216" s="3" t="str">
        <f t="shared" si="31"/>
        <v/>
      </c>
      <c r="Z216" s="3">
        <v>46085</v>
      </c>
      <c r="AA216" s="4">
        <v>247.53190000000001</v>
      </c>
      <c r="AB216" s="74">
        <v>46085</v>
      </c>
      <c r="AC216" s="4">
        <v>264.47800000000001</v>
      </c>
      <c r="AD216" s="6">
        <f t="shared" si="32"/>
        <v>46085</v>
      </c>
    </row>
    <row r="217" spans="1:30" x14ac:dyDescent="0.25">
      <c r="A217" s="37"/>
      <c r="B217" s="38"/>
      <c r="C217" s="2"/>
      <c r="D217" s="41"/>
      <c r="E217" s="38"/>
      <c r="F217" s="2"/>
      <c r="G217" s="41"/>
      <c r="H217" s="38"/>
      <c r="I217" s="39"/>
      <c r="J217" s="39"/>
      <c r="K217" s="41"/>
      <c r="L217" s="41"/>
      <c r="M217" s="42"/>
      <c r="U217" s="3" t="str">
        <f t="shared" si="30"/>
        <v/>
      </c>
      <c r="V217" s="3" t="str">
        <f t="shared" si="31"/>
        <v/>
      </c>
      <c r="Z217" s="3">
        <v>46086</v>
      </c>
      <c r="AA217" s="4">
        <v>246.4889</v>
      </c>
      <c r="AB217" s="74">
        <v>46086</v>
      </c>
      <c r="AC217" s="4">
        <v>273.99700000000001</v>
      </c>
      <c r="AD217" s="6">
        <f t="shared" si="32"/>
        <v>46086</v>
      </c>
    </row>
    <row r="218" spans="1:30" x14ac:dyDescent="0.25">
      <c r="A218" s="37"/>
      <c r="B218" s="38"/>
      <c r="C218" s="2"/>
      <c r="D218" s="41"/>
      <c r="E218" s="38"/>
      <c r="F218" s="2"/>
      <c r="G218" s="41"/>
      <c r="H218" s="38"/>
      <c r="I218" s="39"/>
      <c r="J218" s="39"/>
      <c r="K218" s="41"/>
      <c r="L218" s="41"/>
      <c r="M218" s="42"/>
      <c r="U218" s="3" t="str">
        <f t="shared" si="30"/>
        <v/>
      </c>
      <c r="V218" s="3" t="str">
        <f t="shared" si="31"/>
        <v/>
      </c>
      <c r="Z218" s="3">
        <v>46087</v>
      </c>
      <c r="AA218" s="4">
        <v>244.8614</v>
      </c>
      <c r="AB218" s="74">
        <v>46087</v>
      </c>
      <c r="AC218" s="4">
        <v>288.99400000000003</v>
      </c>
      <c r="AD218" s="6">
        <f t="shared" si="32"/>
        <v>46087</v>
      </c>
    </row>
    <row r="219" spans="1:30" x14ac:dyDescent="0.25">
      <c r="A219" s="37"/>
      <c r="B219" s="38"/>
      <c r="C219" s="2"/>
      <c r="D219" s="41"/>
      <c r="E219" s="38"/>
      <c r="F219" s="2"/>
      <c r="G219" s="41"/>
      <c r="H219" s="38"/>
      <c r="I219" s="39"/>
      <c r="J219" s="39"/>
      <c r="K219" s="41"/>
      <c r="L219" s="41"/>
      <c r="M219" s="42"/>
      <c r="U219" s="3" t="str">
        <f t="shared" si="30"/>
        <v/>
      </c>
      <c r="V219" s="3" t="str">
        <f t="shared" si="31"/>
        <v/>
      </c>
      <c r="Z219" s="3">
        <v>46090</v>
      </c>
      <c r="AA219" s="4">
        <v>244.64580000000001</v>
      </c>
      <c r="AB219" s="74">
        <v>46090</v>
      </c>
      <c r="AC219" s="4">
        <v>291.28300000000002</v>
      </c>
      <c r="AD219" s="6">
        <f t="shared" si="32"/>
        <v>46090</v>
      </c>
    </row>
    <row r="220" spans="1:30" x14ac:dyDescent="0.25">
      <c r="A220" s="37"/>
      <c r="B220" s="38"/>
      <c r="C220" s="2"/>
      <c r="D220" s="41"/>
      <c r="E220" s="38"/>
      <c r="F220" s="2"/>
      <c r="G220" s="41"/>
      <c r="H220" s="38"/>
      <c r="I220" s="39"/>
      <c r="J220" s="39"/>
      <c r="K220" s="41"/>
      <c r="L220" s="41"/>
      <c r="M220" s="42"/>
      <c r="U220" s="3" t="str">
        <f t="shared" si="30"/>
        <v/>
      </c>
      <c r="V220" s="3" t="str">
        <f t="shared" si="31"/>
        <v/>
      </c>
      <c r="Z220" s="3">
        <v>46091</v>
      </c>
      <c r="AA220" s="4">
        <v>246.5496</v>
      </c>
      <c r="AB220" s="74">
        <v>46091</v>
      </c>
      <c r="AC220" s="4">
        <v>273.73200000000003</v>
      </c>
      <c r="AD220" s="6">
        <f t="shared" si="32"/>
        <v>46091</v>
      </c>
    </row>
    <row r="221" spans="1:30" x14ac:dyDescent="0.25">
      <c r="A221" s="37"/>
      <c r="B221" s="38"/>
      <c r="C221" s="2"/>
      <c r="D221" s="41"/>
      <c r="E221" s="38"/>
      <c r="F221" s="2"/>
      <c r="G221" s="41"/>
      <c r="H221" s="38"/>
      <c r="I221" s="39"/>
      <c r="J221" s="39"/>
      <c r="K221" s="41"/>
      <c r="L221" s="41"/>
      <c r="M221" s="42"/>
      <c r="U221" s="3" t="str">
        <f t="shared" si="30"/>
        <v/>
      </c>
      <c r="V221" s="3" t="str">
        <f t="shared" si="31"/>
        <v/>
      </c>
      <c r="Z221" s="3">
        <v>46092</v>
      </c>
      <c r="AA221" s="4">
        <v>245.137</v>
      </c>
      <c r="AB221" s="74">
        <v>46092</v>
      </c>
      <c r="AC221" s="4">
        <v>286.94400000000002</v>
      </c>
      <c r="AD221" s="6">
        <f t="shared" si="32"/>
        <v>46092</v>
      </c>
    </row>
    <row r="222" spans="1:30" x14ac:dyDescent="0.25">
      <c r="A222" s="37"/>
      <c r="B222" s="38"/>
      <c r="C222" s="2"/>
      <c r="D222" s="41"/>
      <c r="E222" s="38"/>
      <c r="F222" s="2"/>
      <c r="G222" s="41"/>
      <c r="H222" s="38"/>
      <c r="I222" s="39"/>
      <c r="J222" s="39"/>
      <c r="K222" s="41"/>
      <c r="L222" s="41"/>
      <c r="M222" s="42"/>
      <c r="U222" s="3" t="str">
        <f t="shared" si="30"/>
        <v/>
      </c>
      <c r="V222" s="3" t="str">
        <f t="shared" si="31"/>
        <v/>
      </c>
      <c r="Z222" s="3">
        <v>46093</v>
      </c>
      <c r="AA222" s="4">
        <v>244.11789999999999</v>
      </c>
      <c r="AB222" s="74">
        <v>46093</v>
      </c>
      <c r="AC222" s="4">
        <v>296.94900000000001</v>
      </c>
      <c r="AD222" s="6">
        <f t="shared" si="32"/>
        <v>46093</v>
      </c>
    </row>
    <row r="223" spans="1:30" x14ac:dyDescent="0.25">
      <c r="A223" s="37"/>
      <c r="B223" s="38"/>
      <c r="C223" s="2"/>
      <c r="D223" s="41"/>
      <c r="E223" s="38"/>
      <c r="F223" s="2"/>
      <c r="G223" s="41"/>
      <c r="H223" s="38"/>
      <c r="I223" s="39"/>
      <c r="J223" s="39"/>
      <c r="K223" s="41"/>
      <c r="L223" s="41"/>
      <c r="M223" s="42"/>
      <c r="U223" s="3" t="str">
        <f t="shared" si="30"/>
        <v/>
      </c>
      <c r="V223" s="3" t="str">
        <f t="shared" si="31"/>
        <v/>
      </c>
      <c r="Z223" s="3">
        <v>46094</v>
      </c>
      <c r="AA223" s="4">
        <v>243.1234</v>
      </c>
      <c r="AB223" s="74">
        <v>46094</v>
      </c>
      <c r="AC223" s="4">
        <v>306.91699999999997</v>
      </c>
      <c r="AD223" s="6">
        <f t="shared" si="32"/>
        <v>46094</v>
      </c>
    </row>
    <row r="224" spans="1:30" x14ac:dyDescent="0.25">
      <c r="A224" s="37"/>
      <c r="B224" s="38"/>
      <c r="C224" s="2"/>
      <c r="D224" s="41"/>
      <c r="E224" s="38"/>
      <c r="F224" s="2"/>
      <c r="G224" s="41"/>
      <c r="H224" s="38"/>
      <c r="I224" s="39"/>
      <c r="J224" s="39"/>
      <c r="K224" s="41"/>
      <c r="L224" s="41"/>
      <c r="M224" s="42"/>
      <c r="U224" s="3" t="str">
        <f t="shared" si="30"/>
        <v/>
      </c>
      <c r="V224" s="3" t="str">
        <f t="shared" si="31"/>
        <v/>
      </c>
      <c r="Z224" s="3">
        <v>46097</v>
      </c>
      <c r="AA224" s="4">
        <v>243.46899999999999</v>
      </c>
      <c r="AB224" s="74">
        <v>46097</v>
      </c>
      <c r="AC224" s="4">
        <v>303.91500000000002</v>
      </c>
      <c r="AD224" s="6">
        <f t="shared" si="32"/>
        <v>46097</v>
      </c>
    </row>
    <row r="225" spans="1:30" x14ac:dyDescent="0.25">
      <c r="A225" s="37"/>
      <c r="B225" s="38"/>
      <c r="C225" s="2"/>
      <c r="D225" s="41"/>
      <c r="E225" s="38"/>
      <c r="F225" s="2"/>
      <c r="G225" s="41"/>
      <c r="H225" s="38"/>
      <c r="I225" s="39"/>
      <c r="J225" s="39"/>
      <c r="K225" s="41"/>
      <c r="L225" s="41"/>
      <c r="M225" s="42"/>
      <c r="U225" s="3" t="str">
        <f t="shared" si="30"/>
        <v/>
      </c>
      <c r="V225" s="3" t="str">
        <f t="shared" si="31"/>
        <v/>
      </c>
      <c r="Z225" s="3">
        <v>46098</v>
      </c>
      <c r="AA225" s="4">
        <v>244.42140000000001</v>
      </c>
      <c r="AB225" s="74">
        <v>46098</v>
      </c>
      <c r="AC225" s="4">
        <v>294.67</v>
      </c>
      <c r="AD225" s="6">
        <f t="shared" si="32"/>
        <v>46098</v>
      </c>
    </row>
    <row r="226" spans="1:30" x14ac:dyDescent="0.25">
      <c r="A226" s="37"/>
      <c r="B226" s="38"/>
      <c r="C226" s="2"/>
      <c r="D226" s="41"/>
      <c r="E226" s="38"/>
      <c r="F226" s="2"/>
      <c r="G226" s="41"/>
      <c r="H226" s="38"/>
      <c r="I226" s="39"/>
      <c r="J226" s="39"/>
      <c r="K226" s="41"/>
      <c r="L226" s="41"/>
      <c r="M226" s="42"/>
      <c r="U226" s="3" t="str">
        <f t="shared" si="30"/>
        <v/>
      </c>
      <c r="V226" s="3" t="str">
        <f t="shared" si="31"/>
        <v/>
      </c>
      <c r="Z226" s="3">
        <v>46099</v>
      </c>
      <c r="AA226" s="4">
        <v>244.00810000000001</v>
      </c>
      <c r="AB226" s="74">
        <v>46099</v>
      </c>
      <c r="AC226" s="4">
        <v>298.87400000000002</v>
      </c>
      <c r="AD226" s="6">
        <f t="shared" si="32"/>
        <v>46099</v>
      </c>
    </row>
    <row r="227" spans="1:30" x14ac:dyDescent="0.25">
      <c r="A227" s="37"/>
      <c r="B227" s="38"/>
      <c r="C227" s="2"/>
      <c r="D227" s="41"/>
      <c r="E227" s="38"/>
      <c r="F227" s="2"/>
      <c r="G227" s="41"/>
      <c r="H227" s="38"/>
      <c r="I227" s="39"/>
      <c r="J227" s="39"/>
      <c r="K227" s="41"/>
      <c r="L227" s="41"/>
      <c r="M227" s="42"/>
      <c r="U227" s="3" t="str">
        <f t="shared" si="30"/>
        <v/>
      </c>
      <c r="V227" s="3" t="str">
        <f t="shared" si="31"/>
        <v/>
      </c>
      <c r="Z227" s="3">
        <v>46100</v>
      </c>
      <c r="AA227" s="4">
        <v>242.7533</v>
      </c>
      <c r="AB227" s="74">
        <v>46100</v>
      </c>
      <c r="AC227" s="4">
        <v>310.92399999999998</v>
      </c>
      <c r="AD227" s="6">
        <f t="shared" si="32"/>
        <v>46100</v>
      </c>
    </row>
    <row r="228" spans="1:30" x14ac:dyDescent="0.25">
      <c r="A228" s="37"/>
      <c r="B228" s="38"/>
      <c r="C228" s="2"/>
      <c r="D228" s="41"/>
      <c r="E228" s="38"/>
      <c r="F228" s="2"/>
      <c r="G228" s="41"/>
      <c r="H228" s="38"/>
      <c r="I228" s="39"/>
      <c r="J228" s="39"/>
      <c r="K228" s="41"/>
      <c r="L228" s="41"/>
      <c r="M228" s="42"/>
      <c r="U228" s="3" t="str">
        <f t="shared" si="30"/>
        <v/>
      </c>
      <c r="V228" s="3" t="str">
        <f t="shared" si="31"/>
        <v/>
      </c>
      <c r="Z228" s="3">
        <v>46101</v>
      </c>
      <c r="AA228" s="4">
        <v>241.26779999999999</v>
      </c>
      <c r="AB228" s="74">
        <v>46101</v>
      </c>
      <c r="AC228" s="4">
        <v>349.96800000000002</v>
      </c>
      <c r="AD228" s="6">
        <f t="shared" si="32"/>
        <v>46101</v>
      </c>
    </row>
    <row r="229" spans="1:30" x14ac:dyDescent="0.25">
      <c r="A229" s="37"/>
      <c r="B229" s="38"/>
      <c r="C229" s="2"/>
      <c r="D229" s="41"/>
      <c r="E229" s="38"/>
      <c r="F229" s="2"/>
      <c r="G229" s="41"/>
      <c r="H229" s="38"/>
      <c r="I229" s="39"/>
      <c r="J229" s="39"/>
      <c r="K229" s="41"/>
      <c r="L229" s="41"/>
      <c r="M229" s="42"/>
      <c r="U229" s="3" t="str">
        <f t="shared" si="30"/>
        <v/>
      </c>
      <c r="V229" s="3" t="str">
        <f t="shared" si="31"/>
        <v/>
      </c>
      <c r="Z229" s="3">
        <v>46104</v>
      </c>
      <c r="AA229" s="4">
        <v>242.08969999999999</v>
      </c>
      <c r="AB229" s="74">
        <v>46104</v>
      </c>
      <c r="AC229" s="4">
        <v>341.77300000000002</v>
      </c>
      <c r="AD229" s="6">
        <f t="shared" si="32"/>
        <v>46104</v>
      </c>
    </row>
    <row r="230" spans="1:30" x14ac:dyDescent="0.25">
      <c r="A230" s="37"/>
      <c r="B230" s="38"/>
      <c r="C230" s="2"/>
      <c r="D230" s="41"/>
      <c r="E230" s="38"/>
      <c r="F230" s="2"/>
      <c r="G230" s="41"/>
      <c r="H230" s="38"/>
      <c r="I230" s="39"/>
      <c r="J230" s="39"/>
      <c r="K230" s="41"/>
      <c r="L230" s="41"/>
      <c r="M230" s="42"/>
      <c r="U230" s="3" t="str">
        <f t="shared" si="30"/>
        <v/>
      </c>
      <c r="V230" s="3" t="str">
        <f t="shared" si="31"/>
        <v/>
      </c>
      <c r="Z230" s="3">
        <v>46105</v>
      </c>
      <c r="AA230" s="4">
        <v>242.32900000000001</v>
      </c>
      <c r="AB230" s="74">
        <v>46105</v>
      </c>
      <c r="AC230" s="4">
        <v>342.03300000000002</v>
      </c>
      <c r="AD230" s="6">
        <f t="shared" si="32"/>
        <v>46105</v>
      </c>
    </row>
    <row r="231" spans="1:30" x14ac:dyDescent="0.25">
      <c r="A231" s="37"/>
      <c r="B231" s="38"/>
      <c r="C231" s="2"/>
      <c r="D231" s="41"/>
      <c r="E231" s="38"/>
      <c r="F231" s="2"/>
      <c r="G231" s="41"/>
      <c r="H231" s="38"/>
      <c r="I231" s="39"/>
      <c r="J231" s="39"/>
      <c r="K231" s="41"/>
      <c r="L231" s="41"/>
      <c r="M231" s="42"/>
      <c r="U231" s="3" t="str">
        <f t="shared" si="30"/>
        <v/>
      </c>
      <c r="V231" s="3" t="str">
        <f t="shared" si="31"/>
        <v/>
      </c>
      <c r="Z231" s="3">
        <v>46106</v>
      </c>
      <c r="AA231" s="4">
        <v>243.4736</v>
      </c>
      <c r="AB231" s="74">
        <v>46106</v>
      </c>
      <c r="AC231" s="4">
        <v>330.851</v>
      </c>
      <c r="AD231" s="6">
        <f t="shared" si="32"/>
        <v>46106</v>
      </c>
    </row>
    <row r="232" spans="1:30" x14ac:dyDescent="0.25">
      <c r="A232" s="37"/>
      <c r="B232" s="38"/>
      <c r="C232" s="2"/>
      <c r="D232" s="41"/>
      <c r="E232" s="38"/>
      <c r="F232" s="2"/>
      <c r="G232" s="41"/>
      <c r="H232" s="38"/>
      <c r="I232" s="39"/>
      <c r="J232" s="39"/>
      <c r="K232" s="41"/>
      <c r="L232" s="41"/>
      <c r="M232" s="42"/>
      <c r="U232" s="3" t="str">
        <f t="shared" si="30"/>
        <v/>
      </c>
      <c r="V232" s="3" t="str">
        <f t="shared" si="31"/>
        <v/>
      </c>
      <c r="Z232" s="3">
        <v>46107</v>
      </c>
      <c r="AA232" s="4">
        <v>241.38650000000001</v>
      </c>
      <c r="AB232" s="74">
        <v>46107</v>
      </c>
      <c r="AC232" s="4">
        <v>351.12799999999999</v>
      </c>
      <c r="AD232" s="6">
        <f t="shared" si="32"/>
        <v>46107</v>
      </c>
    </row>
    <row r="233" spans="1:30" x14ac:dyDescent="0.25">
      <c r="A233" s="37"/>
      <c r="B233" s="38"/>
      <c r="C233" s="2"/>
      <c r="D233" s="41"/>
      <c r="E233" s="38"/>
      <c r="F233" s="2"/>
      <c r="G233" s="41"/>
      <c r="H233" s="38"/>
      <c r="I233" s="39"/>
      <c r="J233" s="39"/>
      <c r="K233" s="41"/>
      <c r="L233" s="41"/>
      <c r="M233" s="42"/>
      <c r="U233" s="3" t="str">
        <f t="shared" si="30"/>
        <v/>
      </c>
      <c r="V233" s="3" t="str">
        <f t="shared" si="31"/>
        <v/>
      </c>
      <c r="Z233" s="3">
        <v>46108</v>
      </c>
      <c r="AA233" s="4">
        <v>240.04679999999999</v>
      </c>
      <c r="AB233" s="74">
        <v>46108</v>
      </c>
      <c r="AC233" s="4">
        <v>361.84800000000001</v>
      </c>
      <c r="AD233" s="6">
        <f t="shared" si="32"/>
        <v>46108</v>
      </c>
    </row>
    <row r="234" spans="1:30" x14ac:dyDescent="0.25">
      <c r="A234" s="37"/>
      <c r="B234" s="38"/>
      <c r="C234" s="2"/>
      <c r="D234" s="41"/>
      <c r="E234" s="38"/>
      <c r="F234" s="2"/>
      <c r="G234" s="41"/>
      <c r="H234" s="38"/>
      <c r="I234" s="39"/>
      <c r="J234" s="39"/>
      <c r="K234" s="41"/>
      <c r="L234" s="41"/>
      <c r="M234" s="42"/>
      <c r="U234" s="3" t="str">
        <f t="shared" si="30"/>
        <v/>
      </c>
      <c r="V234" s="3" t="str">
        <f t="shared" si="31"/>
        <v/>
      </c>
      <c r="Z234" s="3">
        <v>46111</v>
      </c>
      <c r="AA234" s="4">
        <v>240.15790000000001</v>
      </c>
      <c r="AB234" s="74">
        <v>46111</v>
      </c>
      <c r="AC234" s="4">
        <v>361.5</v>
      </c>
      <c r="AD234" s="6">
        <f t="shared" si="32"/>
        <v>46111</v>
      </c>
    </row>
    <row r="235" spans="1:30" x14ac:dyDescent="0.25">
      <c r="A235" s="37"/>
      <c r="B235" s="38"/>
      <c r="C235" s="2"/>
      <c r="D235" s="41"/>
      <c r="E235" s="38"/>
      <c r="F235" s="2"/>
      <c r="G235" s="41"/>
      <c r="H235" s="38"/>
      <c r="I235" s="39"/>
      <c r="J235" s="39"/>
      <c r="K235" s="41"/>
      <c r="L235" s="41"/>
      <c r="M235" s="42"/>
      <c r="U235" s="3" t="str">
        <f t="shared" si="30"/>
        <v/>
      </c>
      <c r="V235" s="3" t="str">
        <f t="shared" si="31"/>
        <v/>
      </c>
      <c r="Z235" s="3">
        <v>46112</v>
      </c>
      <c r="AA235" s="4">
        <v>241.21780000000001</v>
      </c>
      <c r="AB235" s="74">
        <v>46112</v>
      </c>
      <c r="AC235" s="4">
        <v>353.01900000000001</v>
      </c>
      <c r="AD235" s="6">
        <f t="shared" si="32"/>
        <v>46112</v>
      </c>
    </row>
    <row r="236" spans="1:30" x14ac:dyDescent="0.25">
      <c r="A236" s="37"/>
      <c r="B236" s="38"/>
      <c r="C236" s="2"/>
      <c r="D236" s="41"/>
      <c r="E236" s="38"/>
      <c r="F236" s="2"/>
      <c r="G236" s="41"/>
      <c r="H236" s="38"/>
      <c r="I236" s="39"/>
      <c r="J236" s="39"/>
      <c r="K236" s="41"/>
      <c r="L236" s="41"/>
      <c r="M236" s="42"/>
      <c r="U236" s="3" t="str">
        <f t="shared" si="30"/>
        <v/>
      </c>
      <c r="V236" s="3" t="str">
        <f t="shared" si="31"/>
        <v/>
      </c>
      <c r="Z236" s="3">
        <v>46113</v>
      </c>
      <c r="AA236" s="4">
        <v>244.02869999999999</v>
      </c>
      <c r="AB236" s="74">
        <v>46113</v>
      </c>
      <c r="AC236" s="4">
        <v>327.18900000000002</v>
      </c>
      <c r="AD236" s="6">
        <f t="shared" si="32"/>
        <v>46113</v>
      </c>
    </row>
    <row r="237" spans="1:30" x14ac:dyDescent="0.25">
      <c r="A237" s="37"/>
      <c r="B237" s="38"/>
      <c r="C237" s="2"/>
      <c r="D237" s="41"/>
      <c r="E237" s="38"/>
      <c r="F237" s="2"/>
      <c r="G237" s="41"/>
      <c r="H237" s="38"/>
      <c r="I237" s="39"/>
      <c r="J237" s="39"/>
      <c r="K237" s="41"/>
      <c r="L237" s="41"/>
      <c r="M237" s="42"/>
      <c r="U237" s="3" t="str">
        <f t="shared" si="30"/>
        <v/>
      </c>
      <c r="V237" s="3" t="str">
        <f t="shared" si="31"/>
        <v/>
      </c>
      <c r="Z237" s="3">
        <v>46114</v>
      </c>
      <c r="AA237" s="4">
        <v>244.23920000000001</v>
      </c>
      <c r="AB237" s="74">
        <v>46114</v>
      </c>
      <c r="AC237" s="4">
        <v>325.447</v>
      </c>
      <c r="AD237" s="6">
        <f t="shared" si="32"/>
        <v>46114</v>
      </c>
    </row>
    <row r="238" spans="1:30" x14ac:dyDescent="0.25">
      <c r="A238" s="37"/>
      <c r="B238" s="38"/>
      <c r="C238" s="2"/>
      <c r="D238" s="41"/>
      <c r="E238" s="38"/>
      <c r="F238" s="2"/>
      <c r="G238" s="41"/>
      <c r="H238" s="38"/>
      <c r="I238" s="39"/>
      <c r="J238" s="39"/>
      <c r="K238" s="41"/>
      <c r="L238" s="41"/>
      <c r="M238" s="42"/>
      <c r="U238" s="3" t="str">
        <f t="shared" si="30"/>
        <v/>
      </c>
      <c r="V238" s="3" t="str">
        <f t="shared" si="31"/>
        <v/>
      </c>
      <c r="Z238" s="3">
        <v>46119</v>
      </c>
      <c r="AA238" s="4">
        <v>243.34200000000001</v>
      </c>
      <c r="AB238" s="74">
        <v>46119</v>
      </c>
      <c r="AC238" s="4">
        <v>335.255</v>
      </c>
      <c r="AD238" s="6">
        <f t="shared" si="32"/>
        <v>46119</v>
      </c>
    </row>
    <row r="239" spans="1:30" x14ac:dyDescent="0.25">
      <c r="A239" s="37"/>
      <c r="B239" s="38"/>
      <c r="C239" s="2"/>
      <c r="D239" s="41"/>
      <c r="E239" s="38"/>
      <c r="F239" s="2"/>
      <c r="G239" s="41"/>
      <c r="H239" s="38"/>
      <c r="I239" s="39"/>
      <c r="J239" s="39"/>
      <c r="K239" s="41"/>
      <c r="L239" s="41"/>
      <c r="M239" s="42"/>
      <c r="U239" s="3" t="str">
        <f t="shared" si="30"/>
        <v/>
      </c>
      <c r="V239" s="3" t="str">
        <f t="shared" si="31"/>
        <v/>
      </c>
      <c r="Z239" s="3">
        <v>46120</v>
      </c>
      <c r="AA239" s="4">
        <v>247.41990000000001</v>
      </c>
      <c r="AB239" s="74">
        <v>46120</v>
      </c>
      <c r="AC239" s="4">
        <v>297.39699999999999</v>
      </c>
      <c r="AD239" s="6">
        <f t="shared" si="32"/>
        <v>46120</v>
      </c>
    </row>
    <row r="240" spans="1:30" x14ac:dyDescent="0.25">
      <c r="A240" s="37"/>
      <c r="B240" s="38"/>
      <c r="C240" s="2"/>
      <c r="D240" s="41"/>
      <c r="E240" s="38"/>
      <c r="F240" s="2"/>
      <c r="G240" s="41"/>
      <c r="H240" s="38"/>
      <c r="I240" s="39"/>
      <c r="J240" s="39"/>
      <c r="K240" s="41"/>
      <c r="L240" s="41"/>
      <c r="M240" s="42"/>
      <c r="U240" s="3" t="str">
        <f t="shared" si="30"/>
        <v/>
      </c>
      <c r="V240" s="3" t="str">
        <f t="shared" si="31"/>
        <v/>
      </c>
      <c r="Z240" s="3">
        <v>46121</v>
      </c>
      <c r="AA240" s="4">
        <v>248.24930000000001</v>
      </c>
      <c r="AB240" s="74">
        <v>46121</v>
      </c>
      <c r="AC240" s="4">
        <v>290.79300000000001</v>
      </c>
      <c r="AD240" s="6">
        <f t="shared" si="32"/>
        <v>46121</v>
      </c>
    </row>
    <row r="241" spans="1:30" x14ac:dyDescent="0.25">
      <c r="A241" s="37"/>
      <c r="B241" s="38"/>
      <c r="C241" s="2"/>
      <c r="D241" s="41"/>
      <c r="E241" s="38"/>
      <c r="F241" s="2"/>
      <c r="G241" s="41"/>
      <c r="H241" s="38"/>
      <c r="I241" s="39"/>
      <c r="J241" s="39"/>
      <c r="K241" s="41"/>
      <c r="L241" s="41"/>
      <c r="M241" s="42"/>
      <c r="U241" s="3" t="str">
        <f t="shared" si="30"/>
        <v/>
      </c>
      <c r="V241" s="3" t="str">
        <f t="shared" si="31"/>
        <v/>
      </c>
      <c r="Z241" s="3">
        <v>46122</v>
      </c>
      <c r="AA241" s="4">
        <v>248.2782</v>
      </c>
      <c r="AB241" s="74">
        <v>46122</v>
      </c>
      <c r="AC241" s="4">
        <v>294.03300000000002</v>
      </c>
      <c r="AD241" s="6">
        <f t="shared" si="32"/>
        <v>46122</v>
      </c>
    </row>
    <row r="242" spans="1:30" x14ac:dyDescent="0.25">
      <c r="A242" s="37"/>
      <c r="B242" s="38"/>
      <c r="C242" s="2"/>
      <c r="D242" s="41"/>
      <c r="E242" s="38"/>
      <c r="F242" s="2"/>
      <c r="G242" s="41"/>
      <c r="H242" s="38"/>
      <c r="I242" s="39"/>
      <c r="J242" s="39"/>
      <c r="K242" s="41"/>
      <c r="L242" s="41"/>
      <c r="M242" s="42"/>
      <c r="U242" s="3" t="str">
        <f t="shared" si="30"/>
        <v/>
      </c>
      <c r="V242" s="3" t="str">
        <f t="shared" si="31"/>
        <v/>
      </c>
      <c r="Z242" s="3">
        <v>46125</v>
      </c>
      <c r="AA242" s="4">
        <v>248.03890000000001</v>
      </c>
      <c r="AB242" s="74">
        <v>46125</v>
      </c>
      <c r="AC242" s="4">
        <v>295.34500000000003</v>
      </c>
      <c r="AD242" s="6">
        <f t="shared" si="32"/>
        <v>46125</v>
      </c>
    </row>
    <row r="243" spans="1:30" x14ac:dyDescent="0.25">
      <c r="A243" s="37"/>
      <c r="B243" s="38"/>
      <c r="C243" s="2"/>
      <c r="D243" s="41"/>
      <c r="E243" s="38"/>
      <c r="F243" s="2"/>
      <c r="G243" s="41"/>
      <c r="H243" s="38"/>
      <c r="I243" s="39"/>
      <c r="J243" s="39"/>
      <c r="K243" s="41"/>
      <c r="L243" s="41"/>
      <c r="M243" s="42"/>
      <c r="U243" s="3" t="str">
        <f t="shared" si="30"/>
        <v/>
      </c>
      <c r="V243" s="3" t="str">
        <f t="shared" si="31"/>
        <v/>
      </c>
      <c r="Z243" s="3">
        <v>46126</v>
      </c>
      <c r="AA243" s="4">
        <v>249.5992</v>
      </c>
      <c r="AB243" s="74">
        <v>46126</v>
      </c>
      <c r="AC243" s="4">
        <v>281.303</v>
      </c>
      <c r="AD243" s="6">
        <f t="shared" si="32"/>
        <v>46126</v>
      </c>
    </row>
    <row r="244" spans="1:30" x14ac:dyDescent="0.25">
      <c r="A244" s="37"/>
      <c r="B244" s="38"/>
      <c r="C244" s="2"/>
      <c r="D244" s="41"/>
      <c r="E244" s="38"/>
      <c r="F244" s="2"/>
      <c r="G244" s="41"/>
      <c r="H244" s="38"/>
      <c r="I244" s="39"/>
      <c r="J244" s="39"/>
      <c r="K244" s="41"/>
      <c r="L244" s="41"/>
      <c r="M244" s="42"/>
      <c r="U244" s="3" t="str">
        <f t="shared" si="30"/>
        <v/>
      </c>
      <c r="V244" s="3" t="str">
        <f t="shared" si="31"/>
        <v/>
      </c>
      <c r="Z244" s="3">
        <v>46127</v>
      </c>
      <c r="AA244" s="4">
        <v>249.53909999999999</v>
      </c>
      <c r="AB244" s="74">
        <v>46127</v>
      </c>
      <c r="AC244" s="4">
        <v>283.45699999999999</v>
      </c>
      <c r="AD244" s="6">
        <f t="shared" si="32"/>
        <v>46127</v>
      </c>
    </row>
    <row r="245" spans="1:30" x14ac:dyDescent="0.25">
      <c r="A245" s="37"/>
      <c r="B245" s="38"/>
      <c r="C245" s="2"/>
      <c r="D245" s="41"/>
      <c r="E245" s="38"/>
      <c r="F245" s="2"/>
      <c r="G245" s="41"/>
      <c r="H245" s="38"/>
      <c r="I245" s="39"/>
      <c r="J245" s="39"/>
      <c r="K245" s="41"/>
      <c r="L245" s="41"/>
      <c r="M245" s="42"/>
      <c r="U245" s="3" t="str">
        <f t="shared" si="30"/>
        <v/>
      </c>
      <c r="V245" s="3" t="str">
        <f t="shared" si="31"/>
        <v/>
      </c>
      <c r="Z245" s="3">
        <v>46128</v>
      </c>
      <c r="AA245" s="4">
        <v>249.1765</v>
      </c>
      <c r="AB245" s="74">
        <v>46128</v>
      </c>
      <c r="AC245" s="4">
        <v>287.08800000000002</v>
      </c>
      <c r="AD245" s="6">
        <f t="shared" si="32"/>
        <v>46128</v>
      </c>
    </row>
    <row r="246" spans="1:30" x14ac:dyDescent="0.25">
      <c r="A246" s="37"/>
      <c r="B246" s="38"/>
      <c r="C246" s="2"/>
      <c r="D246" s="41"/>
      <c r="E246" s="38"/>
      <c r="F246" s="2"/>
      <c r="G246" s="41"/>
      <c r="H246" s="38"/>
      <c r="I246" s="39"/>
      <c r="J246" s="39"/>
      <c r="K246" s="41"/>
      <c r="L246" s="41"/>
      <c r="M246" s="42"/>
      <c r="U246" s="3" t="str">
        <f t="shared" si="30"/>
        <v/>
      </c>
      <c r="V246" s="3" t="str">
        <f t="shared" si="31"/>
        <v/>
      </c>
      <c r="Z246" s="3">
        <v>46129</v>
      </c>
      <c r="AA246" s="4">
        <v>250.45760000000001</v>
      </c>
      <c r="AB246" s="74">
        <v>46129</v>
      </c>
      <c r="AC246" s="4">
        <v>275.86700000000002</v>
      </c>
      <c r="AD246" s="6">
        <f t="shared" si="32"/>
        <v>46129</v>
      </c>
    </row>
    <row r="247" spans="1:30" x14ac:dyDescent="0.25">
      <c r="A247" s="37"/>
      <c r="B247" s="38"/>
      <c r="C247" s="2"/>
      <c r="D247" s="41"/>
      <c r="E247" s="38"/>
      <c r="F247" s="2"/>
      <c r="G247" s="41"/>
      <c r="H247" s="38"/>
      <c r="I247" s="39"/>
      <c r="J247" s="39"/>
      <c r="K247" s="41"/>
      <c r="L247" s="41"/>
      <c r="M247" s="42"/>
      <c r="U247" s="3" t="str">
        <f t="shared" si="30"/>
        <v/>
      </c>
      <c r="V247" s="3" t="str">
        <f t="shared" si="31"/>
        <v/>
      </c>
      <c r="Z247" s="3">
        <v>46132</v>
      </c>
      <c r="AA247" s="4">
        <v>250.11789999999999</v>
      </c>
      <c r="AB247" s="74">
        <v>46132</v>
      </c>
      <c r="AC247" s="4">
        <v>279.73</v>
      </c>
      <c r="AD247" s="6">
        <f t="shared" si="32"/>
        <v>46132</v>
      </c>
    </row>
    <row r="248" spans="1:30" x14ac:dyDescent="0.25">
      <c r="A248" s="37"/>
      <c r="B248" s="38"/>
      <c r="C248" s="2"/>
      <c r="D248" s="41"/>
      <c r="E248" s="38"/>
      <c r="F248" s="2"/>
      <c r="G248" s="41"/>
      <c r="H248" s="38"/>
      <c r="I248" s="39"/>
      <c r="J248" s="39"/>
      <c r="K248" s="41"/>
      <c r="L248" s="41"/>
      <c r="M248" s="42"/>
      <c r="U248" s="3" t="str">
        <f t="shared" si="30"/>
        <v/>
      </c>
      <c r="V248" s="3" t="str">
        <f t="shared" si="31"/>
        <v/>
      </c>
      <c r="Z248" s="3">
        <v>46133</v>
      </c>
      <c r="AA248" s="4">
        <v>249.51689999999999</v>
      </c>
      <c r="AB248" s="74">
        <v>46133</v>
      </c>
      <c r="AC248" s="4">
        <v>285.02300000000002</v>
      </c>
      <c r="AD248" s="6">
        <f t="shared" si="32"/>
        <v>46133</v>
      </c>
    </row>
    <row r="249" spans="1:30" x14ac:dyDescent="0.25">
      <c r="A249" s="37"/>
      <c r="B249" s="38"/>
      <c r="C249" s="2"/>
      <c r="D249" s="41"/>
      <c r="E249" s="38"/>
      <c r="F249" s="2"/>
      <c r="G249" s="41"/>
      <c r="H249" s="38"/>
      <c r="I249" s="39"/>
      <c r="J249" s="39"/>
      <c r="K249" s="41"/>
      <c r="L249" s="41"/>
      <c r="M249" s="42"/>
      <c r="U249" s="3" t="str">
        <f t="shared" si="30"/>
        <v/>
      </c>
      <c r="V249" s="3" t="str">
        <f t="shared" si="31"/>
        <v/>
      </c>
      <c r="Z249" s="3">
        <v>46134</v>
      </c>
      <c r="AA249" s="4">
        <v>249.46960000000001</v>
      </c>
      <c r="AB249" s="74">
        <v>46134</v>
      </c>
      <c r="AC249" s="4">
        <v>285.94499999999999</v>
      </c>
      <c r="AD249" s="6">
        <f t="shared" si="32"/>
        <v>46134</v>
      </c>
    </row>
    <row r="250" spans="1:30" x14ac:dyDescent="0.25">
      <c r="A250" s="37"/>
      <c r="B250" s="38"/>
      <c r="C250" s="2"/>
      <c r="D250" s="41"/>
      <c r="E250" s="38"/>
      <c r="F250" s="2"/>
      <c r="G250" s="41"/>
      <c r="H250" s="38"/>
      <c r="I250" s="39"/>
      <c r="J250" s="39"/>
      <c r="K250" s="41"/>
      <c r="L250" s="41"/>
      <c r="M250" s="42"/>
      <c r="U250" s="3" t="str">
        <f t="shared" si="30"/>
        <v/>
      </c>
      <c r="V250" s="3" t="str">
        <f t="shared" si="31"/>
        <v/>
      </c>
      <c r="Z250" s="3">
        <v>46135</v>
      </c>
      <c r="AA250" s="4">
        <v>249.30770000000001</v>
      </c>
      <c r="AB250" s="74">
        <v>46135</v>
      </c>
      <c r="AC250" s="4">
        <v>288.49599999999998</v>
      </c>
      <c r="AD250" s="6">
        <f t="shared" si="32"/>
        <v>46135</v>
      </c>
    </row>
    <row r="251" spans="1:30" x14ac:dyDescent="0.25">
      <c r="A251" s="37"/>
      <c r="B251" s="38"/>
      <c r="C251" s="2"/>
      <c r="D251" s="41"/>
      <c r="E251" s="38"/>
      <c r="F251" s="2"/>
      <c r="G251" s="41"/>
      <c r="H251" s="38"/>
      <c r="I251" s="39"/>
      <c r="J251" s="39"/>
      <c r="K251" s="41"/>
      <c r="L251" s="41"/>
      <c r="M251" s="42"/>
      <c r="U251" s="3" t="str">
        <f t="shared" si="30"/>
        <v/>
      </c>
      <c r="V251" s="3" t="str">
        <f t="shared" si="31"/>
        <v/>
      </c>
      <c r="Z251" s="3">
        <v>46136</v>
      </c>
      <c r="AA251" s="4">
        <v>249.20050000000001</v>
      </c>
      <c r="AB251" s="74">
        <v>46136</v>
      </c>
      <c r="AC251" s="4">
        <v>287.25799999999998</v>
      </c>
      <c r="AD251" s="6">
        <f t="shared" si="32"/>
        <v>46136</v>
      </c>
    </row>
    <row r="252" spans="1:30" x14ac:dyDescent="0.25">
      <c r="A252" s="37"/>
      <c r="B252" s="38"/>
      <c r="C252" s="2"/>
      <c r="D252" s="41"/>
      <c r="E252" s="38"/>
      <c r="F252" s="2"/>
      <c r="G252" s="41"/>
      <c r="H252" s="38"/>
      <c r="I252" s="39"/>
      <c r="J252" s="39"/>
      <c r="K252" s="41"/>
      <c r="L252" s="41"/>
      <c r="M252" s="42"/>
      <c r="U252" s="3" t="str">
        <f t="shared" si="30"/>
        <v/>
      </c>
      <c r="V252" s="3" t="str">
        <f t="shared" si="31"/>
        <v/>
      </c>
      <c r="Z252" s="3">
        <v>46139</v>
      </c>
      <c r="AA252" s="4">
        <v>249.10599999999999</v>
      </c>
      <c r="AB252" s="74">
        <v>46139</v>
      </c>
      <c r="AC252" s="4">
        <v>288.53300000000002</v>
      </c>
      <c r="AD252" s="6">
        <f t="shared" si="32"/>
        <v>46139</v>
      </c>
    </row>
    <row r="253" spans="1:30" x14ac:dyDescent="0.25">
      <c r="A253" s="37"/>
      <c r="B253" s="38"/>
      <c r="C253" s="2"/>
      <c r="D253" s="41"/>
      <c r="E253" s="38"/>
      <c r="F253" s="2"/>
      <c r="G253" s="41"/>
      <c r="H253" s="38"/>
      <c r="I253" s="39"/>
      <c r="J253" s="39"/>
      <c r="K253" s="41"/>
      <c r="L253" s="41"/>
      <c r="M253" s="42"/>
      <c r="U253" s="3" t="str">
        <f t="shared" si="30"/>
        <v/>
      </c>
      <c r="V253" s="3" t="str">
        <f t="shared" si="31"/>
        <v/>
      </c>
      <c r="Z253" s="3">
        <v>46140</v>
      </c>
      <c r="AA253" s="4">
        <v>248.827</v>
      </c>
      <c r="AB253" s="74">
        <v>46140</v>
      </c>
      <c r="AC253" s="4">
        <v>292.154</v>
      </c>
      <c r="AD253" s="6">
        <f t="shared" si="32"/>
        <v>46140</v>
      </c>
    </row>
    <row r="254" spans="1:30" x14ac:dyDescent="0.25">
      <c r="A254" s="37"/>
      <c r="B254" s="38"/>
      <c r="C254" s="2"/>
      <c r="D254" s="41"/>
      <c r="E254" s="38"/>
      <c r="F254" s="2"/>
      <c r="G254" s="41"/>
      <c r="H254" s="38"/>
      <c r="I254" s="39"/>
      <c r="J254" s="39"/>
      <c r="K254" s="41"/>
      <c r="L254" s="41"/>
      <c r="M254" s="42"/>
      <c r="U254" s="3" t="str">
        <f t="shared" si="30"/>
        <v/>
      </c>
      <c r="V254" s="3" t="str">
        <f t="shared" si="31"/>
        <v/>
      </c>
      <c r="Z254" s="3">
        <v>46141</v>
      </c>
      <c r="AA254" s="4">
        <v>248.28469999999999</v>
      </c>
      <c r="AB254" s="74">
        <v>46141</v>
      </c>
      <c r="AC254" s="4">
        <v>297.69</v>
      </c>
      <c r="AD254" s="6">
        <f t="shared" si="32"/>
        <v>46141</v>
      </c>
    </row>
    <row r="255" spans="1:30" x14ac:dyDescent="0.25">
      <c r="A255" s="37"/>
      <c r="B255" s="38"/>
      <c r="C255" s="2"/>
      <c r="D255" s="41"/>
      <c r="E255" s="38"/>
      <c r="F255" s="2"/>
      <c r="G255" s="41"/>
      <c r="H255" s="38"/>
      <c r="I255" s="39"/>
      <c r="J255" s="39"/>
      <c r="K255" s="41"/>
      <c r="L255" s="41"/>
      <c r="M255" s="42"/>
      <c r="U255" s="3" t="str">
        <f t="shared" si="30"/>
        <v/>
      </c>
      <c r="V255" s="3" t="str">
        <f t="shared" si="31"/>
        <v/>
      </c>
      <c r="Z255" s="3">
        <v>46142</v>
      </c>
      <c r="AA255" s="4">
        <v>248.685</v>
      </c>
      <c r="AB255" s="74">
        <v>46142</v>
      </c>
      <c r="AC255" s="4">
        <v>292.53100000000001</v>
      </c>
      <c r="AD255" s="6">
        <f t="shared" si="32"/>
        <v>46142</v>
      </c>
    </row>
    <row r="256" spans="1:30" x14ac:dyDescent="0.25">
      <c r="A256" s="37"/>
      <c r="B256" s="38"/>
      <c r="C256" s="2"/>
      <c r="D256" s="41"/>
      <c r="E256" s="38"/>
      <c r="F256" s="2"/>
      <c r="G256" s="41"/>
      <c r="H256" s="38"/>
      <c r="I256" s="39"/>
      <c r="J256" s="39"/>
      <c r="K256" s="41"/>
      <c r="L256" s="41"/>
      <c r="M256" s="42"/>
      <c r="U256" s="3" t="str">
        <f t="shared" si="30"/>
        <v/>
      </c>
      <c r="V256" s="3" t="str">
        <f t="shared" si="31"/>
        <v/>
      </c>
      <c r="Z256" s="3">
        <v>46143</v>
      </c>
      <c r="AA256" s="4">
        <v>249.75620000000001</v>
      </c>
      <c r="AB256" s="74">
        <v>46143</v>
      </c>
      <c r="AC256" s="4">
        <v>284.60300000000001</v>
      </c>
      <c r="AD256" s="6">
        <f t="shared" si="32"/>
        <v>46143</v>
      </c>
    </row>
    <row r="257" spans="1:30" x14ac:dyDescent="0.25">
      <c r="A257" s="37"/>
      <c r="B257" s="38"/>
      <c r="C257" s="2"/>
      <c r="D257" s="41"/>
      <c r="E257" s="38"/>
      <c r="F257" s="2"/>
      <c r="G257" s="41"/>
      <c r="H257" s="38"/>
      <c r="I257" s="39"/>
      <c r="J257" s="39"/>
      <c r="K257" s="41"/>
      <c r="L257" s="41"/>
      <c r="M257" s="42"/>
      <c r="U257" s="3" t="str">
        <f t="shared" si="30"/>
        <v/>
      </c>
      <c r="V257" s="3" t="str">
        <f t="shared" si="31"/>
        <v/>
      </c>
      <c r="Z257" s="3">
        <v>46147</v>
      </c>
      <c r="AA257" s="4">
        <v>249.4753</v>
      </c>
      <c r="AB257" s="74">
        <v>46147</v>
      </c>
      <c r="AC257" s="4">
        <v>287.411</v>
      </c>
      <c r="AD257" s="6">
        <f t="shared" si="32"/>
        <v>46147</v>
      </c>
    </row>
    <row r="258" spans="1:30" x14ac:dyDescent="0.25">
      <c r="A258" s="37"/>
      <c r="B258" s="38"/>
      <c r="C258" s="2"/>
      <c r="D258" s="41"/>
      <c r="E258" s="38"/>
      <c r="F258" s="2"/>
      <c r="G258" s="41"/>
      <c r="H258" s="38"/>
      <c r="I258" s="39"/>
      <c r="J258" s="39"/>
      <c r="K258" s="41"/>
      <c r="L258" s="41"/>
      <c r="M258" s="42"/>
      <c r="U258" s="3" t="str">
        <f t="shared" si="30"/>
        <v/>
      </c>
      <c r="V258" s="3" t="str">
        <f t="shared" si="31"/>
        <v/>
      </c>
      <c r="Z258" s="3">
        <v>46148</v>
      </c>
      <c r="AA258" s="4">
        <v>250.94749999999999</v>
      </c>
      <c r="AB258" s="74">
        <v>46148</v>
      </c>
      <c r="AC258" s="4">
        <v>275.23200000000003</v>
      </c>
      <c r="AD258" s="6">
        <f t="shared" si="32"/>
        <v>46148</v>
      </c>
    </row>
    <row r="259" spans="1:30" x14ac:dyDescent="0.25">
      <c r="A259" s="37"/>
      <c r="B259" s="38"/>
      <c r="C259" s="2"/>
      <c r="D259" s="41"/>
      <c r="E259" s="38"/>
      <c r="F259" s="2"/>
      <c r="G259" s="41"/>
      <c r="H259" s="38"/>
      <c r="I259" s="39"/>
      <c r="J259" s="39"/>
      <c r="K259" s="41"/>
      <c r="L259" s="41"/>
      <c r="M259" s="42"/>
      <c r="U259" s="3" t="str">
        <f t="shared" si="30"/>
        <v/>
      </c>
      <c r="V259" s="3" t="str">
        <f t="shared" si="31"/>
        <v/>
      </c>
      <c r="Z259" s="3">
        <v>46149</v>
      </c>
      <c r="AA259" s="4">
        <v>250.63929999999999</v>
      </c>
      <c r="AB259" s="74">
        <v>46149</v>
      </c>
      <c r="AC259" s="4">
        <v>278.976</v>
      </c>
      <c r="AD259" s="6">
        <f t="shared" si="32"/>
        <v>46149</v>
      </c>
    </row>
    <row r="260" spans="1:30" x14ac:dyDescent="0.25">
      <c r="A260" s="37"/>
      <c r="B260" s="38"/>
      <c r="C260" s="2"/>
      <c r="D260" s="41"/>
      <c r="E260" s="38"/>
      <c r="F260" s="2"/>
      <c r="G260" s="41"/>
      <c r="H260" s="38"/>
      <c r="I260" s="39"/>
      <c r="J260" s="39"/>
      <c r="K260" s="41"/>
      <c r="L260" s="41"/>
      <c r="M260" s="42"/>
      <c r="U260" s="3" t="str">
        <f t="shared" ref="U260:U323" si="33">IF(COUNTIF(Q:Q,O260)*COUNTIF(S:S,O260),O260,"")</f>
        <v/>
      </c>
      <c r="V260" s="3" t="str">
        <f t="shared" ref="V260:V323" si="34">IF(U260&gt;$A$14,U260,"")</f>
        <v/>
      </c>
      <c r="Z260" s="3">
        <v>46150</v>
      </c>
      <c r="AA260" s="4">
        <v>250.6848</v>
      </c>
      <c r="AB260" s="74">
        <v>46150</v>
      </c>
      <c r="AC260" s="4">
        <v>277.91800000000001</v>
      </c>
      <c r="AD260" s="6">
        <f t="shared" ref="AD260:AD323" si="35">IF(COUNTIF(AB:AB,Z260),Z260,"")</f>
        <v>46150</v>
      </c>
    </row>
    <row r="261" spans="1:30" x14ac:dyDescent="0.25">
      <c r="A261" s="37"/>
      <c r="B261" s="38"/>
      <c r="C261" s="2"/>
      <c r="D261" s="41"/>
      <c r="E261" s="38"/>
      <c r="F261" s="2"/>
      <c r="G261" s="41"/>
      <c r="H261" s="38"/>
      <c r="I261" s="39"/>
      <c r="J261" s="39"/>
      <c r="K261" s="41"/>
      <c r="L261" s="41"/>
      <c r="M261" s="42"/>
      <c r="U261" s="3" t="str">
        <f t="shared" si="33"/>
        <v/>
      </c>
      <c r="V261" s="3" t="str">
        <f t="shared" si="34"/>
        <v/>
      </c>
      <c r="Z261" s="3">
        <v>46153</v>
      </c>
      <c r="AA261" s="4">
        <v>250.97389999999999</v>
      </c>
      <c r="AB261" s="74">
        <v>46153</v>
      </c>
      <c r="AC261" s="4">
        <v>276.47399999999999</v>
      </c>
      <c r="AD261" s="6">
        <f t="shared" si="35"/>
        <v>46153</v>
      </c>
    </row>
    <row r="262" spans="1:30" x14ac:dyDescent="0.25">
      <c r="A262" s="37"/>
      <c r="B262" s="38"/>
      <c r="C262" s="2"/>
      <c r="D262" s="41"/>
      <c r="E262" s="38"/>
      <c r="F262" s="2"/>
      <c r="G262" s="41"/>
      <c r="H262" s="38"/>
      <c r="I262" s="39"/>
      <c r="J262" s="39"/>
      <c r="K262" s="41"/>
      <c r="L262" s="41"/>
      <c r="M262" s="42"/>
      <c r="U262" s="3" t="str">
        <f t="shared" si="33"/>
        <v/>
      </c>
      <c r="V262" s="3" t="str">
        <f t="shared" si="34"/>
        <v/>
      </c>
      <c r="Z262" s="3">
        <v>46154</v>
      </c>
      <c r="AA262" s="4">
        <v>250.0761</v>
      </c>
      <c r="AB262" s="74">
        <v>46154</v>
      </c>
      <c r="AC262" s="4">
        <v>284.12599999999998</v>
      </c>
      <c r="AD262" s="6">
        <f t="shared" si="35"/>
        <v>46154</v>
      </c>
    </row>
    <row r="263" spans="1:30" x14ac:dyDescent="0.25">
      <c r="A263" s="37"/>
      <c r="B263" s="38"/>
      <c r="C263" s="2"/>
      <c r="D263" s="41"/>
      <c r="E263" s="38"/>
      <c r="F263" s="2"/>
      <c r="G263" s="41"/>
      <c r="H263" s="38"/>
      <c r="I263" s="39"/>
      <c r="J263" s="39"/>
      <c r="K263" s="41"/>
      <c r="L263" s="41"/>
      <c r="M263" s="42"/>
      <c r="U263" s="3" t="str">
        <f t="shared" si="33"/>
        <v/>
      </c>
      <c r="V263" s="3" t="str">
        <f t="shared" si="34"/>
        <v/>
      </c>
      <c r="Z263" s="3">
        <v>46155</v>
      </c>
      <c r="AA263" s="4">
        <v>250.61799999999999</v>
      </c>
      <c r="AB263" s="74">
        <v>46155</v>
      </c>
      <c r="AC263" s="4">
        <v>278.68400000000003</v>
      </c>
      <c r="AD263" s="6">
        <f t="shared" si="35"/>
        <v>46155</v>
      </c>
    </row>
    <row r="264" spans="1:30" x14ac:dyDescent="0.25">
      <c r="A264" s="37"/>
      <c r="B264" s="38"/>
      <c r="C264" s="2"/>
      <c r="D264" s="41"/>
      <c r="E264" s="38"/>
      <c r="F264" s="2"/>
      <c r="G264" s="41"/>
      <c r="H264" s="38"/>
      <c r="I264" s="39"/>
      <c r="J264" s="39"/>
      <c r="K264" s="41"/>
      <c r="L264" s="41"/>
      <c r="M264" s="42"/>
      <c r="U264" s="3" t="str">
        <f t="shared" si="33"/>
        <v/>
      </c>
      <c r="V264" s="3" t="str">
        <f t="shared" si="34"/>
        <v/>
      </c>
      <c r="Z264" s="3">
        <v>46156</v>
      </c>
      <c r="AA264" s="4">
        <v>251.22890000000001</v>
      </c>
      <c r="AB264" s="74">
        <v>46156</v>
      </c>
      <c r="AC264" s="4">
        <v>273.61</v>
      </c>
      <c r="AD264" s="6">
        <f t="shared" si="35"/>
        <v>46156</v>
      </c>
    </row>
    <row r="265" spans="1:30" x14ac:dyDescent="0.25">
      <c r="A265" s="37"/>
      <c r="B265" s="38"/>
      <c r="C265" s="2"/>
      <c r="D265" s="41"/>
      <c r="E265" s="38"/>
      <c r="F265" s="2"/>
      <c r="G265" s="41"/>
      <c r="H265" s="38"/>
      <c r="I265" s="39"/>
      <c r="J265" s="39"/>
      <c r="K265" s="41"/>
      <c r="L265" s="41"/>
      <c r="M265" s="42"/>
      <c r="U265" s="3" t="str">
        <f t="shared" si="33"/>
        <v/>
      </c>
      <c r="V265" s="3" t="str">
        <f t="shared" si="34"/>
        <v/>
      </c>
      <c r="Z265" s="3">
        <v>46157</v>
      </c>
      <c r="AA265" s="4">
        <v>250.38300000000001</v>
      </c>
      <c r="AB265" s="74">
        <v>46157</v>
      </c>
      <c r="AC265" s="4">
        <v>282.07</v>
      </c>
      <c r="AD265" s="6">
        <f t="shared" si="35"/>
        <v>46157</v>
      </c>
    </row>
    <row r="266" spans="1:30" x14ac:dyDescent="0.25">
      <c r="A266" s="37"/>
      <c r="B266" s="38"/>
      <c r="C266" s="2"/>
      <c r="D266" s="41"/>
      <c r="E266" s="38"/>
      <c r="F266" s="2"/>
      <c r="G266" s="41"/>
      <c r="H266" s="38"/>
      <c r="I266" s="39"/>
      <c r="J266" s="39"/>
      <c r="K266" s="41"/>
      <c r="L266" s="41"/>
      <c r="M266" s="42"/>
      <c r="U266" s="3" t="str">
        <f t="shared" si="33"/>
        <v/>
      </c>
      <c r="V266" s="3" t="str">
        <f t="shared" si="34"/>
        <v/>
      </c>
      <c r="Z266" s="3">
        <v>46160</v>
      </c>
      <c r="AA266" s="4">
        <v>250.5284</v>
      </c>
      <c r="AB266" s="74">
        <v>46160</v>
      </c>
      <c r="AC266" s="4">
        <v>280.35000000000002</v>
      </c>
      <c r="AD266" s="6">
        <f t="shared" si="35"/>
        <v>46160</v>
      </c>
    </row>
    <row r="267" spans="1:30" x14ac:dyDescent="0.25">
      <c r="A267" s="37"/>
      <c r="B267" s="38"/>
      <c r="C267" s="2"/>
      <c r="D267" s="41"/>
      <c r="E267" s="38"/>
      <c r="F267" s="2"/>
      <c r="G267" s="41"/>
      <c r="H267" s="38"/>
      <c r="I267" s="39"/>
      <c r="J267" s="39"/>
      <c r="K267" s="41"/>
      <c r="L267" s="41"/>
      <c r="M267" s="42"/>
      <c r="U267" s="3" t="str">
        <f t="shared" si="33"/>
        <v/>
      </c>
      <c r="V267" s="3" t="str">
        <f t="shared" si="34"/>
        <v/>
      </c>
      <c r="Z267" s="3">
        <v>46161</v>
      </c>
      <c r="AA267" s="4">
        <v>249.98050000000001</v>
      </c>
      <c r="AB267" s="74">
        <v>46161</v>
      </c>
      <c r="AC267" s="4">
        <v>285.892</v>
      </c>
      <c r="AD267" s="6">
        <f t="shared" si="35"/>
        <v>46161</v>
      </c>
    </row>
    <row r="268" spans="1:30" x14ac:dyDescent="0.25">
      <c r="A268" s="37"/>
      <c r="B268" s="38"/>
      <c r="C268" s="2"/>
      <c r="D268" s="41"/>
      <c r="E268" s="38"/>
      <c r="F268" s="2"/>
      <c r="G268" s="41"/>
      <c r="H268" s="38"/>
      <c r="I268" s="39"/>
      <c r="J268" s="39"/>
      <c r="K268" s="41"/>
      <c r="L268" s="41"/>
      <c r="M268" s="42"/>
      <c r="U268" s="3" t="str">
        <f t="shared" si="33"/>
        <v/>
      </c>
      <c r="V268" s="3" t="str">
        <f t="shared" si="34"/>
        <v/>
      </c>
      <c r="Z268" s="3">
        <v>46162</v>
      </c>
      <c r="AA268" s="4">
        <v>251.0129</v>
      </c>
      <c r="AB268" s="74">
        <v>46162</v>
      </c>
      <c r="AC268" s="4">
        <v>276.52</v>
      </c>
      <c r="AD268" s="6">
        <f t="shared" si="35"/>
        <v>46162</v>
      </c>
    </row>
    <row r="269" spans="1:30" x14ac:dyDescent="0.25">
      <c r="A269" s="37"/>
      <c r="B269" s="38"/>
      <c r="C269" s="2"/>
      <c r="D269" s="41"/>
      <c r="E269" s="38"/>
      <c r="F269" s="2"/>
      <c r="G269" s="41"/>
      <c r="H269" s="38"/>
      <c r="I269" s="39"/>
      <c r="J269" s="39"/>
      <c r="K269" s="41"/>
      <c r="L269" s="41"/>
      <c r="M269" s="42"/>
      <c r="U269" s="3" t="str">
        <f t="shared" si="33"/>
        <v/>
      </c>
      <c r="V269" s="3" t="str">
        <f t="shared" si="34"/>
        <v/>
      </c>
      <c r="Z269" s="3">
        <v>46163</v>
      </c>
      <c r="AA269" s="4">
        <v>250.6669</v>
      </c>
      <c r="AB269" s="74">
        <v>46163</v>
      </c>
      <c r="AC269" s="4">
        <v>279.66300000000001</v>
      </c>
      <c r="AD269" s="6">
        <f t="shared" si="35"/>
        <v>46163</v>
      </c>
    </row>
    <row r="270" spans="1:30" x14ac:dyDescent="0.25">
      <c r="A270" s="37"/>
      <c r="B270" s="38"/>
      <c r="C270" s="2"/>
      <c r="D270" s="41"/>
      <c r="E270" s="38"/>
      <c r="F270" s="2"/>
      <c r="G270" s="41"/>
      <c r="H270" s="38"/>
      <c r="I270" s="39"/>
      <c r="J270" s="39"/>
      <c r="K270" s="41"/>
      <c r="L270" s="41"/>
      <c r="M270" s="42"/>
      <c r="U270" s="3" t="str">
        <f t="shared" si="33"/>
        <v/>
      </c>
      <c r="V270" s="3" t="str">
        <f t="shared" si="34"/>
        <v/>
      </c>
      <c r="Z270" s="3">
        <v>46164</v>
      </c>
      <c r="AA270" s="4">
        <v>251.4649</v>
      </c>
      <c r="AB270" s="74">
        <v>46164</v>
      </c>
      <c r="AC270" s="4">
        <v>273.38799999999998</v>
      </c>
      <c r="AD270" s="6">
        <f t="shared" si="35"/>
        <v>46164</v>
      </c>
    </row>
    <row r="271" spans="1:30" x14ac:dyDescent="0.25">
      <c r="A271" s="37"/>
      <c r="B271" s="38"/>
      <c r="C271" s="2"/>
      <c r="D271" s="41"/>
      <c r="E271" s="38"/>
      <c r="F271" s="2"/>
      <c r="G271" s="41"/>
      <c r="H271" s="38"/>
      <c r="I271" s="39"/>
      <c r="J271" s="39"/>
      <c r="K271" s="41"/>
      <c r="L271" s="41"/>
      <c r="M271" s="42"/>
      <c r="U271" s="3" t="str">
        <f t="shared" si="33"/>
        <v/>
      </c>
      <c r="V271" s="3" t="str">
        <f t="shared" si="34"/>
        <v/>
      </c>
      <c r="Z271" s="3">
        <v>46168</v>
      </c>
      <c r="AA271" s="4">
        <v>252.1686</v>
      </c>
      <c r="AB271" s="74">
        <v>46168</v>
      </c>
      <c r="AC271" s="4">
        <v>269.02600000000001</v>
      </c>
      <c r="AD271" s="6">
        <f t="shared" si="35"/>
        <v>46168</v>
      </c>
    </row>
    <row r="272" spans="1:30" x14ac:dyDescent="0.25">
      <c r="A272" s="37"/>
      <c r="B272" s="38"/>
      <c r="C272" s="2"/>
      <c r="D272" s="41"/>
      <c r="E272" s="38"/>
      <c r="F272" s="2"/>
      <c r="G272" s="41"/>
      <c r="H272" s="38"/>
      <c r="I272" s="39"/>
      <c r="J272" s="39"/>
      <c r="K272" s="41"/>
      <c r="L272" s="41"/>
      <c r="M272" s="42"/>
      <c r="U272" s="3" t="str">
        <f t="shared" si="33"/>
        <v/>
      </c>
      <c r="V272" s="3" t="str">
        <f t="shared" si="34"/>
        <v/>
      </c>
      <c r="Z272" s="3">
        <v>46169</v>
      </c>
      <c r="AA272" s="4">
        <v>252.41059999999999</v>
      </c>
      <c r="AB272" s="74">
        <v>46169</v>
      </c>
      <c r="AC272" s="4">
        <v>267.50200000000001</v>
      </c>
      <c r="AD272" s="6">
        <f t="shared" si="35"/>
        <v>46169</v>
      </c>
    </row>
    <row r="273" spans="1:30" x14ac:dyDescent="0.25">
      <c r="A273" s="37"/>
      <c r="B273" s="38"/>
      <c r="C273" s="2"/>
      <c r="D273" s="41"/>
      <c r="E273" s="38"/>
      <c r="F273" s="2"/>
      <c r="G273" s="41"/>
      <c r="H273" s="38"/>
      <c r="I273" s="39"/>
      <c r="J273" s="39"/>
      <c r="K273" s="41"/>
      <c r="L273" s="41"/>
      <c r="M273" s="42"/>
      <c r="U273" s="3" t="str">
        <f t="shared" si="33"/>
        <v/>
      </c>
      <c r="V273" s="3" t="str">
        <f t="shared" si="34"/>
        <v/>
      </c>
      <c r="Z273" s="3">
        <v>46170</v>
      </c>
      <c r="AA273" s="4">
        <v>252.9316</v>
      </c>
      <c r="AB273" s="74">
        <v>46170</v>
      </c>
      <c r="AC273" s="4">
        <v>263.03699999999998</v>
      </c>
      <c r="AD273" s="6">
        <f t="shared" si="35"/>
        <v>46170</v>
      </c>
    </row>
    <row r="274" spans="1:30" x14ac:dyDescent="0.25">
      <c r="A274" s="37"/>
      <c r="B274" s="38"/>
      <c r="C274" s="2"/>
      <c r="D274" s="41"/>
      <c r="E274" s="38"/>
      <c r="F274" s="2"/>
      <c r="G274" s="41"/>
      <c r="H274" s="38"/>
      <c r="I274" s="39"/>
      <c r="J274" s="39"/>
      <c r="K274" s="41"/>
      <c r="L274" s="41"/>
      <c r="M274" s="42"/>
      <c r="U274" s="3" t="str">
        <f t="shared" si="33"/>
        <v/>
      </c>
      <c r="V274" s="3" t="str">
        <f t="shared" si="34"/>
        <v/>
      </c>
      <c r="Z274" s="3">
        <v>46171</v>
      </c>
      <c r="AA274" s="4">
        <v>253.4469</v>
      </c>
      <c r="AB274" s="74">
        <v>46171</v>
      </c>
      <c r="AC274" s="4">
        <v>258.964</v>
      </c>
      <c r="AD274" s="6">
        <f t="shared" si="35"/>
        <v>46171</v>
      </c>
    </row>
    <row r="275" spans="1:30" x14ac:dyDescent="0.25">
      <c r="A275" s="37"/>
      <c r="B275" s="38"/>
      <c r="C275" s="2"/>
      <c r="D275" s="41"/>
      <c r="E275" s="38"/>
      <c r="F275" s="2"/>
      <c r="G275" s="41"/>
      <c r="H275" s="38"/>
      <c r="I275" s="39"/>
      <c r="J275" s="39"/>
      <c r="K275" s="41"/>
      <c r="L275" s="41"/>
      <c r="M275" s="42"/>
      <c r="U275" s="3" t="str">
        <f t="shared" si="33"/>
        <v/>
      </c>
      <c r="V275" s="3" t="str">
        <f t="shared" si="34"/>
        <v/>
      </c>
      <c r="Z275" s="3">
        <v>46174</v>
      </c>
      <c r="AA275" s="4">
        <v>253.10400000000001</v>
      </c>
      <c r="AB275" s="74">
        <v>46174</v>
      </c>
      <c r="AC275" s="4">
        <v>262.60300000000001</v>
      </c>
      <c r="AD275" s="6">
        <f t="shared" si="35"/>
        <v>46174</v>
      </c>
    </row>
    <row r="276" spans="1:30" x14ac:dyDescent="0.25">
      <c r="A276" s="37"/>
      <c r="B276" s="38"/>
      <c r="C276" s="2"/>
      <c r="D276" s="41"/>
      <c r="E276" s="38"/>
      <c r="F276" s="2"/>
      <c r="G276" s="41"/>
      <c r="H276" s="38"/>
      <c r="I276" s="39"/>
      <c r="J276" s="39"/>
      <c r="K276" s="41"/>
      <c r="L276" s="41"/>
      <c r="M276" s="42"/>
      <c r="U276" s="3" t="str">
        <f t="shared" si="33"/>
        <v/>
      </c>
      <c r="V276" s="3" t="str">
        <f t="shared" si="34"/>
        <v/>
      </c>
      <c r="Z276" s="3">
        <v>46175</v>
      </c>
      <c r="AA276" s="4">
        <v>253.5762</v>
      </c>
      <c r="AB276" s="74">
        <v>46175</v>
      </c>
      <c r="AC276" s="4">
        <v>258.23399999999998</v>
      </c>
      <c r="AD276" s="6">
        <f t="shared" si="35"/>
        <v>46175</v>
      </c>
    </row>
    <row r="277" spans="1:30" x14ac:dyDescent="0.25">
      <c r="A277" s="37"/>
      <c r="B277" s="38"/>
      <c r="C277" s="2"/>
      <c r="D277" s="41"/>
      <c r="E277" s="38"/>
      <c r="F277" s="2"/>
      <c r="G277" s="41"/>
      <c r="H277" s="38"/>
      <c r="I277" s="39"/>
      <c r="J277" s="39"/>
      <c r="K277" s="41"/>
      <c r="L277" s="41"/>
      <c r="M277" s="42"/>
      <c r="U277" s="3" t="str">
        <f t="shared" si="33"/>
        <v/>
      </c>
      <c r="V277" s="3" t="str">
        <f t="shared" si="34"/>
        <v/>
      </c>
      <c r="Z277" s="3">
        <v>46176</v>
      </c>
      <c r="AA277" s="4">
        <v>253.11359999999999</v>
      </c>
      <c r="AB277" s="74">
        <v>46176</v>
      </c>
      <c r="AC277" s="4">
        <v>263.00799999999998</v>
      </c>
      <c r="AD277" s="6">
        <f t="shared" si="35"/>
        <v>46176</v>
      </c>
    </row>
    <row r="278" spans="1:30" x14ac:dyDescent="0.25">
      <c r="A278" s="37"/>
      <c r="B278" s="38"/>
      <c r="C278" s="2"/>
      <c r="D278" s="41"/>
      <c r="E278" s="38"/>
      <c r="F278" s="2"/>
      <c r="G278" s="41"/>
      <c r="H278" s="38"/>
      <c r="I278" s="39"/>
      <c r="J278" s="39"/>
      <c r="K278" s="41"/>
      <c r="L278" s="41"/>
      <c r="M278" s="42"/>
      <c r="U278" s="3" t="str">
        <f t="shared" si="33"/>
        <v/>
      </c>
      <c r="V278" s="3" t="str">
        <f t="shared" si="34"/>
        <v/>
      </c>
      <c r="Z278" s="3">
        <v>46177</v>
      </c>
      <c r="AA278" s="4">
        <v>253.3374</v>
      </c>
      <c r="AB278" s="74">
        <v>46177</v>
      </c>
      <c r="AC278" s="4">
        <v>260.78100000000001</v>
      </c>
      <c r="AD278" s="6">
        <f t="shared" si="35"/>
        <v>46177</v>
      </c>
    </row>
    <row r="279" spans="1:30" x14ac:dyDescent="0.25">
      <c r="A279" s="37"/>
      <c r="B279" s="38"/>
      <c r="C279" s="2"/>
      <c r="D279" s="41"/>
      <c r="E279" s="38"/>
      <c r="F279" s="2"/>
      <c r="G279" s="41"/>
      <c r="H279" s="38"/>
      <c r="I279" s="39"/>
      <c r="J279" s="39"/>
      <c r="K279" s="41"/>
      <c r="L279" s="41"/>
      <c r="M279" s="42"/>
      <c r="U279" s="3" t="str">
        <f t="shared" si="33"/>
        <v/>
      </c>
      <c r="V279" s="3" t="str">
        <f t="shared" si="34"/>
        <v/>
      </c>
      <c r="Z279" s="3">
        <v>46178</v>
      </c>
      <c r="AA279" s="4">
        <v>253.05930000000001</v>
      </c>
      <c r="AB279" s="74">
        <v>46178</v>
      </c>
      <c r="AC279" s="4">
        <v>263.12099999999998</v>
      </c>
      <c r="AD279" s="6">
        <f t="shared" si="35"/>
        <v>46178</v>
      </c>
    </row>
    <row r="280" spans="1:30" x14ac:dyDescent="0.25">
      <c r="A280" s="37"/>
      <c r="B280" s="38"/>
      <c r="C280" s="2"/>
      <c r="D280" s="41"/>
      <c r="E280" s="38"/>
      <c r="F280" s="2"/>
      <c r="G280" s="41"/>
      <c r="H280" s="38"/>
      <c r="I280" s="39"/>
      <c r="J280" s="39"/>
      <c r="K280" s="41"/>
      <c r="L280" s="41"/>
      <c r="M280" s="42"/>
      <c r="U280" s="3" t="str">
        <f t="shared" si="33"/>
        <v/>
      </c>
      <c r="V280" s="3" t="str">
        <f t="shared" si="34"/>
        <v/>
      </c>
      <c r="Z280" s="3">
        <v>46181</v>
      </c>
      <c r="AA280" s="4">
        <v>253.00890000000001</v>
      </c>
      <c r="AB280" s="74">
        <v>46181</v>
      </c>
      <c r="AC280" s="4">
        <v>264.17899999999997</v>
      </c>
      <c r="AD280" s="6">
        <f t="shared" si="35"/>
        <v>46181</v>
      </c>
    </row>
    <row r="281" spans="1:30" x14ac:dyDescent="0.25">
      <c r="A281" s="37"/>
      <c r="B281" s="38"/>
      <c r="C281" s="2"/>
      <c r="D281" s="41"/>
      <c r="E281" s="38"/>
      <c r="F281" s="2"/>
      <c r="G281" s="41"/>
      <c r="H281" s="38"/>
      <c r="I281" s="39"/>
      <c r="J281" s="39"/>
      <c r="K281" s="41"/>
      <c r="L281" s="41"/>
      <c r="M281" s="42"/>
      <c r="U281" s="3" t="str">
        <f t="shared" si="33"/>
        <v/>
      </c>
      <c r="V281" s="3" t="str">
        <f t="shared" si="34"/>
        <v/>
      </c>
      <c r="Z281" s="3">
        <v>46182</v>
      </c>
      <c r="AA281" s="4">
        <v>253.04320000000001</v>
      </c>
      <c r="AB281" s="74">
        <v>46182</v>
      </c>
      <c r="AC281" s="4">
        <v>264.78399999999999</v>
      </c>
      <c r="AD281" s="6">
        <f t="shared" si="35"/>
        <v>46182</v>
      </c>
    </row>
    <row r="282" spans="1:30" x14ac:dyDescent="0.25">
      <c r="A282" s="37"/>
      <c r="B282" s="38"/>
      <c r="C282" s="2"/>
      <c r="D282" s="41"/>
      <c r="E282" s="38"/>
      <c r="F282" s="2"/>
      <c r="G282" s="41"/>
      <c r="H282" s="38"/>
      <c r="I282" s="39"/>
      <c r="J282" s="39"/>
      <c r="K282" s="41"/>
      <c r="L282" s="41"/>
      <c r="M282" s="42"/>
      <c r="U282" s="3" t="str">
        <f t="shared" si="33"/>
        <v/>
      </c>
      <c r="V282" s="3" t="str">
        <f t="shared" si="34"/>
        <v/>
      </c>
      <c r="Z282" s="3">
        <v>46183</v>
      </c>
      <c r="AA282" s="4">
        <v>252.767</v>
      </c>
      <c r="AB282" s="74">
        <v>46183</v>
      </c>
      <c r="AC282" s="4">
        <v>266.137</v>
      </c>
      <c r="AD282" s="6">
        <f t="shared" si="35"/>
        <v>46183</v>
      </c>
    </row>
    <row r="283" spans="1:30" x14ac:dyDescent="0.25">
      <c r="A283" s="37"/>
      <c r="B283" s="38"/>
      <c r="C283" s="2"/>
      <c r="D283" s="41"/>
      <c r="E283" s="38"/>
      <c r="F283" s="2"/>
      <c r="G283" s="41"/>
      <c r="H283" s="38"/>
      <c r="I283" s="39"/>
      <c r="J283" s="39"/>
      <c r="K283" s="41"/>
      <c r="L283" s="41"/>
      <c r="M283" s="42"/>
      <c r="U283" s="3" t="str">
        <f t="shared" si="33"/>
        <v/>
      </c>
      <c r="V283" s="3" t="str">
        <f t="shared" si="34"/>
        <v/>
      </c>
      <c r="Z283" s="3">
        <v>46184</v>
      </c>
      <c r="AA283" s="4">
        <v>253.1474</v>
      </c>
      <c r="AB283" s="74">
        <v>46184</v>
      </c>
      <c r="AC283" s="4">
        <v>263.45299999999997</v>
      </c>
      <c r="AD283" s="6">
        <f t="shared" si="35"/>
        <v>46184</v>
      </c>
    </row>
    <row r="284" spans="1:30" x14ac:dyDescent="0.25">
      <c r="A284" s="37"/>
      <c r="B284" s="38"/>
      <c r="C284" s="2"/>
      <c r="D284" s="41"/>
      <c r="E284" s="38"/>
      <c r="F284" s="2"/>
      <c r="G284" s="41"/>
      <c r="H284" s="38"/>
      <c r="I284" s="39"/>
      <c r="J284" s="39"/>
      <c r="K284" s="41"/>
      <c r="L284" s="41"/>
      <c r="M284" s="42"/>
      <c r="U284" s="3" t="str">
        <f t="shared" si="33"/>
        <v/>
      </c>
      <c r="V284" s="3" t="str">
        <f t="shared" si="34"/>
        <v/>
      </c>
      <c r="Z284" s="3">
        <v>46185</v>
      </c>
      <c r="AA284" s="4">
        <v>254.38560000000001</v>
      </c>
      <c r="AB284" s="74">
        <v>46185</v>
      </c>
      <c r="AC284" s="4">
        <v>253.41399999999999</v>
      </c>
      <c r="AD284" s="6">
        <f t="shared" si="35"/>
        <v>46185</v>
      </c>
    </row>
    <row r="285" spans="1:30" x14ac:dyDescent="0.25">
      <c r="A285" s="37"/>
      <c r="B285" s="38"/>
      <c r="C285" s="2"/>
      <c r="D285" s="41"/>
      <c r="E285" s="38"/>
      <c r="F285" s="2"/>
      <c r="G285" s="41"/>
      <c r="H285" s="38"/>
      <c r="I285" s="39"/>
      <c r="J285" s="39"/>
      <c r="K285" s="41"/>
      <c r="L285" s="41"/>
      <c r="M285" s="42"/>
      <c r="U285" s="3" t="str">
        <f t="shared" si="33"/>
        <v/>
      </c>
      <c r="V285" s="3" t="str">
        <f t="shared" si="34"/>
        <v/>
      </c>
      <c r="Z285" s="3">
        <v>46188</v>
      </c>
      <c r="AA285" s="4">
        <v>255.0607</v>
      </c>
      <c r="AB285" s="74">
        <v>46188</v>
      </c>
      <c r="AC285" s="4">
        <v>247.93899999999999</v>
      </c>
      <c r="AD285" s="6">
        <f t="shared" si="35"/>
        <v>46188</v>
      </c>
    </row>
    <row r="286" spans="1:30" x14ac:dyDescent="0.25">
      <c r="A286" s="37"/>
      <c r="B286" s="38"/>
      <c r="C286" s="2"/>
      <c r="D286" s="41"/>
      <c r="E286" s="38"/>
      <c r="F286" s="2"/>
      <c r="G286" s="41"/>
      <c r="H286" s="38"/>
      <c r="I286" s="39"/>
      <c r="J286" s="39"/>
      <c r="K286" s="41"/>
      <c r="L286" s="41"/>
      <c r="M286" s="42"/>
      <c r="U286" s="3" t="str">
        <f t="shared" si="33"/>
        <v/>
      </c>
      <c r="V286" s="3" t="str">
        <f t="shared" si="34"/>
        <v/>
      </c>
      <c r="Z286" s="3">
        <v>46189</v>
      </c>
      <c r="AA286" s="4">
        <v>254.93340000000001</v>
      </c>
      <c r="AB286" s="74">
        <v>46189</v>
      </c>
      <c r="AC286" s="4">
        <v>249.708</v>
      </c>
      <c r="AD286" s="6">
        <f t="shared" si="35"/>
        <v>46189</v>
      </c>
    </row>
    <row r="287" spans="1:30" x14ac:dyDescent="0.25">
      <c r="A287" s="37"/>
      <c r="B287" s="38"/>
      <c r="C287" s="2"/>
      <c r="D287" s="41"/>
      <c r="E287" s="38"/>
      <c r="F287" s="2"/>
      <c r="G287" s="41"/>
      <c r="H287" s="38"/>
      <c r="I287" s="39"/>
      <c r="J287" s="39"/>
      <c r="K287" s="41"/>
      <c r="L287" s="41"/>
      <c r="M287" s="42"/>
      <c r="U287" s="3" t="str">
        <f t="shared" si="33"/>
        <v/>
      </c>
      <c r="V287" s="3" t="str">
        <f t="shared" si="34"/>
        <v/>
      </c>
      <c r="Z287" s="3">
        <v>46190</v>
      </c>
      <c r="AA287" s="4">
        <v>254.77209999999999</v>
      </c>
      <c r="AB287" s="74">
        <v>46190</v>
      </c>
      <c r="AC287" s="4">
        <v>251.36</v>
      </c>
      <c r="AD287" s="6">
        <f t="shared" si="35"/>
        <v>46190</v>
      </c>
    </row>
    <row r="288" spans="1:30" x14ac:dyDescent="0.25">
      <c r="A288" s="37"/>
      <c r="B288" s="38"/>
      <c r="C288" s="2"/>
      <c r="D288" s="41"/>
      <c r="E288" s="38"/>
      <c r="F288" s="2"/>
      <c r="G288" s="41"/>
      <c r="H288" s="38"/>
      <c r="I288" s="39"/>
      <c r="J288" s="39"/>
      <c r="K288" s="41"/>
      <c r="L288" s="41"/>
      <c r="M288" s="42"/>
      <c r="U288" s="3" t="str">
        <f t="shared" si="33"/>
        <v/>
      </c>
      <c r="V288" s="3" t="str">
        <f t="shared" si="34"/>
        <v/>
      </c>
      <c r="Z288" s="3">
        <v>46191</v>
      </c>
      <c r="AA288" s="4">
        <v>255.09270000000001</v>
      </c>
      <c r="AB288" s="74">
        <v>46191</v>
      </c>
      <c r="AC288" s="4">
        <v>248.715</v>
      </c>
      <c r="AD288" s="6">
        <f t="shared" si="35"/>
        <v>46191</v>
      </c>
    </row>
    <row r="289" spans="1:30" x14ac:dyDescent="0.25">
      <c r="A289" s="37"/>
      <c r="B289" s="38"/>
      <c r="C289" s="2"/>
      <c r="D289" s="41"/>
      <c r="E289" s="38"/>
      <c r="F289" s="2"/>
      <c r="G289" s="41"/>
      <c r="H289" s="38"/>
      <c r="I289" s="39"/>
      <c r="J289" s="39"/>
      <c r="K289" s="41"/>
      <c r="L289" s="41"/>
      <c r="M289" s="42"/>
      <c r="U289" s="3" t="str">
        <f t="shared" si="33"/>
        <v/>
      </c>
      <c r="V289" s="3" t="str">
        <f t="shared" si="34"/>
        <v/>
      </c>
      <c r="Z289" s="3">
        <v>46192</v>
      </c>
      <c r="AA289" s="4">
        <v>255.0326</v>
      </c>
      <c r="AB289" s="74">
        <v>46192</v>
      </c>
      <c r="AC289" s="4">
        <v>249.94499999999999</v>
      </c>
      <c r="AD289" s="6">
        <f t="shared" si="35"/>
        <v>46192</v>
      </c>
    </row>
    <row r="290" spans="1:30" x14ac:dyDescent="0.25">
      <c r="A290" s="37"/>
      <c r="B290" s="38"/>
      <c r="C290" s="2"/>
      <c r="D290" s="41"/>
      <c r="E290" s="38"/>
      <c r="F290" s="2"/>
      <c r="G290" s="41"/>
      <c r="H290" s="38"/>
      <c r="I290" s="39"/>
      <c r="J290" s="39"/>
      <c r="K290" s="41"/>
      <c r="L290" s="41"/>
      <c r="M290" s="42"/>
      <c r="U290" s="3" t="str">
        <f t="shared" si="33"/>
        <v/>
      </c>
      <c r="V290" s="3" t="str">
        <f t="shared" si="34"/>
        <v/>
      </c>
      <c r="Z290" s="3">
        <v>46195</v>
      </c>
      <c r="AA290" s="4">
        <v>255.42699999999999</v>
      </c>
      <c r="AB290" s="74">
        <v>46195</v>
      </c>
      <c r="AC290" s="4">
        <v>246.82499999999999</v>
      </c>
      <c r="AD290" s="6">
        <f t="shared" si="35"/>
        <v>46195</v>
      </c>
    </row>
    <row r="291" spans="1:30" x14ac:dyDescent="0.25">
      <c r="A291" s="37"/>
      <c r="B291" s="38"/>
      <c r="C291" s="2"/>
      <c r="D291" s="41"/>
      <c r="E291" s="38"/>
      <c r="F291" s="2"/>
      <c r="G291" s="41"/>
      <c r="H291" s="38"/>
      <c r="I291" s="39"/>
      <c r="J291" s="39"/>
      <c r="K291" s="41"/>
      <c r="L291" s="41"/>
      <c r="M291" s="42"/>
      <c r="U291" s="3" t="str">
        <f t="shared" si="33"/>
        <v/>
      </c>
      <c r="V291" s="3" t="str">
        <f t="shared" si="34"/>
        <v/>
      </c>
      <c r="Z291" s="3">
        <v>46196</v>
      </c>
      <c r="AA291" s="4">
        <v>255.2808</v>
      </c>
      <c r="AB291" s="74">
        <v>46196</v>
      </c>
      <c r="AC291" s="4">
        <v>248.11</v>
      </c>
      <c r="AD291" s="6">
        <f t="shared" si="35"/>
        <v>46196</v>
      </c>
    </row>
    <row r="292" spans="1:30" x14ac:dyDescent="0.25">
      <c r="A292" s="37"/>
      <c r="B292" s="38"/>
      <c r="C292" s="2"/>
      <c r="D292" s="41"/>
      <c r="E292" s="38"/>
      <c r="F292" s="2"/>
      <c r="G292" s="41"/>
      <c r="H292" s="38"/>
      <c r="I292" s="39"/>
      <c r="J292" s="39"/>
      <c r="K292" s="41"/>
      <c r="L292" s="41"/>
      <c r="M292" s="42"/>
      <c r="U292" s="3" t="str">
        <f t="shared" si="33"/>
        <v/>
      </c>
      <c r="V292" s="3" t="str">
        <f t="shared" si="34"/>
        <v/>
      </c>
      <c r="Z292" s="3">
        <v>46197</v>
      </c>
      <c r="AA292" s="4">
        <v>255.37479999999999</v>
      </c>
      <c r="AB292" s="74">
        <v>46197</v>
      </c>
      <c r="AC292" s="4">
        <v>247.75700000000001</v>
      </c>
      <c r="AD292" s="6">
        <f t="shared" si="35"/>
        <v>46197</v>
      </c>
    </row>
    <row r="293" spans="1:30" x14ac:dyDescent="0.25">
      <c r="A293" s="37"/>
      <c r="B293" s="38"/>
      <c r="C293" s="2"/>
      <c r="D293" s="41"/>
      <c r="E293" s="38"/>
      <c r="F293" s="2"/>
      <c r="G293" s="41"/>
      <c r="H293" s="38"/>
      <c r="I293" s="39"/>
      <c r="J293" s="39"/>
      <c r="K293" s="41"/>
      <c r="L293" s="41"/>
      <c r="M293" s="42"/>
      <c r="U293" s="3" t="str">
        <f t="shared" si="33"/>
        <v/>
      </c>
      <c r="V293" s="3" t="str">
        <f t="shared" si="34"/>
        <v/>
      </c>
      <c r="Z293" s="3">
        <v>46198</v>
      </c>
      <c r="AA293" s="4">
        <v>255.54130000000001</v>
      </c>
      <c r="AB293" s="74">
        <v>46198</v>
      </c>
      <c r="AC293" s="4">
        <v>247.30699999999999</v>
      </c>
      <c r="AD293" s="6">
        <f t="shared" si="35"/>
        <v>46198</v>
      </c>
    </row>
    <row r="294" spans="1:30" x14ac:dyDescent="0.25">
      <c r="A294" s="37"/>
      <c r="B294" s="38"/>
      <c r="C294" s="2"/>
      <c r="D294" s="41"/>
      <c r="E294" s="38"/>
      <c r="F294" s="2"/>
      <c r="G294" s="41"/>
      <c r="H294" s="38"/>
      <c r="I294" s="39"/>
      <c r="J294" s="39"/>
      <c r="K294" s="41"/>
      <c r="L294" s="41"/>
      <c r="M294" s="42"/>
      <c r="U294" s="3" t="str">
        <f t="shared" si="33"/>
        <v/>
      </c>
      <c r="V294" s="3" t="str">
        <f t="shared" si="34"/>
        <v/>
      </c>
      <c r="AB294" s="74">
        <v>46199</v>
      </c>
      <c r="AC294" s="4">
        <v>249.30799999999999</v>
      </c>
      <c r="AD294" s="6" t="str">
        <f t="shared" si="35"/>
        <v/>
      </c>
    </row>
    <row r="295" spans="1:30" x14ac:dyDescent="0.25">
      <c r="A295" s="37"/>
      <c r="B295" s="38"/>
      <c r="C295" s="2"/>
      <c r="D295" s="41"/>
      <c r="E295" s="38"/>
      <c r="F295" s="2"/>
      <c r="G295" s="41"/>
      <c r="H295" s="38"/>
      <c r="I295" s="39"/>
      <c r="J295" s="39"/>
      <c r="K295" s="41"/>
      <c r="L295" s="41"/>
      <c r="M295" s="42"/>
      <c r="U295" s="3" t="str">
        <f t="shared" si="33"/>
        <v/>
      </c>
      <c r="V295" s="3" t="str">
        <f t="shared" si="34"/>
        <v/>
      </c>
      <c r="AD295" s="6" t="str">
        <f t="shared" si="35"/>
        <v/>
      </c>
    </row>
    <row r="296" spans="1:30" x14ac:dyDescent="0.25">
      <c r="A296" s="37"/>
      <c r="B296" s="38"/>
      <c r="C296" s="2"/>
      <c r="D296" s="41"/>
      <c r="E296" s="38"/>
      <c r="F296" s="2"/>
      <c r="G296" s="41"/>
      <c r="H296" s="38"/>
      <c r="I296" s="39"/>
      <c r="J296" s="39"/>
      <c r="K296" s="41"/>
      <c r="L296" s="41"/>
      <c r="M296" s="42"/>
      <c r="U296" s="3" t="str">
        <f t="shared" si="33"/>
        <v/>
      </c>
      <c r="V296" s="3" t="str">
        <f t="shared" si="34"/>
        <v/>
      </c>
      <c r="AD296" s="6" t="str">
        <f t="shared" si="35"/>
        <v/>
      </c>
    </row>
    <row r="297" spans="1:30" x14ac:dyDescent="0.25">
      <c r="A297" s="37"/>
      <c r="B297" s="38"/>
      <c r="C297" s="2"/>
      <c r="D297" s="41"/>
      <c r="E297" s="38"/>
      <c r="F297" s="2"/>
      <c r="G297" s="41"/>
      <c r="H297" s="38"/>
      <c r="I297" s="39"/>
      <c r="J297" s="39"/>
      <c r="K297" s="41"/>
      <c r="L297" s="41"/>
      <c r="M297" s="42"/>
      <c r="U297" s="3" t="str">
        <f t="shared" si="33"/>
        <v/>
      </c>
      <c r="V297" s="3" t="str">
        <f t="shared" si="34"/>
        <v/>
      </c>
      <c r="AD297" s="6" t="str">
        <f t="shared" si="35"/>
        <v/>
      </c>
    </row>
    <row r="298" spans="1:30" x14ac:dyDescent="0.25">
      <c r="A298" s="37"/>
      <c r="B298" s="38"/>
      <c r="C298" s="2"/>
      <c r="D298" s="41"/>
      <c r="E298" s="38"/>
      <c r="F298" s="2"/>
      <c r="G298" s="41"/>
      <c r="H298" s="38"/>
      <c r="I298" s="39"/>
      <c r="J298" s="39"/>
      <c r="K298" s="41"/>
      <c r="L298" s="41"/>
      <c r="M298" s="42"/>
      <c r="U298" s="3" t="str">
        <f t="shared" si="33"/>
        <v/>
      </c>
      <c r="V298" s="3" t="str">
        <f t="shared" si="34"/>
        <v/>
      </c>
      <c r="AD298" s="6" t="str">
        <f t="shared" si="35"/>
        <v/>
      </c>
    </row>
    <row r="299" spans="1:30" x14ac:dyDescent="0.25">
      <c r="A299" s="37"/>
      <c r="B299" s="38"/>
      <c r="C299" s="2"/>
      <c r="D299" s="41"/>
      <c r="E299" s="38"/>
      <c r="F299" s="2"/>
      <c r="G299" s="41"/>
      <c r="H299" s="38"/>
      <c r="I299" s="39"/>
      <c r="J299" s="39"/>
      <c r="K299" s="41"/>
      <c r="L299" s="41"/>
      <c r="M299" s="42"/>
      <c r="U299" s="3" t="str">
        <f t="shared" si="33"/>
        <v/>
      </c>
      <c r="V299" s="3" t="str">
        <f t="shared" si="34"/>
        <v/>
      </c>
      <c r="AD299" s="6" t="str">
        <f t="shared" si="35"/>
        <v/>
      </c>
    </row>
    <row r="300" spans="1:30" x14ac:dyDescent="0.25">
      <c r="A300" s="37"/>
      <c r="B300" s="38"/>
      <c r="C300" s="2"/>
      <c r="D300" s="41"/>
      <c r="E300" s="38"/>
      <c r="F300" s="2"/>
      <c r="G300" s="41"/>
      <c r="H300" s="38"/>
      <c r="I300" s="39"/>
      <c r="J300" s="39"/>
      <c r="K300" s="41"/>
      <c r="L300" s="41"/>
      <c r="M300" s="42"/>
      <c r="U300" s="3" t="str">
        <f t="shared" si="33"/>
        <v/>
      </c>
      <c r="V300" s="3" t="str">
        <f t="shared" si="34"/>
        <v/>
      </c>
      <c r="AD300" s="6" t="str">
        <f t="shared" si="35"/>
        <v/>
      </c>
    </row>
    <row r="301" spans="1:30" x14ac:dyDescent="0.25">
      <c r="A301" s="37"/>
      <c r="B301" s="38"/>
      <c r="C301" s="2"/>
      <c r="D301" s="41"/>
      <c r="E301" s="38"/>
      <c r="F301" s="2"/>
      <c r="G301" s="41"/>
      <c r="H301" s="38"/>
      <c r="I301" s="39"/>
      <c r="J301" s="39"/>
      <c r="K301" s="41"/>
      <c r="L301" s="41"/>
      <c r="M301" s="42"/>
      <c r="U301" s="3" t="str">
        <f t="shared" si="33"/>
        <v/>
      </c>
      <c r="V301" s="3" t="str">
        <f t="shared" si="34"/>
        <v/>
      </c>
      <c r="AD301" s="6" t="str">
        <f t="shared" si="35"/>
        <v/>
      </c>
    </row>
    <row r="302" spans="1:30" x14ac:dyDescent="0.25">
      <c r="A302" s="37"/>
      <c r="B302" s="38"/>
      <c r="C302" s="2"/>
      <c r="D302" s="41"/>
      <c r="E302" s="38"/>
      <c r="F302" s="2"/>
      <c r="G302" s="41"/>
      <c r="H302" s="38"/>
      <c r="I302" s="39"/>
      <c r="J302" s="39"/>
      <c r="K302" s="41"/>
      <c r="L302" s="41"/>
      <c r="M302" s="42"/>
      <c r="U302" s="3" t="str">
        <f t="shared" si="33"/>
        <v/>
      </c>
      <c r="V302" s="3" t="str">
        <f t="shared" si="34"/>
        <v/>
      </c>
      <c r="AD302" s="6" t="str">
        <f t="shared" si="35"/>
        <v/>
      </c>
    </row>
    <row r="303" spans="1:30" x14ac:dyDescent="0.25">
      <c r="A303" s="37"/>
      <c r="B303" s="38"/>
      <c r="C303" s="2"/>
      <c r="D303" s="41"/>
      <c r="E303" s="38"/>
      <c r="F303" s="2"/>
      <c r="G303" s="41"/>
      <c r="H303" s="38"/>
      <c r="I303" s="39"/>
      <c r="J303" s="39"/>
      <c r="K303" s="41"/>
      <c r="L303" s="41"/>
      <c r="M303" s="42"/>
      <c r="U303" s="3" t="str">
        <f t="shared" si="33"/>
        <v/>
      </c>
      <c r="V303" s="3" t="str">
        <f t="shared" si="34"/>
        <v/>
      </c>
      <c r="AD303" s="6" t="str">
        <f t="shared" si="35"/>
        <v/>
      </c>
    </row>
    <row r="304" spans="1:30" x14ac:dyDescent="0.25">
      <c r="A304" s="37"/>
      <c r="B304" s="38"/>
      <c r="C304" s="2"/>
      <c r="D304" s="41"/>
      <c r="E304" s="38"/>
      <c r="F304" s="2"/>
      <c r="G304" s="41"/>
      <c r="H304" s="38"/>
      <c r="I304" s="39"/>
      <c r="J304" s="39"/>
      <c r="K304" s="41"/>
      <c r="L304" s="41"/>
      <c r="M304" s="42"/>
      <c r="U304" s="3" t="str">
        <f t="shared" si="33"/>
        <v/>
      </c>
      <c r="V304" s="3" t="str">
        <f t="shared" si="34"/>
        <v/>
      </c>
      <c r="AD304" s="6" t="str">
        <f t="shared" si="35"/>
        <v/>
      </c>
    </row>
    <row r="305" spans="1:30" x14ac:dyDescent="0.25">
      <c r="A305" s="37"/>
      <c r="B305" s="38"/>
      <c r="C305" s="2"/>
      <c r="D305" s="41"/>
      <c r="E305" s="38"/>
      <c r="F305" s="2"/>
      <c r="G305" s="41"/>
      <c r="H305" s="38"/>
      <c r="I305" s="39"/>
      <c r="J305" s="39"/>
      <c r="K305" s="41"/>
      <c r="L305" s="41"/>
      <c r="M305" s="42"/>
      <c r="U305" s="3" t="str">
        <f t="shared" si="33"/>
        <v/>
      </c>
      <c r="V305" s="3" t="str">
        <f t="shared" si="34"/>
        <v/>
      </c>
      <c r="AD305" s="6" t="str">
        <f t="shared" si="35"/>
        <v/>
      </c>
    </row>
    <row r="306" spans="1:30" x14ac:dyDescent="0.25">
      <c r="A306" s="37"/>
      <c r="B306" s="38"/>
      <c r="C306" s="2"/>
      <c r="D306" s="41"/>
      <c r="E306" s="38"/>
      <c r="F306" s="2"/>
      <c r="G306" s="41"/>
      <c r="H306" s="38"/>
      <c r="I306" s="39"/>
      <c r="J306" s="39"/>
      <c r="K306" s="41"/>
      <c r="L306" s="41"/>
      <c r="M306" s="42"/>
      <c r="U306" s="3" t="str">
        <f t="shared" si="33"/>
        <v/>
      </c>
      <c r="V306" s="3" t="str">
        <f t="shared" si="34"/>
        <v/>
      </c>
      <c r="AD306" s="6" t="str">
        <f t="shared" si="35"/>
        <v/>
      </c>
    </row>
    <row r="307" spans="1:30" x14ac:dyDescent="0.25">
      <c r="A307" s="37"/>
      <c r="B307" s="38"/>
      <c r="C307" s="2"/>
      <c r="D307" s="41"/>
      <c r="E307" s="38"/>
      <c r="F307" s="2"/>
      <c r="G307" s="41"/>
      <c r="H307" s="38"/>
      <c r="I307" s="39"/>
      <c r="J307" s="39"/>
      <c r="K307" s="41"/>
      <c r="L307" s="41"/>
      <c r="M307" s="42"/>
      <c r="U307" s="3" t="str">
        <f t="shared" si="33"/>
        <v/>
      </c>
      <c r="V307" s="3" t="str">
        <f t="shared" si="34"/>
        <v/>
      </c>
      <c r="AD307" s="6" t="str">
        <f t="shared" si="35"/>
        <v/>
      </c>
    </row>
    <row r="308" spans="1:30" x14ac:dyDescent="0.25">
      <c r="A308" s="37"/>
      <c r="B308" s="38"/>
      <c r="C308" s="2"/>
      <c r="D308" s="41"/>
      <c r="E308" s="38"/>
      <c r="F308" s="2"/>
      <c r="G308" s="41"/>
      <c r="H308" s="38"/>
      <c r="I308" s="39"/>
      <c r="J308" s="39"/>
      <c r="K308" s="41"/>
      <c r="L308" s="41"/>
      <c r="M308" s="42"/>
      <c r="U308" s="3" t="str">
        <f t="shared" si="33"/>
        <v/>
      </c>
      <c r="V308" s="3" t="str">
        <f t="shared" si="34"/>
        <v/>
      </c>
      <c r="AD308" s="6" t="str">
        <f t="shared" si="35"/>
        <v/>
      </c>
    </row>
    <row r="309" spans="1:30" x14ac:dyDescent="0.25">
      <c r="A309" s="37"/>
      <c r="B309" s="38"/>
      <c r="C309" s="2"/>
      <c r="D309" s="41"/>
      <c r="E309" s="38"/>
      <c r="F309" s="2"/>
      <c r="G309" s="41"/>
      <c r="H309" s="38"/>
      <c r="I309" s="39"/>
      <c r="J309" s="39"/>
      <c r="K309" s="41"/>
      <c r="L309" s="41"/>
      <c r="M309" s="42"/>
      <c r="U309" s="3" t="str">
        <f t="shared" si="33"/>
        <v/>
      </c>
      <c r="V309" s="3" t="str">
        <f t="shared" si="34"/>
        <v/>
      </c>
      <c r="AD309" s="6" t="str">
        <f t="shared" si="35"/>
        <v/>
      </c>
    </row>
    <row r="310" spans="1:30" x14ac:dyDescent="0.25">
      <c r="A310" s="37"/>
      <c r="B310" s="38"/>
      <c r="C310" s="2"/>
      <c r="D310" s="41"/>
      <c r="E310" s="38"/>
      <c r="F310" s="2"/>
      <c r="G310" s="41"/>
      <c r="H310" s="38"/>
      <c r="I310" s="39"/>
      <c r="J310" s="39"/>
      <c r="K310" s="41"/>
      <c r="L310" s="41"/>
      <c r="M310" s="42"/>
      <c r="U310" s="3" t="str">
        <f t="shared" si="33"/>
        <v/>
      </c>
      <c r="V310" s="3" t="str">
        <f t="shared" si="34"/>
        <v/>
      </c>
      <c r="AD310" s="6" t="str">
        <f t="shared" si="35"/>
        <v/>
      </c>
    </row>
    <row r="311" spans="1:30" x14ac:dyDescent="0.25">
      <c r="A311" s="37"/>
      <c r="B311" s="38"/>
      <c r="C311" s="2"/>
      <c r="D311" s="41"/>
      <c r="E311" s="38"/>
      <c r="F311" s="2"/>
      <c r="G311" s="41"/>
      <c r="H311" s="38"/>
      <c r="I311" s="39"/>
      <c r="J311" s="39"/>
      <c r="K311" s="41"/>
      <c r="L311" s="41"/>
      <c r="M311" s="42"/>
      <c r="U311" s="3" t="str">
        <f t="shared" si="33"/>
        <v/>
      </c>
      <c r="V311" s="3" t="str">
        <f t="shared" si="34"/>
        <v/>
      </c>
      <c r="AD311" s="6" t="str">
        <f t="shared" si="35"/>
        <v/>
      </c>
    </row>
    <row r="312" spans="1:30" x14ac:dyDescent="0.25">
      <c r="A312" s="37"/>
      <c r="B312" s="38"/>
      <c r="C312" s="2"/>
      <c r="D312" s="41"/>
      <c r="E312" s="38"/>
      <c r="F312" s="2"/>
      <c r="G312" s="41"/>
      <c r="H312" s="38"/>
      <c r="I312" s="39"/>
      <c r="J312" s="39"/>
      <c r="K312" s="41"/>
      <c r="L312" s="41"/>
      <c r="M312" s="42"/>
      <c r="U312" s="3" t="str">
        <f t="shared" si="33"/>
        <v/>
      </c>
      <c r="V312" s="3" t="str">
        <f t="shared" si="34"/>
        <v/>
      </c>
      <c r="AD312" s="6" t="str">
        <f t="shared" si="35"/>
        <v/>
      </c>
    </row>
    <row r="313" spans="1:30" x14ac:dyDescent="0.25">
      <c r="A313" s="37"/>
      <c r="B313" s="38"/>
      <c r="C313" s="2"/>
      <c r="D313" s="41"/>
      <c r="E313" s="38"/>
      <c r="F313" s="2"/>
      <c r="G313" s="41"/>
      <c r="H313" s="38"/>
      <c r="I313" s="39"/>
      <c r="J313" s="39"/>
      <c r="K313" s="41"/>
      <c r="L313" s="41"/>
      <c r="M313" s="42"/>
      <c r="U313" s="3" t="str">
        <f t="shared" si="33"/>
        <v/>
      </c>
      <c r="V313" s="3" t="str">
        <f t="shared" si="34"/>
        <v/>
      </c>
      <c r="AD313" s="6" t="str">
        <f t="shared" si="35"/>
        <v/>
      </c>
    </row>
    <row r="314" spans="1:30" x14ac:dyDescent="0.25">
      <c r="A314" s="37"/>
      <c r="B314" s="38"/>
      <c r="C314" s="2"/>
      <c r="D314" s="41"/>
      <c r="E314" s="38"/>
      <c r="F314" s="2"/>
      <c r="G314" s="41"/>
      <c r="H314" s="38"/>
      <c r="I314" s="39"/>
      <c r="J314" s="39"/>
      <c r="K314" s="41"/>
      <c r="L314" s="41"/>
      <c r="M314" s="42"/>
      <c r="U314" s="3" t="str">
        <f t="shared" si="33"/>
        <v/>
      </c>
      <c r="V314" s="3" t="str">
        <f t="shared" si="34"/>
        <v/>
      </c>
      <c r="AD314" s="6" t="str">
        <f t="shared" si="35"/>
        <v/>
      </c>
    </row>
    <row r="315" spans="1:30" x14ac:dyDescent="0.25">
      <c r="A315" s="37"/>
      <c r="B315" s="38"/>
      <c r="C315" s="2"/>
      <c r="D315" s="41"/>
      <c r="E315" s="38"/>
      <c r="F315" s="2"/>
      <c r="G315" s="41"/>
      <c r="H315" s="38"/>
      <c r="I315" s="39"/>
      <c r="J315" s="39"/>
      <c r="K315" s="41"/>
      <c r="L315" s="41"/>
      <c r="M315" s="42"/>
      <c r="U315" s="3" t="str">
        <f t="shared" si="33"/>
        <v/>
      </c>
      <c r="V315" s="3" t="str">
        <f t="shared" si="34"/>
        <v/>
      </c>
      <c r="AD315" s="6" t="str">
        <f t="shared" si="35"/>
        <v/>
      </c>
    </row>
    <row r="316" spans="1:30" x14ac:dyDescent="0.25">
      <c r="A316" s="37"/>
      <c r="B316" s="38"/>
      <c r="C316" s="2"/>
      <c r="D316" s="41"/>
      <c r="E316" s="38"/>
      <c r="F316" s="2"/>
      <c r="G316" s="41"/>
      <c r="H316" s="38"/>
      <c r="I316" s="39"/>
      <c r="J316" s="39"/>
      <c r="K316" s="41"/>
      <c r="L316" s="41"/>
      <c r="M316" s="42"/>
      <c r="U316" s="3" t="str">
        <f t="shared" si="33"/>
        <v/>
      </c>
      <c r="V316" s="3" t="str">
        <f t="shared" si="34"/>
        <v/>
      </c>
      <c r="AD316" s="6" t="str">
        <f t="shared" si="35"/>
        <v/>
      </c>
    </row>
    <row r="317" spans="1:30" x14ac:dyDescent="0.25">
      <c r="A317" s="37"/>
      <c r="B317" s="38"/>
      <c r="C317" s="2"/>
      <c r="D317" s="41"/>
      <c r="E317" s="38"/>
      <c r="F317" s="2"/>
      <c r="G317" s="41"/>
      <c r="H317" s="38"/>
      <c r="I317" s="39"/>
      <c r="J317" s="39"/>
      <c r="K317" s="41"/>
      <c r="L317" s="41"/>
      <c r="M317" s="42"/>
      <c r="U317" s="3" t="str">
        <f t="shared" si="33"/>
        <v/>
      </c>
      <c r="V317" s="3" t="str">
        <f t="shared" si="34"/>
        <v/>
      </c>
      <c r="AD317" s="6" t="str">
        <f t="shared" si="35"/>
        <v/>
      </c>
    </row>
    <row r="318" spans="1:30" x14ac:dyDescent="0.25">
      <c r="A318" s="37"/>
      <c r="B318" s="38"/>
      <c r="C318" s="2"/>
      <c r="D318" s="41"/>
      <c r="E318" s="38"/>
      <c r="F318" s="2"/>
      <c r="G318" s="41"/>
      <c r="H318" s="38"/>
      <c r="I318" s="39"/>
      <c r="J318" s="39"/>
      <c r="K318" s="41"/>
      <c r="L318" s="41"/>
      <c r="M318" s="42"/>
      <c r="U318" s="3" t="str">
        <f t="shared" si="33"/>
        <v/>
      </c>
      <c r="V318" s="3" t="str">
        <f t="shared" si="34"/>
        <v/>
      </c>
      <c r="AD318" s="6" t="str">
        <f t="shared" si="35"/>
        <v/>
      </c>
    </row>
    <row r="319" spans="1:30" x14ac:dyDescent="0.25">
      <c r="A319" s="37"/>
      <c r="B319" s="38"/>
      <c r="C319" s="2"/>
      <c r="D319" s="41"/>
      <c r="E319" s="38"/>
      <c r="F319" s="2"/>
      <c r="G319" s="41"/>
      <c r="H319" s="38"/>
      <c r="I319" s="39"/>
      <c r="J319" s="39"/>
      <c r="K319" s="41"/>
      <c r="L319" s="41"/>
      <c r="M319" s="42"/>
      <c r="U319" s="3" t="str">
        <f t="shared" si="33"/>
        <v/>
      </c>
      <c r="V319" s="3" t="str">
        <f t="shared" si="34"/>
        <v/>
      </c>
      <c r="AD319" s="6" t="str">
        <f t="shared" si="35"/>
        <v/>
      </c>
    </row>
    <row r="320" spans="1:30" x14ac:dyDescent="0.25">
      <c r="A320" s="37"/>
      <c r="B320" s="38"/>
      <c r="C320" s="2"/>
      <c r="D320" s="41"/>
      <c r="E320" s="38"/>
      <c r="F320" s="2"/>
      <c r="G320" s="41"/>
      <c r="H320" s="38"/>
      <c r="I320" s="39"/>
      <c r="J320" s="39"/>
      <c r="K320" s="41"/>
      <c r="L320" s="41"/>
      <c r="M320" s="42"/>
      <c r="U320" s="3" t="str">
        <f t="shared" si="33"/>
        <v/>
      </c>
      <c r="V320" s="3" t="str">
        <f t="shared" si="34"/>
        <v/>
      </c>
      <c r="AD320" s="6" t="str">
        <f t="shared" si="35"/>
        <v/>
      </c>
    </row>
    <row r="321" spans="1:30" x14ac:dyDescent="0.25">
      <c r="A321" s="37"/>
      <c r="B321" s="38"/>
      <c r="C321" s="2"/>
      <c r="D321" s="41"/>
      <c r="E321" s="38"/>
      <c r="F321" s="2"/>
      <c r="G321" s="41"/>
      <c r="H321" s="38"/>
      <c r="I321" s="39"/>
      <c r="J321" s="39"/>
      <c r="K321" s="41"/>
      <c r="L321" s="41"/>
      <c r="M321" s="42"/>
      <c r="U321" s="3" t="str">
        <f t="shared" si="33"/>
        <v/>
      </c>
      <c r="V321" s="3" t="str">
        <f t="shared" si="34"/>
        <v/>
      </c>
      <c r="AD321" s="6" t="str">
        <f t="shared" si="35"/>
        <v/>
      </c>
    </row>
    <row r="322" spans="1:30" x14ac:dyDescent="0.25">
      <c r="A322" s="37"/>
      <c r="B322" s="38"/>
      <c r="C322" s="2"/>
      <c r="D322" s="41"/>
      <c r="E322" s="38"/>
      <c r="F322" s="2"/>
      <c r="G322" s="41"/>
      <c r="H322" s="38"/>
      <c r="I322" s="39"/>
      <c r="J322" s="39"/>
      <c r="K322" s="41"/>
      <c r="L322" s="41"/>
      <c r="M322" s="42"/>
      <c r="U322" s="3" t="str">
        <f t="shared" si="33"/>
        <v/>
      </c>
      <c r="V322" s="3" t="str">
        <f t="shared" si="34"/>
        <v/>
      </c>
      <c r="AD322" s="6" t="str">
        <f t="shared" si="35"/>
        <v/>
      </c>
    </row>
    <row r="323" spans="1:30" x14ac:dyDescent="0.25">
      <c r="A323" s="37"/>
      <c r="B323" s="38"/>
      <c r="C323" s="2"/>
      <c r="D323" s="41"/>
      <c r="E323" s="38"/>
      <c r="F323" s="2"/>
      <c r="G323" s="41"/>
      <c r="H323" s="38"/>
      <c r="I323" s="39"/>
      <c r="J323" s="39"/>
      <c r="K323" s="41"/>
      <c r="L323" s="41"/>
      <c r="M323" s="42"/>
      <c r="U323" s="3" t="str">
        <f t="shared" si="33"/>
        <v/>
      </c>
      <c r="V323" s="3" t="str">
        <f t="shared" si="34"/>
        <v/>
      </c>
      <c r="AD323" s="6" t="str">
        <f t="shared" si="35"/>
        <v/>
      </c>
    </row>
    <row r="324" spans="1:30" x14ac:dyDescent="0.25">
      <c r="A324" s="37"/>
      <c r="B324" s="38"/>
      <c r="C324" s="2"/>
      <c r="D324" s="41"/>
      <c r="E324" s="38"/>
      <c r="F324" s="2"/>
      <c r="G324" s="41"/>
      <c r="H324" s="38"/>
      <c r="I324" s="39"/>
      <c r="J324" s="39"/>
      <c r="K324" s="41"/>
      <c r="L324" s="41"/>
      <c r="M324" s="42"/>
      <c r="U324" s="3" t="str">
        <f t="shared" ref="U324:U387" si="36">IF(COUNTIF(Q:Q,O324)*COUNTIF(S:S,O324),O324,"")</f>
        <v/>
      </c>
      <c r="V324" s="3" t="str">
        <f t="shared" ref="V324:V387" si="37">IF(U324&gt;$A$14,U324,"")</f>
        <v/>
      </c>
      <c r="AD324" s="6" t="str">
        <f t="shared" ref="AD324:AD387" si="38">IF(COUNTIF(AB:AB,Z324),Z324,"")</f>
        <v/>
      </c>
    </row>
    <row r="325" spans="1:30" x14ac:dyDescent="0.25">
      <c r="A325" s="37"/>
      <c r="B325" s="38"/>
      <c r="C325" s="2"/>
      <c r="D325" s="41"/>
      <c r="E325" s="38"/>
      <c r="F325" s="2"/>
      <c r="G325" s="41"/>
      <c r="H325" s="38"/>
      <c r="I325" s="39"/>
      <c r="J325" s="39"/>
      <c r="K325" s="41"/>
      <c r="L325" s="41"/>
      <c r="M325" s="42"/>
      <c r="U325" s="3" t="str">
        <f t="shared" si="36"/>
        <v/>
      </c>
      <c r="V325" s="3" t="str">
        <f t="shared" si="37"/>
        <v/>
      </c>
      <c r="AD325" s="6" t="str">
        <f t="shared" si="38"/>
        <v/>
      </c>
    </row>
    <row r="326" spans="1:30" x14ac:dyDescent="0.25">
      <c r="A326" s="37"/>
      <c r="B326" s="38"/>
      <c r="C326" s="2"/>
      <c r="D326" s="41"/>
      <c r="E326" s="38"/>
      <c r="F326" s="2"/>
      <c r="G326" s="41"/>
      <c r="H326" s="38"/>
      <c r="I326" s="39"/>
      <c r="J326" s="39"/>
      <c r="K326" s="41"/>
      <c r="L326" s="41"/>
      <c r="M326" s="42"/>
      <c r="U326" s="3" t="str">
        <f t="shared" si="36"/>
        <v/>
      </c>
      <c r="V326" s="3" t="str">
        <f t="shared" si="37"/>
        <v/>
      </c>
      <c r="AD326" s="6" t="str">
        <f t="shared" si="38"/>
        <v/>
      </c>
    </row>
    <row r="327" spans="1:30" x14ac:dyDescent="0.25">
      <c r="A327" s="37"/>
      <c r="B327" s="38"/>
      <c r="C327" s="2"/>
      <c r="D327" s="41"/>
      <c r="E327" s="38"/>
      <c r="F327" s="2"/>
      <c r="G327" s="41"/>
      <c r="H327" s="38"/>
      <c r="I327" s="39"/>
      <c r="J327" s="39"/>
      <c r="K327" s="41"/>
      <c r="L327" s="41"/>
      <c r="M327" s="42"/>
      <c r="U327" s="3" t="str">
        <f t="shared" si="36"/>
        <v/>
      </c>
      <c r="V327" s="3" t="str">
        <f t="shared" si="37"/>
        <v/>
      </c>
      <c r="AD327" s="6" t="str">
        <f t="shared" si="38"/>
        <v/>
      </c>
    </row>
    <row r="328" spans="1:30" x14ac:dyDescent="0.25">
      <c r="A328" s="37"/>
      <c r="B328" s="38"/>
      <c r="C328" s="2"/>
      <c r="D328" s="41"/>
      <c r="E328" s="38"/>
      <c r="F328" s="2"/>
      <c r="G328" s="41"/>
      <c r="H328" s="38"/>
      <c r="I328" s="39"/>
      <c r="J328" s="39"/>
      <c r="K328" s="41"/>
      <c r="L328" s="41"/>
      <c r="M328" s="42"/>
      <c r="U328" s="3" t="str">
        <f t="shared" si="36"/>
        <v/>
      </c>
      <c r="V328" s="3" t="str">
        <f t="shared" si="37"/>
        <v/>
      </c>
      <c r="AD328" s="6" t="str">
        <f t="shared" si="38"/>
        <v/>
      </c>
    </row>
    <row r="329" spans="1:30" x14ac:dyDescent="0.25">
      <c r="A329" s="37"/>
      <c r="B329" s="38"/>
      <c r="C329" s="2"/>
      <c r="D329" s="41"/>
      <c r="E329" s="38"/>
      <c r="F329" s="2"/>
      <c r="G329" s="41"/>
      <c r="H329" s="38"/>
      <c r="I329" s="39"/>
      <c r="J329" s="39"/>
      <c r="K329" s="41"/>
      <c r="L329" s="41"/>
      <c r="M329" s="42"/>
      <c r="U329" s="3" t="str">
        <f t="shared" si="36"/>
        <v/>
      </c>
      <c r="V329" s="3" t="str">
        <f t="shared" si="37"/>
        <v/>
      </c>
      <c r="AD329" s="6" t="str">
        <f t="shared" si="38"/>
        <v/>
      </c>
    </row>
    <row r="330" spans="1:30" x14ac:dyDescent="0.25">
      <c r="A330" s="37"/>
      <c r="B330" s="38"/>
      <c r="C330" s="2"/>
      <c r="D330" s="41"/>
      <c r="E330" s="38"/>
      <c r="F330" s="2"/>
      <c r="G330" s="41"/>
      <c r="H330" s="38"/>
      <c r="I330" s="39"/>
      <c r="J330" s="39"/>
      <c r="K330" s="41"/>
      <c r="L330" s="41"/>
      <c r="M330" s="42"/>
      <c r="U330" s="3" t="str">
        <f t="shared" si="36"/>
        <v/>
      </c>
      <c r="V330" s="3" t="str">
        <f t="shared" si="37"/>
        <v/>
      </c>
      <c r="AD330" s="6" t="str">
        <f t="shared" si="38"/>
        <v/>
      </c>
    </row>
    <row r="331" spans="1:30" x14ac:dyDescent="0.25">
      <c r="A331" s="37"/>
      <c r="B331" s="38"/>
      <c r="C331" s="2"/>
      <c r="D331" s="41"/>
      <c r="E331" s="38"/>
      <c r="F331" s="2"/>
      <c r="G331" s="41"/>
      <c r="H331" s="38"/>
      <c r="I331" s="39"/>
      <c r="J331" s="39"/>
      <c r="K331" s="41"/>
      <c r="L331" s="41"/>
      <c r="M331" s="42"/>
      <c r="U331" s="3" t="str">
        <f t="shared" si="36"/>
        <v/>
      </c>
      <c r="V331" s="3" t="str">
        <f t="shared" si="37"/>
        <v/>
      </c>
      <c r="AD331" s="6" t="str">
        <f t="shared" si="38"/>
        <v/>
      </c>
    </row>
    <row r="332" spans="1:30" x14ac:dyDescent="0.25">
      <c r="A332" s="37"/>
      <c r="B332" s="38"/>
      <c r="C332" s="2"/>
      <c r="D332" s="41"/>
      <c r="E332" s="38"/>
      <c r="F332" s="2"/>
      <c r="G332" s="41"/>
      <c r="H332" s="38"/>
      <c r="I332" s="39"/>
      <c r="J332" s="39"/>
      <c r="K332" s="41"/>
      <c r="L332" s="41"/>
      <c r="M332" s="42"/>
      <c r="U332" s="3" t="str">
        <f t="shared" si="36"/>
        <v/>
      </c>
      <c r="V332" s="3" t="str">
        <f t="shared" si="37"/>
        <v/>
      </c>
      <c r="AD332" s="6" t="str">
        <f t="shared" si="38"/>
        <v/>
      </c>
    </row>
    <row r="333" spans="1:30" x14ac:dyDescent="0.25">
      <c r="A333" s="37"/>
      <c r="B333" s="38"/>
      <c r="C333" s="2"/>
      <c r="D333" s="41"/>
      <c r="E333" s="38"/>
      <c r="F333" s="2"/>
      <c r="G333" s="41"/>
      <c r="H333" s="38"/>
      <c r="I333" s="39"/>
      <c r="J333" s="39"/>
      <c r="K333" s="41"/>
      <c r="L333" s="41"/>
      <c r="M333" s="42"/>
      <c r="U333" s="3" t="str">
        <f t="shared" si="36"/>
        <v/>
      </c>
      <c r="V333" s="3" t="str">
        <f t="shared" si="37"/>
        <v/>
      </c>
      <c r="AD333" s="6" t="str">
        <f t="shared" si="38"/>
        <v/>
      </c>
    </row>
    <row r="334" spans="1:30" x14ac:dyDescent="0.25">
      <c r="A334" s="37"/>
      <c r="B334" s="38"/>
      <c r="C334" s="2"/>
      <c r="D334" s="41"/>
      <c r="E334" s="38"/>
      <c r="F334" s="2"/>
      <c r="G334" s="41"/>
      <c r="H334" s="38"/>
      <c r="I334" s="39"/>
      <c r="J334" s="39"/>
      <c r="K334" s="41"/>
      <c r="L334" s="41"/>
      <c r="M334" s="42"/>
      <c r="U334" s="3" t="str">
        <f t="shared" si="36"/>
        <v/>
      </c>
      <c r="V334" s="3" t="str">
        <f t="shared" si="37"/>
        <v/>
      </c>
      <c r="AD334" s="6" t="str">
        <f t="shared" si="38"/>
        <v/>
      </c>
    </row>
    <row r="335" spans="1:30" x14ac:dyDescent="0.25">
      <c r="A335" s="37"/>
      <c r="B335" s="38"/>
      <c r="C335" s="2"/>
      <c r="D335" s="41"/>
      <c r="E335" s="38"/>
      <c r="F335" s="2"/>
      <c r="G335" s="41"/>
      <c r="H335" s="38"/>
      <c r="I335" s="39"/>
      <c r="J335" s="39"/>
      <c r="K335" s="41"/>
      <c r="L335" s="41"/>
      <c r="M335" s="42"/>
      <c r="U335" s="3" t="str">
        <f t="shared" si="36"/>
        <v/>
      </c>
      <c r="V335" s="3" t="str">
        <f t="shared" si="37"/>
        <v/>
      </c>
      <c r="AD335" s="6" t="str">
        <f t="shared" si="38"/>
        <v/>
      </c>
    </row>
    <row r="336" spans="1:30" x14ac:dyDescent="0.25">
      <c r="A336" s="37"/>
      <c r="B336" s="38"/>
      <c r="C336" s="2"/>
      <c r="D336" s="41"/>
      <c r="E336" s="38"/>
      <c r="F336" s="2"/>
      <c r="G336" s="41"/>
      <c r="H336" s="38"/>
      <c r="I336" s="39"/>
      <c r="J336" s="39"/>
      <c r="K336" s="41"/>
      <c r="L336" s="41"/>
      <c r="M336" s="42"/>
      <c r="U336" s="3" t="str">
        <f t="shared" si="36"/>
        <v/>
      </c>
      <c r="V336" s="3" t="str">
        <f t="shared" si="37"/>
        <v/>
      </c>
      <c r="AD336" s="6" t="str">
        <f t="shared" si="38"/>
        <v/>
      </c>
    </row>
    <row r="337" spans="1:30" x14ac:dyDescent="0.25">
      <c r="A337" s="37"/>
      <c r="B337" s="38"/>
      <c r="C337" s="2"/>
      <c r="D337" s="41"/>
      <c r="E337" s="38"/>
      <c r="F337" s="2"/>
      <c r="G337" s="41"/>
      <c r="H337" s="38"/>
      <c r="I337" s="39"/>
      <c r="J337" s="39"/>
      <c r="K337" s="41"/>
      <c r="L337" s="41"/>
      <c r="M337" s="42"/>
      <c r="U337" s="3" t="str">
        <f t="shared" si="36"/>
        <v/>
      </c>
      <c r="V337" s="3" t="str">
        <f t="shared" si="37"/>
        <v/>
      </c>
      <c r="AD337" s="6" t="str">
        <f t="shared" si="38"/>
        <v/>
      </c>
    </row>
    <row r="338" spans="1:30" x14ac:dyDescent="0.25">
      <c r="A338" s="37"/>
      <c r="B338" s="38"/>
      <c r="C338" s="2"/>
      <c r="D338" s="41"/>
      <c r="E338" s="38"/>
      <c r="F338" s="2"/>
      <c r="G338" s="41"/>
      <c r="H338" s="38"/>
      <c r="I338" s="39"/>
      <c r="J338" s="39"/>
      <c r="K338" s="41"/>
      <c r="L338" s="41"/>
      <c r="M338" s="42"/>
      <c r="U338" s="3" t="str">
        <f t="shared" si="36"/>
        <v/>
      </c>
      <c r="V338" s="3" t="str">
        <f t="shared" si="37"/>
        <v/>
      </c>
      <c r="AD338" s="6" t="str">
        <f t="shared" si="38"/>
        <v/>
      </c>
    </row>
    <row r="339" spans="1:30" x14ac:dyDescent="0.25">
      <c r="A339" s="37"/>
      <c r="B339" s="38"/>
      <c r="C339" s="2"/>
      <c r="D339" s="41"/>
      <c r="E339" s="38"/>
      <c r="F339" s="2"/>
      <c r="G339" s="41"/>
      <c r="H339" s="38"/>
      <c r="I339" s="39"/>
      <c r="J339" s="39"/>
      <c r="K339" s="41"/>
      <c r="L339" s="41"/>
      <c r="M339" s="42"/>
      <c r="U339" s="3" t="str">
        <f t="shared" si="36"/>
        <v/>
      </c>
      <c r="V339" s="3" t="str">
        <f t="shared" si="37"/>
        <v/>
      </c>
      <c r="AD339" s="6" t="str">
        <f t="shared" si="38"/>
        <v/>
      </c>
    </row>
    <row r="340" spans="1:30" x14ac:dyDescent="0.25">
      <c r="A340" s="37"/>
      <c r="B340" s="38"/>
      <c r="C340" s="2"/>
      <c r="D340" s="41"/>
      <c r="E340" s="38"/>
      <c r="F340" s="2"/>
      <c r="G340" s="41"/>
      <c r="H340" s="38"/>
      <c r="I340" s="39"/>
      <c r="J340" s="39"/>
      <c r="K340" s="41"/>
      <c r="L340" s="41"/>
      <c r="M340" s="42"/>
      <c r="U340" s="3" t="str">
        <f t="shared" si="36"/>
        <v/>
      </c>
      <c r="V340" s="3" t="str">
        <f t="shared" si="37"/>
        <v/>
      </c>
      <c r="AD340" s="6" t="str">
        <f t="shared" si="38"/>
        <v/>
      </c>
    </row>
    <row r="341" spans="1:30" x14ac:dyDescent="0.25">
      <c r="A341" s="37"/>
      <c r="B341" s="38"/>
      <c r="C341" s="2"/>
      <c r="D341" s="41"/>
      <c r="E341" s="38"/>
      <c r="F341" s="2"/>
      <c r="G341" s="41"/>
      <c r="H341" s="38"/>
      <c r="I341" s="39"/>
      <c r="J341" s="39"/>
      <c r="K341" s="41"/>
      <c r="L341" s="41"/>
      <c r="M341" s="42"/>
      <c r="U341" s="3" t="str">
        <f t="shared" si="36"/>
        <v/>
      </c>
      <c r="V341" s="3" t="str">
        <f t="shared" si="37"/>
        <v/>
      </c>
      <c r="AD341" s="6" t="str">
        <f t="shared" si="38"/>
        <v/>
      </c>
    </row>
    <row r="342" spans="1:30" x14ac:dyDescent="0.25">
      <c r="A342" s="37"/>
      <c r="B342" s="38"/>
      <c r="C342" s="2"/>
      <c r="D342" s="41"/>
      <c r="E342" s="38"/>
      <c r="F342" s="2"/>
      <c r="G342" s="41"/>
      <c r="H342" s="38"/>
      <c r="I342" s="39"/>
      <c r="J342" s="39"/>
      <c r="K342" s="41"/>
      <c r="L342" s="41"/>
      <c r="M342" s="42"/>
      <c r="U342" s="3" t="str">
        <f t="shared" si="36"/>
        <v/>
      </c>
      <c r="V342" s="3" t="str">
        <f t="shared" si="37"/>
        <v/>
      </c>
      <c r="AD342" s="6" t="str">
        <f t="shared" si="38"/>
        <v/>
      </c>
    </row>
    <row r="343" spans="1:30" x14ac:dyDescent="0.25">
      <c r="A343" s="37"/>
      <c r="B343" s="38"/>
      <c r="C343" s="2"/>
      <c r="D343" s="41"/>
      <c r="E343" s="38"/>
      <c r="F343" s="2"/>
      <c r="G343" s="41"/>
      <c r="H343" s="38"/>
      <c r="I343" s="39"/>
      <c r="J343" s="39"/>
      <c r="K343" s="41"/>
      <c r="L343" s="41"/>
      <c r="M343" s="42"/>
      <c r="U343" s="3" t="str">
        <f t="shared" si="36"/>
        <v/>
      </c>
      <c r="V343" s="3" t="str">
        <f t="shared" si="37"/>
        <v/>
      </c>
      <c r="AD343" s="6" t="str">
        <f t="shared" si="38"/>
        <v/>
      </c>
    </row>
    <row r="344" spans="1:30" x14ac:dyDescent="0.25">
      <c r="A344" s="37"/>
      <c r="B344" s="38"/>
      <c r="C344" s="2"/>
      <c r="D344" s="41"/>
      <c r="E344" s="38"/>
      <c r="F344" s="2"/>
      <c r="G344" s="41"/>
      <c r="H344" s="38"/>
      <c r="I344" s="39"/>
      <c r="J344" s="39"/>
      <c r="K344" s="41"/>
      <c r="L344" s="41"/>
      <c r="M344" s="42"/>
      <c r="U344" s="3" t="str">
        <f t="shared" si="36"/>
        <v/>
      </c>
      <c r="V344" s="3" t="str">
        <f t="shared" si="37"/>
        <v/>
      </c>
      <c r="AD344" s="6" t="str">
        <f t="shared" si="38"/>
        <v/>
      </c>
    </row>
    <row r="345" spans="1:30" x14ac:dyDescent="0.25">
      <c r="A345" s="37"/>
      <c r="B345" s="38"/>
      <c r="C345" s="2"/>
      <c r="D345" s="41"/>
      <c r="E345" s="38"/>
      <c r="F345" s="2"/>
      <c r="G345" s="41"/>
      <c r="H345" s="38"/>
      <c r="I345" s="39"/>
      <c r="J345" s="39"/>
      <c r="K345" s="41"/>
      <c r="L345" s="41"/>
      <c r="M345" s="42"/>
      <c r="U345" s="3" t="str">
        <f t="shared" si="36"/>
        <v/>
      </c>
      <c r="V345" s="3" t="str">
        <f t="shared" si="37"/>
        <v/>
      </c>
      <c r="AD345" s="6" t="str">
        <f t="shared" si="38"/>
        <v/>
      </c>
    </row>
    <row r="346" spans="1:30" x14ac:dyDescent="0.25">
      <c r="A346" s="37"/>
      <c r="B346" s="38"/>
      <c r="C346" s="2"/>
      <c r="D346" s="41"/>
      <c r="E346" s="38"/>
      <c r="F346" s="2"/>
      <c r="G346" s="41"/>
      <c r="H346" s="38"/>
      <c r="I346" s="39"/>
      <c r="J346" s="39"/>
      <c r="K346" s="41"/>
      <c r="L346" s="41"/>
      <c r="M346" s="42"/>
      <c r="U346" s="3" t="str">
        <f t="shared" si="36"/>
        <v/>
      </c>
      <c r="V346" s="3" t="str">
        <f t="shared" si="37"/>
        <v/>
      </c>
      <c r="AD346" s="6" t="str">
        <f t="shared" si="38"/>
        <v/>
      </c>
    </row>
    <row r="347" spans="1:30" x14ac:dyDescent="0.25">
      <c r="A347" s="37"/>
      <c r="B347" s="38"/>
      <c r="C347" s="2"/>
      <c r="D347" s="41"/>
      <c r="E347" s="38"/>
      <c r="F347" s="2"/>
      <c r="G347" s="41"/>
      <c r="H347" s="38"/>
      <c r="I347" s="39"/>
      <c r="J347" s="39"/>
      <c r="K347" s="41"/>
      <c r="L347" s="41"/>
      <c r="M347" s="42"/>
      <c r="U347" s="3" t="str">
        <f t="shared" si="36"/>
        <v/>
      </c>
      <c r="V347" s="3" t="str">
        <f t="shared" si="37"/>
        <v/>
      </c>
      <c r="AD347" s="6" t="str">
        <f t="shared" si="38"/>
        <v/>
      </c>
    </row>
    <row r="348" spans="1:30" x14ac:dyDescent="0.25">
      <c r="A348" s="37"/>
      <c r="B348" s="38"/>
      <c r="C348" s="2"/>
      <c r="D348" s="41"/>
      <c r="E348" s="38"/>
      <c r="F348" s="2"/>
      <c r="G348" s="41"/>
      <c r="H348" s="38"/>
      <c r="I348" s="39"/>
      <c r="J348" s="39"/>
      <c r="K348" s="41"/>
      <c r="L348" s="41"/>
      <c r="M348" s="42"/>
      <c r="U348" s="3" t="str">
        <f t="shared" si="36"/>
        <v/>
      </c>
      <c r="V348" s="3" t="str">
        <f t="shared" si="37"/>
        <v/>
      </c>
      <c r="AD348" s="6" t="str">
        <f t="shared" si="38"/>
        <v/>
      </c>
    </row>
    <row r="349" spans="1:30" x14ac:dyDescent="0.25">
      <c r="A349" s="37"/>
      <c r="B349" s="38"/>
      <c r="C349" s="2"/>
      <c r="D349" s="41"/>
      <c r="E349" s="38"/>
      <c r="F349" s="2"/>
      <c r="G349" s="41"/>
      <c r="H349" s="38"/>
      <c r="I349" s="39"/>
      <c r="J349" s="39"/>
      <c r="K349" s="41"/>
      <c r="L349" s="41"/>
      <c r="M349" s="42"/>
      <c r="U349" s="3" t="str">
        <f t="shared" si="36"/>
        <v/>
      </c>
      <c r="V349" s="3" t="str">
        <f t="shared" si="37"/>
        <v/>
      </c>
      <c r="AD349" s="6" t="str">
        <f t="shared" si="38"/>
        <v/>
      </c>
    </row>
    <row r="350" spans="1:30" x14ac:dyDescent="0.25">
      <c r="A350" s="37"/>
      <c r="B350" s="38"/>
      <c r="C350" s="2"/>
      <c r="D350" s="41"/>
      <c r="E350" s="38"/>
      <c r="F350" s="2"/>
      <c r="G350" s="41"/>
      <c r="H350" s="38"/>
      <c r="I350" s="39"/>
      <c r="J350" s="39"/>
      <c r="K350" s="41"/>
      <c r="L350" s="41"/>
      <c r="M350" s="42"/>
      <c r="U350" s="3" t="str">
        <f t="shared" si="36"/>
        <v/>
      </c>
      <c r="V350" s="3" t="str">
        <f t="shared" si="37"/>
        <v/>
      </c>
      <c r="AD350" s="6" t="str">
        <f t="shared" si="38"/>
        <v/>
      </c>
    </row>
    <row r="351" spans="1:30" x14ac:dyDescent="0.25">
      <c r="A351" s="37"/>
      <c r="B351" s="38"/>
      <c r="C351" s="2"/>
      <c r="D351" s="41"/>
      <c r="E351" s="38"/>
      <c r="F351" s="2"/>
      <c r="G351" s="41"/>
      <c r="H351" s="38"/>
      <c r="I351" s="39"/>
      <c r="J351" s="39"/>
      <c r="K351" s="41"/>
      <c r="L351" s="41"/>
      <c r="M351" s="42"/>
      <c r="U351" s="3" t="str">
        <f t="shared" si="36"/>
        <v/>
      </c>
      <c r="V351" s="3" t="str">
        <f t="shared" si="37"/>
        <v/>
      </c>
      <c r="AD351" s="6" t="str">
        <f t="shared" si="38"/>
        <v/>
      </c>
    </row>
    <row r="352" spans="1:30" x14ac:dyDescent="0.25">
      <c r="A352" s="37"/>
      <c r="B352" s="38"/>
      <c r="C352" s="2"/>
      <c r="D352" s="41"/>
      <c r="E352" s="38"/>
      <c r="F352" s="2"/>
      <c r="G352" s="41"/>
      <c r="H352" s="38"/>
      <c r="I352" s="39"/>
      <c r="J352" s="39"/>
      <c r="K352" s="41"/>
      <c r="L352" s="41"/>
      <c r="M352" s="42"/>
      <c r="U352" s="3" t="str">
        <f t="shared" si="36"/>
        <v/>
      </c>
      <c r="V352" s="3" t="str">
        <f t="shared" si="37"/>
        <v/>
      </c>
      <c r="AD352" s="6" t="str">
        <f t="shared" si="38"/>
        <v/>
      </c>
    </row>
    <row r="353" spans="1:30" x14ac:dyDescent="0.25">
      <c r="A353" s="37"/>
      <c r="B353" s="38"/>
      <c r="C353" s="2"/>
      <c r="D353" s="41"/>
      <c r="E353" s="38"/>
      <c r="F353" s="2"/>
      <c r="G353" s="41"/>
      <c r="H353" s="38"/>
      <c r="I353" s="39"/>
      <c r="J353" s="39"/>
      <c r="K353" s="41"/>
      <c r="L353" s="41"/>
      <c r="M353" s="42"/>
      <c r="U353" s="3" t="str">
        <f t="shared" si="36"/>
        <v/>
      </c>
      <c r="V353" s="3" t="str">
        <f t="shared" si="37"/>
        <v/>
      </c>
      <c r="AD353" s="6" t="str">
        <f t="shared" si="38"/>
        <v/>
      </c>
    </row>
    <row r="354" spans="1:30" x14ac:dyDescent="0.25">
      <c r="A354" s="37"/>
      <c r="B354" s="38"/>
      <c r="C354" s="2"/>
      <c r="D354" s="41"/>
      <c r="E354" s="38"/>
      <c r="F354" s="2"/>
      <c r="G354" s="41"/>
      <c r="H354" s="38"/>
      <c r="I354" s="39"/>
      <c r="J354" s="39"/>
      <c r="K354" s="41"/>
      <c r="L354" s="41"/>
      <c r="M354" s="42"/>
      <c r="U354" s="3" t="str">
        <f t="shared" si="36"/>
        <v/>
      </c>
      <c r="V354" s="3" t="str">
        <f t="shared" si="37"/>
        <v/>
      </c>
      <c r="AD354" s="6" t="str">
        <f t="shared" si="38"/>
        <v/>
      </c>
    </row>
    <row r="355" spans="1:30" x14ac:dyDescent="0.25">
      <c r="A355" s="37"/>
      <c r="B355" s="38"/>
      <c r="C355" s="2"/>
      <c r="D355" s="41"/>
      <c r="E355" s="38"/>
      <c r="F355" s="2"/>
      <c r="G355" s="41"/>
      <c r="H355" s="38"/>
      <c r="I355" s="39"/>
      <c r="J355" s="39"/>
      <c r="K355" s="41"/>
      <c r="L355" s="41"/>
      <c r="M355" s="42"/>
      <c r="U355" s="3" t="str">
        <f t="shared" si="36"/>
        <v/>
      </c>
      <c r="V355" s="3" t="str">
        <f t="shared" si="37"/>
        <v/>
      </c>
      <c r="AD355" s="6" t="str">
        <f t="shared" si="38"/>
        <v/>
      </c>
    </row>
    <row r="356" spans="1:30" x14ac:dyDescent="0.25">
      <c r="A356" s="37"/>
      <c r="B356" s="38"/>
      <c r="C356" s="2"/>
      <c r="D356" s="41"/>
      <c r="E356" s="38"/>
      <c r="F356" s="2"/>
      <c r="G356" s="41"/>
      <c r="H356" s="38"/>
      <c r="I356" s="39"/>
      <c r="J356" s="39"/>
      <c r="K356" s="41"/>
      <c r="L356" s="41"/>
      <c r="M356" s="42"/>
      <c r="U356" s="3" t="str">
        <f t="shared" si="36"/>
        <v/>
      </c>
      <c r="V356" s="3" t="str">
        <f t="shared" si="37"/>
        <v/>
      </c>
      <c r="AD356" s="6" t="str">
        <f t="shared" si="38"/>
        <v/>
      </c>
    </row>
    <row r="357" spans="1:30" x14ac:dyDescent="0.25">
      <c r="A357" s="37"/>
      <c r="B357" s="38"/>
      <c r="C357" s="2"/>
      <c r="D357" s="41"/>
      <c r="E357" s="38"/>
      <c r="F357" s="2"/>
      <c r="G357" s="41"/>
      <c r="H357" s="38"/>
      <c r="I357" s="39"/>
      <c r="J357" s="39"/>
      <c r="K357" s="41"/>
      <c r="L357" s="41"/>
      <c r="M357" s="42"/>
      <c r="U357" s="3" t="str">
        <f t="shared" si="36"/>
        <v/>
      </c>
      <c r="V357" s="3" t="str">
        <f t="shared" si="37"/>
        <v/>
      </c>
      <c r="AD357" s="6" t="str">
        <f t="shared" si="38"/>
        <v/>
      </c>
    </row>
    <row r="358" spans="1:30" x14ac:dyDescent="0.25">
      <c r="A358" s="37"/>
      <c r="B358" s="38"/>
      <c r="C358" s="2"/>
      <c r="D358" s="41"/>
      <c r="E358" s="38"/>
      <c r="F358" s="2"/>
      <c r="G358" s="41"/>
      <c r="H358" s="38"/>
      <c r="I358" s="39"/>
      <c r="J358" s="39"/>
      <c r="K358" s="41"/>
      <c r="L358" s="41"/>
      <c r="M358" s="42"/>
      <c r="U358" s="3" t="str">
        <f t="shared" si="36"/>
        <v/>
      </c>
      <c r="V358" s="3" t="str">
        <f t="shared" si="37"/>
        <v/>
      </c>
      <c r="AD358" s="6" t="str">
        <f t="shared" si="38"/>
        <v/>
      </c>
    </row>
    <row r="359" spans="1:30" x14ac:dyDescent="0.25">
      <c r="A359" s="37"/>
      <c r="B359" s="38"/>
      <c r="C359" s="2"/>
      <c r="D359" s="41"/>
      <c r="E359" s="38"/>
      <c r="F359" s="2"/>
      <c r="G359" s="41"/>
      <c r="H359" s="38"/>
      <c r="I359" s="39"/>
      <c r="J359" s="39"/>
      <c r="K359" s="41"/>
      <c r="L359" s="41"/>
      <c r="M359" s="42"/>
      <c r="U359" s="3" t="str">
        <f t="shared" si="36"/>
        <v/>
      </c>
      <c r="V359" s="3" t="str">
        <f t="shared" si="37"/>
        <v/>
      </c>
      <c r="AD359" s="6" t="str">
        <f t="shared" si="38"/>
        <v/>
      </c>
    </row>
    <row r="360" spans="1:30" x14ac:dyDescent="0.25">
      <c r="A360" s="37"/>
      <c r="B360" s="38"/>
      <c r="C360" s="2"/>
      <c r="D360" s="41"/>
      <c r="E360" s="38"/>
      <c r="F360" s="2"/>
      <c r="G360" s="41"/>
      <c r="H360" s="38"/>
      <c r="I360" s="39"/>
      <c r="J360" s="39"/>
      <c r="K360" s="41"/>
      <c r="L360" s="41"/>
      <c r="M360" s="42"/>
      <c r="U360" s="3" t="str">
        <f t="shared" si="36"/>
        <v/>
      </c>
      <c r="V360" s="3" t="str">
        <f t="shared" si="37"/>
        <v/>
      </c>
      <c r="AD360" s="6" t="str">
        <f t="shared" si="38"/>
        <v/>
      </c>
    </row>
    <row r="361" spans="1:30" x14ac:dyDescent="0.25">
      <c r="A361" s="37"/>
      <c r="B361" s="38"/>
      <c r="C361" s="2"/>
      <c r="D361" s="41"/>
      <c r="E361" s="38"/>
      <c r="F361" s="2"/>
      <c r="G361" s="41"/>
      <c r="H361" s="38"/>
      <c r="I361" s="39"/>
      <c r="J361" s="39"/>
      <c r="K361" s="41"/>
      <c r="L361" s="41"/>
      <c r="M361" s="42"/>
      <c r="U361" s="3" t="str">
        <f t="shared" si="36"/>
        <v/>
      </c>
      <c r="V361" s="3" t="str">
        <f t="shared" si="37"/>
        <v/>
      </c>
      <c r="AD361" s="6" t="str">
        <f t="shared" si="38"/>
        <v/>
      </c>
    </row>
    <row r="362" spans="1:30" x14ac:dyDescent="0.25">
      <c r="A362" s="37"/>
      <c r="B362" s="38"/>
      <c r="C362" s="2"/>
      <c r="D362" s="41"/>
      <c r="E362" s="38"/>
      <c r="F362" s="2"/>
      <c r="G362" s="41"/>
      <c r="H362" s="38"/>
      <c r="I362" s="39"/>
      <c r="J362" s="39"/>
      <c r="K362" s="41"/>
      <c r="L362" s="41"/>
      <c r="M362" s="42"/>
      <c r="U362" s="3" t="str">
        <f t="shared" si="36"/>
        <v/>
      </c>
      <c r="V362" s="3" t="str">
        <f t="shared" si="37"/>
        <v/>
      </c>
      <c r="AD362" s="6" t="str">
        <f t="shared" si="38"/>
        <v/>
      </c>
    </row>
    <row r="363" spans="1:30" x14ac:dyDescent="0.25">
      <c r="A363" s="37"/>
      <c r="B363" s="38"/>
      <c r="C363" s="2"/>
      <c r="D363" s="41"/>
      <c r="E363" s="38"/>
      <c r="F363" s="2"/>
      <c r="G363" s="41"/>
      <c r="H363" s="38"/>
      <c r="I363" s="39"/>
      <c r="J363" s="39"/>
      <c r="K363" s="41"/>
      <c r="L363" s="41"/>
      <c r="M363" s="42"/>
      <c r="U363" s="3" t="str">
        <f t="shared" si="36"/>
        <v/>
      </c>
      <c r="V363" s="3" t="str">
        <f t="shared" si="37"/>
        <v/>
      </c>
      <c r="AD363" s="6" t="str">
        <f t="shared" si="38"/>
        <v/>
      </c>
    </row>
    <row r="364" spans="1:30" x14ac:dyDescent="0.25">
      <c r="A364" s="37"/>
      <c r="B364" s="38"/>
      <c r="C364" s="2"/>
      <c r="D364" s="41"/>
      <c r="E364" s="38"/>
      <c r="F364" s="2"/>
      <c r="G364" s="41"/>
      <c r="H364" s="38"/>
      <c r="I364" s="39"/>
      <c r="J364" s="39"/>
      <c r="K364" s="41"/>
      <c r="L364" s="41"/>
      <c r="M364" s="42"/>
      <c r="U364" s="3" t="str">
        <f t="shared" si="36"/>
        <v/>
      </c>
      <c r="V364" s="3" t="str">
        <f t="shared" si="37"/>
        <v/>
      </c>
      <c r="AD364" s="6" t="str">
        <f t="shared" si="38"/>
        <v/>
      </c>
    </row>
    <row r="365" spans="1:30" x14ac:dyDescent="0.25">
      <c r="A365" s="37"/>
      <c r="B365" s="38"/>
      <c r="C365" s="2"/>
      <c r="D365" s="41"/>
      <c r="E365" s="38"/>
      <c r="F365" s="2"/>
      <c r="G365" s="41"/>
      <c r="H365" s="38"/>
      <c r="I365" s="39"/>
      <c r="J365" s="39"/>
      <c r="K365" s="41"/>
      <c r="L365" s="41"/>
      <c r="M365" s="42"/>
      <c r="U365" s="3" t="str">
        <f t="shared" si="36"/>
        <v/>
      </c>
      <c r="V365" s="3" t="str">
        <f t="shared" si="37"/>
        <v/>
      </c>
      <c r="AD365" s="6" t="str">
        <f t="shared" si="38"/>
        <v/>
      </c>
    </row>
    <row r="366" spans="1:30" x14ac:dyDescent="0.25">
      <c r="A366" s="37"/>
      <c r="B366" s="38"/>
      <c r="C366" s="2"/>
      <c r="D366" s="41"/>
      <c r="E366" s="38"/>
      <c r="F366" s="2"/>
      <c r="G366" s="41"/>
      <c r="H366" s="38"/>
      <c r="I366" s="39"/>
      <c r="J366" s="39"/>
      <c r="K366" s="41"/>
      <c r="L366" s="41"/>
      <c r="M366" s="42"/>
      <c r="U366" s="3" t="str">
        <f t="shared" si="36"/>
        <v/>
      </c>
      <c r="V366" s="3" t="str">
        <f t="shared" si="37"/>
        <v/>
      </c>
      <c r="AD366" s="6" t="str">
        <f t="shared" si="38"/>
        <v/>
      </c>
    </row>
    <row r="367" spans="1:30" x14ac:dyDescent="0.25">
      <c r="A367" s="37"/>
      <c r="B367" s="38"/>
      <c r="C367" s="2"/>
      <c r="D367" s="41"/>
      <c r="E367" s="38"/>
      <c r="F367" s="2"/>
      <c r="G367" s="41"/>
      <c r="H367" s="38"/>
      <c r="I367" s="39"/>
      <c r="J367" s="39"/>
      <c r="K367" s="41"/>
      <c r="L367" s="41"/>
      <c r="M367" s="42"/>
      <c r="U367" s="3" t="str">
        <f t="shared" si="36"/>
        <v/>
      </c>
      <c r="V367" s="3" t="str">
        <f t="shared" si="37"/>
        <v/>
      </c>
      <c r="AD367" s="6" t="str">
        <f t="shared" si="38"/>
        <v/>
      </c>
    </row>
    <row r="368" spans="1:30" x14ac:dyDescent="0.25">
      <c r="A368" s="37"/>
      <c r="B368" s="38"/>
      <c r="C368" s="2"/>
      <c r="D368" s="41"/>
      <c r="E368" s="38"/>
      <c r="F368" s="2"/>
      <c r="G368" s="41"/>
      <c r="H368" s="38"/>
      <c r="I368" s="39"/>
      <c r="J368" s="39"/>
      <c r="K368" s="41"/>
      <c r="L368" s="41"/>
      <c r="M368" s="42"/>
      <c r="U368" s="3" t="str">
        <f t="shared" si="36"/>
        <v/>
      </c>
      <c r="V368" s="3" t="str">
        <f t="shared" si="37"/>
        <v/>
      </c>
      <c r="AD368" s="6" t="str">
        <f t="shared" si="38"/>
        <v/>
      </c>
    </row>
    <row r="369" spans="1:30" x14ac:dyDescent="0.25">
      <c r="A369" s="37"/>
      <c r="B369" s="38"/>
      <c r="C369" s="2"/>
      <c r="D369" s="41"/>
      <c r="E369" s="38"/>
      <c r="F369" s="2"/>
      <c r="G369" s="41"/>
      <c r="H369" s="38"/>
      <c r="I369" s="39"/>
      <c r="J369" s="39"/>
      <c r="K369" s="41"/>
      <c r="L369" s="41"/>
      <c r="M369" s="42"/>
      <c r="U369" s="3" t="str">
        <f t="shared" si="36"/>
        <v/>
      </c>
      <c r="V369" s="3" t="str">
        <f t="shared" si="37"/>
        <v/>
      </c>
      <c r="AD369" s="6" t="str">
        <f t="shared" si="38"/>
        <v/>
      </c>
    </row>
    <row r="370" spans="1:30" x14ac:dyDescent="0.25">
      <c r="A370" s="37"/>
      <c r="B370" s="38"/>
      <c r="C370" s="2"/>
      <c r="D370" s="41"/>
      <c r="E370" s="38"/>
      <c r="F370" s="2"/>
      <c r="G370" s="41"/>
      <c r="H370" s="38"/>
      <c r="I370" s="39"/>
      <c r="J370" s="39"/>
      <c r="K370" s="41"/>
      <c r="L370" s="41"/>
      <c r="M370" s="42"/>
      <c r="U370" s="3" t="str">
        <f t="shared" si="36"/>
        <v/>
      </c>
      <c r="V370" s="3" t="str">
        <f t="shared" si="37"/>
        <v/>
      </c>
      <c r="AD370" s="6" t="str">
        <f t="shared" si="38"/>
        <v/>
      </c>
    </row>
    <row r="371" spans="1:30" x14ac:dyDescent="0.25">
      <c r="A371" s="37"/>
      <c r="B371" s="38"/>
      <c r="C371" s="2"/>
      <c r="D371" s="41"/>
      <c r="E371" s="38"/>
      <c r="F371" s="2"/>
      <c r="G371" s="41"/>
      <c r="H371" s="38"/>
      <c r="I371" s="39"/>
      <c r="J371" s="39"/>
      <c r="K371" s="41"/>
      <c r="L371" s="41"/>
      <c r="M371" s="42"/>
      <c r="U371" s="3" t="str">
        <f t="shared" si="36"/>
        <v/>
      </c>
      <c r="V371" s="3" t="str">
        <f t="shared" si="37"/>
        <v/>
      </c>
      <c r="AD371" s="6" t="str">
        <f t="shared" si="38"/>
        <v/>
      </c>
    </row>
    <row r="372" spans="1:30" x14ac:dyDescent="0.25">
      <c r="A372" s="37"/>
      <c r="B372" s="38"/>
      <c r="C372" s="2"/>
      <c r="D372" s="41"/>
      <c r="E372" s="38"/>
      <c r="F372" s="2"/>
      <c r="G372" s="41"/>
      <c r="H372" s="38"/>
      <c r="I372" s="39"/>
      <c r="J372" s="39"/>
      <c r="K372" s="41"/>
      <c r="L372" s="41"/>
      <c r="M372" s="42"/>
      <c r="U372" s="3" t="str">
        <f t="shared" si="36"/>
        <v/>
      </c>
      <c r="V372" s="3" t="str">
        <f t="shared" si="37"/>
        <v/>
      </c>
      <c r="AD372" s="6" t="str">
        <f t="shared" si="38"/>
        <v/>
      </c>
    </row>
    <row r="373" spans="1:30" x14ac:dyDescent="0.25">
      <c r="A373" s="37"/>
      <c r="B373" s="38"/>
      <c r="C373" s="2"/>
      <c r="D373" s="41"/>
      <c r="E373" s="38"/>
      <c r="F373" s="2"/>
      <c r="G373" s="41"/>
      <c r="H373" s="38"/>
      <c r="I373" s="39"/>
      <c r="J373" s="39"/>
      <c r="K373" s="41"/>
      <c r="L373" s="41"/>
      <c r="M373" s="42"/>
      <c r="U373" s="3" t="str">
        <f t="shared" si="36"/>
        <v/>
      </c>
      <c r="V373" s="3" t="str">
        <f t="shared" si="37"/>
        <v/>
      </c>
      <c r="AD373" s="6" t="str">
        <f t="shared" si="38"/>
        <v/>
      </c>
    </row>
    <row r="374" spans="1:30" x14ac:dyDescent="0.25">
      <c r="A374" s="37"/>
      <c r="B374" s="38"/>
      <c r="C374" s="2"/>
      <c r="D374" s="41"/>
      <c r="E374" s="38"/>
      <c r="F374" s="2"/>
      <c r="G374" s="41"/>
      <c r="H374" s="38"/>
      <c r="I374" s="39"/>
      <c r="J374" s="39"/>
      <c r="K374" s="41"/>
      <c r="L374" s="41"/>
      <c r="M374" s="42"/>
      <c r="U374" s="3" t="str">
        <f t="shared" si="36"/>
        <v/>
      </c>
      <c r="V374" s="3" t="str">
        <f t="shared" si="37"/>
        <v/>
      </c>
      <c r="AD374" s="6" t="str">
        <f t="shared" si="38"/>
        <v/>
      </c>
    </row>
    <row r="375" spans="1:30" x14ac:dyDescent="0.25">
      <c r="A375" s="37"/>
      <c r="B375" s="38"/>
      <c r="C375" s="2"/>
      <c r="D375" s="41"/>
      <c r="E375" s="38"/>
      <c r="F375" s="2"/>
      <c r="G375" s="41"/>
      <c r="H375" s="38"/>
      <c r="I375" s="39"/>
      <c r="J375" s="39"/>
      <c r="K375" s="41"/>
      <c r="L375" s="41"/>
      <c r="M375" s="42"/>
      <c r="U375" s="3" t="str">
        <f t="shared" si="36"/>
        <v/>
      </c>
      <c r="V375" s="3" t="str">
        <f t="shared" si="37"/>
        <v/>
      </c>
      <c r="AD375" s="6" t="str">
        <f t="shared" si="38"/>
        <v/>
      </c>
    </row>
    <row r="376" spans="1:30" x14ac:dyDescent="0.25">
      <c r="A376" s="37"/>
      <c r="B376" s="38"/>
      <c r="C376" s="2"/>
      <c r="D376" s="41"/>
      <c r="E376" s="38"/>
      <c r="F376" s="2"/>
      <c r="G376" s="41"/>
      <c r="H376" s="38"/>
      <c r="I376" s="39"/>
      <c r="J376" s="39"/>
      <c r="K376" s="41"/>
      <c r="L376" s="41"/>
      <c r="M376" s="42"/>
      <c r="U376" s="3" t="str">
        <f t="shared" si="36"/>
        <v/>
      </c>
      <c r="V376" s="3" t="str">
        <f t="shared" si="37"/>
        <v/>
      </c>
      <c r="AD376" s="6" t="str">
        <f t="shared" si="38"/>
        <v/>
      </c>
    </row>
    <row r="377" spans="1:30" x14ac:dyDescent="0.25">
      <c r="A377" s="37"/>
      <c r="B377" s="38"/>
      <c r="C377" s="2"/>
      <c r="D377" s="41"/>
      <c r="E377" s="38"/>
      <c r="F377" s="2"/>
      <c r="G377" s="41"/>
      <c r="H377" s="38"/>
      <c r="I377" s="39"/>
      <c r="J377" s="39"/>
      <c r="K377" s="41"/>
      <c r="L377" s="41"/>
      <c r="M377" s="42"/>
      <c r="U377" s="3" t="str">
        <f t="shared" si="36"/>
        <v/>
      </c>
      <c r="V377" s="3" t="str">
        <f t="shared" si="37"/>
        <v/>
      </c>
      <c r="AD377" s="6" t="str">
        <f t="shared" si="38"/>
        <v/>
      </c>
    </row>
    <row r="378" spans="1:30" x14ac:dyDescent="0.25">
      <c r="A378" s="37"/>
      <c r="B378" s="38"/>
      <c r="C378" s="2"/>
      <c r="D378" s="41"/>
      <c r="E378" s="38"/>
      <c r="F378" s="2"/>
      <c r="G378" s="41"/>
      <c r="H378" s="38"/>
      <c r="I378" s="39"/>
      <c r="J378" s="39"/>
      <c r="K378" s="41"/>
      <c r="L378" s="41"/>
      <c r="M378" s="42"/>
      <c r="U378" s="3" t="str">
        <f t="shared" si="36"/>
        <v/>
      </c>
      <c r="V378" s="3" t="str">
        <f t="shared" si="37"/>
        <v/>
      </c>
      <c r="AD378" s="6" t="str">
        <f t="shared" si="38"/>
        <v/>
      </c>
    </row>
    <row r="379" spans="1:30" x14ac:dyDescent="0.25">
      <c r="A379" s="37"/>
      <c r="B379" s="38"/>
      <c r="C379" s="2"/>
      <c r="D379" s="41"/>
      <c r="E379" s="38"/>
      <c r="F379" s="2"/>
      <c r="G379" s="41"/>
      <c r="H379" s="38"/>
      <c r="I379" s="39"/>
      <c r="J379" s="39"/>
      <c r="K379" s="41"/>
      <c r="L379" s="41"/>
      <c r="M379" s="42"/>
      <c r="U379" s="3" t="str">
        <f t="shared" si="36"/>
        <v/>
      </c>
      <c r="V379" s="3" t="str">
        <f t="shared" si="37"/>
        <v/>
      </c>
      <c r="AD379" s="6" t="str">
        <f t="shared" si="38"/>
        <v/>
      </c>
    </row>
    <row r="380" spans="1:30" x14ac:dyDescent="0.25">
      <c r="A380" s="37"/>
      <c r="B380" s="38"/>
      <c r="C380" s="2"/>
      <c r="D380" s="41"/>
      <c r="E380" s="38"/>
      <c r="F380" s="2"/>
      <c r="G380" s="41"/>
      <c r="H380" s="38"/>
      <c r="I380" s="39"/>
      <c r="J380" s="39"/>
      <c r="K380" s="41"/>
      <c r="L380" s="41"/>
      <c r="M380" s="42"/>
      <c r="U380" s="3" t="str">
        <f t="shared" si="36"/>
        <v/>
      </c>
      <c r="V380" s="3" t="str">
        <f t="shared" si="37"/>
        <v/>
      </c>
      <c r="AD380" s="6" t="str">
        <f t="shared" si="38"/>
        <v/>
      </c>
    </row>
    <row r="381" spans="1:30" x14ac:dyDescent="0.25">
      <c r="A381" s="37"/>
      <c r="B381" s="38"/>
      <c r="C381" s="2"/>
      <c r="D381" s="41"/>
      <c r="E381" s="38"/>
      <c r="F381" s="2"/>
      <c r="G381" s="41"/>
      <c r="H381" s="38"/>
      <c r="I381" s="39"/>
      <c r="J381" s="39"/>
      <c r="K381" s="41"/>
      <c r="L381" s="41"/>
      <c r="M381" s="42"/>
      <c r="U381" s="3" t="str">
        <f t="shared" si="36"/>
        <v/>
      </c>
      <c r="V381" s="3" t="str">
        <f t="shared" si="37"/>
        <v/>
      </c>
      <c r="AD381" s="6" t="str">
        <f t="shared" si="38"/>
        <v/>
      </c>
    </row>
    <row r="382" spans="1:30" x14ac:dyDescent="0.25">
      <c r="A382" s="37"/>
      <c r="B382" s="38"/>
      <c r="C382" s="2"/>
      <c r="D382" s="41"/>
      <c r="E382" s="38"/>
      <c r="F382" s="2"/>
      <c r="G382" s="41"/>
      <c r="H382" s="38"/>
      <c r="I382" s="39"/>
      <c r="J382" s="39"/>
      <c r="K382" s="41"/>
      <c r="L382" s="41"/>
      <c r="M382" s="42"/>
      <c r="U382" s="3" t="str">
        <f t="shared" si="36"/>
        <v/>
      </c>
      <c r="V382" s="3" t="str">
        <f t="shared" si="37"/>
        <v/>
      </c>
      <c r="AD382" s="6" t="str">
        <f t="shared" si="38"/>
        <v/>
      </c>
    </row>
    <row r="383" spans="1:30" x14ac:dyDescent="0.25">
      <c r="A383" s="37"/>
      <c r="B383" s="38"/>
      <c r="C383" s="2"/>
      <c r="D383" s="41"/>
      <c r="E383" s="38"/>
      <c r="F383" s="2"/>
      <c r="G383" s="41"/>
      <c r="H383" s="38"/>
      <c r="I383" s="39"/>
      <c r="J383" s="39"/>
      <c r="K383" s="41"/>
      <c r="L383" s="41"/>
      <c r="M383" s="42"/>
      <c r="U383" s="3" t="str">
        <f t="shared" si="36"/>
        <v/>
      </c>
      <c r="V383" s="3" t="str">
        <f t="shared" si="37"/>
        <v/>
      </c>
      <c r="AD383" s="6" t="str">
        <f t="shared" si="38"/>
        <v/>
      </c>
    </row>
    <row r="384" spans="1:30" x14ac:dyDescent="0.25">
      <c r="A384" s="37"/>
      <c r="B384" s="38"/>
      <c r="C384" s="2"/>
      <c r="D384" s="41"/>
      <c r="E384" s="38"/>
      <c r="F384" s="2"/>
      <c r="G384" s="41"/>
      <c r="H384" s="38"/>
      <c r="I384" s="39"/>
      <c r="J384" s="39"/>
      <c r="K384" s="41"/>
      <c r="L384" s="41"/>
      <c r="M384" s="42"/>
      <c r="U384" s="3" t="str">
        <f t="shared" si="36"/>
        <v/>
      </c>
      <c r="V384" s="3" t="str">
        <f t="shared" si="37"/>
        <v/>
      </c>
      <c r="AD384" s="6" t="str">
        <f t="shared" si="38"/>
        <v/>
      </c>
    </row>
    <row r="385" spans="1:30" x14ac:dyDescent="0.25">
      <c r="A385" s="37"/>
      <c r="B385" s="38"/>
      <c r="C385" s="2"/>
      <c r="D385" s="41"/>
      <c r="E385" s="38"/>
      <c r="F385" s="2"/>
      <c r="G385" s="41"/>
      <c r="H385" s="38"/>
      <c r="I385" s="39"/>
      <c r="J385" s="39"/>
      <c r="K385" s="41"/>
      <c r="L385" s="41"/>
      <c r="M385" s="42"/>
      <c r="U385" s="3" t="str">
        <f t="shared" si="36"/>
        <v/>
      </c>
      <c r="V385" s="3" t="str">
        <f t="shared" si="37"/>
        <v/>
      </c>
      <c r="AD385" s="6" t="str">
        <f t="shared" si="38"/>
        <v/>
      </c>
    </row>
    <row r="386" spans="1:30" x14ac:dyDescent="0.25">
      <c r="A386" s="37"/>
      <c r="B386" s="38"/>
      <c r="C386" s="2"/>
      <c r="D386" s="41"/>
      <c r="E386" s="38"/>
      <c r="F386" s="2"/>
      <c r="G386" s="41"/>
      <c r="H386" s="38"/>
      <c r="I386" s="39"/>
      <c r="J386" s="39"/>
      <c r="K386" s="41"/>
      <c r="L386" s="41"/>
      <c r="M386" s="42"/>
      <c r="U386" s="3" t="str">
        <f t="shared" si="36"/>
        <v/>
      </c>
      <c r="V386" s="3" t="str">
        <f t="shared" si="37"/>
        <v/>
      </c>
      <c r="AD386" s="6" t="str">
        <f t="shared" si="38"/>
        <v/>
      </c>
    </row>
    <row r="387" spans="1:30" x14ac:dyDescent="0.25">
      <c r="A387" s="37"/>
      <c r="B387" s="38"/>
      <c r="C387" s="2"/>
      <c r="D387" s="41"/>
      <c r="E387" s="38"/>
      <c r="F387" s="2"/>
      <c r="G387" s="41"/>
      <c r="H387" s="38"/>
      <c r="I387" s="39"/>
      <c r="J387" s="39"/>
      <c r="K387" s="41"/>
      <c r="L387" s="41"/>
      <c r="M387" s="42"/>
      <c r="U387" s="3" t="str">
        <f t="shared" si="36"/>
        <v/>
      </c>
      <c r="V387" s="3" t="str">
        <f t="shared" si="37"/>
        <v/>
      </c>
      <c r="AD387" s="6" t="str">
        <f t="shared" si="38"/>
        <v/>
      </c>
    </row>
    <row r="388" spans="1:30" x14ac:dyDescent="0.25">
      <c r="A388" s="37"/>
      <c r="B388" s="38"/>
      <c r="C388" s="2"/>
      <c r="D388" s="41"/>
      <c r="E388" s="38"/>
      <c r="F388" s="2"/>
      <c r="G388" s="41"/>
      <c r="H388" s="38"/>
      <c r="I388" s="39"/>
      <c r="J388" s="39"/>
      <c r="K388" s="41"/>
      <c r="L388" s="41"/>
      <c r="M388" s="42"/>
      <c r="U388" s="3" t="str">
        <f t="shared" ref="U388:U451" si="39">IF(COUNTIF(Q:Q,O388)*COUNTIF(S:S,O388),O388,"")</f>
        <v/>
      </c>
      <c r="V388" s="3" t="str">
        <f t="shared" ref="V388:V451" si="40">IF(U388&gt;$A$14,U388,"")</f>
        <v/>
      </c>
      <c r="AD388" s="6" t="str">
        <f t="shared" ref="AD388:AD421" si="41">IF(COUNTIF(AB:AB,Z388),Z388,"")</f>
        <v/>
      </c>
    </row>
    <row r="389" spans="1:30" x14ac:dyDescent="0.25">
      <c r="A389" s="37"/>
      <c r="B389" s="38"/>
      <c r="C389" s="2"/>
      <c r="D389" s="41"/>
      <c r="E389" s="38"/>
      <c r="F389" s="2"/>
      <c r="G389" s="41"/>
      <c r="H389" s="38"/>
      <c r="I389" s="39"/>
      <c r="J389" s="39"/>
      <c r="K389" s="41"/>
      <c r="L389" s="41"/>
      <c r="M389" s="42"/>
      <c r="U389" s="3" t="str">
        <f t="shared" si="39"/>
        <v/>
      </c>
      <c r="V389" s="3" t="str">
        <f t="shared" si="40"/>
        <v/>
      </c>
      <c r="AD389" s="6" t="str">
        <f t="shared" si="41"/>
        <v/>
      </c>
    </row>
    <row r="390" spans="1:30" x14ac:dyDescent="0.25">
      <c r="A390" s="37"/>
      <c r="B390" s="38"/>
      <c r="C390" s="2"/>
      <c r="D390" s="41"/>
      <c r="E390" s="38"/>
      <c r="F390" s="2"/>
      <c r="G390" s="41"/>
      <c r="H390" s="38"/>
      <c r="I390" s="39"/>
      <c r="J390" s="39"/>
      <c r="K390" s="41"/>
      <c r="L390" s="41"/>
      <c r="M390" s="42"/>
      <c r="U390" s="3" t="str">
        <f t="shared" si="39"/>
        <v/>
      </c>
      <c r="V390" s="3" t="str">
        <f t="shared" si="40"/>
        <v/>
      </c>
      <c r="AD390" s="6" t="str">
        <f t="shared" si="41"/>
        <v/>
      </c>
    </row>
    <row r="391" spans="1:30" x14ac:dyDescent="0.25">
      <c r="A391" s="37"/>
      <c r="B391" s="38"/>
      <c r="C391" s="2"/>
      <c r="D391" s="41"/>
      <c r="E391" s="38"/>
      <c r="F391" s="2"/>
      <c r="G391" s="41"/>
      <c r="H391" s="38"/>
      <c r="I391" s="39"/>
      <c r="J391" s="39"/>
      <c r="K391" s="41"/>
      <c r="L391" s="41"/>
      <c r="M391" s="42"/>
      <c r="U391" s="3" t="str">
        <f t="shared" si="39"/>
        <v/>
      </c>
      <c r="V391" s="3" t="str">
        <f t="shared" si="40"/>
        <v/>
      </c>
      <c r="AD391" s="6" t="str">
        <f t="shared" si="41"/>
        <v/>
      </c>
    </row>
    <row r="392" spans="1:30" x14ac:dyDescent="0.25">
      <c r="A392" s="37"/>
      <c r="B392" s="38"/>
      <c r="C392" s="2"/>
      <c r="D392" s="41"/>
      <c r="E392" s="38"/>
      <c r="F392" s="2"/>
      <c r="G392" s="41"/>
      <c r="H392" s="38"/>
      <c r="I392" s="39"/>
      <c r="J392" s="39"/>
      <c r="K392" s="41"/>
      <c r="L392" s="41"/>
      <c r="M392" s="42"/>
      <c r="U392" s="3" t="str">
        <f t="shared" si="39"/>
        <v/>
      </c>
      <c r="V392" s="3" t="str">
        <f t="shared" si="40"/>
        <v/>
      </c>
      <c r="AD392" s="6" t="str">
        <f t="shared" si="41"/>
        <v/>
      </c>
    </row>
    <row r="393" spans="1:30" x14ac:dyDescent="0.25">
      <c r="A393" s="37"/>
      <c r="B393" s="38"/>
      <c r="C393" s="2"/>
      <c r="D393" s="41"/>
      <c r="E393" s="38"/>
      <c r="F393" s="2"/>
      <c r="G393" s="41"/>
      <c r="H393" s="38"/>
      <c r="I393" s="39"/>
      <c r="J393" s="39"/>
      <c r="K393" s="41"/>
      <c r="L393" s="41"/>
      <c r="M393" s="42"/>
      <c r="U393" s="3" t="str">
        <f t="shared" si="39"/>
        <v/>
      </c>
      <c r="V393" s="3" t="str">
        <f t="shared" si="40"/>
        <v/>
      </c>
      <c r="AD393" s="6" t="str">
        <f t="shared" si="41"/>
        <v/>
      </c>
    </row>
    <row r="394" spans="1:30" x14ac:dyDescent="0.25">
      <c r="A394" s="37"/>
      <c r="B394" s="38"/>
      <c r="C394" s="2"/>
      <c r="D394" s="41"/>
      <c r="E394" s="38"/>
      <c r="F394" s="2"/>
      <c r="G394" s="41"/>
      <c r="H394" s="38"/>
      <c r="I394" s="39"/>
      <c r="J394" s="39"/>
      <c r="K394" s="41"/>
      <c r="L394" s="41"/>
      <c r="M394" s="42"/>
      <c r="U394" s="3" t="str">
        <f t="shared" si="39"/>
        <v/>
      </c>
      <c r="V394" s="3" t="str">
        <f t="shared" si="40"/>
        <v/>
      </c>
      <c r="AD394" s="6" t="str">
        <f t="shared" si="41"/>
        <v/>
      </c>
    </row>
    <row r="395" spans="1:30" x14ac:dyDescent="0.25">
      <c r="A395" s="37"/>
      <c r="B395" s="38"/>
      <c r="C395" s="2"/>
      <c r="D395" s="41"/>
      <c r="E395" s="38"/>
      <c r="F395" s="2"/>
      <c r="G395" s="41"/>
      <c r="H395" s="38"/>
      <c r="I395" s="39"/>
      <c r="J395" s="39"/>
      <c r="K395" s="41"/>
      <c r="L395" s="41"/>
      <c r="M395" s="42"/>
      <c r="U395" s="3" t="str">
        <f t="shared" si="39"/>
        <v/>
      </c>
      <c r="V395" s="3" t="str">
        <f t="shared" si="40"/>
        <v/>
      </c>
      <c r="AD395" s="6" t="str">
        <f t="shared" si="41"/>
        <v/>
      </c>
    </row>
    <row r="396" spans="1:30" x14ac:dyDescent="0.25">
      <c r="A396" s="37"/>
      <c r="B396" s="38"/>
      <c r="C396" s="2"/>
      <c r="D396" s="41"/>
      <c r="E396" s="38"/>
      <c r="F396" s="2"/>
      <c r="G396" s="41"/>
      <c r="H396" s="38"/>
      <c r="I396" s="39"/>
      <c r="J396" s="39"/>
      <c r="K396" s="41"/>
      <c r="L396" s="41"/>
      <c r="M396" s="42"/>
      <c r="U396" s="3" t="str">
        <f t="shared" si="39"/>
        <v/>
      </c>
      <c r="V396" s="3" t="str">
        <f t="shared" si="40"/>
        <v/>
      </c>
      <c r="AD396" s="6" t="str">
        <f t="shared" si="41"/>
        <v/>
      </c>
    </row>
    <row r="397" spans="1:30" x14ac:dyDescent="0.25">
      <c r="A397" s="37"/>
      <c r="B397" s="38"/>
      <c r="C397" s="2"/>
      <c r="D397" s="41"/>
      <c r="E397" s="38"/>
      <c r="F397" s="2"/>
      <c r="G397" s="41"/>
      <c r="H397" s="38"/>
      <c r="I397" s="39"/>
      <c r="J397" s="39"/>
      <c r="K397" s="41"/>
      <c r="L397" s="41"/>
      <c r="M397" s="42"/>
      <c r="U397" s="3" t="str">
        <f t="shared" si="39"/>
        <v/>
      </c>
      <c r="V397" s="3" t="str">
        <f t="shared" si="40"/>
        <v/>
      </c>
      <c r="AD397" s="6" t="str">
        <f t="shared" si="41"/>
        <v/>
      </c>
    </row>
    <row r="398" spans="1:30" x14ac:dyDescent="0.25">
      <c r="A398" s="37"/>
      <c r="B398" s="38"/>
      <c r="C398" s="2"/>
      <c r="D398" s="41"/>
      <c r="E398" s="38"/>
      <c r="F398" s="2"/>
      <c r="G398" s="41"/>
      <c r="H398" s="38"/>
      <c r="I398" s="39"/>
      <c r="J398" s="39"/>
      <c r="K398" s="41"/>
      <c r="L398" s="41"/>
      <c r="M398" s="42"/>
      <c r="U398" s="3" t="str">
        <f t="shared" si="39"/>
        <v/>
      </c>
      <c r="V398" s="3" t="str">
        <f t="shared" si="40"/>
        <v/>
      </c>
      <c r="AD398" s="6" t="str">
        <f t="shared" si="41"/>
        <v/>
      </c>
    </row>
    <row r="399" spans="1:30" x14ac:dyDescent="0.25">
      <c r="A399" s="37"/>
      <c r="B399" s="38"/>
      <c r="C399" s="2"/>
      <c r="D399" s="41"/>
      <c r="E399" s="38"/>
      <c r="F399" s="2"/>
      <c r="G399" s="41"/>
      <c r="H399" s="38"/>
      <c r="I399" s="39"/>
      <c r="J399" s="39"/>
      <c r="K399" s="41"/>
      <c r="L399" s="41"/>
      <c r="M399" s="42"/>
      <c r="U399" s="3" t="str">
        <f t="shared" si="39"/>
        <v/>
      </c>
      <c r="V399" s="3" t="str">
        <f t="shared" si="40"/>
        <v/>
      </c>
      <c r="AD399" s="6" t="str">
        <f t="shared" si="41"/>
        <v/>
      </c>
    </row>
    <row r="400" spans="1:30" x14ac:dyDescent="0.25">
      <c r="A400" s="37"/>
      <c r="B400" s="38"/>
      <c r="C400" s="2"/>
      <c r="D400" s="41"/>
      <c r="E400" s="38"/>
      <c r="F400" s="2"/>
      <c r="G400" s="41"/>
      <c r="H400" s="38"/>
      <c r="I400" s="39"/>
      <c r="J400" s="39"/>
      <c r="K400" s="41"/>
      <c r="L400" s="41"/>
      <c r="M400" s="42"/>
      <c r="U400" s="3" t="str">
        <f t="shared" si="39"/>
        <v/>
      </c>
      <c r="V400" s="3" t="str">
        <f t="shared" si="40"/>
        <v/>
      </c>
      <c r="AD400" s="6" t="str">
        <f t="shared" si="41"/>
        <v/>
      </c>
    </row>
    <row r="401" spans="1:30" x14ac:dyDescent="0.25">
      <c r="A401" s="37"/>
      <c r="B401" s="38"/>
      <c r="C401" s="2"/>
      <c r="D401" s="41"/>
      <c r="E401" s="38"/>
      <c r="F401" s="2"/>
      <c r="G401" s="41"/>
      <c r="H401" s="38"/>
      <c r="I401" s="39"/>
      <c r="J401" s="39"/>
      <c r="K401" s="41"/>
      <c r="L401" s="41"/>
      <c r="M401" s="42"/>
      <c r="U401" s="3" t="str">
        <f t="shared" si="39"/>
        <v/>
      </c>
      <c r="V401" s="3" t="str">
        <f t="shared" si="40"/>
        <v/>
      </c>
      <c r="AD401" s="6" t="str">
        <f t="shared" si="41"/>
        <v/>
      </c>
    </row>
    <row r="402" spans="1:30" x14ac:dyDescent="0.25">
      <c r="A402" s="37"/>
      <c r="B402" s="38"/>
      <c r="C402" s="2"/>
      <c r="D402" s="41"/>
      <c r="E402" s="38"/>
      <c r="F402" s="2"/>
      <c r="G402" s="41"/>
      <c r="H402" s="38"/>
      <c r="I402" s="39"/>
      <c r="J402" s="39"/>
      <c r="K402" s="41"/>
      <c r="L402" s="41"/>
      <c r="M402" s="42"/>
      <c r="U402" s="3" t="str">
        <f t="shared" si="39"/>
        <v/>
      </c>
      <c r="V402" s="3" t="str">
        <f t="shared" si="40"/>
        <v/>
      </c>
      <c r="AD402" s="6" t="str">
        <f t="shared" si="41"/>
        <v/>
      </c>
    </row>
    <row r="403" spans="1:30" x14ac:dyDescent="0.25">
      <c r="A403" s="37"/>
      <c r="B403" s="38"/>
      <c r="C403" s="2"/>
      <c r="D403" s="41"/>
      <c r="E403" s="38"/>
      <c r="F403" s="2"/>
      <c r="G403" s="41"/>
      <c r="H403" s="38"/>
      <c r="I403" s="39"/>
      <c r="J403" s="39"/>
      <c r="K403" s="41"/>
      <c r="L403" s="41"/>
      <c r="M403" s="42"/>
      <c r="U403" s="3" t="str">
        <f t="shared" si="39"/>
        <v/>
      </c>
      <c r="V403" s="3" t="str">
        <f t="shared" si="40"/>
        <v/>
      </c>
      <c r="AD403" s="6" t="str">
        <f t="shared" si="41"/>
        <v/>
      </c>
    </row>
    <row r="404" spans="1:30" x14ac:dyDescent="0.25">
      <c r="A404" s="37"/>
      <c r="B404" s="38"/>
      <c r="C404" s="2"/>
      <c r="D404" s="41"/>
      <c r="E404" s="38"/>
      <c r="F404" s="2"/>
      <c r="G404" s="41"/>
      <c r="H404" s="38"/>
      <c r="I404" s="39"/>
      <c r="J404" s="39"/>
      <c r="K404" s="41"/>
      <c r="L404" s="41"/>
      <c r="M404" s="42"/>
      <c r="U404" s="3" t="str">
        <f t="shared" si="39"/>
        <v/>
      </c>
      <c r="V404" s="3" t="str">
        <f t="shared" si="40"/>
        <v/>
      </c>
      <c r="AD404" s="6" t="str">
        <f t="shared" si="41"/>
        <v/>
      </c>
    </row>
    <row r="405" spans="1:30" x14ac:dyDescent="0.25">
      <c r="A405" s="37"/>
      <c r="B405" s="38"/>
      <c r="C405" s="2"/>
      <c r="D405" s="41"/>
      <c r="E405" s="38"/>
      <c r="F405" s="2"/>
      <c r="G405" s="41"/>
      <c r="H405" s="38"/>
      <c r="I405" s="39"/>
      <c r="J405" s="39"/>
      <c r="K405" s="41"/>
      <c r="L405" s="41"/>
      <c r="M405" s="42"/>
      <c r="U405" s="3" t="str">
        <f t="shared" si="39"/>
        <v/>
      </c>
      <c r="V405" s="3" t="str">
        <f t="shared" si="40"/>
        <v/>
      </c>
      <c r="AD405" s="6" t="str">
        <f t="shared" si="41"/>
        <v/>
      </c>
    </row>
    <row r="406" spans="1:30" x14ac:dyDescent="0.25">
      <c r="A406" s="37"/>
      <c r="B406" s="38"/>
      <c r="C406" s="2"/>
      <c r="D406" s="41"/>
      <c r="E406" s="38"/>
      <c r="F406" s="2"/>
      <c r="G406" s="41"/>
      <c r="H406" s="38"/>
      <c r="I406" s="39"/>
      <c r="J406" s="39"/>
      <c r="K406" s="41"/>
      <c r="L406" s="41"/>
      <c r="M406" s="42"/>
      <c r="U406" s="3" t="str">
        <f t="shared" si="39"/>
        <v/>
      </c>
      <c r="V406" s="3" t="str">
        <f t="shared" si="40"/>
        <v/>
      </c>
      <c r="AD406" s="6" t="str">
        <f t="shared" si="41"/>
        <v/>
      </c>
    </row>
    <row r="407" spans="1:30" x14ac:dyDescent="0.25">
      <c r="A407" s="37"/>
      <c r="B407" s="38"/>
      <c r="C407" s="2"/>
      <c r="D407" s="41"/>
      <c r="E407" s="38"/>
      <c r="F407" s="2"/>
      <c r="G407" s="41"/>
      <c r="H407" s="38"/>
      <c r="I407" s="39"/>
      <c r="J407" s="39"/>
      <c r="K407" s="41"/>
      <c r="L407" s="41"/>
      <c r="M407" s="42"/>
      <c r="U407" s="3" t="str">
        <f t="shared" si="39"/>
        <v/>
      </c>
      <c r="V407" s="3" t="str">
        <f t="shared" si="40"/>
        <v/>
      </c>
      <c r="AD407" s="6" t="str">
        <f t="shared" si="41"/>
        <v/>
      </c>
    </row>
    <row r="408" spans="1:30" x14ac:dyDescent="0.25">
      <c r="A408" s="37"/>
      <c r="B408" s="38"/>
      <c r="C408" s="2"/>
      <c r="D408" s="41"/>
      <c r="E408" s="38"/>
      <c r="F408" s="2"/>
      <c r="G408" s="41"/>
      <c r="H408" s="38"/>
      <c r="I408" s="39"/>
      <c r="J408" s="39"/>
      <c r="K408" s="41"/>
      <c r="L408" s="41"/>
      <c r="M408" s="42"/>
      <c r="U408" s="3" t="str">
        <f t="shared" si="39"/>
        <v/>
      </c>
      <c r="V408" s="3" t="str">
        <f t="shared" si="40"/>
        <v/>
      </c>
      <c r="AD408" s="6" t="str">
        <f t="shared" si="41"/>
        <v/>
      </c>
    </row>
    <row r="409" spans="1:30" x14ac:dyDescent="0.25">
      <c r="A409" s="37"/>
      <c r="B409" s="38"/>
      <c r="C409" s="2"/>
      <c r="D409" s="41"/>
      <c r="E409" s="38"/>
      <c r="F409" s="2"/>
      <c r="G409" s="41"/>
      <c r="H409" s="38"/>
      <c r="I409" s="39"/>
      <c r="J409" s="39"/>
      <c r="K409" s="41"/>
      <c r="L409" s="41"/>
      <c r="M409" s="42"/>
      <c r="U409" s="3" t="str">
        <f t="shared" si="39"/>
        <v/>
      </c>
      <c r="V409" s="3" t="str">
        <f t="shared" si="40"/>
        <v/>
      </c>
      <c r="AD409" s="6" t="str">
        <f t="shared" si="41"/>
        <v/>
      </c>
    </row>
    <row r="410" spans="1:30" x14ac:dyDescent="0.25">
      <c r="A410" s="37"/>
      <c r="B410" s="38"/>
      <c r="C410" s="2"/>
      <c r="D410" s="41"/>
      <c r="E410" s="38"/>
      <c r="F410" s="2"/>
      <c r="G410" s="41"/>
      <c r="H410" s="38"/>
      <c r="I410" s="39"/>
      <c r="J410" s="39"/>
      <c r="K410" s="41"/>
      <c r="L410" s="41"/>
      <c r="M410" s="42"/>
      <c r="U410" s="3" t="str">
        <f t="shared" si="39"/>
        <v/>
      </c>
      <c r="V410" s="3" t="str">
        <f t="shared" si="40"/>
        <v/>
      </c>
      <c r="AD410" s="6" t="str">
        <f t="shared" si="41"/>
        <v/>
      </c>
    </row>
    <row r="411" spans="1:30" x14ac:dyDescent="0.25">
      <c r="A411" s="37"/>
      <c r="B411" s="38"/>
      <c r="C411" s="2"/>
      <c r="D411" s="41"/>
      <c r="E411" s="38"/>
      <c r="F411" s="2"/>
      <c r="G411" s="41"/>
      <c r="H411" s="38"/>
      <c r="I411" s="39"/>
      <c r="J411" s="39"/>
      <c r="K411" s="41"/>
      <c r="L411" s="41"/>
      <c r="M411" s="42"/>
      <c r="U411" s="3" t="str">
        <f t="shared" si="39"/>
        <v/>
      </c>
      <c r="V411" s="3" t="str">
        <f t="shared" si="40"/>
        <v/>
      </c>
      <c r="AD411" s="6" t="str">
        <f t="shared" si="41"/>
        <v/>
      </c>
    </row>
    <row r="412" spans="1:30" x14ac:dyDescent="0.25">
      <c r="A412" s="37"/>
      <c r="B412" s="38"/>
      <c r="C412" s="2"/>
      <c r="D412" s="41"/>
      <c r="E412" s="38"/>
      <c r="F412" s="2"/>
      <c r="G412" s="41"/>
      <c r="H412" s="38"/>
      <c r="I412" s="39"/>
      <c r="J412" s="39"/>
      <c r="K412" s="41"/>
      <c r="L412" s="41"/>
      <c r="M412" s="42"/>
      <c r="U412" s="3" t="str">
        <f t="shared" si="39"/>
        <v/>
      </c>
      <c r="V412" s="3" t="str">
        <f t="shared" si="40"/>
        <v/>
      </c>
      <c r="AD412" s="6" t="str">
        <f t="shared" si="41"/>
        <v/>
      </c>
    </row>
    <row r="413" spans="1:30" x14ac:dyDescent="0.25">
      <c r="A413" s="37"/>
      <c r="B413" s="38"/>
      <c r="C413" s="2"/>
      <c r="D413" s="41"/>
      <c r="E413" s="38"/>
      <c r="F413" s="2"/>
      <c r="G413" s="41"/>
      <c r="H413" s="38"/>
      <c r="I413" s="39"/>
      <c r="J413" s="39"/>
      <c r="K413" s="41"/>
      <c r="L413" s="41"/>
      <c r="M413" s="42"/>
      <c r="U413" s="3" t="str">
        <f t="shared" si="39"/>
        <v/>
      </c>
      <c r="V413" s="3" t="str">
        <f t="shared" si="40"/>
        <v/>
      </c>
      <c r="AD413" s="6" t="str">
        <f t="shared" si="41"/>
        <v/>
      </c>
    </row>
    <row r="414" spans="1:30" x14ac:dyDescent="0.25">
      <c r="A414" s="37"/>
      <c r="B414" s="38"/>
      <c r="C414" s="2"/>
      <c r="D414" s="41"/>
      <c r="E414" s="38"/>
      <c r="F414" s="2"/>
      <c r="G414" s="41"/>
      <c r="H414" s="38"/>
      <c r="I414" s="39"/>
      <c r="J414" s="39"/>
      <c r="K414" s="41"/>
      <c r="L414" s="41"/>
      <c r="M414" s="42"/>
      <c r="U414" s="3" t="str">
        <f t="shared" si="39"/>
        <v/>
      </c>
      <c r="V414" s="3" t="str">
        <f t="shared" si="40"/>
        <v/>
      </c>
      <c r="AD414" s="6" t="str">
        <f t="shared" si="41"/>
        <v/>
      </c>
    </row>
    <row r="415" spans="1:30" x14ac:dyDescent="0.25">
      <c r="A415" s="37"/>
      <c r="B415" s="38"/>
      <c r="C415" s="2"/>
      <c r="D415" s="41"/>
      <c r="E415" s="38"/>
      <c r="F415" s="2"/>
      <c r="G415" s="41"/>
      <c r="H415" s="38"/>
      <c r="I415" s="39"/>
      <c r="J415" s="39"/>
      <c r="K415" s="41"/>
      <c r="L415" s="41"/>
      <c r="M415" s="42"/>
      <c r="U415" s="3" t="str">
        <f t="shared" si="39"/>
        <v/>
      </c>
      <c r="V415" s="3" t="str">
        <f t="shared" si="40"/>
        <v/>
      </c>
      <c r="AD415" s="6" t="str">
        <f t="shared" si="41"/>
        <v/>
      </c>
    </row>
    <row r="416" spans="1:30" x14ac:dyDescent="0.25">
      <c r="A416" s="37"/>
      <c r="B416" s="38"/>
      <c r="C416" s="2"/>
      <c r="D416" s="41"/>
      <c r="E416" s="38"/>
      <c r="F416" s="2"/>
      <c r="G416" s="41"/>
      <c r="H416" s="38"/>
      <c r="I416" s="39"/>
      <c r="J416" s="39"/>
      <c r="K416" s="41"/>
      <c r="L416" s="41"/>
      <c r="M416" s="42"/>
      <c r="U416" s="3" t="str">
        <f t="shared" si="39"/>
        <v/>
      </c>
      <c r="V416" s="3" t="str">
        <f t="shared" si="40"/>
        <v/>
      </c>
      <c r="AD416" s="6" t="str">
        <f t="shared" si="41"/>
        <v/>
      </c>
    </row>
    <row r="417" spans="1:30" x14ac:dyDescent="0.25">
      <c r="A417" s="37"/>
      <c r="B417" s="38"/>
      <c r="C417" s="2"/>
      <c r="D417" s="41"/>
      <c r="E417" s="38"/>
      <c r="F417" s="2"/>
      <c r="G417" s="41"/>
      <c r="H417" s="38"/>
      <c r="I417" s="39"/>
      <c r="J417" s="39"/>
      <c r="K417" s="41"/>
      <c r="L417" s="41"/>
      <c r="M417" s="42"/>
      <c r="U417" s="3" t="str">
        <f t="shared" si="39"/>
        <v/>
      </c>
      <c r="V417" s="3" t="str">
        <f t="shared" si="40"/>
        <v/>
      </c>
      <c r="AD417" s="6" t="str">
        <f t="shared" si="41"/>
        <v/>
      </c>
    </row>
    <row r="418" spans="1:30" x14ac:dyDescent="0.25">
      <c r="A418" s="37"/>
      <c r="B418" s="38"/>
      <c r="C418" s="2"/>
      <c r="D418" s="41"/>
      <c r="E418" s="38"/>
      <c r="F418" s="2"/>
      <c r="G418" s="41"/>
      <c r="H418" s="38"/>
      <c r="I418" s="39"/>
      <c r="J418" s="39"/>
      <c r="K418" s="41"/>
      <c r="L418" s="41"/>
      <c r="M418" s="42"/>
      <c r="U418" s="3" t="str">
        <f t="shared" si="39"/>
        <v/>
      </c>
      <c r="V418" s="3" t="str">
        <f t="shared" si="40"/>
        <v/>
      </c>
      <c r="AD418" s="6" t="str">
        <f t="shared" si="41"/>
        <v/>
      </c>
    </row>
    <row r="419" spans="1:30" x14ac:dyDescent="0.25">
      <c r="A419" s="37"/>
      <c r="B419" s="38"/>
      <c r="C419" s="2"/>
      <c r="D419" s="41"/>
      <c r="E419" s="38"/>
      <c r="F419" s="2"/>
      <c r="G419" s="41"/>
      <c r="H419" s="38"/>
      <c r="I419" s="39"/>
      <c r="J419" s="39"/>
      <c r="K419" s="41"/>
      <c r="L419" s="41"/>
      <c r="M419" s="42"/>
      <c r="U419" s="3" t="str">
        <f t="shared" si="39"/>
        <v/>
      </c>
      <c r="V419" s="3" t="str">
        <f t="shared" si="40"/>
        <v/>
      </c>
      <c r="AD419" s="6" t="str">
        <f t="shared" si="41"/>
        <v/>
      </c>
    </row>
    <row r="420" spans="1:30" x14ac:dyDescent="0.25">
      <c r="A420" s="37"/>
      <c r="B420" s="38"/>
      <c r="C420" s="2"/>
      <c r="D420" s="41"/>
      <c r="E420" s="38"/>
      <c r="F420" s="2"/>
      <c r="G420" s="41"/>
      <c r="H420" s="38"/>
      <c r="I420" s="39"/>
      <c r="J420" s="39"/>
      <c r="K420" s="41"/>
      <c r="L420" s="41"/>
      <c r="M420" s="42"/>
      <c r="U420" s="3" t="str">
        <f t="shared" si="39"/>
        <v/>
      </c>
      <c r="V420" s="3" t="str">
        <f t="shared" si="40"/>
        <v/>
      </c>
      <c r="AD420" s="6" t="str">
        <f t="shared" si="41"/>
        <v/>
      </c>
    </row>
    <row r="421" spans="1:30" x14ac:dyDescent="0.25">
      <c r="A421" s="37"/>
      <c r="B421" s="38"/>
      <c r="C421" s="2"/>
      <c r="D421" s="41"/>
      <c r="E421" s="38"/>
      <c r="F421" s="2"/>
      <c r="G421" s="41"/>
      <c r="H421" s="38"/>
      <c r="I421" s="39"/>
      <c r="J421" s="39"/>
      <c r="K421" s="41"/>
      <c r="L421" s="41"/>
      <c r="M421" s="42"/>
      <c r="U421" s="3" t="str">
        <f t="shared" si="39"/>
        <v/>
      </c>
      <c r="V421" s="3" t="str">
        <f t="shared" si="40"/>
        <v/>
      </c>
      <c r="AD421" s="6" t="str">
        <f t="shared" si="41"/>
        <v/>
      </c>
    </row>
    <row r="422" spans="1:30" x14ac:dyDescent="0.25">
      <c r="A422" s="37"/>
      <c r="B422" s="38"/>
      <c r="C422" s="2"/>
      <c r="D422" s="41"/>
      <c r="E422" s="38"/>
      <c r="F422" s="2"/>
      <c r="G422" s="41"/>
      <c r="H422" s="38"/>
      <c r="I422" s="39"/>
      <c r="J422" s="39"/>
      <c r="K422" s="41"/>
      <c r="L422" s="41"/>
      <c r="M422" s="42"/>
      <c r="U422" s="3" t="str">
        <f t="shared" si="39"/>
        <v/>
      </c>
      <c r="V422" s="3" t="str">
        <f t="shared" si="40"/>
        <v/>
      </c>
    </row>
    <row r="423" spans="1:30" x14ac:dyDescent="0.25">
      <c r="A423" s="37"/>
      <c r="B423" s="38"/>
      <c r="C423" s="2"/>
      <c r="D423" s="41"/>
      <c r="E423" s="38"/>
      <c r="F423" s="2"/>
      <c r="G423" s="41"/>
      <c r="H423" s="38"/>
      <c r="I423" s="39"/>
      <c r="J423" s="39"/>
      <c r="K423" s="41"/>
      <c r="L423" s="41"/>
      <c r="M423" s="42"/>
      <c r="U423" s="3" t="str">
        <f t="shared" si="39"/>
        <v/>
      </c>
      <c r="V423" s="3" t="str">
        <f t="shared" si="40"/>
        <v/>
      </c>
    </row>
    <row r="424" spans="1:30" x14ac:dyDescent="0.25">
      <c r="A424" s="37"/>
      <c r="B424" s="38"/>
      <c r="C424" s="2"/>
      <c r="D424" s="41"/>
      <c r="E424" s="38"/>
      <c r="F424" s="2"/>
      <c r="G424" s="41"/>
      <c r="H424" s="38"/>
      <c r="I424" s="39"/>
      <c r="J424" s="39"/>
      <c r="K424" s="41"/>
      <c r="L424" s="41"/>
      <c r="M424" s="42"/>
      <c r="U424" s="3" t="str">
        <f t="shared" si="39"/>
        <v/>
      </c>
      <c r="V424" s="3" t="str">
        <f t="shared" si="40"/>
        <v/>
      </c>
    </row>
    <row r="425" spans="1:30" x14ac:dyDescent="0.25">
      <c r="A425" s="37"/>
      <c r="B425" s="38"/>
      <c r="C425" s="2"/>
      <c r="D425" s="41"/>
      <c r="E425" s="38"/>
      <c r="F425" s="2"/>
      <c r="G425" s="41"/>
      <c r="H425" s="38"/>
      <c r="I425" s="39"/>
      <c r="J425" s="39"/>
      <c r="K425" s="41"/>
      <c r="L425" s="41"/>
      <c r="M425" s="42"/>
      <c r="U425" s="3" t="str">
        <f t="shared" si="39"/>
        <v/>
      </c>
      <c r="V425" s="3" t="str">
        <f t="shared" si="40"/>
        <v/>
      </c>
    </row>
    <row r="426" spans="1:30" x14ac:dyDescent="0.25">
      <c r="A426" s="37"/>
      <c r="B426" s="38"/>
      <c r="C426" s="2"/>
      <c r="D426" s="41"/>
      <c r="E426" s="38"/>
      <c r="F426" s="2"/>
      <c r="G426" s="41"/>
      <c r="H426" s="38"/>
      <c r="I426" s="39"/>
      <c r="J426" s="39"/>
      <c r="K426" s="41"/>
      <c r="L426" s="41"/>
      <c r="M426" s="42"/>
      <c r="U426" s="3" t="str">
        <f t="shared" si="39"/>
        <v/>
      </c>
      <c r="V426" s="3" t="str">
        <f t="shared" si="40"/>
        <v/>
      </c>
    </row>
    <row r="427" spans="1:30" x14ac:dyDescent="0.25">
      <c r="A427" s="37"/>
      <c r="B427" s="38"/>
      <c r="C427" s="2"/>
      <c r="D427" s="41"/>
      <c r="E427" s="38"/>
      <c r="F427" s="2"/>
      <c r="G427" s="41"/>
      <c r="H427" s="38"/>
      <c r="I427" s="39"/>
      <c r="J427" s="39"/>
      <c r="K427" s="41"/>
      <c r="L427" s="41"/>
      <c r="M427" s="42"/>
      <c r="U427" s="3" t="str">
        <f t="shared" si="39"/>
        <v/>
      </c>
      <c r="V427" s="3" t="str">
        <f t="shared" si="40"/>
        <v/>
      </c>
    </row>
    <row r="428" spans="1:30" x14ac:dyDescent="0.25">
      <c r="A428" s="37"/>
      <c r="B428" s="38"/>
      <c r="C428" s="2"/>
      <c r="D428" s="41"/>
      <c r="E428" s="38"/>
      <c r="F428" s="2"/>
      <c r="G428" s="41"/>
      <c r="H428" s="38"/>
      <c r="I428" s="39"/>
      <c r="J428" s="39"/>
      <c r="K428" s="41"/>
      <c r="L428" s="41"/>
      <c r="M428" s="42"/>
      <c r="U428" s="3" t="str">
        <f t="shared" si="39"/>
        <v/>
      </c>
      <c r="V428" s="3" t="str">
        <f t="shared" si="40"/>
        <v/>
      </c>
    </row>
    <row r="429" spans="1:30" x14ac:dyDescent="0.25">
      <c r="A429" s="37"/>
      <c r="B429" s="38"/>
      <c r="C429" s="2"/>
      <c r="D429" s="41"/>
      <c r="E429" s="38"/>
      <c r="F429" s="2"/>
      <c r="G429" s="41"/>
      <c r="H429" s="38"/>
      <c r="I429" s="39"/>
      <c r="J429" s="39"/>
      <c r="K429" s="41"/>
      <c r="L429" s="41"/>
      <c r="M429" s="42"/>
      <c r="U429" s="3" t="str">
        <f t="shared" si="39"/>
        <v/>
      </c>
      <c r="V429" s="3" t="str">
        <f t="shared" si="40"/>
        <v/>
      </c>
    </row>
    <row r="430" spans="1:30" x14ac:dyDescent="0.25">
      <c r="A430" s="37"/>
      <c r="B430" s="38"/>
      <c r="C430" s="2"/>
      <c r="D430" s="41"/>
      <c r="E430" s="38"/>
      <c r="F430" s="2"/>
      <c r="G430" s="41"/>
      <c r="H430" s="38"/>
      <c r="I430" s="39"/>
      <c r="J430" s="39"/>
      <c r="K430" s="41"/>
      <c r="L430" s="41"/>
      <c r="M430" s="42"/>
      <c r="U430" s="3" t="str">
        <f t="shared" si="39"/>
        <v/>
      </c>
      <c r="V430" s="3" t="str">
        <f t="shared" si="40"/>
        <v/>
      </c>
    </row>
    <row r="431" spans="1:30" x14ac:dyDescent="0.25">
      <c r="A431" s="37"/>
      <c r="B431" s="38"/>
      <c r="C431" s="2"/>
      <c r="D431" s="41"/>
      <c r="E431" s="38"/>
      <c r="F431" s="2"/>
      <c r="G431" s="41"/>
      <c r="H431" s="38"/>
      <c r="I431" s="39"/>
      <c r="J431" s="39"/>
      <c r="K431" s="41"/>
      <c r="L431" s="41"/>
      <c r="M431" s="42"/>
      <c r="U431" s="3" t="str">
        <f t="shared" si="39"/>
        <v/>
      </c>
      <c r="V431" s="3" t="str">
        <f t="shared" si="40"/>
        <v/>
      </c>
    </row>
    <row r="432" spans="1:30" x14ac:dyDescent="0.25">
      <c r="A432" s="37"/>
      <c r="B432" s="38"/>
      <c r="C432" s="2"/>
      <c r="D432" s="41"/>
      <c r="E432" s="38"/>
      <c r="F432" s="2"/>
      <c r="G432" s="41"/>
      <c r="H432" s="38"/>
      <c r="I432" s="39"/>
      <c r="J432" s="39"/>
      <c r="K432" s="41"/>
      <c r="L432" s="41"/>
      <c r="M432" s="42"/>
      <c r="U432" s="3" t="str">
        <f t="shared" si="39"/>
        <v/>
      </c>
      <c r="V432" s="3" t="str">
        <f t="shared" si="40"/>
        <v/>
      </c>
    </row>
    <row r="433" spans="1:22" x14ac:dyDescent="0.25">
      <c r="A433" s="37"/>
      <c r="B433" s="38"/>
      <c r="C433" s="2"/>
      <c r="D433" s="41"/>
      <c r="E433" s="38"/>
      <c r="F433" s="2"/>
      <c r="G433" s="41"/>
      <c r="H433" s="38"/>
      <c r="I433" s="39"/>
      <c r="J433" s="39"/>
      <c r="K433" s="41"/>
      <c r="L433" s="41"/>
      <c r="M433" s="42"/>
      <c r="U433" s="3" t="str">
        <f t="shared" si="39"/>
        <v/>
      </c>
      <c r="V433" s="3" t="str">
        <f t="shared" si="40"/>
        <v/>
      </c>
    </row>
    <row r="434" spans="1:22" x14ac:dyDescent="0.25">
      <c r="A434" s="37"/>
      <c r="B434" s="38"/>
      <c r="C434" s="2"/>
      <c r="D434" s="41"/>
      <c r="E434" s="38"/>
      <c r="F434" s="2"/>
      <c r="G434" s="41"/>
      <c r="H434" s="38"/>
      <c r="I434" s="39"/>
      <c r="J434" s="39"/>
      <c r="K434" s="41"/>
      <c r="L434" s="41"/>
      <c r="M434" s="42"/>
      <c r="U434" s="3" t="str">
        <f t="shared" si="39"/>
        <v/>
      </c>
      <c r="V434" s="3" t="str">
        <f t="shared" si="40"/>
        <v/>
      </c>
    </row>
    <row r="435" spans="1:22" x14ac:dyDescent="0.25">
      <c r="A435" s="37"/>
      <c r="B435" s="38"/>
      <c r="C435" s="2"/>
      <c r="D435" s="41"/>
      <c r="E435" s="38"/>
      <c r="F435" s="2"/>
      <c r="G435" s="41"/>
      <c r="H435" s="38"/>
      <c r="I435" s="39"/>
      <c r="J435" s="39"/>
      <c r="K435" s="41"/>
      <c r="L435" s="41"/>
      <c r="M435" s="42"/>
      <c r="U435" s="3" t="str">
        <f t="shared" si="39"/>
        <v/>
      </c>
      <c r="V435" s="3" t="str">
        <f t="shared" si="40"/>
        <v/>
      </c>
    </row>
    <row r="436" spans="1:22" x14ac:dyDescent="0.25">
      <c r="A436" s="37"/>
      <c r="B436" s="38"/>
      <c r="C436" s="2"/>
      <c r="D436" s="41"/>
      <c r="E436" s="38"/>
      <c r="F436" s="2"/>
      <c r="G436" s="41"/>
      <c r="H436" s="38"/>
      <c r="I436" s="39"/>
      <c r="J436" s="39"/>
      <c r="K436" s="41"/>
      <c r="L436" s="41"/>
      <c r="M436" s="42"/>
      <c r="U436" s="3" t="str">
        <f t="shared" si="39"/>
        <v/>
      </c>
      <c r="V436" s="3" t="str">
        <f t="shared" si="40"/>
        <v/>
      </c>
    </row>
    <row r="437" spans="1:22" x14ac:dyDescent="0.25">
      <c r="A437" s="37"/>
      <c r="B437" s="38"/>
      <c r="C437" s="2"/>
      <c r="D437" s="41"/>
      <c r="E437" s="38"/>
      <c r="F437" s="2"/>
      <c r="G437" s="41"/>
      <c r="H437" s="38"/>
      <c r="I437" s="39"/>
      <c r="J437" s="39"/>
      <c r="K437" s="41"/>
      <c r="L437" s="41"/>
      <c r="M437" s="42"/>
      <c r="U437" s="3" t="str">
        <f t="shared" si="39"/>
        <v/>
      </c>
      <c r="V437" s="3" t="str">
        <f t="shared" si="40"/>
        <v/>
      </c>
    </row>
    <row r="438" spans="1:22" x14ac:dyDescent="0.25">
      <c r="A438" s="37"/>
      <c r="B438" s="38"/>
      <c r="C438" s="2"/>
      <c r="D438" s="41"/>
      <c r="E438" s="38"/>
      <c r="F438" s="2"/>
      <c r="G438" s="41"/>
      <c r="H438" s="38"/>
      <c r="I438" s="39"/>
      <c r="J438" s="39"/>
      <c r="K438" s="41"/>
      <c r="L438" s="41"/>
      <c r="M438" s="42"/>
      <c r="U438" s="3" t="str">
        <f t="shared" si="39"/>
        <v/>
      </c>
      <c r="V438" s="3" t="str">
        <f t="shared" si="40"/>
        <v/>
      </c>
    </row>
    <row r="439" spans="1:22" x14ac:dyDescent="0.25">
      <c r="A439" s="37"/>
      <c r="B439" s="38"/>
      <c r="C439" s="2"/>
      <c r="D439" s="41"/>
      <c r="E439" s="38"/>
      <c r="F439" s="2"/>
      <c r="G439" s="41"/>
      <c r="H439" s="38"/>
      <c r="I439" s="39"/>
      <c r="J439" s="39"/>
      <c r="K439" s="41"/>
      <c r="L439" s="41"/>
      <c r="M439" s="42"/>
      <c r="U439" s="3" t="str">
        <f t="shared" si="39"/>
        <v/>
      </c>
      <c r="V439" s="3" t="str">
        <f t="shared" si="40"/>
        <v/>
      </c>
    </row>
    <row r="440" spans="1:22" x14ac:dyDescent="0.25">
      <c r="A440" s="37"/>
      <c r="B440" s="38"/>
      <c r="C440" s="2"/>
      <c r="D440" s="41"/>
      <c r="E440" s="38"/>
      <c r="F440" s="2"/>
      <c r="G440" s="41"/>
      <c r="H440" s="38"/>
      <c r="I440" s="39"/>
      <c r="J440" s="39"/>
      <c r="K440" s="41"/>
      <c r="L440" s="41"/>
      <c r="M440" s="42"/>
      <c r="U440" s="3" t="str">
        <f t="shared" si="39"/>
        <v/>
      </c>
      <c r="V440" s="3" t="str">
        <f t="shared" si="40"/>
        <v/>
      </c>
    </row>
    <row r="441" spans="1:22" x14ac:dyDescent="0.25">
      <c r="A441" s="37"/>
      <c r="B441" s="38"/>
      <c r="C441" s="2"/>
      <c r="D441" s="41"/>
      <c r="E441" s="38"/>
      <c r="F441" s="2"/>
      <c r="G441" s="41"/>
      <c r="H441" s="38"/>
      <c r="I441" s="39"/>
      <c r="J441" s="39"/>
      <c r="K441" s="41"/>
      <c r="L441" s="41"/>
      <c r="M441" s="42"/>
      <c r="U441" s="3" t="str">
        <f t="shared" si="39"/>
        <v/>
      </c>
      <c r="V441" s="3" t="str">
        <f t="shared" si="40"/>
        <v/>
      </c>
    </row>
    <row r="442" spans="1:22" x14ac:dyDescent="0.25">
      <c r="A442" s="37"/>
      <c r="B442" s="38"/>
      <c r="C442" s="2"/>
      <c r="D442" s="41"/>
      <c r="E442" s="38"/>
      <c r="F442" s="2"/>
      <c r="G442" s="41"/>
      <c r="H442" s="38"/>
      <c r="I442" s="39"/>
      <c r="J442" s="39"/>
      <c r="K442" s="41"/>
      <c r="L442" s="41"/>
      <c r="M442" s="42"/>
      <c r="U442" s="3" t="str">
        <f t="shared" si="39"/>
        <v/>
      </c>
      <c r="V442" s="3" t="str">
        <f t="shared" si="40"/>
        <v/>
      </c>
    </row>
    <row r="443" spans="1:22" x14ac:dyDescent="0.25">
      <c r="A443" s="37"/>
      <c r="B443" s="38"/>
      <c r="C443" s="2"/>
      <c r="D443" s="41"/>
      <c r="E443" s="38"/>
      <c r="F443" s="2"/>
      <c r="G443" s="41"/>
      <c r="H443" s="38"/>
      <c r="I443" s="39"/>
      <c r="J443" s="39"/>
      <c r="K443" s="41"/>
      <c r="L443" s="41"/>
      <c r="M443" s="42"/>
      <c r="U443" s="3" t="str">
        <f t="shared" si="39"/>
        <v/>
      </c>
      <c r="V443" s="3" t="str">
        <f t="shared" si="40"/>
        <v/>
      </c>
    </row>
    <row r="444" spans="1:22" x14ac:dyDescent="0.25">
      <c r="A444" s="37"/>
      <c r="B444" s="38"/>
      <c r="C444" s="2"/>
      <c r="D444" s="41"/>
      <c r="E444" s="38"/>
      <c r="F444" s="2"/>
      <c r="G444" s="41"/>
      <c r="H444" s="38"/>
      <c r="I444" s="39"/>
      <c r="J444" s="39"/>
      <c r="K444" s="41"/>
      <c r="L444" s="41"/>
      <c r="M444" s="42"/>
      <c r="U444" s="3" t="str">
        <f t="shared" si="39"/>
        <v/>
      </c>
      <c r="V444" s="3" t="str">
        <f t="shared" si="40"/>
        <v/>
      </c>
    </row>
    <row r="445" spans="1:22" x14ac:dyDescent="0.25">
      <c r="A445" s="37"/>
      <c r="B445" s="38"/>
      <c r="C445" s="2"/>
      <c r="D445" s="41"/>
      <c r="E445" s="38"/>
      <c r="F445" s="2"/>
      <c r="G445" s="41"/>
      <c r="H445" s="38"/>
      <c r="I445" s="39"/>
      <c r="J445" s="39"/>
      <c r="K445" s="41"/>
      <c r="L445" s="41"/>
      <c r="M445" s="42"/>
      <c r="U445" s="3" t="str">
        <f t="shared" si="39"/>
        <v/>
      </c>
      <c r="V445" s="3" t="str">
        <f t="shared" si="40"/>
        <v/>
      </c>
    </row>
    <row r="446" spans="1:22" x14ac:dyDescent="0.25">
      <c r="A446" s="37"/>
      <c r="B446" s="38"/>
      <c r="C446" s="2"/>
      <c r="D446" s="41"/>
      <c r="E446" s="38"/>
      <c r="F446" s="2"/>
      <c r="G446" s="41"/>
      <c r="H446" s="38"/>
      <c r="I446" s="39"/>
      <c r="J446" s="39"/>
      <c r="K446" s="41"/>
      <c r="L446" s="41"/>
      <c r="M446" s="42"/>
      <c r="U446" s="3" t="str">
        <f t="shared" si="39"/>
        <v/>
      </c>
      <c r="V446" s="3" t="str">
        <f t="shared" si="40"/>
        <v/>
      </c>
    </row>
    <row r="447" spans="1:22" x14ac:dyDescent="0.25">
      <c r="A447" s="37"/>
      <c r="B447" s="38"/>
      <c r="C447" s="2"/>
      <c r="D447" s="41"/>
      <c r="E447" s="38"/>
      <c r="F447" s="2"/>
      <c r="G447" s="41"/>
      <c r="H447" s="38"/>
      <c r="I447" s="39"/>
      <c r="J447" s="39"/>
      <c r="K447" s="41"/>
      <c r="L447" s="41"/>
      <c r="M447" s="42"/>
      <c r="U447" s="3" t="str">
        <f t="shared" si="39"/>
        <v/>
      </c>
      <c r="V447" s="3" t="str">
        <f t="shared" si="40"/>
        <v/>
      </c>
    </row>
    <row r="448" spans="1:22" x14ac:dyDescent="0.25">
      <c r="A448" s="37"/>
      <c r="B448" s="38"/>
      <c r="C448" s="2"/>
      <c r="D448" s="41"/>
      <c r="E448" s="38"/>
      <c r="F448" s="2"/>
      <c r="G448" s="41"/>
      <c r="H448" s="38"/>
      <c r="I448" s="39"/>
      <c r="J448" s="39"/>
      <c r="K448" s="41"/>
      <c r="L448" s="41"/>
      <c r="M448" s="42"/>
      <c r="U448" s="3" t="str">
        <f t="shared" si="39"/>
        <v/>
      </c>
      <c r="V448" s="3" t="str">
        <f t="shared" si="40"/>
        <v/>
      </c>
    </row>
    <row r="449" spans="1:22" x14ac:dyDescent="0.25">
      <c r="A449" s="37"/>
      <c r="B449" s="38"/>
      <c r="C449" s="2"/>
      <c r="D449" s="41"/>
      <c r="E449" s="38"/>
      <c r="F449" s="2"/>
      <c r="G449" s="41"/>
      <c r="H449" s="38"/>
      <c r="I449" s="39"/>
      <c r="J449" s="39"/>
      <c r="K449" s="41"/>
      <c r="L449" s="41"/>
      <c r="M449" s="42"/>
      <c r="U449" s="3" t="str">
        <f t="shared" si="39"/>
        <v/>
      </c>
      <c r="V449" s="3" t="str">
        <f t="shared" si="40"/>
        <v/>
      </c>
    </row>
    <row r="450" spans="1:22" x14ac:dyDescent="0.25">
      <c r="A450" s="37"/>
      <c r="B450" s="38"/>
      <c r="C450" s="2"/>
      <c r="D450" s="41"/>
      <c r="E450" s="38"/>
      <c r="F450" s="2"/>
      <c r="G450" s="41"/>
      <c r="H450" s="38"/>
      <c r="I450" s="39"/>
      <c r="J450" s="39"/>
      <c r="K450" s="41"/>
      <c r="L450" s="41"/>
      <c r="M450" s="42"/>
      <c r="U450" s="3" t="str">
        <f t="shared" si="39"/>
        <v/>
      </c>
      <c r="V450" s="3" t="str">
        <f t="shared" si="40"/>
        <v/>
      </c>
    </row>
    <row r="451" spans="1:22" x14ac:dyDescent="0.25">
      <c r="A451" s="37"/>
      <c r="B451" s="38"/>
      <c r="C451" s="2"/>
      <c r="D451" s="41"/>
      <c r="E451" s="38"/>
      <c r="F451" s="2"/>
      <c r="G451" s="41"/>
      <c r="H451" s="38"/>
      <c r="I451" s="39"/>
      <c r="J451" s="39"/>
      <c r="K451" s="41"/>
      <c r="L451" s="41"/>
      <c r="M451" s="42"/>
      <c r="U451" s="3" t="str">
        <f t="shared" si="39"/>
        <v/>
      </c>
      <c r="V451" s="3" t="str">
        <f t="shared" si="40"/>
        <v/>
      </c>
    </row>
    <row r="452" spans="1:22" x14ac:dyDescent="0.25">
      <c r="A452" s="37"/>
      <c r="B452" s="38"/>
      <c r="C452" s="2"/>
      <c r="D452" s="41"/>
      <c r="E452" s="38"/>
      <c r="F452" s="2"/>
      <c r="G452" s="41"/>
      <c r="H452" s="38"/>
      <c r="I452" s="39"/>
      <c r="J452" s="39"/>
      <c r="K452" s="41"/>
      <c r="L452" s="41"/>
      <c r="M452" s="42"/>
      <c r="U452" s="3" t="str">
        <f t="shared" ref="U452:U515" si="42">IF(COUNTIF(Q:Q,O452)*COUNTIF(S:S,O452),O452,"")</f>
        <v/>
      </c>
      <c r="V452" s="3" t="str">
        <f t="shared" ref="V452:V515" si="43">IF(U452&gt;$A$14,U452,"")</f>
        <v/>
      </c>
    </row>
    <row r="453" spans="1:22" x14ac:dyDescent="0.25">
      <c r="A453" s="37"/>
      <c r="B453" s="38"/>
      <c r="C453" s="2"/>
      <c r="D453" s="41"/>
      <c r="E453" s="38"/>
      <c r="F453" s="2"/>
      <c r="G453" s="41"/>
      <c r="H453" s="38"/>
      <c r="I453" s="39"/>
      <c r="J453" s="39"/>
      <c r="K453" s="41"/>
      <c r="L453" s="41"/>
      <c r="M453" s="42"/>
      <c r="U453" s="3" t="str">
        <f t="shared" si="42"/>
        <v/>
      </c>
      <c r="V453" s="3" t="str">
        <f t="shared" si="43"/>
        <v/>
      </c>
    </row>
    <row r="454" spans="1:22" x14ac:dyDescent="0.25">
      <c r="A454" s="37"/>
      <c r="B454" s="38"/>
      <c r="C454" s="2"/>
      <c r="D454" s="41"/>
      <c r="E454" s="38"/>
      <c r="F454" s="2"/>
      <c r="G454" s="41"/>
      <c r="H454" s="38"/>
      <c r="I454" s="39"/>
      <c r="J454" s="39"/>
      <c r="K454" s="41"/>
      <c r="L454" s="41"/>
      <c r="M454" s="42"/>
      <c r="U454" s="3" t="str">
        <f t="shared" si="42"/>
        <v/>
      </c>
      <c r="V454" s="3" t="str">
        <f t="shared" si="43"/>
        <v/>
      </c>
    </row>
    <row r="455" spans="1:22" x14ac:dyDescent="0.25">
      <c r="A455" s="37"/>
      <c r="B455" s="38"/>
      <c r="C455" s="2"/>
      <c r="D455" s="41"/>
      <c r="E455" s="38"/>
      <c r="F455" s="2"/>
      <c r="G455" s="41"/>
      <c r="H455" s="38"/>
      <c r="I455" s="39"/>
      <c r="J455" s="39"/>
      <c r="K455" s="41"/>
      <c r="L455" s="41"/>
      <c r="M455" s="42"/>
      <c r="U455" s="3" t="str">
        <f t="shared" si="42"/>
        <v/>
      </c>
      <c r="V455" s="3" t="str">
        <f t="shared" si="43"/>
        <v/>
      </c>
    </row>
    <row r="456" spans="1:22" x14ac:dyDescent="0.25">
      <c r="A456" s="37"/>
      <c r="B456" s="38"/>
      <c r="C456" s="2"/>
      <c r="D456" s="41"/>
      <c r="E456" s="38"/>
      <c r="F456" s="2"/>
      <c r="G456" s="41"/>
      <c r="H456" s="38"/>
      <c r="I456" s="39"/>
      <c r="J456" s="39"/>
      <c r="K456" s="41"/>
      <c r="L456" s="41"/>
      <c r="M456" s="42"/>
      <c r="U456" s="3" t="str">
        <f t="shared" si="42"/>
        <v/>
      </c>
      <c r="V456" s="3" t="str">
        <f t="shared" si="43"/>
        <v/>
      </c>
    </row>
    <row r="457" spans="1:22" x14ac:dyDescent="0.25">
      <c r="A457" s="37"/>
      <c r="B457" s="38"/>
      <c r="C457" s="2"/>
      <c r="D457" s="41"/>
      <c r="E457" s="38"/>
      <c r="F457" s="2"/>
      <c r="G457" s="41"/>
      <c r="H457" s="38"/>
      <c r="I457" s="39"/>
      <c r="J457" s="39"/>
      <c r="K457" s="41"/>
      <c r="L457" s="41"/>
      <c r="M457" s="42"/>
      <c r="U457" s="3" t="str">
        <f t="shared" si="42"/>
        <v/>
      </c>
      <c r="V457" s="3" t="str">
        <f t="shared" si="43"/>
        <v/>
      </c>
    </row>
    <row r="458" spans="1:22" x14ac:dyDescent="0.25">
      <c r="A458" s="37"/>
      <c r="B458" s="38"/>
      <c r="C458" s="2"/>
      <c r="D458" s="41"/>
      <c r="E458" s="38"/>
      <c r="F458" s="2"/>
      <c r="G458" s="41"/>
      <c r="H458" s="38"/>
      <c r="I458" s="39"/>
      <c r="J458" s="39"/>
      <c r="K458" s="41"/>
      <c r="L458" s="41"/>
      <c r="M458" s="42"/>
      <c r="U458" s="3" t="str">
        <f t="shared" si="42"/>
        <v/>
      </c>
      <c r="V458" s="3" t="str">
        <f t="shared" si="43"/>
        <v/>
      </c>
    </row>
    <row r="459" spans="1:22" x14ac:dyDescent="0.25">
      <c r="A459" s="37"/>
      <c r="B459" s="38"/>
      <c r="C459" s="2"/>
      <c r="D459" s="41"/>
      <c r="E459" s="38"/>
      <c r="F459" s="2"/>
      <c r="G459" s="41"/>
      <c r="H459" s="38"/>
      <c r="I459" s="39"/>
      <c r="J459" s="39"/>
      <c r="K459" s="41"/>
      <c r="L459" s="41"/>
      <c r="M459" s="42"/>
      <c r="U459" s="3" t="str">
        <f t="shared" si="42"/>
        <v/>
      </c>
      <c r="V459" s="3" t="str">
        <f t="shared" si="43"/>
        <v/>
      </c>
    </row>
    <row r="460" spans="1:22" x14ac:dyDescent="0.25">
      <c r="A460" s="37"/>
      <c r="B460" s="38"/>
      <c r="C460" s="2"/>
      <c r="D460" s="41"/>
      <c r="E460" s="38"/>
      <c r="F460" s="2"/>
      <c r="G460" s="41"/>
      <c r="H460" s="38"/>
      <c r="I460" s="39"/>
      <c r="J460" s="39"/>
      <c r="K460" s="41"/>
      <c r="L460" s="41"/>
      <c r="M460" s="42"/>
      <c r="U460" s="3" t="str">
        <f t="shared" si="42"/>
        <v/>
      </c>
      <c r="V460" s="3" t="str">
        <f t="shared" si="43"/>
        <v/>
      </c>
    </row>
    <row r="461" spans="1:22" x14ac:dyDescent="0.25">
      <c r="A461" s="37"/>
      <c r="B461" s="38"/>
      <c r="C461" s="2"/>
      <c r="D461" s="41"/>
      <c r="E461" s="38"/>
      <c r="F461" s="2"/>
      <c r="G461" s="41"/>
      <c r="H461" s="38"/>
      <c r="I461" s="39"/>
      <c r="J461" s="39"/>
      <c r="K461" s="41"/>
      <c r="L461" s="41"/>
      <c r="M461" s="42"/>
      <c r="U461" s="3" t="str">
        <f t="shared" si="42"/>
        <v/>
      </c>
      <c r="V461" s="3" t="str">
        <f t="shared" si="43"/>
        <v/>
      </c>
    </row>
    <row r="462" spans="1:22" x14ac:dyDescent="0.25">
      <c r="A462" s="37"/>
      <c r="B462" s="38"/>
      <c r="C462" s="2"/>
      <c r="D462" s="41"/>
      <c r="E462" s="38"/>
      <c r="F462" s="2"/>
      <c r="G462" s="41"/>
      <c r="H462" s="38"/>
      <c r="I462" s="39"/>
      <c r="J462" s="39"/>
      <c r="K462" s="41"/>
      <c r="L462" s="41"/>
      <c r="M462" s="42"/>
      <c r="U462" s="3" t="str">
        <f t="shared" si="42"/>
        <v/>
      </c>
      <c r="V462" s="3" t="str">
        <f t="shared" si="43"/>
        <v/>
      </c>
    </row>
    <row r="463" spans="1:22" x14ac:dyDescent="0.25">
      <c r="A463" s="37"/>
      <c r="B463" s="38"/>
      <c r="C463" s="2"/>
      <c r="D463" s="41"/>
      <c r="E463" s="38"/>
      <c r="F463" s="2"/>
      <c r="G463" s="41"/>
      <c r="H463" s="38"/>
      <c r="I463" s="39"/>
      <c r="J463" s="39"/>
      <c r="K463" s="41"/>
      <c r="L463" s="41"/>
      <c r="M463" s="42"/>
      <c r="U463" s="3" t="str">
        <f t="shared" si="42"/>
        <v/>
      </c>
      <c r="V463" s="3" t="str">
        <f t="shared" si="43"/>
        <v/>
      </c>
    </row>
    <row r="464" spans="1:22" x14ac:dyDescent="0.25">
      <c r="A464" s="37"/>
      <c r="B464" s="38"/>
      <c r="C464" s="2"/>
      <c r="D464" s="41"/>
      <c r="E464" s="38"/>
      <c r="F464" s="2"/>
      <c r="G464" s="41"/>
      <c r="H464" s="38"/>
      <c r="I464" s="39"/>
      <c r="J464" s="39"/>
      <c r="K464" s="41"/>
      <c r="L464" s="41"/>
      <c r="M464" s="42"/>
      <c r="U464" s="3" t="str">
        <f t="shared" si="42"/>
        <v/>
      </c>
      <c r="V464" s="3" t="str">
        <f t="shared" si="43"/>
        <v/>
      </c>
    </row>
    <row r="465" spans="1:22" x14ac:dyDescent="0.25">
      <c r="A465" s="37"/>
      <c r="B465" s="38"/>
      <c r="C465" s="2"/>
      <c r="D465" s="41"/>
      <c r="E465" s="38"/>
      <c r="F465" s="2"/>
      <c r="G465" s="41"/>
      <c r="H465" s="38"/>
      <c r="I465" s="39"/>
      <c r="J465" s="39"/>
      <c r="K465" s="41"/>
      <c r="L465" s="41"/>
      <c r="M465" s="42"/>
      <c r="U465" s="3" t="str">
        <f t="shared" si="42"/>
        <v/>
      </c>
      <c r="V465" s="3" t="str">
        <f t="shared" si="43"/>
        <v/>
      </c>
    </row>
    <row r="466" spans="1:22" x14ac:dyDescent="0.25">
      <c r="A466" s="37"/>
      <c r="B466" s="38"/>
      <c r="C466" s="2"/>
      <c r="D466" s="41"/>
      <c r="E466" s="38"/>
      <c r="F466" s="2"/>
      <c r="G466" s="41"/>
      <c r="H466" s="38"/>
      <c r="I466" s="39"/>
      <c r="J466" s="39"/>
      <c r="K466" s="41"/>
      <c r="L466" s="41"/>
      <c r="M466" s="42"/>
      <c r="U466" s="3" t="str">
        <f t="shared" si="42"/>
        <v/>
      </c>
      <c r="V466" s="3" t="str">
        <f t="shared" si="43"/>
        <v/>
      </c>
    </row>
    <row r="467" spans="1:22" x14ac:dyDescent="0.25">
      <c r="A467" s="37"/>
      <c r="B467" s="38"/>
      <c r="C467" s="2"/>
      <c r="D467" s="41"/>
      <c r="E467" s="38"/>
      <c r="F467" s="2"/>
      <c r="G467" s="41"/>
      <c r="H467" s="38"/>
      <c r="I467" s="39"/>
      <c r="J467" s="39"/>
      <c r="K467" s="41"/>
      <c r="L467" s="41"/>
      <c r="M467" s="42"/>
      <c r="U467" s="3" t="str">
        <f t="shared" si="42"/>
        <v/>
      </c>
      <c r="V467" s="3" t="str">
        <f t="shared" si="43"/>
        <v/>
      </c>
    </row>
    <row r="468" spans="1:22" x14ac:dyDescent="0.25">
      <c r="A468" s="37"/>
      <c r="B468" s="38"/>
      <c r="C468" s="2"/>
      <c r="D468" s="41"/>
      <c r="E468" s="38"/>
      <c r="F468" s="2"/>
      <c r="G468" s="41"/>
      <c r="H468" s="38"/>
      <c r="I468" s="39"/>
      <c r="J468" s="39"/>
      <c r="K468" s="41"/>
      <c r="L468" s="41"/>
      <c r="M468" s="42"/>
      <c r="U468" s="3" t="str">
        <f t="shared" si="42"/>
        <v/>
      </c>
      <c r="V468" s="3" t="str">
        <f t="shared" si="43"/>
        <v/>
      </c>
    </row>
    <row r="469" spans="1:22" x14ac:dyDescent="0.25">
      <c r="A469" s="37"/>
      <c r="B469" s="38"/>
      <c r="C469" s="2"/>
      <c r="D469" s="41"/>
      <c r="E469" s="38"/>
      <c r="F469" s="2"/>
      <c r="G469" s="41"/>
      <c r="H469" s="38"/>
      <c r="I469" s="39"/>
      <c r="J469" s="39"/>
      <c r="K469" s="41"/>
      <c r="L469" s="41"/>
      <c r="M469" s="42"/>
      <c r="U469" s="3" t="str">
        <f t="shared" si="42"/>
        <v/>
      </c>
      <c r="V469" s="3" t="str">
        <f t="shared" si="43"/>
        <v/>
      </c>
    </row>
    <row r="470" spans="1:22" x14ac:dyDescent="0.25">
      <c r="A470" s="37"/>
      <c r="B470" s="38"/>
      <c r="C470" s="2"/>
      <c r="D470" s="41"/>
      <c r="E470" s="38"/>
      <c r="F470" s="2"/>
      <c r="G470" s="41"/>
      <c r="H470" s="38"/>
      <c r="I470" s="39"/>
      <c r="J470" s="39"/>
      <c r="K470" s="41"/>
      <c r="L470" s="41"/>
      <c r="M470" s="42"/>
      <c r="U470" s="3" t="str">
        <f t="shared" si="42"/>
        <v/>
      </c>
      <c r="V470" s="3" t="str">
        <f t="shared" si="43"/>
        <v/>
      </c>
    </row>
    <row r="471" spans="1:22" x14ac:dyDescent="0.25">
      <c r="A471" s="37"/>
      <c r="B471" s="38"/>
      <c r="C471" s="2"/>
      <c r="D471" s="41"/>
      <c r="E471" s="38"/>
      <c r="F471" s="2"/>
      <c r="G471" s="41"/>
      <c r="H471" s="38"/>
      <c r="I471" s="39"/>
      <c r="J471" s="39"/>
      <c r="K471" s="41"/>
      <c r="L471" s="41"/>
      <c r="M471" s="42"/>
      <c r="U471" s="3" t="str">
        <f t="shared" si="42"/>
        <v/>
      </c>
      <c r="V471" s="3" t="str">
        <f t="shared" si="43"/>
        <v/>
      </c>
    </row>
    <row r="472" spans="1:22" x14ac:dyDescent="0.25">
      <c r="A472" s="37"/>
      <c r="B472" s="38"/>
      <c r="C472" s="2"/>
      <c r="D472" s="41"/>
      <c r="E472" s="38"/>
      <c r="F472" s="2"/>
      <c r="G472" s="41"/>
      <c r="H472" s="38"/>
      <c r="I472" s="39"/>
      <c r="J472" s="39"/>
      <c r="K472" s="41"/>
      <c r="L472" s="41"/>
      <c r="M472" s="42"/>
      <c r="U472" s="3" t="str">
        <f t="shared" si="42"/>
        <v/>
      </c>
      <c r="V472" s="3" t="str">
        <f t="shared" si="43"/>
        <v/>
      </c>
    </row>
    <row r="473" spans="1:22" x14ac:dyDescent="0.25">
      <c r="A473" s="37"/>
      <c r="B473" s="38"/>
      <c r="C473" s="2"/>
      <c r="D473" s="41"/>
      <c r="E473" s="38"/>
      <c r="F473" s="2"/>
      <c r="G473" s="41"/>
      <c r="H473" s="38"/>
      <c r="I473" s="39"/>
      <c r="J473" s="39"/>
      <c r="K473" s="41"/>
      <c r="L473" s="41"/>
      <c r="M473" s="42"/>
      <c r="U473" s="3" t="str">
        <f t="shared" si="42"/>
        <v/>
      </c>
      <c r="V473" s="3" t="str">
        <f t="shared" si="43"/>
        <v/>
      </c>
    </row>
    <row r="474" spans="1:22" x14ac:dyDescent="0.25">
      <c r="A474" s="37"/>
      <c r="B474" s="38"/>
      <c r="C474" s="2"/>
      <c r="D474" s="41"/>
      <c r="E474" s="38"/>
      <c r="F474" s="2"/>
      <c r="G474" s="41"/>
      <c r="H474" s="38"/>
      <c r="I474" s="39"/>
      <c r="J474" s="39"/>
      <c r="K474" s="41"/>
      <c r="L474" s="41"/>
      <c r="M474" s="42"/>
      <c r="U474" s="3" t="str">
        <f t="shared" si="42"/>
        <v/>
      </c>
      <c r="V474" s="3" t="str">
        <f t="shared" si="43"/>
        <v/>
      </c>
    </row>
    <row r="475" spans="1:22" x14ac:dyDescent="0.25">
      <c r="A475" s="37"/>
      <c r="B475" s="38"/>
      <c r="C475" s="2"/>
      <c r="D475" s="41"/>
      <c r="E475" s="38"/>
      <c r="F475" s="2"/>
      <c r="G475" s="41"/>
      <c r="H475" s="38"/>
      <c r="I475" s="39"/>
      <c r="J475" s="39"/>
      <c r="K475" s="41"/>
      <c r="L475" s="41"/>
      <c r="M475" s="42"/>
      <c r="U475" s="3" t="str">
        <f t="shared" si="42"/>
        <v/>
      </c>
      <c r="V475" s="3" t="str">
        <f t="shared" si="43"/>
        <v/>
      </c>
    </row>
    <row r="476" spans="1:22" x14ac:dyDescent="0.25">
      <c r="A476" s="37"/>
      <c r="B476" s="38"/>
      <c r="C476" s="2"/>
      <c r="D476" s="41"/>
      <c r="E476" s="38"/>
      <c r="F476" s="2"/>
      <c r="G476" s="41"/>
      <c r="H476" s="38"/>
      <c r="I476" s="39"/>
      <c r="J476" s="39"/>
      <c r="K476" s="41"/>
      <c r="L476" s="41"/>
      <c r="M476" s="42"/>
      <c r="U476" s="3" t="str">
        <f t="shared" si="42"/>
        <v/>
      </c>
      <c r="V476" s="3" t="str">
        <f t="shared" si="43"/>
        <v/>
      </c>
    </row>
    <row r="477" spans="1:22" x14ac:dyDescent="0.25">
      <c r="A477" s="37"/>
      <c r="B477" s="38"/>
      <c r="C477" s="2"/>
      <c r="D477" s="41"/>
      <c r="E477" s="38"/>
      <c r="F477" s="2"/>
      <c r="G477" s="41"/>
      <c r="H477" s="38"/>
      <c r="I477" s="39"/>
      <c r="J477" s="39"/>
      <c r="K477" s="41"/>
      <c r="L477" s="41"/>
      <c r="M477" s="42"/>
      <c r="U477" s="3" t="str">
        <f t="shared" si="42"/>
        <v/>
      </c>
      <c r="V477" s="3" t="str">
        <f t="shared" si="43"/>
        <v/>
      </c>
    </row>
    <row r="478" spans="1:22" x14ac:dyDescent="0.25">
      <c r="A478" s="37"/>
      <c r="B478" s="38"/>
      <c r="C478" s="2"/>
      <c r="D478" s="41"/>
      <c r="E478" s="38"/>
      <c r="F478" s="2"/>
      <c r="G478" s="41"/>
      <c r="H478" s="38"/>
      <c r="I478" s="39"/>
      <c r="J478" s="39"/>
      <c r="K478" s="41"/>
      <c r="L478" s="41"/>
      <c r="M478" s="42"/>
      <c r="U478" s="3" t="str">
        <f t="shared" si="42"/>
        <v/>
      </c>
      <c r="V478" s="3" t="str">
        <f t="shared" si="43"/>
        <v/>
      </c>
    </row>
    <row r="479" spans="1:22" x14ac:dyDescent="0.25">
      <c r="A479" s="37"/>
      <c r="B479" s="38"/>
      <c r="C479" s="2"/>
      <c r="D479" s="41"/>
      <c r="E479" s="38"/>
      <c r="F479" s="2"/>
      <c r="G479" s="41"/>
      <c r="H479" s="38"/>
      <c r="I479" s="39"/>
      <c r="J479" s="39"/>
      <c r="K479" s="41"/>
      <c r="L479" s="41"/>
      <c r="M479" s="42"/>
      <c r="U479" s="3" t="str">
        <f t="shared" si="42"/>
        <v/>
      </c>
      <c r="V479" s="3" t="str">
        <f t="shared" si="43"/>
        <v/>
      </c>
    </row>
    <row r="480" spans="1:22" x14ac:dyDescent="0.25">
      <c r="A480" s="37"/>
      <c r="B480" s="38"/>
      <c r="C480" s="2"/>
      <c r="D480" s="41"/>
      <c r="E480" s="38"/>
      <c r="F480" s="2"/>
      <c r="G480" s="41"/>
      <c r="H480" s="38"/>
      <c r="I480" s="39"/>
      <c r="J480" s="39"/>
      <c r="K480" s="41"/>
      <c r="L480" s="41"/>
      <c r="M480" s="42"/>
      <c r="U480" s="3" t="str">
        <f t="shared" si="42"/>
        <v/>
      </c>
      <c r="V480" s="3" t="str">
        <f t="shared" si="43"/>
        <v/>
      </c>
    </row>
    <row r="481" spans="1:22" x14ac:dyDescent="0.25">
      <c r="A481" s="37"/>
      <c r="B481" s="38"/>
      <c r="C481" s="2"/>
      <c r="D481" s="41"/>
      <c r="E481" s="38"/>
      <c r="F481" s="2"/>
      <c r="G481" s="41"/>
      <c r="H481" s="38"/>
      <c r="I481" s="39"/>
      <c r="J481" s="39"/>
      <c r="K481" s="41"/>
      <c r="L481" s="41"/>
      <c r="M481" s="42"/>
      <c r="U481" s="3" t="str">
        <f t="shared" si="42"/>
        <v/>
      </c>
      <c r="V481" s="3" t="str">
        <f t="shared" si="43"/>
        <v/>
      </c>
    </row>
    <row r="482" spans="1:22" x14ac:dyDescent="0.25">
      <c r="A482" s="37"/>
      <c r="B482" s="38"/>
      <c r="C482" s="2"/>
      <c r="D482" s="41"/>
      <c r="E482" s="38"/>
      <c r="F482" s="2"/>
      <c r="G482" s="41"/>
      <c r="H482" s="38"/>
      <c r="I482" s="39"/>
      <c r="J482" s="39"/>
      <c r="K482" s="41"/>
      <c r="L482" s="41"/>
      <c r="M482" s="42"/>
      <c r="U482" s="3" t="str">
        <f t="shared" si="42"/>
        <v/>
      </c>
      <c r="V482" s="3" t="str">
        <f t="shared" si="43"/>
        <v/>
      </c>
    </row>
    <row r="483" spans="1:22" x14ac:dyDescent="0.25">
      <c r="A483" s="37"/>
      <c r="B483" s="38"/>
      <c r="C483" s="2"/>
      <c r="D483" s="41"/>
      <c r="E483" s="38"/>
      <c r="F483" s="2"/>
      <c r="G483" s="41"/>
      <c r="H483" s="38"/>
      <c r="I483" s="39"/>
      <c r="J483" s="39"/>
      <c r="K483" s="41"/>
      <c r="L483" s="41"/>
      <c r="M483" s="42"/>
      <c r="U483" s="3" t="str">
        <f t="shared" si="42"/>
        <v/>
      </c>
      <c r="V483" s="3" t="str">
        <f t="shared" si="43"/>
        <v/>
      </c>
    </row>
    <row r="484" spans="1:22" x14ac:dyDescent="0.25">
      <c r="A484" s="37"/>
      <c r="B484" s="38"/>
      <c r="C484" s="2"/>
      <c r="D484" s="41"/>
      <c r="E484" s="38"/>
      <c r="F484" s="2"/>
      <c r="G484" s="41"/>
      <c r="H484" s="38"/>
      <c r="I484" s="39"/>
      <c r="J484" s="39"/>
      <c r="K484" s="41"/>
      <c r="L484" s="41"/>
      <c r="M484" s="42"/>
      <c r="U484" s="3" t="str">
        <f t="shared" si="42"/>
        <v/>
      </c>
      <c r="V484" s="3" t="str">
        <f t="shared" si="43"/>
        <v/>
      </c>
    </row>
    <row r="485" spans="1:22" x14ac:dyDescent="0.25">
      <c r="A485" s="37"/>
      <c r="B485" s="38"/>
      <c r="C485" s="2"/>
      <c r="D485" s="41"/>
      <c r="E485" s="38"/>
      <c r="F485" s="2"/>
      <c r="G485" s="41"/>
      <c r="H485" s="38"/>
      <c r="I485" s="39"/>
      <c r="J485" s="39"/>
      <c r="K485" s="41"/>
      <c r="L485" s="41"/>
      <c r="M485" s="42"/>
      <c r="U485" s="3" t="str">
        <f t="shared" si="42"/>
        <v/>
      </c>
      <c r="V485" s="3" t="str">
        <f t="shared" si="43"/>
        <v/>
      </c>
    </row>
    <row r="486" spans="1:22" x14ac:dyDescent="0.25">
      <c r="A486" s="37"/>
      <c r="B486" s="38"/>
      <c r="C486" s="2"/>
      <c r="D486" s="41"/>
      <c r="E486" s="38"/>
      <c r="F486" s="2"/>
      <c r="G486" s="41"/>
      <c r="H486" s="38"/>
      <c r="I486" s="39"/>
      <c r="J486" s="39"/>
      <c r="K486" s="41"/>
      <c r="L486" s="41"/>
      <c r="M486" s="42"/>
      <c r="U486" s="3" t="str">
        <f t="shared" si="42"/>
        <v/>
      </c>
      <c r="V486" s="3" t="str">
        <f t="shared" si="43"/>
        <v/>
      </c>
    </row>
    <row r="487" spans="1:22" x14ac:dyDescent="0.25">
      <c r="A487" s="37"/>
      <c r="B487" s="38"/>
      <c r="C487" s="2"/>
      <c r="D487" s="41"/>
      <c r="E487" s="38"/>
      <c r="F487" s="2"/>
      <c r="G487" s="41"/>
      <c r="H487" s="38"/>
      <c r="I487" s="39"/>
      <c r="J487" s="39"/>
      <c r="K487" s="41"/>
      <c r="L487" s="41"/>
      <c r="M487" s="42"/>
      <c r="U487" s="3" t="str">
        <f t="shared" si="42"/>
        <v/>
      </c>
      <c r="V487" s="3" t="str">
        <f t="shared" si="43"/>
        <v/>
      </c>
    </row>
    <row r="488" spans="1:22" x14ac:dyDescent="0.25">
      <c r="A488" s="37"/>
      <c r="B488" s="38"/>
      <c r="C488" s="2"/>
      <c r="D488" s="41"/>
      <c r="E488" s="38"/>
      <c r="F488" s="2"/>
      <c r="G488" s="41"/>
      <c r="H488" s="38"/>
      <c r="I488" s="39"/>
      <c r="J488" s="39"/>
      <c r="K488" s="41"/>
      <c r="L488" s="41"/>
      <c r="M488" s="42"/>
      <c r="U488" s="3" t="str">
        <f t="shared" si="42"/>
        <v/>
      </c>
      <c r="V488" s="3" t="str">
        <f t="shared" si="43"/>
        <v/>
      </c>
    </row>
    <row r="489" spans="1:22" x14ac:dyDescent="0.25">
      <c r="A489" s="37"/>
      <c r="B489" s="38"/>
      <c r="C489" s="2"/>
      <c r="D489" s="41"/>
      <c r="E489" s="38"/>
      <c r="F489" s="2"/>
      <c r="G489" s="41"/>
      <c r="H489" s="38"/>
      <c r="I489" s="39"/>
      <c r="J489" s="39"/>
      <c r="K489" s="41"/>
      <c r="L489" s="41"/>
      <c r="M489" s="42"/>
      <c r="U489" s="3" t="str">
        <f t="shared" si="42"/>
        <v/>
      </c>
      <c r="V489" s="3" t="str">
        <f t="shared" si="43"/>
        <v/>
      </c>
    </row>
    <row r="490" spans="1:22" x14ac:dyDescent="0.25">
      <c r="A490" s="37"/>
      <c r="B490" s="38"/>
      <c r="C490" s="2"/>
      <c r="D490" s="41"/>
      <c r="E490" s="38"/>
      <c r="F490" s="2"/>
      <c r="G490" s="41"/>
      <c r="H490" s="38"/>
      <c r="I490" s="39"/>
      <c r="J490" s="39"/>
      <c r="K490" s="41"/>
      <c r="L490" s="41"/>
      <c r="M490" s="42"/>
      <c r="U490" s="3" t="str">
        <f t="shared" si="42"/>
        <v/>
      </c>
      <c r="V490" s="3" t="str">
        <f t="shared" si="43"/>
        <v/>
      </c>
    </row>
    <row r="491" spans="1:22" x14ac:dyDescent="0.25">
      <c r="A491" s="37"/>
      <c r="B491" s="38"/>
      <c r="C491" s="2"/>
      <c r="D491" s="41"/>
      <c r="E491" s="38"/>
      <c r="F491" s="2"/>
      <c r="G491" s="41"/>
      <c r="H491" s="38"/>
      <c r="I491" s="39"/>
      <c r="J491" s="39"/>
      <c r="K491" s="41"/>
      <c r="L491" s="41"/>
      <c r="M491" s="42"/>
      <c r="U491" s="3" t="str">
        <f t="shared" si="42"/>
        <v/>
      </c>
      <c r="V491" s="3" t="str">
        <f t="shared" si="43"/>
        <v/>
      </c>
    </row>
    <row r="492" spans="1:22" x14ac:dyDescent="0.25">
      <c r="A492" s="37"/>
      <c r="B492" s="38"/>
      <c r="C492" s="2"/>
      <c r="D492" s="41"/>
      <c r="E492" s="38"/>
      <c r="F492" s="2"/>
      <c r="G492" s="41"/>
      <c r="H492" s="38"/>
      <c r="I492" s="39"/>
      <c r="J492" s="39"/>
      <c r="K492" s="41"/>
      <c r="L492" s="41"/>
      <c r="M492" s="42"/>
      <c r="U492" s="3" t="str">
        <f t="shared" si="42"/>
        <v/>
      </c>
      <c r="V492" s="3" t="str">
        <f t="shared" si="43"/>
        <v/>
      </c>
    </row>
    <row r="493" spans="1:22" x14ac:dyDescent="0.25">
      <c r="A493" s="37"/>
      <c r="B493" s="38"/>
      <c r="C493" s="2"/>
      <c r="D493" s="41"/>
      <c r="E493" s="38"/>
      <c r="F493" s="2"/>
      <c r="G493" s="41"/>
      <c r="H493" s="38"/>
      <c r="I493" s="39"/>
      <c r="J493" s="39"/>
      <c r="K493" s="41"/>
      <c r="L493" s="41"/>
      <c r="M493" s="42"/>
      <c r="U493" s="3" t="str">
        <f t="shared" si="42"/>
        <v/>
      </c>
      <c r="V493" s="3" t="str">
        <f t="shared" si="43"/>
        <v/>
      </c>
    </row>
    <row r="494" spans="1:22" x14ac:dyDescent="0.25">
      <c r="A494" s="37"/>
      <c r="B494" s="38"/>
      <c r="C494" s="2"/>
      <c r="D494" s="41"/>
      <c r="E494" s="38"/>
      <c r="F494" s="2"/>
      <c r="G494" s="41"/>
      <c r="H494" s="38"/>
      <c r="I494" s="39"/>
      <c r="J494" s="39"/>
      <c r="K494" s="41"/>
      <c r="L494" s="41"/>
      <c r="M494" s="42"/>
      <c r="U494" s="3" t="str">
        <f t="shared" si="42"/>
        <v/>
      </c>
      <c r="V494" s="3" t="str">
        <f t="shared" si="43"/>
        <v/>
      </c>
    </row>
    <row r="495" spans="1:22" x14ac:dyDescent="0.25">
      <c r="A495" s="37"/>
      <c r="B495" s="38"/>
      <c r="C495" s="2"/>
      <c r="D495" s="41"/>
      <c r="E495" s="38"/>
      <c r="F495" s="2"/>
      <c r="G495" s="41"/>
      <c r="H495" s="38"/>
      <c r="I495" s="39"/>
      <c r="J495" s="39"/>
      <c r="K495" s="41"/>
      <c r="L495" s="41"/>
      <c r="M495" s="42"/>
      <c r="U495" s="3" t="str">
        <f t="shared" si="42"/>
        <v/>
      </c>
      <c r="V495" s="3" t="str">
        <f t="shared" si="43"/>
        <v/>
      </c>
    </row>
    <row r="496" spans="1:22" x14ac:dyDescent="0.25">
      <c r="A496" s="37"/>
      <c r="B496" s="38"/>
      <c r="C496" s="2"/>
      <c r="D496" s="41"/>
      <c r="E496" s="38"/>
      <c r="F496" s="2"/>
      <c r="G496" s="41"/>
      <c r="H496" s="38"/>
      <c r="I496" s="39"/>
      <c r="J496" s="39"/>
      <c r="K496" s="41"/>
      <c r="L496" s="41"/>
      <c r="M496" s="42"/>
      <c r="U496" s="3" t="str">
        <f t="shared" si="42"/>
        <v/>
      </c>
      <c r="V496" s="3" t="str">
        <f t="shared" si="43"/>
        <v/>
      </c>
    </row>
    <row r="497" spans="1:22" x14ac:dyDescent="0.25">
      <c r="A497" s="37"/>
      <c r="B497" s="38"/>
      <c r="C497" s="2"/>
      <c r="D497" s="41"/>
      <c r="E497" s="38"/>
      <c r="F497" s="2"/>
      <c r="G497" s="41"/>
      <c r="H497" s="38"/>
      <c r="I497" s="39"/>
      <c r="J497" s="39"/>
      <c r="K497" s="41"/>
      <c r="L497" s="41"/>
      <c r="M497" s="42"/>
      <c r="U497" s="3" t="str">
        <f t="shared" si="42"/>
        <v/>
      </c>
      <c r="V497" s="3" t="str">
        <f t="shared" si="43"/>
        <v/>
      </c>
    </row>
    <row r="498" spans="1:22" x14ac:dyDescent="0.25">
      <c r="A498" s="37"/>
      <c r="B498" s="38"/>
      <c r="C498" s="2"/>
      <c r="D498" s="41"/>
      <c r="E498" s="38"/>
      <c r="F498" s="2"/>
      <c r="G498" s="41"/>
      <c r="H498" s="38"/>
      <c r="I498" s="39"/>
      <c r="J498" s="39"/>
      <c r="K498" s="41"/>
      <c r="L498" s="41"/>
      <c r="M498" s="42"/>
      <c r="U498" s="3" t="str">
        <f t="shared" si="42"/>
        <v/>
      </c>
      <c r="V498" s="3" t="str">
        <f t="shared" si="43"/>
        <v/>
      </c>
    </row>
    <row r="499" spans="1:22" x14ac:dyDescent="0.25">
      <c r="A499" s="37"/>
      <c r="B499" s="38"/>
      <c r="C499" s="2"/>
      <c r="D499" s="41"/>
      <c r="E499" s="38"/>
      <c r="F499" s="2"/>
      <c r="G499" s="41"/>
      <c r="H499" s="38"/>
      <c r="I499" s="39"/>
      <c r="J499" s="39"/>
      <c r="K499" s="41"/>
      <c r="L499" s="41"/>
      <c r="M499" s="42"/>
      <c r="U499" s="3" t="str">
        <f t="shared" si="42"/>
        <v/>
      </c>
      <c r="V499" s="3" t="str">
        <f t="shared" si="43"/>
        <v/>
      </c>
    </row>
    <row r="500" spans="1:22" x14ac:dyDescent="0.25">
      <c r="A500" s="37"/>
      <c r="B500" s="38"/>
      <c r="C500" s="2"/>
      <c r="D500" s="41"/>
      <c r="E500" s="38"/>
      <c r="F500" s="2"/>
      <c r="G500" s="41"/>
      <c r="H500" s="38"/>
      <c r="I500" s="39"/>
      <c r="J500" s="39"/>
      <c r="K500" s="41"/>
      <c r="L500" s="41"/>
      <c r="M500" s="42"/>
      <c r="U500" s="3" t="str">
        <f t="shared" si="42"/>
        <v/>
      </c>
      <c r="V500" s="3" t="str">
        <f t="shared" si="43"/>
        <v/>
      </c>
    </row>
    <row r="501" spans="1:22" x14ac:dyDescent="0.25">
      <c r="A501" s="37"/>
      <c r="B501" s="38"/>
      <c r="C501" s="2"/>
      <c r="D501" s="41"/>
      <c r="E501" s="38"/>
      <c r="F501" s="2"/>
      <c r="G501" s="41"/>
      <c r="H501" s="38"/>
      <c r="I501" s="39"/>
      <c r="J501" s="39"/>
      <c r="K501" s="41"/>
      <c r="L501" s="41"/>
      <c r="M501" s="42"/>
      <c r="U501" s="3" t="str">
        <f t="shared" si="42"/>
        <v/>
      </c>
      <c r="V501" s="3" t="str">
        <f t="shared" si="43"/>
        <v/>
      </c>
    </row>
    <row r="502" spans="1:22" x14ac:dyDescent="0.25">
      <c r="A502" s="37"/>
      <c r="B502" s="38"/>
      <c r="C502" s="2"/>
      <c r="D502" s="41"/>
      <c r="E502" s="38"/>
      <c r="F502" s="2"/>
      <c r="G502" s="41"/>
      <c r="H502" s="38"/>
      <c r="I502" s="39"/>
      <c r="J502" s="39"/>
      <c r="K502" s="41"/>
      <c r="L502" s="41"/>
      <c r="M502" s="42"/>
      <c r="U502" s="3" t="str">
        <f t="shared" si="42"/>
        <v/>
      </c>
      <c r="V502" s="3" t="str">
        <f t="shared" si="43"/>
        <v/>
      </c>
    </row>
    <row r="503" spans="1:22" x14ac:dyDescent="0.25">
      <c r="A503" s="37"/>
      <c r="B503" s="38"/>
      <c r="C503" s="2"/>
      <c r="D503" s="41"/>
      <c r="E503" s="38"/>
      <c r="F503" s="2"/>
      <c r="G503" s="41"/>
      <c r="H503" s="38"/>
      <c r="I503" s="39"/>
      <c r="J503" s="39"/>
      <c r="K503" s="41"/>
      <c r="L503" s="41"/>
      <c r="M503" s="42"/>
      <c r="U503" s="3" t="str">
        <f t="shared" si="42"/>
        <v/>
      </c>
      <c r="V503" s="3" t="str">
        <f t="shared" si="43"/>
        <v/>
      </c>
    </row>
    <row r="504" spans="1:22" x14ac:dyDescent="0.25">
      <c r="A504" s="37"/>
      <c r="B504" s="38"/>
      <c r="C504" s="2"/>
      <c r="D504" s="41"/>
      <c r="E504" s="38"/>
      <c r="F504" s="2"/>
      <c r="G504" s="41"/>
      <c r="H504" s="38"/>
      <c r="I504" s="39"/>
      <c r="J504" s="39"/>
      <c r="K504" s="41"/>
      <c r="L504" s="41"/>
      <c r="M504" s="42"/>
      <c r="U504" s="3" t="str">
        <f t="shared" si="42"/>
        <v/>
      </c>
      <c r="V504" s="3" t="str">
        <f t="shared" si="43"/>
        <v/>
      </c>
    </row>
    <row r="505" spans="1:22" x14ac:dyDescent="0.25">
      <c r="A505" s="37"/>
      <c r="B505" s="38"/>
      <c r="C505" s="2"/>
      <c r="D505" s="41"/>
      <c r="E505" s="38"/>
      <c r="F505" s="2"/>
      <c r="G505" s="41"/>
      <c r="H505" s="38"/>
      <c r="I505" s="39"/>
      <c r="J505" s="39"/>
      <c r="K505" s="41"/>
      <c r="L505" s="41"/>
      <c r="M505" s="42"/>
      <c r="U505" s="3" t="str">
        <f t="shared" si="42"/>
        <v/>
      </c>
      <c r="V505" s="3" t="str">
        <f t="shared" si="43"/>
        <v/>
      </c>
    </row>
    <row r="506" spans="1:22" x14ac:dyDescent="0.25">
      <c r="A506" s="37"/>
      <c r="B506" s="38"/>
      <c r="C506" s="2"/>
      <c r="D506" s="41"/>
      <c r="E506" s="38"/>
      <c r="F506" s="2"/>
      <c r="G506" s="41"/>
      <c r="H506" s="38"/>
      <c r="I506" s="39"/>
      <c r="J506" s="39"/>
      <c r="K506" s="41"/>
      <c r="L506" s="41"/>
      <c r="M506" s="42"/>
      <c r="U506" s="3" t="str">
        <f t="shared" si="42"/>
        <v/>
      </c>
      <c r="V506" s="3" t="str">
        <f t="shared" si="43"/>
        <v/>
      </c>
    </row>
    <row r="507" spans="1:22" x14ac:dyDescent="0.25">
      <c r="A507" s="37"/>
      <c r="B507" s="38"/>
      <c r="C507" s="2"/>
      <c r="D507" s="41"/>
      <c r="E507" s="38"/>
      <c r="F507" s="2"/>
      <c r="G507" s="41"/>
      <c r="H507" s="38"/>
      <c r="I507" s="39"/>
      <c r="J507" s="39"/>
      <c r="K507" s="41"/>
      <c r="L507" s="41"/>
      <c r="M507" s="42"/>
      <c r="U507" s="3" t="str">
        <f t="shared" si="42"/>
        <v/>
      </c>
      <c r="V507" s="3" t="str">
        <f t="shared" si="43"/>
        <v/>
      </c>
    </row>
    <row r="508" spans="1:22" x14ac:dyDescent="0.25">
      <c r="A508" s="37"/>
      <c r="B508" s="38"/>
      <c r="C508" s="2"/>
      <c r="D508" s="41"/>
      <c r="E508" s="38"/>
      <c r="F508" s="2"/>
      <c r="G508" s="41"/>
      <c r="H508" s="38"/>
      <c r="I508" s="39"/>
      <c r="J508" s="39"/>
      <c r="K508" s="41"/>
      <c r="L508" s="41"/>
      <c r="M508" s="42"/>
      <c r="U508" s="3" t="str">
        <f t="shared" si="42"/>
        <v/>
      </c>
      <c r="V508" s="3" t="str">
        <f t="shared" si="43"/>
        <v/>
      </c>
    </row>
    <row r="509" spans="1:22" x14ac:dyDescent="0.25">
      <c r="A509" s="37"/>
      <c r="B509" s="38"/>
      <c r="C509" s="2"/>
      <c r="D509" s="41"/>
      <c r="E509" s="38"/>
      <c r="F509" s="2"/>
      <c r="G509" s="41"/>
      <c r="H509" s="38"/>
      <c r="I509" s="39"/>
      <c r="J509" s="39"/>
      <c r="K509" s="41"/>
      <c r="L509" s="41"/>
      <c r="M509" s="42"/>
      <c r="U509" s="3" t="str">
        <f t="shared" si="42"/>
        <v/>
      </c>
      <c r="V509" s="3" t="str">
        <f t="shared" si="43"/>
        <v/>
      </c>
    </row>
    <row r="510" spans="1:22" x14ac:dyDescent="0.25">
      <c r="A510" s="37"/>
      <c r="B510" s="38"/>
      <c r="C510" s="2"/>
      <c r="D510" s="41"/>
      <c r="E510" s="38"/>
      <c r="F510" s="2"/>
      <c r="G510" s="41"/>
      <c r="H510" s="38"/>
      <c r="I510" s="39"/>
      <c r="J510" s="39"/>
      <c r="K510" s="41"/>
      <c r="L510" s="41"/>
      <c r="M510" s="42"/>
      <c r="U510" s="3" t="str">
        <f t="shared" si="42"/>
        <v/>
      </c>
      <c r="V510" s="3" t="str">
        <f t="shared" si="43"/>
        <v/>
      </c>
    </row>
    <row r="511" spans="1:22" x14ac:dyDescent="0.25">
      <c r="A511" s="37"/>
      <c r="B511" s="38"/>
      <c r="C511" s="2"/>
      <c r="D511" s="41"/>
      <c r="E511" s="38"/>
      <c r="F511" s="2"/>
      <c r="G511" s="41"/>
      <c r="H511" s="38"/>
      <c r="I511" s="39"/>
      <c r="J511" s="39"/>
      <c r="K511" s="41"/>
      <c r="L511" s="41"/>
      <c r="M511" s="42"/>
      <c r="U511" s="3" t="str">
        <f t="shared" si="42"/>
        <v/>
      </c>
      <c r="V511" s="3" t="str">
        <f t="shared" si="43"/>
        <v/>
      </c>
    </row>
    <row r="512" spans="1:22" x14ac:dyDescent="0.25">
      <c r="A512" s="37"/>
      <c r="B512" s="38"/>
      <c r="C512" s="2"/>
      <c r="D512" s="41"/>
      <c r="E512" s="38"/>
      <c r="F512" s="2"/>
      <c r="G512" s="41"/>
      <c r="H512" s="38"/>
      <c r="I512" s="39"/>
      <c r="J512" s="39"/>
      <c r="K512" s="41"/>
      <c r="L512" s="41"/>
      <c r="M512" s="42"/>
      <c r="U512" s="3" t="str">
        <f t="shared" si="42"/>
        <v/>
      </c>
      <c r="V512" s="3" t="str">
        <f t="shared" si="43"/>
        <v/>
      </c>
    </row>
    <row r="513" spans="1:22" x14ac:dyDescent="0.25">
      <c r="A513" s="37"/>
      <c r="B513" s="38"/>
      <c r="C513" s="2"/>
      <c r="D513" s="41"/>
      <c r="E513" s="38"/>
      <c r="F513" s="2"/>
      <c r="G513" s="41"/>
      <c r="H513" s="38"/>
      <c r="I513" s="39"/>
      <c r="J513" s="39"/>
      <c r="K513" s="41"/>
      <c r="L513" s="41"/>
      <c r="M513" s="42"/>
      <c r="U513" s="3" t="str">
        <f t="shared" si="42"/>
        <v/>
      </c>
      <c r="V513" s="3" t="str">
        <f t="shared" si="43"/>
        <v/>
      </c>
    </row>
    <row r="514" spans="1:22" x14ac:dyDescent="0.25">
      <c r="A514" s="37"/>
      <c r="B514" s="38"/>
      <c r="C514" s="2"/>
      <c r="D514" s="41"/>
      <c r="E514" s="38"/>
      <c r="F514" s="2"/>
      <c r="G514" s="41"/>
      <c r="H514" s="38"/>
      <c r="I514" s="39"/>
      <c r="J514" s="39"/>
      <c r="K514" s="41"/>
      <c r="L514" s="41"/>
      <c r="M514" s="42"/>
      <c r="U514" s="3" t="str">
        <f t="shared" si="42"/>
        <v/>
      </c>
      <c r="V514" s="3" t="str">
        <f t="shared" si="43"/>
        <v/>
      </c>
    </row>
    <row r="515" spans="1:22" x14ac:dyDescent="0.25">
      <c r="A515" s="37"/>
      <c r="B515" s="38"/>
      <c r="C515" s="2"/>
      <c r="D515" s="41"/>
      <c r="E515" s="38"/>
      <c r="F515" s="2"/>
      <c r="G515" s="41"/>
      <c r="H515" s="38"/>
      <c r="I515" s="39"/>
      <c r="J515" s="39"/>
      <c r="K515" s="41"/>
      <c r="L515" s="41"/>
      <c r="M515" s="42"/>
      <c r="U515" s="3" t="str">
        <f t="shared" si="42"/>
        <v/>
      </c>
      <c r="V515" s="3" t="str">
        <f t="shared" si="43"/>
        <v/>
      </c>
    </row>
    <row r="516" spans="1:22" x14ac:dyDescent="0.25">
      <c r="A516" s="37"/>
      <c r="B516" s="38"/>
      <c r="C516" s="2"/>
      <c r="D516" s="41"/>
      <c r="E516" s="38"/>
      <c r="F516" s="2"/>
      <c r="G516" s="41"/>
      <c r="H516" s="38"/>
      <c r="I516" s="39"/>
      <c r="J516" s="39"/>
      <c r="K516" s="41"/>
      <c r="L516" s="41"/>
      <c r="M516" s="42"/>
      <c r="U516" s="3" t="str">
        <f t="shared" ref="U516:U567" si="44">IF(COUNTIF(Q:Q,O516)*COUNTIF(S:S,O516),O516,"")</f>
        <v/>
      </c>
      <c r="V516" s="3" t="str">
        <f t="shared" ref="V516:V567" si="45">IF(U516&gt;$A$14,U516,"")</f>
        <v/>
      </c>
    </row>
    <row r="517" spans="1:22" x14ac:dyDescent="0.25">
      <c r="A517" s="37"/>
      <c r="B517" s="38"/>
      <c r="C517" s="2"/>
      <c r="D517" s="41"/>
      <c r="E517" s="38"/>
      <c r="F517" s="2"/>
      <c r="G517" s="41"/>
      <c r="H517" s="38"/>
      <c r="I517" s="39"/>
      <c r="J517" s="39"/>
      <c r="K517" s="41"/>
      <c r="L517" s="41"/>
      <c r="M517" s="42"/>
      <c r="U517" s="3" t="str">
        <f t="shared" si="44"/>
        <v/>
      </c>
      <c r="V517" s="3" t="str">
        <f t="shared" si="45"/>
        <v/>
      </c>
    </row>
    <row r="518" spans="1:22" x14ac:dyDescent="0.25">
      <c r="A518" s="37"/>
      <c r="B518" s="38"/>
      <c r="C518" s="2"/>
      <c r="D518" s="41"/>
      <c r="E518" s="38"/>
      <c r="F518" s="2"/>
      <c r="G518" s="41"/>
      <c r="H518" s="38"/>
      <c r="I518" s="39"/>
      <c r="J518" s="39"/>
      <c r="K518" s="41"/>
      <c r="L518" s="41"/>
      <c r="M518" s="42"/>
      <c r="U518" s="3" t="str">
        <f t="shared" si="44"/>
        <v/>
      </c>
      <c r="V518" s="3" t="str">
        <f t="shared" si="45"/>
        <v/>
      </c>
    </row>
    <row r="519" spans="1:22" x14ac:dyDescent="0.25">
      <c r="A519" s="37"/>
      <c r="B519" s="38"/>
      <c r="C519" s="2"/>
      <c r="D519" s="41"/>
      <c r="E519" s="38"/>
      <c r="F519" s="2"/>
      <c r="G519" s="41"/>
      <c r="H519" s="38"/>
      <c r="I519" s="39"/>
      <c r="J519" s="39"/>
      <c r="K519" s="41"/>
      <c r="L519" s="41"/>
      <c r="M519" s="42"/>
      <c r="U519" s="3" t="str">
        <f t="shared" si="44"/>
        <v/>
      </c>
      <c r="V519" s="3" t="str">
        <f t="shared" si="45"/>
        <v/>
      </c>
    </row>
    <row r="520" spans="1:22" x14ac:dyDescent="0.25">
      <c r="A520" s="37"/>
      <c r="B520" s="38"/>
      <c r="C520" s="2"/>
      <c r="D520" s="41"/>
      <c r="E520" s="38"/>
      <c r="F520" s="2"/>
      <c r="G520" s="41"/>
      <c r="H520" s="38"/>
      <c r="I520" s="39"/>
      <c r="J520" s="39"/>
      <c r="K520" s="41"/>
      <c r="L520" s="41"/>
      <c r="M520" s="42"/>
      <c r="U520" s="3" t="str">
        <f t="shared" si="44"/>
        <v/>
      </c>
      <c r="V520" s="3" t="str">
        <f t="shared" si="45"/>
        <v/>
      </c>
    </row>
    <row r="521" spans="1:22" x14ac:dyDescent="0.25">
      <c r="A521" s="37"/>
      <c r="B521" s="38"/>
      <c r="C521" s="2"/>
      <c r="D521" s="41"/>
      <c r="E521" s="38"/>
      <c r="F521" s="2"/>
      <c r="G521" s="41"/>
      <c r="H521" s="38"/>
      <c r="I521" s="39"/>
      <c r="J521" s="39"/>
      <c r="K521" s="41"/>
      <c r="L521" s="41"/>
      <c r="M521" s="42"/>
      <c r="U521" s="3" t="str">
        <f t="shared" si="44"/>
        <v/>
      </c>
      <c r="V521" s="3" t="str">
        <f t="shared" si="45"/>
        <v/>
      </c>
    </row>
    <row r="522" spans="1:22" x14ac:dyDescent="0.25">
      <c r="A522" s="37"/>
      <c r="B522" s="38"/>
      <c r="C522" s="2"/>
      <c r="D522" s="41"/>
      <c r="E522" s="38"/>
      <c r="F522" s="2"/>
      <c r="G522" s="41"/>
      <c r="H522" s="38"/>
      <c r="I522" s="39"/>
      <c r="J522" s="39"/>
      <c r="K522" s="41"/>
      <c r="L522" s="41"/>
      <c r="M522" s="42"/>
      <c r="U522" s="3" t="str">
        <f t="shared" si="44"/>
        <v/>
      </c>
      <c r="V522" s="3" t="str">
        <f t="shared" si="45"/>
        <v/>
      </c>
    </row>
    <row r="523" spans="1:22" x14ac:dyDescent="0.25">
      <c r="A523" s="37"/>
      <c r="B523" s="38"/>
      <c r="C523" s="2"/>
      <c r="D523" s="41"/>
      <c r="E523" s="38"/>
      <c r="F523" s="2"/>
      <c r="G523" s="41"/>
      <c r="H523" s="38"/>
      <c r="I523" s="39"/>
      <c r="J523" s="39"/>
      <c r="K523" s="41"/>
      <c r="L523" s="41"/>
      <c r="M523" s="42"/>
      <c r="U523" s="3" t="str">
        <f t="shared" si="44"/>
        <v/>
      </c>
      <c r="V523" s="3" t="str">
        <f t="shared" si="45"/>
        <v/>
      </c>
    </row>
    <row r="524" spans="1:22" x14ac:dyDescent="0.25">
      <c r="A524" s="37"/>
      <c r="B524" s="38"/>
      <c r="C524" s="2"/>
      <c r="D524" s="41"/>
      <c r="E524" s="38"/>
      <c r="F524" s="2"/>
      <c r="G524" s="41"/>
      <c r="H524" s="38"/>
      <c r="I524" s="39"/>
      <c r="J524" s="39"/>
      <c r="K524" s="41"/>
      <c r="L524" s="41"/>
      <c r="M524" s="42"/>
      <c r="U524" s="3" t="str">
        <f t="shared" si="44"/>
        <v/>
      </c>
      <c r="V524" s="3" t="str">
        <f t="shared" si="45"/>
        <v/>
      </c>
    </row>
    <row r="525" spans="1:22" x14ac:dyDescent="0.25">
      <c r="A525" s="37"/>
      <c r="B525" s="38"/>
      <c r="C525" s="2"/>
      <c r="D525" s="41"/>
      <c r="E525" s="38"/>
      <c r="F525" s="2"/>
      <c r="G525" s="41"/>
      <c r="H525" s="38"/>
      <c r="I525" s="39"/>
      <c r="J525" s="39"/>
      <c r="K525" s="41"/>
      <c r="L525" s="41"/>
      <c r="M525" s="42"/>
      <c r="U525" s="3" t="str">
        <f t="shared" si="44"/>
        <v/>
      </c>
      <c r="V525" s="3" t="str">
        <f t="shared" si="45"/>
        <v/>
      </c>
    </row>
    <row r="526" spans="1:22" x14ac:dyDescent="0.25">
      <c r="A526" s="37"/>
      <c r="B526" s="38"/>
      <c r="C526" s="2"/>
      <c r="D526" s="41"/>
      <c r="E526" s="38"/>
      <c r="F526" s="2"/>
      <c r="G526" s="41"/>
      <c r="H526" s="38"/>
      <c r="I526" s="39"/>
      <c r="J526" s="39"/>
      <c r="K526" s="41"/>
      <c r="L526" s="41"/>
      <c r="M526" s="42"/>
      <c r="U526" s="3" t="str">
        <f t="shared" si="44"/>
        <v/>
      </c>
      <c r="V526" s="3" t="str">
        <f t="shared" si="45"/>
        <v/>
      </c>
    </row>
    <row r="527" spans="1:22" x14ac:dyDescent="0.25">
      <c r="A527" s="37"/>
      <c r="B527" s="38"/>
      <c r="C527" s="2"/>
      <c r="D527" s="41"/>
      <c r="E527" s="38"/>
      <c r="F527" s="2"/>
      <c r="G527" s="41"/>
      <c r="H527" s="38"/>
      <c r="I527" s="39"/>
      <c r="J527" s="39"/>
      <c r="K527" s="41"/>
      <c r="L527" s="41"/>
      <c r="M527" s="42"/>
      <c r="U527" s="3" t="str">
        <f t="shared" si="44"/>
        <v/>
      </c>
      <c r="V527" s="3" t="str">
        <f t="shared" si="45"/>
        <v/>
      </c>
    </row>
    <row r="528" spans="1:22" x14ac:dyDescent="0.25">
      <c r="A528" s="37"/>
      <c r="B528" s="38"/>
      <c r="C528" s="2"/>
      <c r="D528" s="41"/>
      <c r="E528" s="38"/>
      <c r="F528" s="2"/>
      <c r="G528" s="41"/>
      <c r="H528" s="38"/>
      <c r="I528" s="39"/>
      <c r="J528" s="39"/>
      <c r="K528" s="41"/>
      <c r="L528" s="41"/>
      <c r="M528" s="42"/>
      <c r="U528" s="3" t="str">
        <f t="shared" si="44"/>
        <v/>
      </c>
      <c r="V528" s="3" t="str">
        <f t="shared" si="45"/>
        <v/>
      </c>
    </row>
    <row r="529" spans="1:22" x14ac:dyDescent="0.25">
      <c r="A529" s="37"/>
      <c r="B529" s="38"/>
      <c r="C529" s="2"/>
      <c r="D529" s="41"/>
      <c r="E529" s="38"/>
      <c r="F529" s="2"/>
      <c r="G529" s="41"/>
      <c r="H529" s="38"/>
      <c r="I529" s="39"/>
      <c r="J529" s="39"/>
      <c r="K529" s="41"/>
      <c r="L529" s="41"/>
      <c r="M529" s="42"/>
      <c r="U529" s="3" t="str">
        <f t="shared" si="44"/>
        <v/>
      </c>
      <c r="V529" s="3" t="str">
        <f t="shared" si="45"/>
        <v/>
      </c>
    </row>
    <row r="530" spans="1:22" x14ac:dyDescent="0.25">
      <c r="A530" s="37"/>
      <c r="B530" s="38"/>
      <c r="C530" s="2"/>
      <c r="D530" s="41"/>
      <c r="E530" s="38"/>
      <c r="F530" s="2"/>
      <c r="G530" s="41"/>
      <c r="H530" s="38"/>
      <c r="I530" s="39"/>
      <c r="J530" s="39"/>
      <c r="K530" s="41"/>
      <c r="L530" s="41"/>
      <c r="M530" s="42"/>
      <c r="U530" s="3" t="str">
        <f t="shared" si="44"/>
        <v/>
      </c>
      <c r="V530" s="3" t="str">
        <f t="shared" si="45"/>
        <v/>
      </c>
    </row>
    <row r="531" spans="1:22" x14ac:dyDescent="0.25">
      <c r="A531" s="37"/>
      <c r="B531" s="38"/>
      <c r="C531" s="2"/>
      <c r="D531" s="41"/>
      <c r="E531" s="38"/>
      <c r="F531" s="2"/>
      <c r="G531" s="41"/>
      <c r="H531" s="38"/>
      <c r="I531" s="39"/>
      <c r="J531" s="39"/>
      <c r="K531" s="41"/>
      <c r="L531" s="41"/>
      <c r="M531" s="42"/>
      <c r="U531" s="3" t="str">
        <f t="shared" si="44"/>
        <v/>
      </c>
      <c r="V531" s="3" t="str">
        <f t="shared" si="45"/>
        <v/>
      </c>
    </row>
    <row r="532" spans="1:22" x14ac:dyDescent="0.25">
      <c r="A532" s="37"/>
      <c r="B532" s="38"/>
      <c r="C532" s="2"/>
      <c r="D532" s="41"/>
      <c r="E532" s="38"/>
      <c r="F532" s="2"/>
      <c r="G532" s="41"/>
      <c r="H532" s="38"/>
      <c r="I532" s="39"/>
      <c r="J532" s="39"/>
      <c r="K532" s="41"/>
      <c r="L532" s="41"/>
      <c r="M532" s="42"/>
      <c r="U532" s="3" t="str">
        <f t="shared" si="44"/>
        <v/>
      </c>
      <c r="V532" s="3" t="str">
        <f t="shared" si="45"/>
        <v/>
      </c>
    </row>
    <row r="533" spans="1:22" x14ac:dyDescent="0.25">
      <c r="A533" s="37"/>
      <c r="B533" s="38"/>
      <c r="C533" s="2"/>
      <c r="D533" s="41"/>
      <c r="E533" s="38"/>
      <c r="F533" s="2"/>
      <c r="G533" s="41"/>
      <c r="H533" s="38"/>
      <c r="I533" s="39"/>
      <c r="J533" s="39"/>
      <c r="K533" s="41"/>
      <c r="L533" s="41"/>
      <c r="M533" s="42"/>
      <c r="U533" s="3" t="str">
        <f t="shared" si="44"/>
        <v/>
      </c>
      <c r="V533" s="3" t="str">
        <f t="shared" si="45"/>
        <v/>
      </c>
    </row>
    <row r="534" spans="1:22" x14ac:dyDescent="0.25">
      <c r="A534" s="37"/>
      <c r="B534" s="38"/>
      <c r="C534" s="2"/>
      <c r="D534" s="41"/>
      <c r="E534" s="38"/>
      <c r="F534" s="2"/>
      <c r="G534" s="41"/>
      <c r="H534" s="38"/>
      <c r="I534" s="39"/>
      <c r="J534" s="39"/>
      <c r="K534" s="41"/>
      <c r="L534" s="41"/>
      <c r="M534" s="42"/>
      <c r="U534" s="3" t="str">
        <f t="shared" si="44"/>
        <v/>
      </c>
      <c r="V534" s="3" t="str">
        <f t="shared" si="45"/>
        <v/>
      </c>
    </row>
    <row r="535" spans="1:22" x14ac:dyDescent="0.25">
      <c r="A535" s="37"/>
      <c r="B535" s="38"/>
      <c r="C535" s="2"/>
      <c r="D535" s="41"/>
      <c r="E535" s="38"/>
      <c r="F535" s="2"/>
      <c r="G535" s="41"/>
      <c r="H535" s="38"/>
      <c r="I535" s="39"/>
      <c r="J535" s="39"/>
      <c r="K535" s="41"/>
      <c r="L535" s="41"/>
      <c r="M535" s="42"/>
      <c r="U535" s="3" t="str">
        <f t="shared" si="44"/>
        <v/>
      </c>
      <c r="V535" s="3" t="str">
        <f t="shared" si="45"/>
        <v/>
      </c>
    </row>
    <row r="536" spans="1:22" x14ac:dyDescent="0.25">
      <c r="A536" s="37"/>
      <c r="B536" s="38"/>
      <c r="C536" s="2"/>
      <c r="D536" s="41"/>
      <c r="E536" s="38"/>
      <c r="F536" s="2"/>
      <c r="G536" s="41"/>
      <c r="H536" s="38"/>
      <c r="I536" s="39"/>
      <c r="J536" s="39"/>
      <c r="K536" s="41"/>
      <c r="L536" s="41"/>
      <c r="M536" s="42"/>
      <c r="U536" s="3" t="str">
        <f t="shared" si="44"/>
        <v/>
      </c>
      <c r="V536" s="3" t="str">
        <f t="shared" si="45"/>
        <v/>
      </c>
    </row>
    <row r="537" spans="1:22" x14ac:dyDescent="0.25">
      <c r="A537" s="37"/>
      <c r="B537" s="38"/>
      <c r="C537" s="2"/>
      <c r="D537" s="41"/>
      <c r="E537" s="38"/>
      <c r="F537" s="2"/>
      <c r="G537" s="41"/>
      <c r="H537" s="38"/>
      <c r="I537" s="39"/>
      <c r="J537" s="39"/>
      <c r="K537" s="41"/>
      <c r="L537" s="41"/>
      <c r="M537" s="42"/>
      <c r="U537" s="3" t="str">
        <f t="shared" si="44"/>
        <v/>
      </c>
      <c r="V537" s="3" t="str">
        <f t="shared" si="45"/>
        <v/>
      </c>
    </row>
    <row r="538" spans="1:22" x14ac:dyDescent="0.25">
      <c r="A538" s="37"/>
      <c r="B538" s="38"/>
      <c r="C538" s="2"/>
      <c r="D538" s="41"/>
      <c r="E538" s="38"/>
      <c r="F538" s="2"/>
      <c r="G538" s="41"/>
      <c r="H538" s="38"/>
      <c r="I538" s="39"/>
      <c r="J538" s="39"/>
      <c r="K538" s="41"/>
      <c r="L538" s="41"/>
      <c r="M538" s="42"/>
      <c r="U538" s="3" t="str">
        <f t="shared" si="44"/>
        <v/>
      </c>
      <c r="V538" s="3" t="str">
        <f t="shared" si="45"/>
        <v/>
      </c>
    </row>
    <row r="539" spans="1:22" x14ac:dyDescent="0.25">
      <c r="A539" s="37"/>
      <c r="B539" s="38"/>
      <c r="C539" s="2"/>
      <c r="D539" s="41"/>
      <c r="E539" s="38"/>
      <c r="F539" s="2"/>
      <c r="G539" s="41"/>
      <c r="H539" s="38"/>
      <c r="I539" s="39"/>
      <c r="J539" s="39"/>
      <c r="K539" s="41"/>
      <c r="L539" s="41"/>
      <c r="M539" s="42"/>
      <c r="U539" s="3" t="str">
        <f t="shared" si="44"/>
        <v/>
      </c>
      <c r="V539" s="3" t="str">
        <f t="shared" si="45"/>
        <v/>
      </c>
    </row>
    <row r="540" spans="1:22" x14ac:dyDescent="0.25">
      <c r="A540" s="37"/>
      <c r="B540" s="38"/>
      <c r="C540" s="2"/>
      <c r="D540" s="41"/>
      <c r="E540" s="38"/>
      <c r="F540" s="2"/>
      <c r="G540" s="41"/>
      <c r="H540" s="38"/>
      <c r="I540" s="39"/>
      <c r="J540" s="39"/>
      <c r="K540" s="41"/>
      <c r="L540" s="41"/>
      <c r="M540" s="42"/>
      <c r="U540" s="3" t="str">
        <f t="shared" si="44"/>
        <v/>
      </c>
      <c r="V540" s="3" t="str">
        <f t="shared" si="45"/>
        <v/>
      </c>
    </row>
    <row r="541" spans="1:22" x14ac:dyDescent="0.25">
      <c r="A541" s="37"/>
      <c r="B541" s="38"/>
      <c r="C541" s="2"/>
      <c r="D541" s="41"/>
      <c r="E541" s="38"/>
      <c r="F541" s="2"/>
      <c r="G541" s="41"/>
      <c r="H541" s="38"/>
      <c r="I541" s="39"/>
      <c r="J541" s="39"/>
      <c r="K541" s="41"/>
      <c r="L541" s="41"/>
      <c r="M541" s="42"/>
      <c r="U541" s="3" t="str">
        <f t="shared" si="44"/>
        <v/>
      </c>
      <c r="V541" s="3" t="str">
        <f t="shared" si="45"/>
        <v/>
      </c>
    </row>
    <row r="542" spans="1:22" x14ac:dyDescent="0.25">
      <c r="A542" s="37"/>
      <c r="B542" s="38"/>
      <c r="C542" s="2"/>
      <c r="D542" s="41"/>
      <c r="E542" s="38"/>
      <c r="F542" s="2"/>
      <c r="G542" s="41"/>
      <c r="H542" s="38"/>
      <c r="I542" s="39"/>
      <c r="J542" s="39"/>
      <c r="K542" s="41"/>
      <c r="L542" s="41"/>
      <c r="M542" s="42"/>
      <c r="U542" s="3" t="str">
        <f t="shared" si="44"/>
        <v/>
      </c>
      <c r="V542" s="3" t="str">
        <f t="shared" si="45"/>
        <v/>
      </c>
    </row>
    <row r="543" spans="1:22" x14ac:dyDescent="0.25">
      <c r="A543" s="37"/>
      <c r="B543" s="38"/>
      <c r="C543" s="2"/>
      <c r="D543" s="41"/>
      <c r="E543" s="38"/>
      <c r="F543" s="2"/>
      <c r="G543" s="41"/>
      <c r="H543" s="38"/>
      <c r="I543" s="39"/>
      <c r="J543" s="39"/>
      <c r="K543" s="41"/>
      <c r="L543" s="41"/>
      <c r="M543" s="42"/>
      <c r="U543" s="3" t="str">
        <f t="shared" si="44"/>
        <v/>
      </c>
      <c r="V543" s="3" t="str">
        <f t="shared" si="45"/>
        <v/>
      </c>
    </row>
    <row r="544" spans="1:22" x14ac:dyDescent="0.25">
      <c r="A544" s="37"/>
      <c r="B544" s="38"/>
      <c r="C544" s="2"/>
      <c r="D544" s="41"/>
      <c r="E544" s="38"/>
      <c r="F544" s="2"/>
      <c r="G544" s="41"/>
      <c r="H544" s="38"/>
      <c r="I544" s="39"/>
      <c r="J544" s="39"/>
      <c r="K544" s="41"/>
      <c r="L544" s="41"/>
      <c r="M544" s="42"/>
      <c r="U544" s="3" t="str">
        <f t="shared" si="44"/>
        <v/>
      </c>
      <c r="V544" s="3" t="str">
        <f t="shared" si="45"/>
        <v/>
      </c>
    </row>
    <row r="545" spans="1:22" x14ac:dyDescent="0.25">
      <c r="A545" s="37"/>
      <c r="B545" s="38"/>
      <c r="C545" s="2"/>
      <c r="D545" s="41"/>
      <c r="E545" s="38"/>
      <c r="F545" s="2"/>
      <c r="G545" s="41"/>
      <c r="H545" s="38"/>
      <c r="I545" s="39"/>
      <c r="J545" s="39"/>
      <c r="K545" s="41"/>
      <c r="L545" s="41"/>
      <c r="M545" s="42"/>
      <c r="U545" s="3" t="str">
        <f t="shared" si="44"/>
        <v/>
      </c>
      <c r="V545" s="3" t="str">
        <f t="shared" si="45"/>
        <v/>
      </c>
    </row>
    <row r="546" spans="1:22" x14ac:dyDescent="0.25">
      <c r="A546" s="37"/>
      <c r="B546" s="38"/>
      <c r="C546" s="2"/>
      <c r="D546" s="41"/>
      <c r="E546" s="38"/>
      <c r="F546" s="2"/>
      <c r="G546" s="41"/>
      <c r="H546" s="38"/>
      <c r="I546" s="39"/>
      <c r="J546" s="39"/>
      <c r="K546" s="41"/>
      <c r="L546" s="41"/>
      <c r="M546" s="42"/>
      <c r="U546" s="3" t="str">
        <f t="shared" si="44"/>
        <v/>
      </c>
      <c r="V546" s="3" t="str">
        <f t="shared" si="45"/>
        <v/>
      </c>
    </row>
    <row r="547" spans="1:22" x14ac:dyDescent="0.25">
      <c r="A547" s="37"/>
      <c r="B547" s="38"/>
      <c r="C547" s="2"/>
      <c r="D547" s="41"/>
      <c r="E547" s="38"/>
      <c r="F547" s="2"/>
      <c r="G547" s="41"/>
      <c r="H547" s="38"/>
      <c r="I547" s="39"/>
      <c r="J547" s="39"/>
      <c r="K547" s="41"/>
      <c r="L547" s="41"/>
      <c r="M547" s="42"/>
      <c r="U547" s="3" t="str">
        <f t="shared" si="44"/>
        <v/>
      </c>
      <c r="V547" s="3" t="str">
        <f t="shared" si="45"/>
        <v/>
      </c>
    </row>
    <row r="548" spans="1:22" x14ac:dyDescent="0.25">
      <c r="A548" s="37"/>
      <c r="B548" s="38"/>
      <c r="C548" s="2"/>
      <c r="D548" s="41"/>
      <c r="E548" s="38"/>
      <c r="F548" s="2"/>
      <c r="G548" s="41"/>
      <c r="H548" s="38"/>
      <c r="I548" s="39"/>
      <c r="J548" s="39"/>
      <c r="K548" s="41"/>
      <c r="L548" s="41"/>
      <c r="M548" s="42"/>
      <c r="U548" s="3" t="str">
        <f t="shared" si="44"/>
        <v/>
      </c>
      <c r="V548" s="3" t="str">
        <f t="shared" si="45"/>
        <v/>
      </c>
    </row>
    <row r="549" spans="1:22" x14ac:dyDescent="0.25">
      <c r="A549" s="37"/>
      <c r="B549" s="38"/>
      <c r="C549" s="2"/>
      <c r="D549" s="41"/>
      <c r="E549" s="38"/>
      <c r="F549" s="2"/>
      <c r="G549" s="41"/>
      <c r="H549" s="38"/>
      <c r="I549" s="39"/>
      <c r="J549" s="39"/>
      <c r="K549" s="41"/>
      <c r="L549" s="41"/>
      <c r="M549" s="42"/>
      <c r="U549" s="3" t="str">
        <f t="shared" si="44"/>
        <v/>
      </c>
      <c r="V549" s="3" t="str">
        <f t="shared" si="45"/>
        <v/>
      </c>
    </row>
    <row r="550" spans="1:22" x14ac:dyDescent="0.25">
      <c r="A550" s="37"/>
      <c r="B550" s="38"/>
      <c r="C550" s="2"/>
      <c r="D550" s="41"/>
      <c r="E550" s="38"/>
      <c r="F550" s="2"/>
      <c r="G550" s="41"/>
      <c r="H550" s="38"/>
      <c r="I550" s="39"/>
      <c r="J550" s="39"/>
      <c r="K550" s="41"/>
      <c r="L550" s="41"/>
      <c r="M550" s="42"/>
      <c r="U550" s="3" t="str">
        <f t="shared" si="44"/>
        <v/>
      </c>
      <c r="V550" s="3" t="str">
        <f t="shared" si="45"/>
        <v/>
      </c>
    </row>
    <row r="551" spans="1:22" x14ac:dyDescent="0.25">
      <c r="A551" s="37"/>
      <c r="B551" s="38"/>
      <c r="C551" s="2"/>
      <c r="D551" s="41"/>
      <c r="E551" s="38"/>
      <c r="F551" s="2"/>
      <c r="G551" s="41"/>
      <c r="H551" s="38"/>
      <c r="I551" s="39"/>
      <c r="J551" s="39"/>
      <c r="K551" s="41"/>
      <c r="L551" s="41"/>
      <c r="M551" s="42"/>
      <c r="U551" s="3" t="str">
        <f t="shared" si="44"/>
        <v/>
      </c>
      <c r="V551" s="3" t="str">
        <f t="shared" si="45"/>
        <v/>
      </c>
    </row>
    <row r="552" spans="1:22" x14ac:dyDescent="0.25">
      <c r="A552" s="37"/>
      <c r="B552" s="38"/>
      <c r="C552" s="2"/>
      <c r="D552" s="41"/>
      <c r="E552" s="38"/>
      <c r="F552" s="2"/>
      <c r="G552" s="41"/>
      <c r="H552" s="38"/>
      <c r="I552" s="39"/>
      <c r="J552" s="39"/>
      <c r="K552" s="41"/>
      <c r="L552" s="41"/>
      <c r="M552" s="42"/>
      <c r="U552" s="3" t="str">
        <f t="shared" si="44"/>
        <v/>
      </c>
      <c r="V552" s="3" t="str">
        <f t="shared" si="45"/>
        <v/>
      </c>
    </row>
    <row r="553" spans="1:22" x14ac:dyDescent="0.25">
      <c r="A553" s="37"/>
      <c r="B553" s="38"/>
      <c r="C553" s="2"/>
      <c r="D553" s="41"/>
      <c r="E553" s="38"/>
      <c r="F553" s="2"/>
      <c r="G553" s="41"/>
      <c r="H553" s="38"/>
      <c r="I553" s="39"/>
      <c r="J553" s="39"/>
      <c r="K553" s="41"/>
      <c r="L553" s="41"/>
      <c r="M553" s="42"/>
      <c r="U553" s="3" t="str">
        <f t="shared" si="44"/>
        <v/>
      </c>
      <c r="V553" s="3" t="str">
        <f t="shared" si="45"/>
        <v/>
      </c>
    </row>
    <row r="554" spans="1:22" x14ac:dyDescent="0.25">
      <c r="A554" s="37"/>
      <c r="B554" s="38"/>
      <c r="C554" s="2"/>
      <c r="D554" s="41"/>
      <c r="E554" s="38"/>
      <c r="F554" s="2"/>
      <c r="G554" s="41"/>
      <c r="H554" s="38"/>
      <c r="I554" s="39"/>
      <c r="J554" s="39"/>
      <c r="K554" s="41"/>
      <c r="L554" s="41"/>
      <c r="M554" s="42"/>
      <c r="U554" s="3" t="str">
        <f t="shared" si="44"/>
        <v/>
      </c>
      <c r="V554" s="3" t="str">
        <f t="shared" si="45"/>
        <v/>
      </c>
    </row>
    <row r="555" spans="1:22" x14ac:dyDescent="0.25">
      <c r="A555" s="37"/>
      <c r="B555" s="38"/>
      <c r="C555" s="2"/>
      <c r="D555" s="41"/>
      <c r="E555" s="38"/>
      <c r="F555" s="2"/>
      <c r="G555" s="41"/>
      <c r="H555" s="38"/>
      <c r="I555" s="39"/>
      <c r="J555" s="39"/>
      <c r="K555" s="41"/>
      <c r="L555" s="41"/>
      <c r="M555" s="42"/>
      <c r="U555" s="3" t="str">
        <f t="shared" si="44"/>
        <v/>
      </c>
      <c r="V555" s="3" t="str">
        <f t="shared" si="45"/>
        <v/>
      </c>
    </row>
    <row r="556" spans="1:22" x14ac:dyDescent="0.25">
      <c r="U556" s="3" t="str">
        <f t="shared" si="44"/>
        <v/>
      </c>
      <c r="V556" s="3" t="str">
        <f t="shared" si="45"/>
        <v/>
      </c>
    </row>
    <row r="557" spans="1:22" x14ac:dyDescent="0.25">
      <c r="U557" s="3" t="str">
        <f t="shared" si="44"/>
        <v/>
      </c>
      <c r="V557" s="3" t="str">
        <f t="shared" si="45"/>
        <v/>
      </c>
    </row>
    <row r="558" spans="1:22" x14ac:dyDescent="0.25">
      <c r="U558" s="3" t="str">
        <f t="shared" si="44"/>
        <v/>
      </c>
      <c r="V558" s="3" t="str">
        <f t="shared" si="45"/>
        <v/>
      </c>
    </row>
    <row r="559" spans="1:22" x14ac:dyDescent="0.25">
      <c r="U559" s="3" t="str">
        <f t="shared" si="44"/>
        <v/>
      </c>
      <c r="V559" s="3" t="str">
        <f t="shared" si="45"/>
        <v/>
      </c>
    </row>
    <row r="560" spans="1:22" x14ac:dyDescent="0.25">
      <c r="U560" s="3" t="str">
        <f t="shared" si="44"/>
        <v/>
      </c>
      <c r="V560" s="3" t="str">
        <f t="shared" si="45"/>
        <v/>
      </c>
    </row>
    <row r="561" spans="21:22" x14ac:dyDescent="0.25">
      <c r="U561" s="3" t="str">
        <f t="shared" si="44"/>
        <v/>
      </c>
      <c r="V561" s="3" t="str">
        <f t="shared" si="45"/>
        <v/>
      </c>
    </row>
    <row r="562" spans="21:22" x14ac:dyDescent="0.25">
      <c r="U562" s="3" t="str">
        <f t="shared" si="44"/>
        <v/>
      </c>
      <c r="V562" s="3" t="str">
        <f t="shared" si="45"/>
        <v/>
      </c>
    </row>
    <row r="563" spans="21:22" x14ac:dyDescent="0.25">
      <c r="U563" s="3" t="str">
        <f t="shared" si="44"/>
        <v/>
      </c>
      <c r="V563" s="3" t="str">
        <f t="shared" si="45"/>
        <v/>
      </c>
    </row>
    <row r="564" spans="21:22" x14ac:dyDescent="0.25">
      <c r="U564" s="3" t="str">
        <f t="shared" si="44"/>
        <v/>
      </c>
      <c r="V564" s="3" t="str">
        <f t="shared" si="45"/>
        <v/>
      </c>
    </row>
    <row r="565" spans="21:22" x14ac:dyDescent="0.25">
      <c r="U565" s="3" t="str">
        <f t="shared" si="44"/>
        <v/>
      </c>
      <c r="V565" s="3" t="str">
        <f t="shared" si="45"/>
        <v/>
      </c>
    </row>
    <row r="566" spans="21:22" x14ac:dyDescent="0.25">
      <c r="U566" s="3" t="str">
        <f t="shared" si="44"/>
        <v/>
      </c>
      <c r="V566" s="3" t="str">
        <f t="shared" si="45"/>
        <v/>
      </c>
    </row>
    <row r="567" spans="21:22" x14ac:dyDescent="0.25">
      <c r="U567" s="3" t="str">
        <f t="shared" si="44"/>
        <v/>
      </c>
      <c r="V567" s="3" t="str">
        <f t="shared" si="45"/>
        <v/>
      </c>
    </row>
    <row r="568" spans="21:22" x14ac:dyDescent="0.25">
      <c r="U568" s="3" t="str">
        <f>IF(COUNTIF(Q:Q,O568)*COUNTIF(S:S,O568),O568,"")</f>
        <v/>
      </c>
      <c r="V568" s="3" t="str">
        <f>IF(U568&gt;$A$14,U568,"")</f>
        <v/>
      </c>
    </row>
    <row r="569" spans="21:22" x14ac:dyDescent="0.25">
      <c r="U569" s="3" t="str">
        <f>IF(COUNTIF(Q:Q,O569)*COUNTIF(S:S,O569),O569,"")</f>
        <v/>
      </c>
      <c r="V569" s="3" t="str">
        <f>IF(U569&gt;$A$14,U569,"")</f>
        <v/>
      </c>
    </row>
  </sheetData>
  <mergeCells count="3">
    <mergeCell ref="B12:D12"/>
    <mergeCell ref="E12:G12"/>
    <mergeCell ref="H12:K12"/>
  </mergeCells>
  <conditionalFormatting sqref="N1 N7:N11 M12:M555 N50:N100 AI63:AI77 N116:N1048576">
    <cfRule type="cellIs" dxfId="2" priority="1" operator="lessThan">
      <formula>0</formula>
    </cfRule>
  </conditionalFormatting>
  <hyperlinks>
    <hyperlink ref="C4" r:id="rId1" xr:uid="{0C91FBDB-91A0-42D1-BF99-8207951E0151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8828-BA79-4BF9-A401-CB61C377118B}">
  <dimension ref="A1:AV569"/>
  <sheetViews>
    <sheetView tabSelected="1" zoomScale="90" zoomScaleNormal="90" workbookViewId="0">
      <selection activeCell="Q18" sqref="Q18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4" bestFit="1" customWidth="1"/>
    <col min="5" max="7" width="17" style="44" customWidth="1"/>
    <col min="8" max="8" width="17" style="4" customWidth="1"/>
    <col min="9" max="10" width="17.42578125" style="4" customWidth="1"/>
    <col min="11" max="11" width="18" style="4" bestFit="1" customWidth="1"/>
    <col min="12" max="12" width="10.42578125" style="4" customWidth="1"/>
    <col min="13" max="13" width="9.5703125" style="4" bestFit="1" customWidth="1"/>
    <col min="14" max="16" width="16.5703125" style="4" customWidth="1"/>
    <col min="17" max="19" width="12.28515625" style="84" customWidth="1"/>
    <col min="20" max="20" width="17.140625" style="109" hidden="1" customWidth="1"/>
    <col min="21" max="21" width="12.28515625" style="84" hidden="1" customWidth="1"/>
    <col min="22" max="22" width="17.140625" style="109" hidden="1" customWidth="1"/>
    <col min="23" max="24" width="12.28515625" style="84" hidden="1" customWidth="1"/>
    <col min="25" max="25" width="12" style="7" hidden="1" customWidth="1"/>
    <col min="26" max="26" width="17.140625" style="3" bestFit="1" customWidth="1"/>
    <col min="27" max="27" width="6.5703125" style="4" bestFit="1" customWidth="1"/>
    <col min="28" max="28" width="17.140625" style="3" bestFit="1" customWidth="1"/>
    <col min="29" max="29" width="8.7109375" style="4" bestFit="1" customWidth="1"/>
    <col min="30" max="30" width="17.140625" style="3" bestFit="1" customWidth="1"/>
    <col min="31" max="31" width="8.7109375" style="4" bestFit="1" customWidth="1"/>
    <col min="32" max="32" width="17.140625" style="3" bestFit="1" customWidth="1"/>
    <col min="33" max="33" width="8.7109375" style="4" customWidth="1"/>
    <col min="34" max="37" width="17.140625" style="3" bestFit="1" customWidth="1"/>
    <col min="38" max="38" width="7.140625" style="5" bestFit="1" customWidth="1"/>
    <col min="39" max="39" width="17.140625" style="3" bestFit="1" customWidth="1"/>
    <col min="40" max="40" width="9.85546875" style="4" bestFit="1" customWidth="1"/>
    <col min="41" max="41" width="11.5703125" style="4" bestFit="1" customWidth="1"/>
    <col min="42" max="42" width="7.7109375" style="4" bestFit="1" customWidth="1"/>
    <col min="43" max="43" width="11.5703125" style="6" bestFit="1" customWidth="1"/>
    <col min="44" max="44" width="16.42578125" style="4" bestFit="1" customWidth="1"/>
    <col min="45" max="45" width="11.5703125" style="4" bestFit="1" customWidth="1"/>
    <col min="46" max="16384" width="9.140625" style="4"/>
  </cols>
  <sheetData>
    <row r="1" spans="1:45" ht="15.75" thickBot="1" x14ac:dyDescent="0.3">
      <c r="A1" s="1"/>
      <c r="B1" s="1"/>
      <c r="C1" s="1"/>
      <c r="D1" s="2" t="s">
        <v>0</v>
      </c>
      <c r="E1" s="2"/>
      <c r="G1" s="2"/>
      <c r="H1" s="2"/>
      <c r="I1" s="110" t="s">
        <v>35</v>
      </c>
      <c r="J1" s="1"/>
      <c r="N1" s="1"/>
      <c r="O1" s="1"/>
      <c r="P1" s="1"/>
      <c r="Q1" s="1"/>
      <c r="R1" s="83"/>
      <c r="S1" s="83"/>
      <c r="T1" s="107"/>
      <c r="U1" s="83"/>
      <c r="V1" s="107"/>
      <c r="W1" s="83"/>
      <c r="X1" s="83"/>
      <c r="Y1" s="1"/>
      <c r="AJ1" s="3" cm="1">
        <f t="array" ref="AJ1">LOOKUP(2,1/(AJ:AJ&lt;&gt;""),AJ:AJ)</f>
        <v>46197.625</v>
      </c>
      <c r="AR1" s="7" t="s">
        <v>1</v>
      </c>
      <c r="AS1" s="6" cm="1">
        <f t="array" ref="AS1">LOOKUP(2,1/(AQ:AQ&lt;&gt;""),AQ:AQ)</f>
        <v>46198</v>
      </c>
    </row>
    <row r="2" spans="1:45" ht="15.75" thickBot="1" x14ac:dyDescent="0.3">
      <c r="A2" s="8"/>
      <c r="B2" s="9" t="s">
        <v>2</v>
      </c>
      <c r="C2" s="10" t="s">
        <v>3</v>
      </c>
      <c r="D2" s="11" t="s">
        <v>3</v>
      </c>
      <c r="E2" s="9" t="s">
        <v>2</v>
      </c>
      <c r="G2" s="4"/>
      <c r="H2" s="1" t="s">
        <v>34</v>
      </c>
      <c r="I2" s="110"/>
      <c r="J2" s="1" t="s">
        <v>36</v>
      </c>
      <c r="N2" s="21" t="s">
        <v>39</v>
      </c>
      <c r="O2" s="88"/>
      <c r="P2" s="13" t="s">
        <v>4</v>
      </c>
      <c r="Q2" s="2">
        <f>B5/B14</f>
        <v>335833.42662039626</v>
      </c>
      <c r="T2" s="3" cm="1">
        <f t="array" ref="T2:U53">_xll.BDH(N2, "LAST_PRICE", "01/26/2026 15:00:00", "06/16/2026 16:00:00", "BarSize=60", "BarType=T", "RecurDaily=True", "TZ=London")</f>
        <v>46094.625</v>
      </c>
      <c r="U2" s="4">
        <v>306.42</v>
      </c>
      <c r="V2" s="3" cm="1">
        <f t="array" ref="V2:W7">_xll.BDH(N3, "LAST_PRICE", "06/16/2026 15:00:00", "01/26/2035 16:00:00", "BarSize=60", "BarType=T", "RecurDaily=True", "TZ=London")</f>
        <v>46189.625</v>
      </c>
      <c r="W2" s="4">
        <v>315.8</v>
      </c>
      <c r="Y2" s="4"/>
      <c r="Z2" s="14" t="s">
        <v>2</v>
      </c>
      <c r="AB2" s="15" t="s">
        <v>3</v>
      </c>
      <c r="AD2" s="16" t="s">
        <v>3</v>
      </c>
      <c r="AF2" s="16" t="s">
        <v>70</v>
      </c>
      <c r="AJ2" s="4" cm="1">
        <f t="array" ref="AJ2:AJ52">_xlfn.UNIQUE(AI:AI)</f>
        <v>0</v>
      </c>
      <c r="AR2" s="4" t="s">
        <v>5</v>
      </c>
      <c r="AS2" s="4">
        <f>VLOOKUP(AS1,AO:AP,2)</f>
        <v>247.30699999999999</v>
      </c>
    </row>
    <row r="3" spans="1:45" x14ac:dyDescent="0.25">
      <c r="A3" s="8" t="s">
        <v>6</v>
      </c>
      <c r="B3" s="17" t="s">
        <v>7</v>
      </c>
      <c r="C3" s="18" t="s">
        <v>8</v>
      </c>
      <c r="D3" s="8" t="s">
        <v>9</v>
      </c>
      <c r="E3" s="17" t="s">
        <v>74</v>
      </c>
      <c r="G3" s="4" t="s">
        <v>38</v>
      </c>
      <c r="H3" s="1">
        <v>200</v>
      </c>
      <c r="I3" s="4">
        <f>200*H4</f>
        <v>61000</v>
      </c>
      <c r="J3" s="2">
        <f>INT(C5/I3)</f>
        <v>426</v>
      </c>
      <c r="N3" s="21" t="s">
        <v>69</v>
      </c>
      <c r="O3" s="88"/>
      <c r="Q3" s="4" t="s">
        <v>10</v>
      </c>
      <c r="T3" s="3">
        <v>46097.625</v>
      </c>
      <c r="U3" s="4">
        <v>306.38</v>
      </c>
      <c r="V3" s="3">
        <v>46190.625</v>
      </c>
      <c r="W3" s="4">
        <v>315.42</v>
      </c>
      <c r="Y3" s="4"/>
      <c r="Z3" s="3" cm="1">
        <f t="array" ref="Z3:AA104">_xll.BDH(B4, "LAST_PRICE", "01/26/2026 15:00:00", "01/26/2035 16:00:00", "BarSize=60", "BarType=T", "RecurDaily=True", "TZ=London")</f>
        <v>46048.625</v>
      </c>
      <c r="AA3" s="4">
        <v>93.62</v>
      </c>
      <c r="AB3" s="3" cm="1">
        <f t="array" ref="AB3:AC108">_xll.BDH(C4, "LAST_PRICE", "01/26/2026 15:00:00", "01/01/2035 16:00:00", "BarSize=60", "BarType=T", "RecurDaily=True", "TZ=London")</f>
        <v>46048.625</v>
      </c>
      <c r="AC3" s="4">
        <v>100.566</v>
      </c>
      <c r="AD3" s="3" cm="1">
        <f t="array" ref="AD3:AE107">_xll.BDH(D4, "LAST_PRICE", "01/26/2026 15:00:00", "01/01/2035 16:00:00", "BarSize=60", "BarType=T", "RecurDaily=True", "TZ=London")</f>
        <v>46048.625</v>
      </c>
      <c r="AE3" s="4">
        <v>242.32900000000001</v>
      </c>
      <c r="AF3" s="3" cm="1">
        <f t="array" ref="AF3:AG54">_xll.BDH(N2, "LAST_PRICE", "01/26/2026 15:00:00", "06/16/2026 16:00:00", "BarSize=60", "BarType=T", "RecurDaily=True", "TZ=London")</f>
        <v>46094.625</v>
      </c>
      <c r="AG3" s="4">
        <v>306.42</v>
      </c>
      <c r="AH3" s="3" t="str">
        <f>IF(COUNTIF(AB:AB,Z3)*COUNTIF(AD:AD,Z3)*COUNTIF(AF:AF,Z3),Z3,"")</f>
        <v/>
      </c>
      <c r="AI3" s="3" t="str">
        <f>IF(AH3&gt;=$A$14,AH3,"")</f>
        <v/>
      </c>
      <c r="AJ3" s="3" t="str">
        <v/>
      </c>
      <c r="AM3" s="3" cm="1">
        <f t="array" ref="AM3:AN293">_xll.BDH(D1, "LAST_PRICE", "05/01/2025","")</f>
        <v>45778</v>
      </c>
      <c r="AN3" s="4">
        <v>231.3922</v>
      </c>
      <c r="AO3" s="74" cm="1">
        <f t="array" ref="AO3:AP294">_xll.BDH(D4, "LAST_PRICE", "05/01/2025", "")</f>
        <v>45778</v>
      </c>
      <c r="AP3" s="4">
        <v>343.69900000000001</v>
      </c>
      <c r="AQ3" s="6">
        <f>IF(COUNTIF(AO:AO,AM3),AM3,"")</f>
        <v>45778</v>
      </c>
      <c r="AR3" s="7" t="s">
        <v>11</v>
      </c>
      <c r="AS3" s="4">
        <f>VLOOKUP(AS1,AM:AN,2)</f>
        <v>255.54130000000001</v>
      </c>
    </row>
    <row r="4" spans="1:45" ht="30" customHeight="1" x14ac:dyDescent="0.25">
      <c r="A4" s="17" t="s">
        <v>12</v>
      </c>
      <c r="B4" s="21" t="s">
        <v>13</v>
      </c>
      <c r="C4" s="22" t="s">
        <v>14</v>
      </c>
      <c r="D4" s="21" t="s">
        <v>15</v>
      </c>
      <c r="E4" s="21" t="s">
        <v>69</v>
      </c>
      <c r="G4" s="88" t="s">
        <v>75</v>
      </c>
      <c r="H4" s="88">
        <f>IF(COUNTIF($T$2:T999,A14)=1,VLOOKUP(A14,T:U,2), "")</f>
        <v>305</v>
      </c>
      <c r="Q4" s="6">
        <v>46100</v>
      </c>
      <c r="T4" s="3">
        <v>46098.625</v>
      </c>
      <c r="U4" s="4">
        <v>307.76</v>
      </c>
      <c r="V4" s="3">
        <v>46191.625</v>
      </c>
      <c r="W4" s="4">
        <v>315.68</v>
      </c>
      <c r="Y4" s="4"/>
      <c r="Z4" s="3">
        <v>46049.625</v>
      </c>
      <c r="AA4" s="4">
        <v>93.74</v>
      </c>
      <c r="AB4" s="3">
        <v>46049.625</v>
      </c>
      <c r="AC4" s="4">
        <v>100.59</v>
      </c>
      <c r="AD4" s="3">
        <v>46049.625</v>
      </c>
      <c r="AE4" s="4">
        <v>241.37200000000001</v>
      </c>
      <c r="AF4" s="3">
        <v>46097.625</v>
      </c>
      <c r="AG4" s="4">
        <v>306.38</v>
      </c>
      <c r="AH4" s="3" t="str">
        <f>IF(COUNTIF(AB:AB,Z4)*COUNTIF(AD:AD,Z4)*COUNTIF(AF:AF,Z4),Z4,"")</f>
        <v/>
      </c>
      <c r="AI4" s="3" t="str">
        <f t="shared" ref="AI4:AI67" si="0">IF(AH4&gt;=$A$14,AH4,"")</f>
        <v/>
      </c>
      <c r="AJ4" s="3">
        <v>46104.625</v>
      </c>
      <c r="AK4" s="3" cm="1">
        <f t="array" ref="AK4:AL110">_xll.BDH("ERIXILXO Index", "PX_LAST", "01/22/2026", "")</f>
        <v>46044</v>
      </c>
      <c r="AL4" s="5">
        <v>264.16109999999998</v>
      </c>
      <c r="AM4" s="3">
        <v>45779</v>
      </c>
      <c r="AN4" s="4">
        <v>232.4699</v>
      </c>
      <c r="AO4" s="74">
        <v>45779</v>
      </c>
      <c r="AP4" s="4">
        <v>333.964</v>
      </c>
      <c r="AQ4" s="6">
        <f t="shared" ref="AQ4:AQ67" si="1">IF(COUNTIF(AO:AO,AM4),AM4,"")</f>
        <v>45779</v>
      </c>
      <c r="AR4" s="4" t="s">
        <v>16</v>
      </c>
      <c r="AS4" s="5">
        <f ca="1">INT(NOW())-INT(AS1)</f>
        <v>1</v>
      </c>
    </row>
    <row r="5" spans="1:45" x14ac:dyDescent="0.25">
      <c r="A5" s="17" t="s">
        <v>17</v>
      </c>
      <c r="B5" s="23">
        <f>30*10^6</f>
        <v>30000000</v>
      </c>
      <c r="C5" s="24">
        <f>26*10^6</f>
        <v>26000000</v>
      </c>
      <c r="D5" s="23">
        <f>18.7*10^6</f>
        <v>18700000</v>
      </c>
      <c r="E5" s="23">
        <f>30*10^6</f>
        <v>30000000</v>
      </c>
      <c r="G5" s="89" t="s">
        <v>76</v>
      </c>
      <c r="H5" s="91">
        <f>AG55-AG54</f>
        <v>1.6399999999999864</v>
      </c>
      <c r="T5" s="3">
        <v>46099.625</v>
      </c>
      <c r="U5" s="4">
        <v>307.33999999999997</v>
      </c>
      <c r="V5" s="3">
        <v>46192.625</v>
      </c>
      <c r="W5" s="4">
        <v>315.88</v>
      </c>
      <c r="Y5" s="4"/>
      <c r="Z5" s="3">
        <v>46050.625</v>
      </c>
      <c r="AA5" s="4">
        <v>93.63</v>
      </c>
      <c r="AB5" s="3">
        <v>46050.625</v>
      </c>
      <c r="AC5" s="4">
        <v>100.65</v>
      </c>
      <c r="AD5" s="3">
        <v>46050.625</v>
      </c>
      <c r="AE5" s="4">
        <v>244.39099999999999</v>
      </c>
      <c r="AF5" s="3">
        <v>46098.625</v>
      </c>
      <c r="AG5" s="4">
        <v>307.76</v>
      </c>
      <c r="AH5" s="3" t="str">
        <f>IF(COUNTIF(AB:AB,Z5)*COUNTIF(AD:AD,Z5)*COUNTIF(AF:AF,Z5),Z5,"")</f>
        <v/>
      </c>
      <c r="AI5" s="3" t="str">
        <f t="shared" si="0"/>
        <v/>
      </c>
      <c r="AJ5" s="3">
        <v>46105.625</v>
      </c>
      <c r="AK5" s="3">
        <v>46045</v>
      </c>
      <c r="AL5" s="5">
        <v>263.94619999999998</v>
      </c>
      <c r="AM5" s="3">
        <v>45783</v>
      </c>
      <c r="AN5" s="4">
        <v>232.7954</v>
      </c>
      <c r="AO5" s="74">
        <v>45783</v>
      </c>
      <c r="AP5" s="4">
        <v>331.25700000000001</v>
      </c>
      <c r="AQ5" s="6">
        <f t="shared" si="1"/>
        <v>45783</v>
      </c>
    </row>
    <row r="6" spans="1:45" x14ac:dyDescent="0.25">
      <c r="A6" s="17" t="s">
        <v>18</v>
      </c>
      <c r="B6" s="25">
        <v>0</v>
      </c>
      <c r="C6" s="26">
        <v>2.4E-2</v>
      </c>
      <c r="D6" s="27">
        <v>0.05</v>
      </c>
      <c r="E6" s="25">
        <v>0</v>
      </c>
      <c r="F6" s="90"/>
      <c r="G6" s="90"/>
      <c r="T6" s="3">
        <v>46100.625</v>
      </c>
      <c r="U6" s="4">
        <v>306.06</v>
      </c>
      <c r="V6" s="3">
        <v>46196.625</v>
      </c>
      <c r="W6" s="4">
        <v>315.56</v>
      </c>
      <c r="Y6" s="4"/>
      <c r="Z6" s="3">
        <v>46051.625</v>
      </c>
      <c r="AA6" s="4">
        <v>93.53</v>
      </c>
      <c r="AB6" s="3">
        <v>46051.625</v>
      </c>
      <c r="AC6" s="4">
        <v>100.706</v>
      </c>
      <c r="AD6" s="3">
        <v>46051.625</v>
      </c>
      <c r="AE6" s="4">
        <v>249.25</v>
      </c>
      <c r="AF6" s="3">
        <v>46099.625</v>
      </c>
      <c r="AG6" s="4">
        <v>307.33999999999997</v>
      </c>
      <c r="AH6" s="3" t="str">
        <f>IF(COUNTIF(AB:AB,Z6)*COUNTIF(AD:AD,Z6)*COUNTIF(AF:AF,Z6),Z6,"")</f>
        <v/>
      </c>
      <c r="AI6" s="3" t="str">
        <f t="shared" si="0"/>
        <v/>
      </c>
      <c r="AJ6" s="3">
        <v>46106.625</v>
      </c>
      <c r="AK6" s="3">
        <v>46048</v>
      </c>
      <c r="AL6" s="5">
        <v>264.02949999999998</v>
      </c>
      <c r="AM6" s="3">
        <v>45784</v>
      </c>
      <c r="AN6" s="4">
        <v>232.8287</v>
      </c>
      <c r="AO6" s="74">
        <v>45784</v>
      </c>
      <c r="AP6" s="4">
        <v>330.31900000000002</v>
      </c>
      <c r="AQ6" s="6">
        <f t="shared" si="1"/>
        <v>45784</v>
      </c>
    </row>
    <row r="7" spans="1:45" x14ac:dyDescent="0.25">
      <c r="A7" s="17" t="s">
        <v>19</v>
      </c>
      <c r="B7" s="26" cm="1">
        <f t="array" ref="B7">_xll.BDP("EURR002W INDEX","PX_LAST")/100+0.25/100</f>
        <v>2.6499999999999999E-2</v>
      </c>
      <c r="C7" s="26" cm="1">
        <f t="array" ref="C7">_xll.BDP("EURR002W INDEX","PX_LAST")/100</f>
        <v>2.4E-2</v>
      </c>
      <c r="D7" s="27">
        <v>0</v>
      </c>
      <c r="E7" s="111">
        <v>0</v>
      </c>
      <c r="F7" s="90"/>
      <c r="G7" s="90"/>
      <c r="H7" s="1"/>
      <c r="K7" s="1"/>
      <c r="T7" s="3">
        <v>46101.625</v>
      </c>
      <c r="U7" s="4">
        <v>304.02</v>
      </c>
      <c r="V7" s="3">
        <v>46197.625</v>
      </c>
      <c r="W7" s="4">
        <v>315.52</v>
      </c>
      <c r="Y7" s="4"/>
      <c r="Z7" s="3">
        <v>46052.625</v>
      </c>
      <c r="AA7" s="4">
        <v>93.62</v>
      </c>
      <c r="AB7" s="3">
        <v>46052.625</v>
      </c>
      <c r="AC7" s="4">
        <v>100.675</v>
      </c>
      <c r="AD7" s="3">
        <v>46052.625</v>
      </c>
      <c r="AE7" s="4">
        <v>246.12</v>
      </c>
      <c r="AF7" s="3">
        <v>46100.625</v>
      </c>
      <c r="AG7" s="4">
        <v>306.06</v>
      </c>
      <c r="AH7" s="3" t="str">
        <f>IF(COUNTIF(AB:AB,Z7)*COUNTIF(AD:AD,Z7)*COUNTIF(AF:AF,Z7),Z7,"")</f>
        <v/>
      </c>
      <c r="AI7" s="3" t="str">
        <f t="shared" si="0"/>
        <v/>
      </c>
      <c r="AJ7" s="3">
        <v>46107.625</v>
      </c>
      <c r="AK7" s="3">
        <v>46049</v>
      </c>
      <c r="AL7" s="5">
        <v>264.17689999999999</v>
      </c>
      <c r="AM7" s="3">
        <v>45785</v>
      </c>
      <c r="AN7" s="4">
        <v>233.9237</v>
      </c>
      <c r="AO7" s="74">
        <v>45785</v>
      </c>
      <c r="AP7" s="4">
        <v>319.94200000000001</v>
      </c>
      <c r="AQ7" s="6">
        <f t="shared" si="1"/>
        <v>45785</v>
      </c>
    </row>
    <row r="8" spans="1:45" x14ac:dyDescent="0.25">
      <c r="A8" s="17" t="s">
        <v>20</v>
      </c>
      <c r="B8" s="17" t="s">
        <v>21</v>
      </c>
      <c r="C8" s="18" t="s">
        <v>21</v>
      </c>
      <c r="D8" s="17">
        <v>4.859</v>
      </c>
      <c r="E8" s="17" t="s">
        <v>21</v>
      </c>
      <c r="F8" s="78"/>
      <c r="G8" s="78"/>
      <c r="H8" s="1"/>
      <c r="I8" s="1"/>
      <c r="J8" s="1"/>
      <c r="K8" s="1"/>
      <c r="L8" s="1"/>
      <c r="M8" s="1"/>
      <c r="N8" s="1"/>
      <c r="O8" s="1"/>
      <c r="P8" s="1"/>
      <c r="Q8" s="83"/>
      <c r="R8" s="83"/>
      <c r="S8" s="83"/>
      <c r="T8" s="3">
        <v>46104.625</v>
      </c>
      <c r="U8" s="4">
        <v>305</v>
      </c>
      <c r="V8" s="3"/>
      <c r="W8" s="4"/>
      <c r="X8" s="83"/>
      <c r="Y8" s="1"/>
      <c r="Z8" s="3">
        <v>46055.625</v>
      </c>
      <c r="AA8" s="4">
        <v>93.64</v>
      </c>
      <c r="AB8" s="3">
        <v>46055.625</v>
      </c>
      <c r="AC8" s="4">
        <v>100.607</v>
      </c>
      <c r="AD8" s="3">
        <v>46055.625</v>
      </c>
      <c r="AE8" s="4">
        <v>243.642</v>
      </c>
      <c r="AF8" s="3">
        <v>46101.625</v>
      </c>
      <c r="AG8" s="4">
        <v>304.02</v>
      </c>
      <c r="AH8" s="3" t="str">
        <f>IF(COUNTIF(AB:AB,Z8)*COUNTIF(AD:AD,Z8)*COUNTIF(AF:AF,Z8),Z8,"")</f>
        <v/>
      </c>
      <c r="AI8" s="3" t="str">
        <f t="shared" si="0"/>
        <v/>
      </c>
      <c r="AJ8" s="3">
        <v>46108.625</v>
      </c>
      <c r="AK8" s="3">
        <v>46050</v>
      </c>
      <c r="AL8" s="5">
        <v>263.77480000000003</v>
      </c>
      <c r="AM8" s="3">
        <v>45786</v>
      </c>
      <c r="AN8" s="4">
        <v>233.92679999999999</v>
      </c>
      <c r="AO8" s="74">
        <v>45786</v>
      </c>
      <c r="AP8" s="4">
        <v>320.065</v>
      </c>
      <c r="AQ8" s="6">
        <f t="shared" si="1"/>
        <v>45786</v>
      </c>
    </row>
    <row r="9" spans="1:45" x14ac:dyDescent="0.25">
      <c r="A9" s="17" t="s">
        <v>22</v>
      </c>
      <c r="B9" s="28" cm="1">
        <f t="array" ref="B9">_xll.BDP(B4,"PX_LAST")</f>
        <v>91.07</v>
      </c>
      <c r="C9" s="28" cm="1">
        <f t="array" ref="C9">_xll.BDP(C4,"PX_LAST")</f>
        <v>99.774000000000001</v>
      </c>
      <c r="D9" s="28" cm="1">
        <f t="array" ref="D9">_xll.BDP(D4,"PX_LAST")</f>
        <v>249.3082</v>
      </c>
      <c r="E9" s="28" cm="1">
        <f t="array" ref="E9">_xll.BDP(E4,"PX_LAST")</f>
        <v>315.95999999999998</v>
      </c>
      <c r="F9" s="91"/>
      <c r="G9" s="91"/>
      <c r="H9" s="1"/>
      <c r="I9" s="1"/>
      <c r="J9" s="1"/>
      <c r="K9" s="1"/>
      <c r="L9" s="1"/>
      <c r="M9" s="1"/>
      <c r="N9" s="1"/>
      <c r="O9" s="1"/>
      <c r="P9" s="1"/>
      <c r="Q9" s="83"/>
      <c r="R9" s="83"/>
      <c r="S9" s="83"/>
      <c r="T9" s="3">
        <v>46105.625</v>
      </c>
      <c r="U9" s="4">
        <v>304.52</v>
      </c>
      <c r="V9" s="3"/>
      <c r="W9" s="4"/>
      <c r="X9" s="83"/>
      <c r="Y9" s="1"/>
      <c r="Z9" s="3">
        <v>46056.625</v>
      </c>
      <c r="AA9" s="4">
        <v>93.64</v>
      </c>
      <c r="AB9" s="3">
        <v>46056.625</v>
      </c>
      <c r="AC9" s="4">
        <v>100.57599999999999</v>
      </c>
      <c r="AD9" s="3">
        <v>46056.625</v>
      </c>
      <c r="AE9" s="4">
        <v>243.64</v>
      </c>
      <c r="AF9" s="3">
        <v>46104.625</v>
      </c>
      <c r="AG9" s="4">
        <v>305</v>
      </c>
      <c r="AH9" s="3" t="str">
        <f>IF(COUNTIF(AB:AB,Z9)*COUNTIF(AD:AD,Z9)*COUNTIF(AF:AF,Z9),Z9,"")</f>
        <v/>
      </c>
      <c r="AI9" s="3" t="str">
        <f t="shared" si="0"/>
        <v/>
      </c>
      <c r="AJ9" s="3">
        <v>46111.625</v>
      </c>
      <c r="AK9" s="3">
        <v>46051</v>
      </c>
      <c r="AL9" s="5">
        <v>263.46510000000001</v>
      </c>
      <c r="AM9" s="3">
        <v>45789</v>
      </c>
      <c r="AN9" s="4">
        <v>235.58269999999999</v>
      </c>
      <c r="AO9" s="74">
        <v>45789</v>
      </c>
      <c r="AP9" s="4">
        <v>306.82</v>
      </c>
      <c r="AQ9" s="6">
        <f t="shared" si="1"/>
        <v>45789</v>
      </c>
    </row>
    <row r="10" spans="1:45" ht="15.75" thickBot="1" x14ac:dyDescent="0.3">
      <c r="A10" s="29" t="s">
        <v>23</v>
      </c>
      <c r="B10" s="95"/>
      <c r="C10" s="96"/>
      <c r="D10" s="114">
        <f ca="1">AS3*(1-(D9-AS2)*D8*10^-4+AS4/360*D6)</f>
        <v>255.32830781086102</v>
      </c>
      <c r="E10" s="95"/>
      <c r="F10" s="92"/>
      <c r="G10" s="92"/>
      <c r="H10" s="1"/>
      <c r="I10" s="1"/>
      <c r="J10" s="1"/>
      <c r="K10" s="1"/>
      <c r="L10" s="1"/>
      <c r="M10" s="1"/>
      <c r="N10" s="1"/>
      <c r="O10" s="1"/>
      <c r="P10" s="1"/>
      <c r="Q10" s="83"/>
      <c r="R10" s="83"/>
      <c r="S10" s="83"/>
      <c r="T10" s="3">
        <v>46106.625</v>
      </c>
      <c r="U10" s="4">
        <v>306.12</v>
      </c>
      <c r="V10" s="3"/>
      <c r="W10" s="4"/>
      <c r="X10" s="83"/>
      <c r="Y10" s="1"/>
      <c r="Z10" s="3">
        <v>46057.625</v>
      </c>
      <c r="AA10" s="4">
        <v>93.61</v>
      </c>
      <c r="AB10" s="3">
        <v>46057.625</v>
      </c>
      <c r="AC10" s="4">
        <v>100.637</v>
      </c>
      <c r="AD10" s="3">
        <v>46057.625</v>
      </c>
      <c r="AE10" s="4">
        <v>244.55699999999999</v>
      </c>
      <c r="AF10" s="3">
        <v>46105.625</v>
      </c>
      <c r="AG10" s="4">
        <v>304.52</v>
      </c>
      <c r="AH10" s="3" t="str">
        <f>IF(COUNTIF(AB:AB,Z10)*COUNTIF(AD:AD,Z10)*COUNTIF(AF:AF,Z10),Z10,"")</f>
        <v/>
      </c>
      <c r="AI10" s="3" t="str">
        <f t="shared" si="0"/>
        <v/>
      </c>
      <c r="AJ10" s="3">
        <v>46112.625</v>
      </c>
      <c r="AK10" s="3">
        <v>46052</v>
      </c>
      <c r="AL10" s="5">
        <v>263.61529999999999</v>
      </c>
      <c r="AM10" s="3">
        <v>45790</v>
      </c>
      <c r="AN10" s="4">
        <v>236.78129999999999</v>
      </c>
      <c r="AO10" s="74">
        <v>45790</v>
      </c>
      <c r="AP10" s="4">
        <v>295.55200000000002</v>
      </c>
      <c r="AQ10" s="6">
        <f t="shared" si="1"/>
        <v>45790</v>
      </c>
    </row>
    <row r="11" spans="1:45" ht="15.75" thickBot="1" x14ac:dyDescent="0.3">
      <c r="A11" s="1"/>
      <c r="B11" s="97" t="s">
        <v>7</v>
      </c>
      <c r="C11" s="98"/>
      <c r="D11" s="99"/>
      <c r="E11" s="100" t="s">
        <v>71</v>
      </c>
      <c r="F11" s="101"/>
      <c r="G11" s="102"/>
      <c r="H11" s="1"/>
      <c r="I11" s="1"/>
      <c r="J11" s="1"/>
      <c r="K11" s="1"/>
      <c r="L11" s="1"/>
      <c r="M11" s="1"/>
      <c r="N11" s="1"/>
      <c r="O11" s="1"/>
      <c r="P11" s="1"/>
      <c r="Q11" s="83"/>
      <c r="R11" s="83"/>
      <c r="S11" s="83"/>
      <c r="T11" s="3">
        <v>46107.625</v>
      </c>
      <c r="U11" s="4">
        <v>304.82</v>
      </c>
      <c r="V11" s="3"/>
      <c r="W11" s="4"/>
      <c r="X11" s="83"/>
      <c r="Y11" s="1"/>
      <c r="Z11" s="3">
        <v>46058.625</v>
      </c>
      <c r="AA11" s="4">
        <v>93.49</v>
      </c>
      <c r="AB11" s="3">
        <v>46058.625</v>
      </c>
      <c r="AC11" s="4">
        <v>100.67</v>
      </c>
      <c r="AD11" s="3">
        <v>46058.625</v>
      </c>
      <c r="AE11" s="4">
        <v>249.851</v>
      </c>
      <c r="AF11" s="3">
        <v>46106.625</v>
      </c>
      <c r="AG11" s="4">
        <v>306.12</v>
      </c>
      <c r="AH11" s="3" t="str">
        <f>IF(COUNTIF(AB:AB,Z11)*COUNTIF(AD:AD,Z11)*COUNTIF(AF:AF,Z11),Z11,"")</f>
        <v/>
      </c>
      <c r="AI11" s="3" t="str">
        <f t="shared" si="0"/>
        <v/>
      </c>
      <c r="AJ11" s="3">
        <v>46113.625</v>
      </c>
      <c r="AK11" s="3">
        <v>46055</v>
      </c>
      <c r="AL11" s="5">
        <v>264.12970000000001</v>
      </c>
      <c r="AM11" s="3">
        <v>45791</v>
      </c>
      <c r="AN11" s="4">
        <v>236.41579999999999</v>
      </c>
      <c r="AO11" s="74">
        <v>45791</v>
      </c>
      <c r="AP11" s="4">
        <v>299.07799999999997</v>
      </c>
      <c r="AQ11" s="6">
        <f t="shared" si="1"/>
        <v>45791</v>
      </c>
    </row>
    <row r="12" spans="1:45" ht="15.75" thickBot="1" x14ac:dyDescent="0.3">
      <c r="A12" s="33" t="s">
        <v>24</v>
      </c>
      <c r="B12" s="65" t="s">
        <v>2</v>
      </c>
      <c r="C12" s="66"/>
      <c r="D12" s="67"/>
      <c r="E12" s="64"/>
      <c r="F12" s="64"/>
      <c r="G12" s="64"/>
      <c r="H12" s="68" t="s">
        <v>3</v>
      </c>
      <c r="I12" s="69"/>
      <c r="J12" s="70"/>
      <c r="K12" s="71" t="s">
        <v>3</v>
      </c>
      <c r="L12" s="73"/>
      <c r="M12" s="11" t="s">
        <v>25</v>
      </c>
      <c r="N12" s="33" t="s">
        <v>78</v>
      </c>
      <c r="O12" s="33" t="s">
        <v>79</v>
      </c>
      <c r="P12" s="115"/>
      <c r="Q12" s="85"/>
      <c r="R12" s="85"/>
      <c r="S12" s="85"/>
      <c r="T12" s="3">
        <v>46108.625</v>
      </c>
      <c r="U12" s="4">
        <v>303.5</v>
      </c>
      <c r="V12" s="3"/>
      <c r="W12" s="4"/>
      <c r="X12" s="85"/>
      <c r="Z12" s="3">
        <v>46059.625</v>
      </c>
      <c r="AA12" s="4">
        <v>93.62</v>
      </c>
      <c r="AB12" s="3">
        <v>46059.625</v>
      </c>
      <c r="AC12" s="4">
        <v>100.67</v>
      </c>
      <c r="AD12" s="3">
        <v>46059.625</v>
      </c>
      <c r="AE12" s="4">
        <v>244.11</v>
      </c>
      <c r="AF12" s="3">
        <v>46107.625</v>
      </c>
      <c r="AG12" s="4">
        <v>304.82</v>
      </c>
      <c r="AH12" s="3" t="str">
        <f>IF(COUNTIF(AB:AB,Z12)*COUNTIF(AD:AD,Z12)*COUNTIF(AF:AF,Z12),Z12,"")</f>
        <v/>
      </c>
      <c r="AI12" s="3" t="str">
        <f t="shared" si="0"/>
        <v/>
      </c>
      <c r="AJ12" s="3">
        <v>46114.625</v>
      </c>
      <c r="AK12" s="3">
        <v>46056</v>
      </c>
      <c r="AL12" s="5">
        <v>264</v>
      </c>
      <c r="AM12" s="3">
        <v>45792</v>
      </c>
      <c r="AN12" s="4">
        <v>236.27610000000001</v>
      </c>
      <c r="AO12" s="74">
        <v>45792</v>
      </c>
      <c r="AP12" s="4">
        <v>300.10700000000003</v>
      </c>
      <c r="AQ12" s="6">
        <f t="shared" si="1"/>
        <v>45792</v>
      </c>
    </row>
    <row r="13" spans="1:45" ht="15.75" thickBot="1" x14ac:dyDescent="0.3">
      <c r="A13" s="29"/>
      <c r="B13" s="34" t="s">
        <v>27</v>
      </c>
      <c r="C13" s="35" t="s">
        <v>28</v>
      </c>
      <c r="D13" s="36" t="s">
        <v>29</v>
      </c>
      <c r="E13" s="35" t="s">
        <v>27</v>
      </c>
      <c r="F13" s="35" t="s">
        <v>77</v>
      </c>
      <c r="G13" s="35" t="s">
        <v>28</v>
      </c>
      <c r="H13" s="34" t="s">
        <v>27</v>
      </c>
      <c r="I13" s="35" t="s">
        <v>28</v>
      </c>
      <c r="J13" s="36" t="s">
        <v>29</v>
      </c>
      <c r="K13" s="34" t="s">
        <v>31</v>
      </c>
      <c r="L13" s="36" t="s">
        <v>33</v>
      </c>
      <c r="M13" s="36"/>
      <c r="N13" s="29"/>
      <c r="O13" s="78"/>
      <c r="P13" s="78"/>
      <c r="Q13" s="85"/>
      <c r="R13" s="85"/>
      <c r="S13" s="85"/>
      <c r="T13" s="3">
        <v>46111.625</v>
      </c>
      <c r="U13" s="4">
        <v>302.92</v>
      </c>
      <c r="V13" s="3"/>
      <c r="W13" s="4"/>
      <c r="X13" s="85"/>
      <c r="Z13" s="3">
        <v>46062.625</v>
      </c>
      <c r="AA13" s="4">
        <v>93.76</v>
      </c>
      <c r="AB13" s="3">
        <v>46062.625</v>
      </c>
      <c r="AC13" s="4">
        <v>100.702</v>
      </c>
      <c r="AD13" s="3">
        <v>46062.625</v>
      </c>
      <c r="AE13" s="4">
        <v>241.44</v>
      </c>
      <c r="AF13" s="3">
        <v>46108.625</v>
      </c>
      <c r="AG13" s="4">
        <v>303.5</v>
      </c>
      <c r="AH13" s="3" t="str">
        <f>IF(COUNTIF(AB:AB,Z13)*COUNTIF(AD:AD,Z13)*COUNTIF(AF:AF,Z13),Z13,"")</f>
        <v/>
      </c>
      <c r="AI13" s="3" t="str">
        <f t="shared" si="0"/>
        <v/>
      </c>
      <c r="AJ13" s="3">
        <v>46119.625</v>
      </c>
      <c r="AK13" s="3">
        <v>46057</v>
      </c>
      <c r="AL13" s="5">
        <v>263.81950000000001</v>
      </c>
      <c r="AM13" s="3">
        <v>45793</v>
      </c>
      <c r="AN13" s="4">
        <v>236.29159999999999</v>
      </c>
      <c r="AO13" s="74">
        <v>45793</v>
      </c>
      <c r="AP13" s="4">
        <v>301.29500000000002</v>
      </c>
      <c r="AQ13" s="6">
        <f t="shared" si="1"/>
        <v>45793</v>
      </c>
    </row>
    <row r="14" spans="1:45" x14ac:dyDescent="0.25">
      <c r="A14" s="37">
        <v>46104.625</v>
      </c>
      <c r="B14" s="38">
        <f>IF(COUNTIF($AJ$2:AJ999,A14)=1,VLOOKUP(A14,Z:AA,2), IF(COUNTIF($AJ$2:AJ999,A14)=0,$B$9,""))</f>
        <v>89.33</v>
      </c>
      <c r="C14" s="2"/>
      <c r="D14" s="18"/>
      <c r="E14" s="78">
        <f>IF(COUNTIF($AJ$2:AJ999,A14)=1,VLOOKUP(A14,AF:AG,2), IF(COUNTIF($AJ$2:AJ999,A14)=0,$E$9,""))</f>
        <v>305</v>
      </c>
      <c r="F14" s="113">
        <f>E14+$H$5</f>
        <v>306.64</v>
      </c>
      <c r="G14" s="78"/>
      <c r="H14" s="38">
        <f>IF(COUNTIF($AJ$2:AJ999,A14)=1,VLOOKUP(A14,AB:AC,2), IF(COUNTIF($AJ$2:AJ999,A14)=0,$C$9,""))</f>
        <v>99.53</v>
      </c>
      <c r="I14" s="1"/>
      <c r="J14" s="18"/>
      <c r="K14" s="38">
        <f>IF(COUNTIF($AJ$2:AJ999,A14)=1,VLOOKUP(A14,AM:AN,2), IF(COUNTIF($AJ$2:AJ999,A14)=0,$D$10,""))</f>
        <v>242.08969999999999</v>
      </c>
      <c r="L14" s="18"/>
      <c r="M14" s="18"/>
      <c r="N14" s="40">
        <v>0</v>
      </c>
      <c r="O14" s="79">
        <v>0</v>
      </c>
      <c r="P14" s="79"/>
      <c r="Q14" s="86"/>
      <c r="R14" s="86"/>
      <c r="S14" s="86"/>
      <c r="T14" s="3">
        <v>46112.625</v>
      </c>
      <c r="U14" s="4">
        <v>304.16000000000003</v>
      </c>
      <c r="V14" s="3"/>
      <c r="W14" s="4"/>
      <c r="X14" s="86"/>
      <c r="Z14" s="3">
        <v>46064.625</v>
      </c>
      <c r="AA14" s="4">
        <v>93.63</v>
      </c>
      <c r="AB14" s="3">
        <v>46063.625</v>
      </c>
      <c r="AC14" s="4">
        <v>100.736</v>
      </c>
      <c r="AD14" s="3">
        <v>46063.625</v>
      </c>
      <c r="AE14" s="4">
        <v>241.98599999999999</v>
      </c>
      <c r="AF14" s="3">
        <v>46111.625</v>
      </c>
      <c r="AG14" s="4">
        <v>302.92</v>
      </c>
      <c r="AH14" s="3" t="str">
        <f>IF(COUNTIF(AB:AB,Z14)*COUNTIF(AD:AD,Z14)*COUNTIF(AF:AF,Z14),Z14,"")</f>
        <v/>
      </c>
      <c r="AI14" s="3" t="str">
        <f t="shared" si="0"/>
        <v/>
      </c>
      <c r="AJ14" s="3">
        <v>46120.625</v>
      </c>
      <c r="AK14" s="3">
        <v>46058</v>
      </c>
      <c r="AL14" s="5">
        <v>263.54730000000001</v>
      </c>
      <c r="AM14" s="3">
        <v>45796</v>
      </c>
      <c r="AN14" s="4">
        <v>236.34809999999999</v>
      </c>
      <c r="AO14" s="74">
        <v>45796</v>
      </c>
      <c r="AP14" s="4">
        <v>299.93799999999999</v>
      </c>
      <c r="AQ14" s="6">
        <f t="shared" si="1"/>
        <v>45796</v>
      </c>
    </row>
    <row r="15" spans="1:45" x14ac:dyDescent="0.25">
      <c r="A15" s="37">
        <f ca="1">IF(AND(ISBLANK(AJ4), A14 = $AJ$1),NOW(),IF(ISBLANK(AJ4),"",AJ4))</f>
        <v>46104.625</v>
      </c>
      <c r="B15" s="38">
        <f ca="1">IF(COUNTIF($AJ$2:AJ1000,A15)=1,VLOOKUP(A15,Z:AA,2), IF(COUNTIF($AJ$2:AJ1000,A15)=0,$B$9,""))</f>
        <v>89.33</v>
      </c>
      <c r="C15" s="2">
        <f ca="1">IF(ISERROR(B15-2),"",(B15/$B$14-1)*$B$5)</f>
        <v>0</v>
      </c>
      <c r="D15" s="41">
        <f ca="1">IF(ISERROR(B15-2),"",-1*(INT(A15)-INT($A$14))/360*$B$7*$B$5)</f>
        <v>0</v>
      </c>
      <c r="E15" s="78">
        <f ca="1">IF(COUNTIF($AJ$2:AJ1000,A15)=1,VLOOKUP(A15,AF:AG,2), IF(COUNTIF($AJ$2:AJ1000,A15)=0,$E$9,""))</f>
        <v>305</v>
      </c>
      <c r="F15" s="113">
        <f ca="1">E15+$H$5</f>
        <v>306.64</v>
      </c>
      <c r="G15" s="93">
        <f ca="1">IF(ISERROR(B15-2),"",(E15-$E$14)*$H$3*$J$3)</f>
        <v>0</v>
      </c>
      <c r="H15" s="38">
        <f ca="1">IF(COUNTIF($AJ$2:AJ1000,A15)=1,VLOOKUP(A15,AB:AC,2), IF(COUNTIF($AJ$2:AJ1000,A15)=0,$C$9,""))</f>
        <v>99.53</v>
      </c>
      <c r="I15" s="2">
        <f ca="1">IF(ISERROR(B15-2),"",(H15-$H$14)/100*$C$5)</f>
        <v>0</v>
      </c>
      <c r="J15" s="41">
        <f ca="1">IF(ISERROR(B15-2),"",(INT(A15)-INT($A$14))/360*$C$6*$C$5-(INT(A15)-INT($A$14))/360*$C$7*$C$5*$H$14/100)</f>
        <v>0</v>
      </c>
      <c r="K15" s="38">
        <f ca="1">IF(COUNTIF($AJ$2:AJ1000,A15)=1,VLOOKUP(A15,AM:AN,2), IF(COUNTIF($AJ$2:AJ1000,A15)=0,$D$10,""))</f>
        <v>242.08969999999999</v>
      </c>
      <c r="L15" s="41">
        <f ca="1">IF(ISERROR(K15-2),"",(K15/$K$14-1)*$D$5)</f>
        <v>0</v>
      </c>
      <c r="M15" s="41" t="str">
        <f ca="1">IF($A15="","",IF(COUNTIFS(Dividends!$G:$G,"&gt;"&amp;INT($A14),Dividends!$G:$G,"&lt;="&amp;INT($A15))=0,"",$Q$2*SUMIFS(Dividends!$H:$H,Dividends!$G:$G,"&gt;"&amp;INT($A14),Dividends!$G:$G,"&lt;="&amp;INT($A15))))</f>
        <v/>
      </c>
      <c r="N15" s="42">
        <f ca="1">IF(ISERROR(B15-2),"",C15+D15-I15-J15-L15+SUM($M$14:M15))</f>
        <v>0</v>
      </c>
      <c r="O15" s="80">
        <f ca="1">IF(ISERROR(B15-2),"",G15-I15-J15-L15)</f>
        <v>0</v>
      </c>
      <c r="P15" s="80"/>
      <c r="Q15" s="87"/>
      <c r="R15" s="87"/>
      <c r="S15" s="87"/>
      <c r="T15" s="3">
        <v>46113.625</v>
      </c>
      <c r="U15" s="4">
        <v>306.24</v>
      </c>
      <c r="V15" s="3"/>
      <c r="W15" s="4"/>
      <c r="X15" s="87"/>
      <c r="Z15" s="3">
        <v>46065.625</v>
      </c>
      <c r="AA15" s="4">
        <v>93.65</v>
      </c>
      <c r="AB15" s="3">
        <v>46064.625</v>
      </c>
      <c r="AC15" s="4">
        <v>100.73</v>
      </c>
      <c r="AD15" s="3">
        <v>46064.625</v>
      </c>
      <c r="AE15" s="4">
        <v>242.79599999999999</v>
      </c>
      <c r="AF15" s="3">
        <v>46112.625</v>
      </c>
      <c r="AG15" s="4">
        <v>304.16000000000003</v>
      </c>
      <c r="AH15" s="3" t="str">
        <f>IF(COUNTIF(AB:AB,Z15)*COUNTIF(AD:AD,Z15)*COUNTIF(AF:AF,Z15),Z15,"")</f>
        <v/>
      </c>
      <c r="AI15" s="3" t="str">
        <f t="shared" si="0"/>
        <v/>
      </c>
      <c r="AJ15" s="3">
        <v>46122.625</v>
      </c>
      <c r="AK15" s="3">
        <v>46059</v>
      </c>
      <c r="AL15" s="5">
        <v>264.17489999999998</v>
      </c>
      <c r="AM15" s="3">
        <v>45797</v>
      </c>
      <c r="AN15" s="4">
        <v>236.8784</v>
      </c>
      <c r="AO15" s="74">
        <v>45797</v>
      </c>
      <c r="AP15" s="4">
        <v>295.73700000000002</v>
      </c>
      <c r="AQ15" s="6">
        <f t="shared" si="1"/>
        <v>45797</v>
      </c>
    </row>
    <row r="16" spans="1:45" x14ac:dyDescent="0.25">
      <c r="A16" s="37">
        <f ca="1">IF(AND(ISBLANK(AJ5), A15 = $AJ$1),NOW(),IF(ISBLANK(AJ5),"",AJ5))</f>
        <v>46105.625</v>
      </c>
      <c r="B16" s="38">
        <f ca="1">IF(COUNTIF($AJ$2:AJ1001,A16)=1,VLOOKUP(A16,Z:AA,2), IF(COUNTIF($AJ$2:AJ1001,A16)=0,$B$9,""))</f>
        <v>89.26</v>
      </c>
      <c r="C16" s="2">
        <f t="shared" ref="C16:C79" ca="1" si="2">IF(ISERROR(B16-2),"",(B16/$B$14-1)*$B$5)</f>
        <v>-23508.339863423931</v>
      </c>
      <c r="D16" s="41">
        <f t="shared" ref="D16:D79" ca="1" si="3">IF(ISERROR(B16-2),"",-1*(INT(A16)-INT($A$14))/360*$B$7*$B$5)</f>
        <v>-2208.3333333333335</v>
      </c>
      <c r="E16" s="78">
        <f ca="1">IF(COUNTIF($AJ$2:AJ1001,A16)=1,VLOOKUP(A16,AF:AG,2), IF(COUNTIF($AJ$2:AJ1001,A16)=0,$E$9,""))</f>
        <v>304.52</v>
      </c>
      <c r="F16" s="113">
        <f ca="1">E16+$H$5</f>
        <v>306.15999999999997</v>
      </c>
      <c r="G16" s="93">
        <f t="shared" ref="G16:G79" ca="1" si="4">IF(ISERROR(B16-2),"",(E16-$E$14)*$H$3*$J$3)</f>
        <v>-40896.00000000155</v>
      </c>
      <c r="H16" s="38">
        <f ca="1">IF(COUNTIF($AJ$2:AJ1001,A16)=1,VLOOKUP(A16,AB:AC,2), IF(COUNTIF($AJ$2:AJ1001,A16)=0,$C$9,""))</f>
        <v>99.400999999999996</v>
      </c>
      <c r="I16" s="2">
        <f ca="1">IF(ISERROR(B16-2),"",(H16-$H$14)/100*$C$5)</f>
        <v>-33540.000000001273</v>
      </c>
      <c r="J16" s="41">
        <f ca="1">IF(ISERROR(B16-2),"",(INT(A16)-INT($A$14))/360*$C$6*$C$5-(INT(A16)-INT($A$14))/360*$C$7*$C$5*$H$14/100)</f>
        <v>8.1466666666665333</v>
      </c>
      <c r="K16" s="38">
        <f ca="1">IF(COUNTIF($AJ$2:AJ1001,A16)=1,VLOOKUP(A16,AM:AN,2), IF(COUNTIF($AJ$2:AJ1001,A16)=0,$D$10,""))</f>
        <v>242.32900000000001</v>
      </c>
      <c r="L16" s="41">
        <f ca="1">IF(ISERROR(K16-2),"",(K16/$K$14-1)*$D$5)</f>
        <v>18484.512145705678</v>
      </c>
      <c r="M16" s="41" t="str">
        <f ca="1">IF($A16="","",IF(COUNTIFS(Dividends!$G:$G,"&gt;"&amp;INT($A15),Dividends!$G:$G,"&lt;="&amp;INT($A16))=0,"",$Q$2*SUMIFS(Dividends!$H:$H,Dividends!$G:$G,"&gt;"&amp;INT($A15),Dividends!$G:$G,"&lt;="&amp;INT($A16))))</f>
        <v/>
      </c>
      <c r="N16" s="42">
        <f ca="1">IF(ISERROR(B16-2),"",C16+D16-I16-J16-L16+SUM($M$14:M16))</f>
        <v>-10669.332009128335</v>
      </c>
      <c r="O16" s="80">
        <f t="shared" ref="O16:O79" ca="1" si="5">IF(ISERROR(B16-2),"",G16-I16-J16-L16)</f>
        <v>-25848.658812372621</v>
      </c>
      <c r="P16" s="80"/>
      <c r="Q16" s="87"/>
      <c r="R16" s="87"/>
      <c r="S16" s="87"/>
      <c r="T16" s="3">
        <v>46114.625</v>
      </c>
      <c r="U16" s="4">
        <v>306.5</v>
      </c>
      <c r="V16" s="3"/>
      <c r="W16" s="4"/>
      <c r="X16" s="87"/>
      <c r="Z16" s="3">
        <v>46066.625</v>
      </c>
      <c r="AA16" s="4">
        <v>93.55</v>
      </c>
      <c r="AB16" s="3">
        <v>46065.625</v>
      </c>
      <c r="AC16" s="4">
        <v>100.751</v>
      </c>
      <c r="AD16" s="3">
        <v>46065.625</v>
      </c>
      <c r="AE16" s="4">
        <v>244.61799999999999</v>
      </c>
      <c r="AF16" s="3">
        <v>46113.625</v>
      </c>
      <c r="AG16" s="4">
        <v>306.24</v>
      </c>
      <c r="AH16" s="3" t="str">
        <f>IF(COUNTIF(AB:AB,Z16)*COUNTIF(AD:AD,Z16)*COUNTIF(AF:AF,Z16),Z16,"")</f>
        <v/>
      </c>
      <c r="AI16" s="3" t="str">
        <f t="shared" si="0"/>
        <v/>
      </c>
      <c r="AJ16" s="3">
        <v>46126.625</v>
      </c>
      <c r="AK16" s="3">
        <v>46062</v>
      </c>
      <c r="AL16" s="5">
        <v>264.56029999999998</v>
      </c>
      <c r="AM16" s="3">
        <v>45798</v>
      </c>
      <c r="AN16" s="4">
        <v>236.62629999999999</v>
      </c>
      <c r="AO16" s="74">
        <v>45798</v>
      </c>
      <c r="AP16" s="4">
        <v>298.613</v>
      </c>
      <c r="AQ16" s="6">
        <f t="shared" si="1"/>
        <v>45798</v>
      </c>
    </row>
    <row r="17" spans="1:43" x14ac:dyDescent="0.25">
      <c r="A17" s="37">
        <f ca="1">IF(AND(ISBLANK(AJ6), A16 = $AJ$1),NOW(),IF(ISBLANK(AJ6),"",AJ6))</f>
        <v>46106.625</v>
      </c>
      <c r="B17" s="38">
        <f ca="1">IF(COUNTIF($AJ$2:AJ1002,A17)=1,VLOOKUP(A17,Z:AA,2), IF(COUNTIF($AJ$2:AJ1002,A17)=0,$B$9,""))</f>
        <v>89.54</v>
      </c>
      <c r="C17" s="2">
        <f t="shared" ca="1" si="2"/>
        <v>70525.019590288444</v>
      </c>
      <c r="D17" s="41">
        <f t="shared" ca="1" si="3"/>
        <v>-4416.666666666667</v>
      </c>
      <c r="E17" s="78">
        <f ca="1">IF(COUNTIF($AJ$2:AJ1002,A17)=1,VLOOKUP(A17,AF:AG,2), IF(COUNTIF($AJ$2:AJ1002,A17)=0,$E$9,""))</f>
        <v>306.12</v>
      </c>
      <c r="F17" s="113">
        <f ca="1">E17+$H$5</f>
        <v>307.76</v>
      </c>
      <c r="G17" s="93">
        <f t="shared" ca="1" si="4"/>
        <v>95424.000000000393</v>
      </c>
      <c r="H17" s="38">
        <f ca="1">IF(COUNTIF($AJ$2:AJ1002,A17)=1,VLOOKUP(A17,AB:AC,2), IF(COUNTIF($AJ$2:AJ1002,A17)=0,$C$9,""))</f>
        <v>99.501000000000005</v>
      </c>
      <c r="I17" s="2">
        <f ca="1">IF(ISERROR(B17-2),"",(H17-$H$14)/100*$C$5)</f>
        <v>-7539.9999999990541</v>
      </c>
      <c r="J17" s="41">
        <f ca="1">IF(ISERROR(B17-2),"",(INT(A17)-INT($A$14))/360*$C$6*$C$5-(INT(A17)-INT($A$14))/360*$C$7*$C$5*$H$14/100)</f>
        <v>16.293333333333067</v>
      </c>
      <c r="K17" s="38">
        <f ca="1">IF(COUNTIF($AJ$2:AJ1002,A17)=1,VLOOKUP(A17,AM:AN,2), IF(COUNTIF($AJ$2:AJ1002,A17)=0,$D$10,""))</f>
        <v>243.4736</v>
      </c>
      <c r="L17" s="41">
        <f ca="1">IF(ISERROR(K17-2),"",(K17/$K$14-1)*$D$5)</f>
        <v>106898.10429770623</v>
      </c>
      <c r="M17" s="41" t="str">
        <f ca="1">IF($A17="","",IF(COUNTIFS(Dividends!$G:$G,"&gt;"&amp;INT($A16),Dividends!$G:$G,"&lt;="&amp;INT($A17))=0,"",$Q$2*SUMIFS(Dividends!$H:$H,Dividends!$G:$G,"&gt;"&amp;INT($A16),Dividends!$G:$G,"&lt;="&amp;INT($A17))))</f>
        <v/>
      </c>
      <c r="N17" s="42">
        <f ca="1">IF(ISERROR(B17-2),"",C17+D17-I17-J17-L17+SUM($M$14:M17))</f>
        <v>-33266.04470741874</v>
      </c>
      <c r="O17" s="80">
        <f t="shared" ca="1" si="5"/>
        <v>-3950.3976310401194</v>
      </c>
      <c r="P17" s="80"/>
      <c r="Q17" s="87"/>
      <c r="R17" s="87"/>
      <c r="S17" s="87"/>
      <c r="T17" s="3">
        <v>46119.625</v>
      </c>
      <c r="U17" s="4">
        <v>305.86</v>
      </c>
      <c r="V17" s="3"/>
      <c r="W17" s="4"/>
      <c r="X17" s="87"/>
      <c r="Z17" s="3">
        <v>46069.625</v>
      </c>
      <c r="AA17" s="4">
        <v>93.55</v>
      </c>
      <c r="AB17" s="3">
        <v>46066.625</v>
      </c>
      <c r="AC17" s="4">
        <v>100.819</v>
      </c>
      <c r="AD17" s="3">
        <v>46066.625</v>
      </c>
      <c r="AE17" s="4">
        <v>247.57300000000001</v>
      </c>
      <c r="AF17" s="3">
        <v>46114.625</v>
      </c>
      <c r="AG17" s="4">
        <v>306.5</v>
      </c>
      <c r="AH17" s="3" t="str">
        <f>IF(COUNTIF(AB:AB,Z17)*COUNTIF(AD:AD,Z17)*COUNTIF(AF:AF,Z17),Z17,"")</f>
        <v/>
      </c>
      <c r="AI17" s="3" t="str">
        <f t="shared" si="0"/>
        <v/>
      </c>
      <c r="AJ17" s="3">
        <v>46127.625</v>
      </c>
      <c r="AK17" s="3">
        <v>46063</v>
      </c>
      <c r="AL17" s="5">
        <v>264.46800000000002</v>
      </c>
      <c r="AM17" s="3">
        <v>45799</v>
      </c>
      <c r="AN17" s="4">
        <v>236.15270000000001</v>
      </c>
      <c r="AO17" s="74">
        <v>45799</v>
      </c>
      <c r="AP17" s="4">
        <v>302.62099999999998</v>
      </c>
      <c r="AQ17" s="6">
        <f t="shared" si="1"/>
        <v>45799</v>
      </c>
    </row>
    <row r="18" spans="1:43" x14ac:dyDescent="0.25">
      <c r="A18" s="37">
        <f ca="1">IF(AND(ISBLANK(AJ7), A17 = $AJ$1),NOW(),IF(ISBLANK(AJ7),"",AJ7))</f>
        <v>46107.625</v>
      </c>
      <c r="B18" s="38">
        <f ca="1">IF(COUNTIF($AJ$2:AJ1003,A18)=1,VLOOKUP(A18,Z:AA,2), IF(COUNTIF($AJ$2:AJ1003,A18)=0,$B$9,""))</f>
        <v>89.29</v>
      </c>
      <c r="C18" s="2">
        <f t="shared" ca="1" si="2"/>
        <v>-13433.3370648132</v>
      </c>
      <c r="D18" s="41">
        <f t="shared" ca="1" si="3"/>
        <v>-6625</v>
      </c>
      <c r="E18" s="78">
        <f ca="1">IF(COUNTIF($AJ$2:AJ1003,A18)=1,VLOOKUP(A18,AF:AG,2), IF(COUNTIF($AJ$2:AJ1003,A18)=0,$E$9,""))</f>
        <v>304.82</v>
      </c>
      <c r="F18" s="113">
        <f ca="1">E18+$H$5</f>
        <v>306.45999999999998</v>
      </c>
      <c r="G18" s="93">
        <f t="shared" ca="1" si="4"/>
        <v>-15336.000000000582</v>
      </c>
      <c r="H18" s="38">
        <f ca="1">IF(COUNTIF($AJ$2:AJ1003,A18)=1,VLOOKUP(A18,AB:AC,2), IF(COUNTIF($AJ$2:AJ1003,A18)=0,$C$9,""))</f>
        <v>99.313000000000002</v>
      </c>
      <c r="I18" s="2">
        <f ca="1">IF(ISERROR(B18-2),"",(H18-$H$14)/100*$C$5)</f>
        <v>-56419.999999999673</v>
      </c>
      <c r="J18" s="41">
        <f ca="1">IF(ISERROR(B18-2),"",(INT(A18)-INT($A$14))/360*$C$6*$C$5-(INT(A18)-INT($A$14))/360*$C$7*$C$5*$H$14/100)</f>
        <v>24.4399999999996</v>
      </c>
      <c r="K18" s="38">
        <f ca="1">IF(COUNTIF($AJ$2:AJ1003,A18)=1,VLOOKUP(A18,AM:AN,2), IF(COUNTIF($AJ$2:AJ1003,A18)=0,$D$10,""))</f>
        <v>241.38650000000001</v>
      </c>
      <c r="L18" s="41">
        <f ca="1">IF(ISERROR(K18-2),"",(K18/$K$14-1)*$D$5)</f>
        <v>-54318.048227575986</v>
      </c>
      <c r="M18" s="41" t="str">
        <f ca="1">IF($A18="","",IF(COUNTIFS(Dividends!$G:$G,"&gt;"&amp;INT($A17),Dividends!$G:$G,"&lt;="&amp;INT($A18))=0,"",$Q$2*SUMIFS(Dividends!$H:$H,Dividends!$G:$G,"&gt;"&amp;INT($A17),Dividends!$G:$G,"&lt;="&amp;INT($A18))))</f>
        <v/>
      </c>
      <c r="N18" s="42">
        <f ca="1">IF(ISERROR(B18-2),"",C18+D18-I18-J18-L18+SUM($M$14:M18))</f>
        <v>90655.271162762452</v>
      </c>
      <c r="O18" s="80">
        <f t="shared" ca="1" si="5"/>
        <v>95377.608227575081</v>
      </c>
      <c r="P18" s="80"/>
      <c r="Q18" s="87"/>
      <c r="R18" s="87"/>
      <c r="S18" s="87"/>
      <c r="T18" s="3">
        <v>46120.625</v>
      </c>
      <c r="U18" s="4">
        <v>309.58</v>
      </c>
      <c r="V18" s="3"/>
      <c r="W18" s="4"/>
      <c r="X18" s="87"/>
      <c r="Z18" s="3">
        <v>46070.625</v>
      </c>
      <c r="AA18" s="4">
        <v>93.48</v>
      </c>
      <c r="AB18" s="3">
        <v>46069.625</v>
      </c>
      <c r="AC18" s="4">
        <v>100.827</v>
      </c>
      <c r="AD18" s="3">
        <v>46069.625</v>
      </c>
      <c r="AE18" s="4">
        <v>248.94900000000001</v>
      </c>
      <c r="AF18" s="3">
        <v>46119.625</v>
      </c>
      <c r="AG18" s="4">
        <v>305.86</v>
      </c>
      <c r="AH18" s="3" t="str">
        <f>IF(COUNTIF(AB:AB,Z18)*COUNTIF(AD:AD,Z18)*COUNTIF(AF:AF,Z18),Z18,"")</f>
        <v/>
      </c>
      <c r="AI18" s="3" t="str">
        <f t="shared" si="0"/>
        <v/>
      </c>
      <c r="AJ18" s="3">
        <v>46128.625</v>
      </c>
      <c r="AK18" s="3">
        <v>46064</v>
      </c>
      <c r="AL18" s="5">
        <v>264.35489999999999</v>
      </c>
      <c r="AM18" s="3">
        <v>45800</v>
      </c>
      <c r="AN18" s="4">
        <v>234.8886</v>
      </c>
      <c r="AO18" s="74">
        <v>45800</v>
      </c>
      <c r="AP18" s="4">
        <v>315.95499999999998</v>
      </c>
      <c r="AQ18" s="6">
        <f t="shared" si="1"/>
        <v>45800</v>
      </c>
    </row>
    <row r="19" spans="1:43" x14ac:dyDescent="0.25">
      <c r="A19" s="37">
        <f ca="1">IF(AND(ISBLANK(AJ8), A18 = $AJ$1),NOW(),IF(ISBLANK(AJ8),"",AJ8))</f>
        <v>46108.625</v>
      </c>
      <c r="B19" s="38">
        <f ca="1">IF(COUNTIF($AJ$2:AJ1004,A19)=1,VLOOKUP(A19,Z:AA,2), IF(COUNTIF($AJ$2:AJ1004,A19)=0,$B$9,""))</f>
        <v>88.99</v>
      </c>
      <c r="C19" s="2">
        <f t="shared" ca="1" si="2"/>
        <v>-114183.36505093718</v>
      </c>
      <c r="D19" s="41">
        <f t="shared" ca="1" si="3"/>
        <v>-8833.3333333333339</v>
      </c>
      <c r="E19" s="78">
        <f ca="1">IF(COUNTIF($AJ$2:AJ1004,A19)=1,VLOOKUP(A19,AF:AG,2), IF(COUNTIF($AJ$2:AJ1004,A19)=0,$E$9,""))</f>
        <v>303.5</v>
      </c>
      <c r="F19" s="113">
        <f ca="1">E19+$H$5</f>
        <v>305.14</v>
      </c>
      <c r="G19" s="93">
        <f t="shared" ca="1" si="4"/>
        <v>-127800</v>
      </c>
      <c r="H19" s="38">
        <f ca="1">IF(COUNTIF($AJ$2:AJ1004,A19)=1,VLOOKUP(A19,AB:AC,2), IF(COUNTIF($AJ$2:AJ1004,A19)=0,$C$9,""))</f>
        <v>99.304000000000002</v>
      </c>
      <c r="I19" s="2">
        <f ca="1">IF(ISERROR(B19-2),"",(H19-$H$14)/100*$C$5)</f>
        <v>-58759.99999999976</v>
      </c>
      <c r="J19" s="41">
        <f ca="1">IF(ISERROR(B19-2),"",(INT(A19)-INT($A$14))/360*$C$6*$C$5-(INT(A19)-INT($A$14))/360*$C$7*$C$5*$H$14/100)</f>
        <v>32.586666666666133</v>
      </c>
      <c r="K19" s="38">
        <f ca="1">IF(COUNTIF($AJ$2:AJ1004,A19)=1,VLOOKUP(A19,AM:AN,2), IF(COUNTIF($AJ$2:AJ1004,A19)=0,$D$10,""))</f>
        <v>240.04679999999999</v>
      </c>
      <c r="L19" s="41">
        <f ca="1">IF(ISERROR(K19-2),"",(K19/$K$14-1)*$D$5)</f>
        <v>-157801.96348708848</v>
      </c>
      <c r="M19" s="41" t="str">
        <f ca="1">IF($A19="","",IF(COUNTIFS(Dividends!$G:$G,"&gt;"&amp;INT($A18),Dividends!$G:$G,"&lt;="&amp;INT($A19))=0,"",$Q$2*SUMIFS(Dividends!$H:$H,Dividends!$G:$G,"&gt;"&amp;INT($A18),Dividends!$G:$G,"&lt;="&amp;INT($A19))))</f>
        <v/>
      </c>
      <c r="N19" s="42">
        <f ca="1">IF(ISERROR(B19-2),"",C19+D19-I19-J19-L19+SUM($M$14:M19))</f>
        <v>93512.678436151065</v>
      </c>
      <c r="O19" s="80">
        <f t="shared" ca="1" si="5"/>
        <v>88729.376820421574</v>
      </c>
      <c r="P19" s="80"/>
      <c r="Q19" s="87"/>
      <c r="R19" s="87"/>
      <c r="S19" s="87"/>
      <c r="T19" s="3">
        <v>46122.625</v>
      </c>
      <c r="U19" s="4">
        <v>309.45999999999998</v>
      </c>
      <c r="V19" s="3"/>
      <c r="W19" s="4"/>
      <c r="X19" s="87"/>
      <c r="Z19" s="3">
        <v>46071.625</v>
      </c>
      <c r="AA19" s="4">
        <v>93.67</v>
      </c>
      <c r="AB19" s="3">
        <v>46070.625</v>
      </c>
      <c r="AC19" s="4">
        <v>100.84399999999999</v>
      </c>
      <c r="AD19" s="3">
        <v>46070.625</v>
      </c>
      <c r="AE19" s="4">
        <v>252.08199999999999</v>
      </c>
      <c r="AF19" s="3">
        <v>46120.625</v>
      </c>
      <c r="AG19" s="4">
        <v>309.58</v>
      </c>
      <c r="AH19" s="3" t="str">
        <f>IF(COUNTIF(AB:AB,Z19)*COUNTIF(AD:AD,Z19)*COUNTIF(AF:AF,Z19),Z19,"")</f>
        <v/>
      </c>
      <c r="AI19" s="3" t="str">
        <f t="shared" si="0"/>
        <v/>
      </c>
      <c r="AJ19" s="3">
        <v>46129.625</v>
      </c>
      <c r="AK19" s="3">
        <v>46065</v>
      </c>
      <c r="AL19" s="5">
        <v>264.04489999999998</v>
      </c>
      <c r="AM19" s="3">
        <v>45804</v>
      </c>
      <c r="AN19" s="4">
        <v>236.60339999999999</v>
      </c>
      <c r="AO19" s="74">
        <v>45804</v>
      </c>
      <c r="AP19" s="4">
        <v>300.10899999999998</v>
      </c>
      <c r="AQ19" s="6">
        <f t="shared" si="1"/>
        <v>45804</v>
      </c>
    </row>
    <row r="20" spans="1:43" x14ac:dyDescent="0.25">
      <c r="A20" s="37">
        <f ca="1">IF(AND(ISBLANK(AJ9), A19 = $AJ$1),NOW(),IF(ISBLANK(AJ9),"",AJ9))</f>
        <v>46111.625</v>
      </c>
      <c r="B20" s="38">
        <f ca="1">IF(COUNTIF($AJ$2:AJ1005,A20)=1,VLOOKUP(A20,Z:AA,2), IF(COUNTIF($AJ$2:AJ1005,A20)=0,$B$9,""))</f>
        <v>88.85</v>
      </c>
      <c r="C20" s="2">
        <f t="shared" ca="1" si="2"/>
        <v>-161200.04477779171</v>
      </c>
      <c r="D20" s="41">
        <f t="shared" ca="1" si="3"/>
        <v>-15458.333333333334</v>
      </c>
      <c r="E20" s="78">
        <f ca="1">IF(COUNTIF($AJ$2:AJ1005,A20)=1,VLOOKUP(A20,AF:AG,2), IF(COUNTIF($AJ$2:AJ1005,A20)=0,$E$9,""))</f>
        <v>302.92</v>
      </c>
      <c r="F20" s="113">
        <f ca="1">E20+$H$5</f>
        <v>304.56</v>
      </c>
      <c r="G20" s="93">
        <f t="shared" ca="1" si="4"/>
        <v>-177215.99999999863</v>
      </c>
      <c r="H20" s="38">
        <f ca="1">IF(COUNTIF($AJ$2:AJ1005,A20)=1,VLOOKUP(A20,AB:AC,2), IF(COUNTIF($AJ$2:AJ1005,A20)=0,$C$9,""))</f>
        <v>99.466999999999999</v>
      </c>
      <c r="I20" s="2">
        <f ca="1">IF(ISERROR(B20-2),"",(H20-$H$14)/100*$C$5)</f>
        <v>-16380.00000000062</v>
      </c>
      <c r="J20" s="41">
        <f ca="1">IF(ISERROR(B20-2),"",(INT(A20)-INT($A$14))/360*$C$6*$C$5-(INT(A20)-INT($A$14))/360*$C$7*$C$5*$H$14/100)</f>
        <v>57.026666666666642</v>
      </c>
      <c r="K20" s="38">
        <f ca="1">IF(COUNTIF($AJ$2:AJ1005,A20)=1,VLOOKUP(A20,AM:AN,2), IF(COUNTIF($AJ$2:AJ1005,A20)=0,$D$10,""))</f>
        <v>240.15790000000001</v>
      </c>
      <c r="L20" s="41">
        <f ca="1">IF(ISERROR(K20-2),"",(K20/$K$14-1)*$D$5)</f>
        <v>-149220.14443406626</v>
      </c>
      <c r="M20" s="41" t="str">
        <f ca="1">IF($A20="","",IF(COUNTIFS(Dividends!$G:$G,"&gt;"&amp;INT($A19),Dividends!$G:$G,"&lt;="&amp;INT($A20))=0,"",$Q$2*SUMIFS(Dividends!$H:$H,Dividends!$G:$G,"&gt;"&amp;INT($A19),Dividends!$G:$G,"&lt;="&amp;INT($A20))))</f>
        <v/>
      </c>
      <c r="N20" s="42">
        <f ca="1">IF(ISERROR(B20-2),"",C20+D20-I20-J20-L20+SUM($M$14:M20))</f>
        <v>-11115.260343724862</v>
      </c>
      <c r="O20" s="80">
        <f t="shared" ca="1" si="5"/>
        <v>-11672.882232598437</v>
      </c>
      <c r="P20" s="80"/>
      <c r="Q20" s="87"/>
      <c r="R20" s="87"/>
      <c r="S20" s="87"/>
      <c r="T20" s="3">
        <v>46126.625</v>
      </c>
      <c r="U20" s="4">
        <v>309.89999999999998</v>
      </c>
      <c r="V20" s="3"/>
      <c r="W20" s="4"/>
      <c r="X20" s="87"/>
      <c r="Z20" s="3">
        <v>46072.625</v>
      </c>
      <c r="AA20" s="4">
        <v>93.64</v>
      </c>
      <c r="AB20" s="3">
        <v>46071.625</v>
      </c>
      <c r="AC20" s="4">
        <v>100.795</v>
      </c>
      <c r="AD20" s="3">
        <v>46071.625</v>
      </c>
      <c r="AE20" s="4">
        <v>245.43600000000001</v>
      </c>
      <c r="AF20" s="3">
        <v>46122.625</v>
      </c>
      <c r="AG20" s="4">
        <v>309.45999999999998</v>
      </c>
      <c r="AH20" s="3" t="str">
        <f>IF(COUNTIF(AB:AB,Z20)*COUNTIF(AD:AD,Z20)*COUNTIF(AF:AF,Z20),Z20,"")</f>
        <v/>
      </c>
      <c r="AI20" s="3" t="str">
        <f t="shared" si="0"/>
        <v/>
      </c>
      <c r="AJ20" s="3">
        <v>46132.625</v>
      </c>
      <c r="AK20" s="3">
        <v>46066</v>
      </c>
      <c r="AL20" s="5">
        <v>263.8886</v>
      </c>
      <c r="AM20" s="3">
        <v>45805</v>
      </c>
      <c r="AN20" s="4">
        <v>236.68979999999999</v>
      </c>
      <c r="AO20" s="74">
        <v>45805</v>
      </c>
      <c r="AP20" s="4">
        <v>300.60399999999998</v>
      </c>
      <c r="AQ20" s="6">
        <f t="shared" si="1"/>
        <v>45805</v>
      </c>
    </row>
    <row r="21" spans="1:43" x14ac:dyDescent="0.25">
      <c r="A21" s="37">
        <f ca="1">IF(AND(ISBLANK(AJ10), A20 = $AJ$1),NOW(),IF(ISBLANK(AJ10),"",AJ10))</f>
        <v>46112.625</v>
      </c>
      <c r="B21" s="38">
        <f ca="1">IF(COUNTIF($AJ$2:AJ1006,A21)=1,VLOOKUP(A21,Z:AA,2), IF(COUNTIF($AJ$2:AJ1006,A21)=0,$B$9,""))</f>
        <v>89.12</v>
      </c>
      <c r="C21" s="2">
        <f t="shared" ca="1" si="2"/>
        <v>-70525.019590281794</v>
      </c>
      <c r="D21" s="41">
        <f t="shared" ca="1" si="3"/>
        <v>-17666.666666666668</v>
      </c>
      <c r="E21" s="78">
        <f ca="1">IF(COUNTIF($AJ$2:AJ1006,A21)=1,VLOOKUP(A21,AF:AG,2), IF(COUNTIF($AJ$2:AJ1006,A21)=0,$E$9,""))</f>
        <v>304.16000000000003</v>
      </c>
      <c r="F21" s="113">
        <f ca="1">E21+$H$5</f>
        <v>305.8</v>
      </c>
      <c r="G21" s="93">
        <f t="shared" ca="1" si="4"/>
        <v>-71567.999999997875</v>
      </c>
      <c r="H21" s="38">
        <f ca="1">IF(COUNTIF($AJ$2:AJ1006,A21)=1,VLOOKUP(A21,AB:AC,2), IF(COUNTIF($AJ$2:AJ1006,A21)=0,$C$9,""))</f>
        <v>99.444000000000003</v>
      </c>
      <c r="I21" s="2">
        <f ca="1">IF(ISERROR(B21-2),"",(H21-$H$14)/100*$C$5)</f>
        <v>-22359.999999999614</v>
      </c>
      <c r="J21" s="41">
        <f ca="1">IF(ISERROR(B21-2),"",(INT(A21)-INT($A$14))/360*$C$6*$C$5-(INT(A21)-INT($A$14))/360*$C$7*$C$5*$H$14/100)</f>
        <v>65.173333333332266</v>
      </c>
      <c r="K21" s="38">
        <f ca="1">IF(COUNTIF($AJ$2:AJ1006,A21)=1,VLOOKUP(A21,AM:AN,2), IF(COUNTIF($AJ$2:AJ1006,A21)=0,$D$10,""))</f>
        <v>241.21780000000001</v>
      </c>
      <c r="L21" s="41">
        <f ca="1">IF(ISERROR(K21-2),"",(K21/$K$14-1)*$D$5)</f>
        <v>-67349.127203676326</v>
      </c>
      <c r="M21" s="41" t="str">
        <f ca="1">IF($A21="","",IF(COUNTIFS(Dividends!$G:$G,"&gt;"&amp;INT($A20),Dividends!$G:$G,"&lt;="&amp;INT($A21))=0,"",$Q$2*SUMIFS(Dividends!$H:$H,Dividends!$G:$G,"&gt;"&amp;INT($A20),Dividends!$G:$G,"&lt;="&amp;INT($A21))))</f>
        <v/>
      </c>
      <c r="N21" s="42">
        <f ca="1">IF(ISERROR(B21-2),"",C21+D21-I21-J21-L21+SUM($M$14:M21))</f>
        <v>1452.2676133941277</v>
      </c>
      <c r="O21" s="80">
        <f t="shared" ca="1" si="5"/>
        <v>18075.953870344732</v>
      </c>
      <c r="P21" s="80"/>
      <c r="Q21" s="87"/>
      <c r="R21" s="87"/>
      <c r="S21" s="87"/>
      <c r="T21" s="3">
        <v>46127.625</v>
      </c>
      <c r="U21" s="4">
        <v>310.42</v>
      </c>
      <c r="V21" s="3"/>
      <c r="W21" s="4"/>
      <c r="X21" s="87"/>
      <c r="Z21" s="3">
        <v>46073.625</v>
      </c>
      <c r="AA21" s="4">
        <v>93.75</v>
      </c>
      <c r="AB21" s="3">
        <v>46072.625</v>
      </c>
      <c r="AC21" s="4">
        <v>100.789</v>
      </c>
      <c r="AD21" s="3">
        <v>46072.625</v>
      </c>
      <c r="AE21" s="4">
        <v>249.529</v>
      </c>
      <c r="AF21" s="3">
        <v>46126.625</v>
      </c>
      <c r="AG21" s="4">
        <v>309.89999999999998</v>
      </c>
      <c r="AH21" s="3" t="str">
        <f>IF(COUNTIF(AB:AB,Z21)*COUNTIF(AD:AD,Z21)*COUNTIF(AF:AF,Z21),Z21,"")</f>
        <v/>
      </c>
      <c r="AI21" s="3" t="str">
        <f t="shared" si="0"/>
        <v/>
      </c>
      <c r="AJ21" s="3">
        <v>46133.625</v>
      </c>
      <c r="AK21" s="3">
        <v>46069</v>
      </c>
      <c r="AL21" s="5">
        <v>263.76089999999999</v>
      </c>
      <c r="AM21" s="3">
        <v>45806</v>
      </c>
      <c r="AN21" s="4">
        <v>236.84520000000001</v>
      </c>
      <c r="AO21" s="74">
        <v>45806</v>
      </c>
      <c r="AP21" s="4">
        <v>300.02</v>
      </c>
      <c r="AQ21" s="6">
        <f t="shared" si="1"/>
        <v>45806</v>
      </c>
    </row>
    <row r="22" spans="1:43" x14ac:dyDescent="0.25">
      <c r="A22" s="37">
        <f ca="1">IF(AND(ISBLANK(AJ11), A21 = $AJ$1),NOW(),IF(ISBLANK(AJ11),"",AJ11))</f>
        <v>46113.625</v>
      </c>
      <c r="B22" s="38">
        <f ca="1">IF(COUNTIF($AJ$2:AJ1007,A22)=1,VLOOKUP(A22,Z:AA,2), IF(COUNTIF($AJ$2:AJ1007,A22)=0,$B$9,""))</f>
        <v>89.8</v>
      </c>
      <c r="C22" s="2">
        <f t="shared" ca="1" si="2"/>
        <v>157841.7105115859</v>
      </c>
      <c r="D22" s="41">
        <f t="shared" ca="1" si="3"/>
        <v>-19875</v>
      </c>
      <c r="E22" s="78">
        <f ca="1">IF(COUNTIF($AJ$2:AJ1007,A22)=1,VLOOKUP(A22,AF:AG,2), IF(COUNTIF($AJ$2:AJ1007,A22)=0,$E$9,""))</f>
        <v>306.24</v>
      </c>
      <c r="F22" s="113">
        <f ca="1">E22+$H$5</f>
        <v>307.88</v>
      </c>
      <c r="G22" s="93">
        <f t="shared" ca="1" si="4"/>
        <v>105648.00000000077</v>
      </c>
      <c r="H22" s="38">
        <f ca="1">IF(COUNTIF($AJ$2:AJ1007,A22)=1,VLOOKUP(A22,AB:AC,2), IF(COUNTIF($AJ$2:AJ1007,A22)=0,$C$9,""))</f>
        <v>99.510999999999996</v>
      </c>
      <c r="I22" s="2">
        <f ca="1">IF(ISERROR(B22-2),"",(H22-$H$14)/100*$C$5)</f>
        <v>-4940.0000000014188</v>
      </c>
      <c r="J22" s="41">
        <f ca="1">IF(ISERROR(B22-2),"",(INT(A22)-INT($A$14))/360*$C$6*$C$5-(INT(A22)-INT($A$14))/360*$C$7*$C$5*$H$14/100)</f>
        <v>73.319999999999709</v>
      </c>
      <c r="K22" s="38">
        <f ca="1">IF(COUNTIF($AJ$2:AJ1007,A22)=1,VLOOKUP(A22,AM:AN,2), IF(COUNTIF($AJ$2:AJ1007,A22)=0,$D$10,""))</f>
        <v>244.02869999999999</v>
      </c>
      <c r="L22" s="41">
        <f ca="1">IF(ISERROR(K22-2),"",(K22/$K$14-1)*$D$5)</f>
        <v>149776.30192444974</v>
      </c>
      <c r="M22" s="41" t="str">
        <f ca="1">IF($A22="","",IF(COUNTIFS(Dividends!$G:$G,"&gt;"&amp;INT($A21),Dividends!$G:$G,"&lt;="&amp;INT($A22))=0,"",$Q$2*SUMIFS(Dividends!$H:$H,Dividends!$G:$G,"&gt;"&amp;INT($A21),Dividends!$G:$G,"&lt;="&amp;INT($A22))))</f>
        <v/>
      </c>
      <c r="N22" s="42">
        <f ca="1">IF(ISERROR(B22-2),"",C22+D22-I22-J22-L22+SUM($M$14:M22))</f>
        <v>-6942.9114128624205</v>
      </c>
      <c r="O22" s="80">
        <f t="shared" ca="1" si="5"/>
        <v>-39261.621924447565</v>
      </c>
      <c r="P22" s="80"/>
      <c r="Q22" s="87"/>
      <c r="R22" s="87"/>
      <c r="S22" s="87"/>
      <c r="T22" s="3">
        <v>46128.625</v>
      </c>
      <c r="U22" s="4">
        <v>310.64</v>
      </c>
      <c r="V22" s="3"/>
      <c r="W22" s="4"/>
      <c r="X22" s="87"/>
      <c r="Z22" s="3">
        <v>46076.625</v>
      </c>
      <c r="AA22" s="4">
        <v>93.75</v>
      </c>
      <c r="AB22" s="3">
        <v>46073.625</v>
      </c>
      <c r="AC22" s="4">
        <v>100.77500000000001</v>
      </c>
      <c r="AD22" s="3">
        <v>46073.625</v>
      </c>
      <c r="AE22" s="4">
        <v>246.54499999999999</v>
      </c>
      <c r="AF22" s="3">
        <v>46127.625</v>
      </c>
      <c r="AG22" s="4">
        <v>310.42</v>
      </c>
      <c r="AH22" s="3" t="str">
        <f>IF(COUNTIF(AB:AB,Z22)*COUNTIF(AD:AD,Z22)*COUNTIF(AF:AF,Z22),Z22,"")</f>
        <v/>
      </c>
      <c r="AI22" s="3" t="str">
        <f t="shared" si="0"/>
        <v/>
      </c>
      <c r="AJ22" s="3">
        <v>46134.625</v>
      </c>
      <c r="AK22" s="3">
        <v>46070</v>
      </c>
      <c r="AL22" s="5">
        <v>263.60289999999998</v>
      </c>
      <c r="AM22" s="3">
        <v>45807</v>
      </c>
      <c r="AN22" s="4">
        <v>236.70660000000001</v>
      </c>
      <c r="AO22" s="74">
        <v>45807</v>
      </c>
      <c r="AP22" s="4">
        <v>300.04899999999998</v>
      </c>
      <c r="AQ22" s="6">
        <f t="shared" si="1"/>
        <v>45807</v>
      </c>
    </row>
    <row r="23" spans="1:43" ht="14.45" customHeight="1" x14ac:dyDescent="0.25">
      <c r="A23" s="37">
        <f ca="1">IF(AND(ISBLANK(AJ12), A22 = $AJ$1),NOW(),IF(ISBLANK(AJ12),"",AJ12))</f>
        <v>46114.625</v>
      </c>
      <c r="B23" s="38">
        <f ca="1">IF(COUNTIF($AJ$2:AJ1008,A23)=1,VLOOKUP(A23,Z:AA,2), IF(COUNTIF($AJ$2:AJ1008,A23)=0,$B$9,""))</f>
        <v>89.7</v>
      </c>
      <c r="C23" s="2">
        <f t="shared" ca="1" si="2"/>
        <v>124258.36784954791</v>
      </c>
      <c r="D23" s="41">
        <f t="shared" ca="1" si="3"/>
        <v>-22083.333333333332</v>
      </c>
      <c r="E23" s="78">
        <f ca="1">IF(COUNTIF($AJ$2:AJ1008,A23)=1,VLOOKUP(A23,AF:AG,2), IF(COUNTIF($AJ$2:AJ1008,A23)=0,$E$9,""))</f>
        <v>306.5</v>
      </c>
      <c r="F23" s="113">
        <f ca="1">E23+$H$5</f>
        <v>308.14</v>
      </c>
      <c r="G23" s="93">
        <f t="shared" ca="1" si="4"/>
        <v>127800</v>
      </c>
      <c r="H23" s="38">
        <f ca="1">IF(COUNTIF($AJ$2:AJ1008,A23)=1,VLOOKUP(A23,AB:AC,2), IF(COUNTIF($AJ$2:AJ1008,A23)=0,$C$9,""))</f>
        <v>99.484999999999999</v>
      </c>
      <c r="I23" s="2">
        <f ca="1">IF(ISERROR(B23-2),"",(H23-$H$14)/100*$C$5)</f>
        <v>-11700.000000000444</v>
      </c>
      <c r="J23" s="41">
        <f ca="1">IF(ISERROR(B23-2),"",(INT(A23)-INT($A$14))/360*$C$6*$C$5-(INT(A23)-INT($A$14))/360*$C$7*$C$5*$H$14/100)</f>
        <v>81.466666666667152</v>
      </c>
      <c r="K23" s="38">
        <f ca="1">IF(COUNTIF($AJ$2:AJ1008,A23)=1,VLOOKUP(A23,AM:AN,2), IF(COUNTIF($AJ$2:AJ1008,A23)=0,$D$10,""))</f>
        <v>244.23920000000001</v>
      </c>
      <c r="L23" s="41">
        <f ca="1">IF(ISERROR(K23-2),"",(K23/$K$14-1)*$D$5)</f>
        <v>166036.18410861737</v>
      </c>
      <c r="M23" s="41" t="str">
        <f ca="1">IF($A23="","",IF(COUNTIFS(Dividends!$G:$G,"&gt;"&amp;INT($A22),Dividends!$G:$G,"&lt;="&amp;INT($A23))=0,"",$Q$2*SUMIFS(Dividends!$H:$H,Dividends!$G:$G,"&gt;"&amp;INT($A22),Dividends!$G:$G,"&lt;="&amp;INT($A23))))</f>
        <v/>
      </c>
      <c r="N23" s="42">
        <f ca="1">IF(ISERROR(B23-2),"",C23+D23-I23-J23-L23+SUM($M$14:M23))</f>
        <v>-52242.616259069007</v>
      </c>
      <c r="O23" s="80">
        <f t="shared" ca="1" si="5"/>
        <v>-26617.650775283604</v>
      </c>
      <c r="P23" s="80"/>
      <c r="Q23" s="87"/>
      <c r="R23" s="87"/>
      <c r="S23" s="87"/>
      <c r="T23" s="3">
        <v>46129.625</v>
      </c>
      <c r="U23" s="4">
        <v>312.38</v>
      </c>
      <c r="V23" s="3"/>
      <c r="W23" s="4"/>
      <c r="X23" s="87"/>
      <c r="Z23" s="3">
        <v>46077.625</v>
      </c>
      <c r="AA23" s="4">
        <v>93.71</v>
      </c>
      <c r="AB23" s="3">
        <v>46076.625</v>
      </c>
      <c r="AC23" s="4">
        <v>100.827</v>
      </c>
      <c r="AD23" s="3">
        <v>46076.625</v>
      </c>
      <c r="AE23" s="4">
        <v>249.63800000000001</v>
      </c>
      <c r="AF23" s="3">
        <v>46128.625</v>
      </c>
      <c r="AG23" s="4">
        <v>310.64</v>
      </c>
      <c r="AH23" s="3" t="str">
        <f>IF(COUNTIF(AB:AB,Z23)*COUNTIF(AD:AD,Z23)*COUNTIF(AF:AF,Z23),Z23,"")</f>
        <v/>
      </c>
      <c r="AI23" s="3" t="str">
        <f t="shared" si="0"/>
        <v/>
      </c>
      <c r="AJ23" s="3">
        <v>46136.625</v>
      </c>
      <c r="AK23" s="3">
        <v>46071</v>
      </c>
      <c r="AL23" s="5">
        <v>264.26510000000002</v>
      </c>
      <c r="AM23" s="3">
        <v>45810</v>
      </c>
      <c r="AN23" s="4">
        <v>236.80029999999999</v>
      </c>
      <c r="AO23" s="74">
        <v>45810</v>
      </c>
      <c r="AP23" s="4">
        <v>299.90899999999999</v>
      </c>
      <c r="AQ23" s="6">
        <f t="shared" si="1"/>
        <v>45810</v>
      </c>
    </row>
    <row r="24" spans="1:43" ht="14.45" customHeight="1" x14ac:dyDescent="0.25">
      <c r="A24" s="37">
        <f ca="1">IF(AND(ISBLANK(AJ13), A23 = $AJ$1),NOW(),IF(ISBLANK(AJ13),"",AJ13))</f>
        <v>46119.625</v>
      </c>
      <c r="B24" s="38">
        <f ca="1">IF(COUNTIF($AJ$2:AJ1009,A24)=1,VLOOKUP(A24,Z:AA,2), IF(COUNTIF($AJ$2:AJ1009,A24)=0,$B$9,""))</f>
        <v>89.6</v>
      </c>
      <c r="C24" s="2">
        <f t="shared" ca="1" si="2"/>
        <v>90675.025187503255</v>
      </c>
      <c r="D24" s="41">
        <f t="shared" ca="1" si="3"/>
        <v>-33124.999999999993</v>
      </c>
      <c r="E24" s="78">
        <f ca="1">IF(COUNTIF($AJ$2:AJ1009,A24)=1,VLOOKUP(A24,AF:AG,2), IF(COUNTIF($AJ$2:AJ1009,A24)=0,$E$9,""))</f>
        <v>305.86</v>
      </c>
      <c r="F24" s="113">
        <f ca="1">E24+$H$5</f>
        <v>307.5</v>
      </c>
      <c r="G24" s="93">
        <f t="shared" ca="1" si="4"/>
        <v>73272.000000001164</v>
      </c>
      <c r="H24" s="38">
        <f ca="1">IF(COUNTIF($AJ$2:AJ1009,A24)=1,VLOOKUP(A24,AB:AC,2), IF(COUNTIF($AJ$2:AJ1009,A24)=0,$C$9,""))</f>
        <v>99.212999999999994</v>
      </c>
      <c r="I24" s="2">
        <f ca="1">IF(ISERROR(B24-2),"",(H24-$H$14)/100*$C$5)</f>
        <v>-82420.000000001892</v>
      </c>
      <c r="J24" s="41">
        <f ca="1">IF(ISERROR(B24-2),"",(INT(A24)-INT($A$14))/360*$C$6*$C$5-(INT(A24)-INT($A$14))/360*$C$7*$C$5*$H$14/100)</f>
        <v>122.20000000000073</v>
      </c>
      <c r="K24" s="38">
        <f ca="1">IF(COUNTIF($AJ$2:AJ1009,A24)=1,VLOOKUP(A24,AM:AN,2), IF(COUNTIF($AJ$2:AJ1009,A24)=0,$D$10,""))</f>
        <v>243.34200000000001</v>
      </c>
      <c r="L24" s="41">
        <f ca="1">IF(ISERROR(K24-2),"",(K24/$K$14-1)*$D$5)</f>
        <v>96732.78127900546</v>
      </c>
      <c r="M24" s="41" t="str">
        <f ca="1">IF($A24="","",IF(COUNTIFS(Dividends!$G:$G,"&gt;"&amp;INT($A23),Dividends!$G:$G,"&lt;="&amp;INT($A24))=0,"",$Q$2*SUMIFS(Dividends!$H:$H,Dividends!$G:$G,"&gt;"&amp;INT($A23),Dividends!$G:$G,"&lt;="&amp;INT($A24))))</f>
        <v/>
      </c>
      <c r="N24" s="42">
        <f ca="1">IF(ISERROR(B24-2),"",C24+D24-I24-J24-L24+SUM($M$14:M24))</f>
        <v>43115.043908499676</v>
      </c>
      <c r="O24" s="80">
        <f t="shared" ca="1" si="5"/>
        <v>58837.018720997585</v>
      </c>
      <c r="P24" s="80"/>
      <c r="Q24" s="87"/>
      <c r="R24" s="87"/>
      <c r="S24" s="87"/>
      <c r="T24" s="3">
        <v>46132.625</v>
      </c>
      <c r="U24" s="4">
        <v>311.66000000000003</v>
      </c>
      <c r="V24" s="3"/>
      <c r="W24" s="4"/>
      <c r="X24" s="87"/>
      <c r="Z24" s="3">
        <v>46078.625</v>
      </c>
      <c r="AA24" s="4">
        <v>93.78</v>
      </c>
      <c r="AB24" s="3">
        <v>46077.625</v>
      </c>
      <c r="AC24" s="4">
        <v>100.815</v>
      </c>
      <c r="AD24" s="3">
        <v>46077.625</v>
      </c>
      <c r="AE24" s="4">
        <v>252.33600000000001</v>
      </c>
      <c r="AF24" s="3">
        <v>46129.625</v>
      </c>
      <c r="AG24" s="4">
        <v>312.38</v>
      </c>
      <c r="AH24" s="3" t="str">
        <f>IF(COUNTIF(AB:AB,Z24)*COUNTIF(AD:AD,Z24)*COUNTIF(AF:AF,Z24),Z24,"")</f>
        <v/>
      </c>
      <c r="AI24" s="3" t="str">
        <f t="shared" si="0"/>
        <v/>
      </c>
      <c r="AJ24" s="3">
        <v>46139.625</v>
      </c>
      <c r="AK24" s="3">
        <v>46072</v>
      </c>
      <c r="AL24" s="5">
        <v>263.74880000000002</v>
      </c>
      <c r="AM24" s="3">
        <v>45811</v>
      </c>
      <c r="AN24" s="4">
        <v>237.24459999999999</v>
      </c>
      <c r="AO24" s="74">
        <v>45811</v>
      </c>
      <c r="AP24" s="4">
        <v>295.49799999999999</v>
      </c>
      <c r="AQ24" s="6">
        <f t="shared" si="1"/>
        <v>45811</v>
      </c>
    </row>
    <row r="25" spans="1:43" ht="14.45" customHeight="1" x14ac:dyDescent="0.25">
      <c r="A25" s="37">
        <f ca="1">IF(AND(ISBLANK(AJ14), A24 = $AJ$1),NOW(),IF(ISBLANK(AJ14),"",AJ14))</f>
        <v>46120.625</v>
      </c>
      <c r="B25" s="38">
        <f ca="1">IF(COUNTIF($AJ$2:AJ1010,A25)=1,VLOOKUP(A25,Z:AA,2), IF(COUNTIF($AJ$2:AJ1010,A25)=0,$B$9,""))</f>
        <v>90.56</v>
      </c>
      <c r="C25" s="2">
        <f t="shared" ca="1" si="2"/>
        <v>413075.11474308668</v>
      </c>
      <c r="D25" s="41">
        <f t="shared" ca="1" si="3"/>
        <v>-35333.333333333336</v>
      </c>
      <c r="E25" s="78">
        <f ca="1">IF(COUNTIF($AJ$2:AJ1010,A25)=1,VLOOKUP(A25,AF:AG,2), IF(COUNTIF($AJ$2:AJ1010,A25)=0,$E$9,""))</f>
        <v>309.58</v>
      </c>
      <c r="F25" s="113">
        <f ca="1">E25+$H$5</f>
        <v>311.21999999999997</v>
      </c>
      <c r="G25" s="93">
        <f t="shared" ca="1" si="4"/>
        <v>390215.99999999866</v>
      </c>
      <c r="H25" s="38">
        <f ca="1">IF(COUNTIF($AJ$2:AJ1010,A25)=1,VLOOKUP(A25,AB:AC,2), IF(COUNTIF($AJ$2:AJ1010,A25)=0,$C$9,""))</f>
        <v>99.777000000000001</v>
      </c>
      <c r="I25" s="2">
        <f ca="1">IF(ISERROR(B25-2),"",(H25-$H$14)/100*$C$5)</f>
        <v>64219.999999999964</v>
      </c>
      <c r="J25" s="41">
        <f ca="1">IF(ISERROR(B25-2),"",(INT(A25)-INT($A$14))/360*$C$6*$C$5-(INT(A25)-INT($A$14))/360*$C$7*$C$5*$H$14/100)</f>
        <v>130.34666666666453</v>
      </c>
      <c r="K25" s="38">
        <f ca="1">IF(COUNTIF($AJ$2:AJ1010,A25)=1,VLOOKUP(A25,AM:AN,2), IF(COUNTIF($AJ$2:AJ1010,A25)=0,$D$10,""))</f>
        <v>247.41990000000001</v>
      </c>
      <c r="L25" s="41">
        <f ca="1">IF(ISERROR(K25-2),"",(K25/$K$14-1)*$D$5)</f>
        <v>411726.47989567806</v>
      </c>
      <c r="M25" s="41" t="str">
        <f ca="1">IF($A25="","",IF(COUNTIFS(Dividends!$G:$G,"&gt;"&amp;INT($A24),Dividends!$G:$G,"&lt;="&amp;INT($A25))=0,"",$Q$2*SUMIFS(Dividends!$H:$H,Dividends!$G:$G,"&gt;"&amp;INT($A24),Dividends!$G:$G,"&lt;="&amp;INT($A25))))</f>
        <v/>
      </c>
      <c r="N25" s="42">
        <f ca="1">IF(ISERROR(B25-2),"",C25+D25-I25-J25-L25+SUM($M$14:M25))</f>
        <v>-98335.045152591309</v>
      </c>
      <c r="O25" s="80">
        <f t="shared" ca="1" si="5"/>
        <v>-85860.826562346017</v>
      </c>
      <c r="P25" s="80"/>
      <c r="Q25" s="87"/>
      <c r="R25" s="87"/>
      <c r="S25" s="87"/>
      <c r="T25" s="3">
        <v>46133.625</v>
      </c>
      <c r="U25" s="4">
        <v>311.39999999999998</v>
      </c>
      <c r="V25" s="3"/>
      <c r="W25" s="4"/>
      <c r="X25" s="87"/>
      <c r="Z25" s="3">
        <v>46079.625</v>
      </c>
      <c r="AA25" s="4">
        <v>93.67</v>
      </c>
      <c r="AB25" s="3">
        <v>46078.625</v>
      </c>
      <c r="AC25" s="4">
        <v>100.824</v>
      </c>
      <c r="AD25" s="3">
        <v>46078.625</v>
      </c>
      <c r="AE25" s="4">
        <v>251.27199999999999</v>
      </c>
      <c r="AF25" s="3">
        <v>46132.625</v>
      </c>
      <c r="AG25" s="4">
        <v>311.66000000000003</v>
      </c>
      <c r="AH25" s="3" t="str">
        <f>IF(COUNTIF(AB:AB,Z25)*COUNTIF(AD:AD,Z25)*COUNTIF(AF:AF,Z25),Z25,"")</f>
        <v/>
      </c>
      <c r="AI25" s="3" t="str">
        <f t="shared" si="0"/>
        <v/>
      </c>
      <c r="AJ25" s="3">
        <v>46140.625</v>
      </c>
      <c r="AK25" s="3">
        <v>46073</v>
      </c>
      <c r="AL25" s="5">
        <v>264.06599999999997</v>
      </c>
      <c r="AM25" s="3">
        <v>45812</v>
      </c>
      <c r="AN25" s="4">
        <v>237.52590000000001</v>
      </c>
      <c r="AO25" s="74">
        <v>45812</v>
      </c>
      <c r="AP25" s="4">
        <v>294.68200000000002</v>
      </c>
      <c r="AQ25" s="6">
        <f t="shared" si="1"/>
        <v>45812</v>
      </c>
    </row>
    <row r="26" spans="1:43" ht="14.45" customHeight="1" x14ac:dyDescent="0.25">
      <c r="A26" s="37">
        <f ca="1">IF(AND(ISBLANK(AJ15), A25 = $AJ$1),NOW(),IF(ISBLANK(AJ15),"",AJ15))</f>
        <v>46122.625</v>
      </c>
      <c r="B26" s="38">
        <f ca="1">IF(COUNTIF($AJ$2:AJ1011,A26)=1,VLOOKUP(A26,Z:AA,2), IF(COUNTIF($AJ$2:AJ1011,A26)=0,$B$9,""))</f>
        <v>90.75</v>
      </c>
      <c r="C26" s="2">
        <f t="shared" ca="1" si="2"/>
        <v>476883.46580096352</v>
      </c>
      <c r="D26" s="41">
        <f t="shared" ca="1" si="3"/>
        <v>-39750</v>
      </c>
      <c r="E26" s="78">
        <f ca="1">IF(COUNTIF($AJ$2:AJ1011,A26)=1,VLOOKUP(A26,AF:AG,2), IF(COUNTIF($AJ$2:AJ1011,A26)=0,$E$9,""))</f>
        <v>309.45999999999998</v>
      </c>
      <c r="F26" s="113">
        <f ca="1">E26+$H$5</f>
        <v>311.09999999999997</v>
      </c>
      <c r="G26" s="93">
        <f t="shared" ca="1" si="4"/>
        <v>379991.99999999825</v>
      </c>
      <c r="H26" s="38">
        <f ca="1">IF(COUNTIF($AJ$2:AJ1011,A26)=1,VLOOKUP(A26,AB:AC,2), IF(COUNTIF($AJ$2:AJ1011,A26)=0,$C$9,""))</f>
        <v>99.55</v>
      </c>
      <c r="I26" s="2">
        <f ca="1">IF(ISERROR(B26-2),"",(H26-$H$14)/100*$C$5)</f>
        <v>5199.9999999989659</v>
      </c>
      <c r="J26" s="41">
        <f ca="1">IF(ISERROR(B26-2),"",(INT(A26)-INT($A$14))/360*$C$6*$C$5-(INT(A26)-INT($A$14))/360*$C$7*$C$5*$H$14/100)</f>
        <v>146.63999999999942</v>
      </c>
      <c r="K26" s="38">
        <f ca="1">IF(COUNTIF($AJ$2:AJ1011,A26)=1,VLOOKUP(A26,AM:AN,2), IF(COUNTIF($AJ$2:AJ1011,A26)=0,$D$10,""))</f>
        <v>248.2782</v>
      </c>
      <c r="L26" s="41">
        <f ca="1">IF(ISERROR(K26-2),"",(K26/$K$14-1)*$D$5)</f>
        <v>478025.08739529137</v>
      </c>
      <c r="M26" s="41" t="str">
        <f ca="1">IF($A26="","",IF(COUNTIFS(Dividends!$G:$G,"&gt;"&amp;INT($A25),Dividends!$G:$G,"&lt;="&amp;INT($A26))=0,"",$Q$2*SUMIFS(Dividends!$H:$H,Dividends!$G:$G,"&gt;"&amp;INT($A25),Dividends!$G:$G,"&lt;="&amp;INT($A26))))</f>
        <v/>
      </c>
      <c r="N26" s="42">
        <f ca="1">IF(ISERROR(B26-2),"",C26+D26-I26-J26-L26+SUM($M$14:M26))</f>
        <v>-46238.261594326817</v>
      </c>
      <c r="O26" s="80">
        <f t="shared" ca="1" si="5"/>
        <v>-103379.72739529208</v>
      </c>
      <c r="P26" s="80"/>
      <c r="Q26" s="87"/>
      <c r="R26" s="87"/>
      <c r="S26" s="87"/>
      <c r="T26" s="3">
        <v>46134.625</v>
      </c>
      <c r="U26" s="4">
        <v>310.62</v>
      </c>
      <c r="V26" s="3"/>
      <c r="W26" s="4"/>
      <c r="X26" s="87"/>
      <c r="Z26" s="3">
        <v>46080.625</v>
      </c>
      <c r="AA26" s="4">
        <v>93.58</v>
      </c>
      <c r="AB26" s="3">
        <v>46079.625</v>
      </c>
      <c r="AC26" s="4">
        <v>100.834</v>
      </c>
      <c r="AD26" s="3">
        <v>46079.625</v>
      </c>
      <c r="AE26" s="4">
        <v>252.99199999999999</v>
      </c>
      <c r="AF26" s="3">
        <v>46133.625</v>
      </c>
      <c r="AG26" s="4">
        <v>311.39999999999998</v>
      </c>
      <c r="AH26" s="3" t="str">
        <f>IF(COUNTIF(AB:AB,Z26)*COUNTIF(AD:AD,Z26)*COUNTIF(AF:AF,Z26),Z26,"")</f>
        <v/>
      </c>
      <c r="AI26" s="3" t="str">
        <f t="shared" si="0"/>
        <v/>
      </c>
      <c r="AJ26" s="3">
        <v>46141.625</v>
      </c>
      <c r="AK26" s="3">
        <v>46076</v>
      </c>
      <c r="AL26" s="5">
        <v>263.87049999999999</v>
      </c>
      <c r="AM26" s="3">
        <v>45813</v>
      </c>
      <c r="AN26" s="4">
        <v>237.58510000000001</v>
      </c>
      <c r="AO26" s="74">
        <v>45813</v>
      </c>
      <c r="AP26" s="4">
        <v>292.91399999999999</v>
      </c>
      <c r="AQ26" s="6">
        <f t="shared" si="1"/>
        <v>45813</v>
      </c>
    </row>
    <row r="27" spans="1:43" ht="14.45" customHeight="1" x14ac:dyDescent="0.25">
      <c r="A27" s="37">
        <f ca="1">IF(AND(ISBLANK(AJ16), A26 = $AJ$1),NOW(),IF(ISBLANK(AJ16),"",AJ16))</f>
        <v>46126.625</v>
      </c>
      <c r="B27" s="38">
        <f ca="1">IF(COUNTIF($AJ$2:AJ1012,A27)=1,VLOOKUP(A27,Z:AA,2), IF(COUNTIF($AJ$2:AJ1012,A27)=0,$B$9,""))</f>
        <v>90.75</v>
      </c>
      <c r="C27" s="2">
        <f t="shared" ca="1" si="2"/>
        <v>476883.46580096352</v>
      </c>
      <c r="D27" s="41">
        <f t="shared" ca="1" si="3"/>
        <v>-48583.333333333328</v>
      </c>
      <c r="E27" s="78">
        <f ca="1">IF(COUNTIF($AJ$2:AJ1012,A27)=1,VLOOKUP(A27,AF:AG,2), IF(COUNTIF($AJ$2:AJ1012,A27)=0,$E$9,""))</f>
        <v>309.89999999999998</v>
      </c>
      <c r="F27" s="113">
        <f ca="1">E27+$H$5</f>
        <v>311.53999999999996</v>
      </c>
      <c r="G27" s="93">
        <f t="shared" ca="1" si="4"/>
        <v>417479.99999999808</v>
      </c>
      <c r="H27" s="38">
        <f ca="1">IF(COUNTIF($AJ$2:AJ1012,A27)=1,VLOOKUP(A27,AB:AC,2), IF(COUNTIF($AJ$2:AJ1012,A27)=0,$C$9,""))</f>
        <v>99.619</v>
      </c>
      <c r="I27" s="2">
        <f ca="1">IF(ISERROR(B27-2),"",(H27-$H$14)/100*$C$5)</f>
        <v>23139.999999999647</v>
      </c>
      <c r="J27" s="41">
        <f ca="1">IF(ISERROR(B27-2),"",(INT(A27)-INT($A$14))/360*$C$6*$C$5-(INT(A27)-INT($A$14))/360*$C$7*$C$5*$H$14/100)</f>
        <v>179.22666666666919</v>
      </c>
      <c r="K27" s="38">
        <f ca="1">IF(COUNTIF($AJ$2:AJ1012,A27)=1,VLOOKUP(A27,AM:AN,2), IF(COUNTIF($AJ$2:AJ1012,A27)=0,$D$10,""))</f>
        <v>249.5992</v>
      </c>
      <c r="L27" s="41">
        <f ca="1">IF(ISERROR(K27-2),"",(K27/$K$14-1)*$D$5)</f>
        <v>580064.53806171811</v>
      </c>
      <c r="M27" s="41" t="str">
        <f ca="1">IF($A27="","",IF(COUNTIFS(Dividends!$G:$G,"&gt;"&amp;INT($A26),Dividends!$G:$G,"&lt;="&amp;INT($A27))=0,"",$Q$2*SUMIFS(Dividends!$H:$H,Dividends!$G:$G,"&gt;"&amp;INT($A26),Dividends!$G:$G,"&lt;="&amp;INT($A27))))</f>
        <v/>
      </c>
      <c r="N27" s="42">
        <f ca="1">IF(ISERROR(B27-2),"",C27+D27-I27-J27-L27+SUM($M$14:M27))</f>
        <v>-175083.63226075424</v>
      </c>
      <c r="O27" s="80">
        <f t="shared" ca="1" si="5"/>
        <v>-185903.76472838636</v>
      </c>
      <c r="P27" s="80"/>
      <c r="Q27" s="87"/>
      <c r="R27" s="87"/>
      <c r="S27" s="87"/>
      <c r="T27" s="3">
        <v>46136.625</v>
      </c>
      <c r="U27" s="4">
        <v>310.48</v>
      </c>
      <c r="V27" s="3"/>
      <c r="W27" s="4"/>
      <c r="X27" s="87"/>
      <c r="Z27" s="3">
        <v>46083.625</v>
      </c>
      <c r="AA27" s="4">
        <v>93.24</v>
      </c>
      <c r="AB27" s="3">
        <v>46080.625</v>
      </c>
      <c r="AC27" s="4">
        <v>100.923</v>
      </c>
      <c r="AD27" s="3">
        <v>46080.625</v>
      </c>
      <c r="AE27" s="4">
        <v>260.255</v>
      </c>
      <c r="AF27" s="3">
        <v>46134.625</v>
      </c>
      <c r="AG27" s="4">
        <v>310.62</v>
      </c>
      <c r="AH27" s="3" t="str">
        <f>IF(COUNTIF(AB:AB,Z27)*COUNTIF(AD:AD,Z27)*COUNTIF(AF:AF,Z27),Z27,"")</f>
        <v/>
      </c>
      <c r="AI27" s="3" t="str">
        <f t="shared" si="0"/>
        <v/>
      </c>
      <c r="AJ27" s="3">
        <v>46142.625</v>
      </c>
      <c r="AK27" s="3">
        <v>46077</v>
      </c>
      <c r="AL27" s="5">
        <v>263.58609999999999</v>
      </c>
      <c r="AM27" s="3">
        <v>45814</v>
      </c>
      <c r="AN27" s="4">
        <v>238.0478</v>
      </c>
      <c r="AO27" s="74">
        <v>45814</v>
      </c>
      <c r="AP27" s="4">
        <v>289.43099999999998</v>
      </c>
      <c r="AQ27" s="6">
        <f t="shared" si="1"/>
        <v>45814</v>
      </c>
    </row>
    <row r="28" spans="1:43" ht="14.45" customHeight="1" x14ac:dyDescent="0.25">
      <c r="A28" s="37">
        <f ca="1">IF(AND(ISBLANK(AJ17), A27 = $AJ$1),NOW(),IF(ISBLANK(AJ17),"",AJ17))</f>
        <v>46127.625</v>
      </c>
      <c r="B28" s="38">
        <f ca="1">IF(COUNTIF($AJ$2:AJ1013,A28)=1,VLOOKUP(A28,Z:AA,2), IF(COUNTIF($AJ$2:AJ1013,A28)=0,$B$9,""))</f>
        <v>90.88</v>
      </c>
      <c r="C28" s="2">
        <f t="shared" ca="1" si="2"/>
        <v>520541.81126161228</v>
      </c>
      <c r="D28" s="41">
        <f t="shared" ca="1" si="3"/>
        <v>-50791.666666666657</v>
      </c>
      <c r="E28" s="78">
        <f ca="1">IF(COUNTIF($AJ$2:AJ1013,A28)=1,VLOOKUP(A28,AF:AG,2), IF(COUNTIF($AJ$2:AJ1013,A28)=0,$E$9,""))</f>
        <v>310.42</v>
      </c>
      <c r="F28" s="113">
        <f ca="1">E28+$H$5</f>
        <v>312.06</v>
      </c>
      <c r="G28" s="93">
        <f t="shared" ca="1" si="4"/>
        <v>461784.00000000134</v>
      </c>
      <c r="H28" s="38">
        <f ca="1">IF(COUNTIF($AJ$2:AJ1013,A28)=1,VLOOKUP(A28,AB:AC,2), IF(COUNTIF($AJ$2:AJ1013,A28)=0,$C$9,""))</f>
        <v>99.653999999999996</v>
      </c>
      <c r="I28" s="2">
        <f ca="1">IF(ISERROR(B28-2),"",(H28-$H$14)/100*$C$5)</f>
        <v>32239.999999998759</v>
      </c>
      <c r="J28" s="41">
        <f ca="1">IF(ISERROR(B28-2),"",(INT(A28)-INT($A$14))/360*$C$6*$C$5-(INT(A28)-INT($A$14))/360*$C$7*$C$5*$H$14/100)</f>
        <v>187.37333333333663</v>
      </c>
      <c r="K28" s="38">
        <f ca="1">IF(COUNTIF($AJ$2:AJ1013,A28)=1,VLOOKUP(A28,AM:AN,2), IF(COUNTIF($AJ$2:AJ1013,A28)=0,$D$10,""))</f>
        <v>249.53909999999999</v>
      </c>
      <c r="L28" s="41">
        <f ca="1">IF(ISERROR(K28-2),"",(K28/$K$14-1)*$D$5)</f>
        <v>575422.16789892211</v>
      </c>
      <c r="M28" s="41" t="str">
        <f ca="1">IF($A28="","",IF(COUNTIFS(Dividends!$G:$G,"&gt;"&amp;INT($A27),Dividends!$G:$G,"&lt;="&amp;INT($A28))=0,"",$Q$2*SUMIFS(Dividends!$H:$H,Dividends!$G:$G,"&gt;"&amp;INT($A27),Dividends!$G:$G,"&lt;="&amp;INT($A28))))</f>
        <v/>
      </c>
      <c r="N28" s="42">
        <f ca="1">IF(ISERROR(B28-2),"",C28+D28-I28-J28-L28+SUM($M$14:M28))</f>
        <v>-138099.39663730864</v>
      </c>
      <c r="O28" s="80">
        <f t="shared" ca="1" si="5"/>
        <v>-146065.5412322529</v>
      </c>
      <c r="P28" s="80"/>
      <c r="Q28" s="87"/>
      <c r="R28" s="87"/>
      <c r="S28" s="87"/>
      <c r="T28" s="3">
        <v>46139.625</v>
      </c>
      <c r="U28" s="4">
        <v>310.7</v>
      </c>
      <c r="V28" s="3"/>
      <c r="W28" s="4"/>
      <c r="X28" s="87"/>
      <c r="Z28" s="3">
        <v>46084.625</v>
      </c>
      <c r="AA28" s="4">
        <v>92.69</v>
      </c>
      <c r="AB28" s="3">
        <v>46083.625</v>
      </c>
      <c r="AC28" s="4">
        <v>100.748</v>
      </c>
      <c r="AD28" s="3">
        <v>46083.625</v>
      </c>
      <c r="AE28" s="4">
        <v>267.18200000000002</v>
      </c>
      <c r="AF28" s="3">
        <v>46136.625</v>
      </c>
      <c r="AG28" s="4">
        <v>310.48</v>
      </c>
      <c r="AH28" s="3" t="str">
        <f>IF(COUNTIF(AB:AB,Z28)*COUNTIF(AD:AD,Z28)*COUNTIF(AF:AF,Z28),Z28,"")</f>
        <v/>
      </c>
      <c r="AI28" s="3" t="str">
        <f t="shared" si="0"/>
        <v/>
      </c>
      <c r="AJ28" s="3">
        <v>46147.625</v>
      </c>
      <c r="AK28" s="3">
        <v>46078</v>
      </c>
      <c r="AL28" s="5">
        <v>263.79109999999997</v>
      </c>
      <c r="AM28" s="3">
        <v>45817</v>
      </c>
      <c r="AN28" s="4">
        <v>238.19669999999999</v>
      </c>
      <c r="AO28" s="74">
        <v>45817</v>
      </c>
      <c r="AP28" s="4">
        <v>288.459</v>
      </c>
      <c r="AQ28" s="6">
        <f t="shared" si="1"/>
        <v>45817</v>
      </c>
    </row>
    <row r="29" spans="1:43" ht="14.45" customHeight="1" x14ac:dyDescent="0.25">
      <c r="A29" s="37">
        <f ca="1">IF(AND(ISBLANK(AJ18), A28 = $AJ$1),NOW(),IF(ISBLANK(AJ18),"",AJ18))</f>
        <v>46128.625</v>
      </c>
      <c r="B29" s="38">
        <f ca="1">IF(COUNTIF($AJ$2:AJ1014,A29)=1,VLOOKUP(A29,Z:AA,2), IF(COUNTIF($AJ$2:AJ1014,A29)=0,$B$9,""))</f>
        <v>90.85</v>
      </c>
      <c r="C29" s="2">
        <f t="shared" ca="1" si="2"/>
        <v>510466.80846300151</v>
      </c>
      <c r="D29" s="41">
        <f t="shared" ca="1" si="3"/>
        <v>-53000</v>
      </c>
      <c r="E29" s="78">
        <f ca="1">IF(COUNTIF($AJ$2:AJ1014,A29)=1,VLOOKUP(A29,AF:AG,2), IF(COUNTIF($AJ$2:AJ1014,A29)=0,$E$9,""))</f>
        <v>310.64</v>
      </c>
      <c r="F29" s="113">
        <f ca="1">E29+$H$5</f>
        <v>312.27999999999997</v>
      </c>
      <c r="G29" s="93">
        <f t="shared" ca="1" si="4"/>
        <v>480527.99999999884</v>
      </c>
      <c r="H29" s="38">
        <f ca="1">IF(COUNTIF($AJ$2:AJ1014,A29)=1,VLOOKUP(A29,AB:AC,2), IF(COUNTIF($AJ$2:AJ1014,A29)=0,$C$9,""))</f>
        <v>99.677000000000007</v>
      </c>
      <c r="I29" s="2">
        <f ca="1">IF(ISERROR(B29-2),"",(H29-$H$14)/100*$C$5)</f>
        <v>38220.000000001448</v>
      </c>
      <c r="J29" s="41">
        <f ca="1">IF(ISERROR(B29-2),"",(INT(A29)-INT($A$14))/360*$C$6*$C$5-(INT(A29)-INT($A$14))/360*$C$7*$C$5*$H$14/100)</f>
        <v>195.5199999999968</v>
      </c>
      <c r="K29" s="38">
        <f ca="1">IF(COUNTIF($AJ$2:AJ1014,A29)=1,VLOOKUP(A29,AM:AN,2), IF(COUNTIF($AJ$2:AJ1014,A29)=0,$D$10,""))</f>
        <v>249.1765</v>
      </c>
      <c r="L29" s="41">
        <f ca="1">IF(ISERROR(K29-2),"",(K29/$K$14-1)*$D$5)</f>
        <v>547413.45873038133</v>
      </c>
      <c r="M29" s="41" t="str">
        <f ca="1">IF($A29="","",IF(COUNTIFS(Dividends!$G:$G,"&gt;"&amp;INT($A28),Dividends!$G:$G,"&lt;="&amp;INT($A29))=0,"",$Q$2*SUMIFS(Dividends!$H:$H,Dividends!$G:$G,"&gt;"&amp;INT($A28),Dividends!$G:$G,"&lt;="&amp;INT($A29))))</f>
        <v/>
      </c>
      <c r="N29" s="42">
        <f ca="1">IF(ISERROR(B29-2),"",C29+D29-I29-J29-L29+SUM($M$14:M29))</f>
        <v>-128362.1702673813</v>
      </c>
      <c r="O29" s="80">
        <f t="shared" ca="1" si="5"/>
        <v>-105300.97873038397</v>
      </c>
      <c r="P29" s="80"/>
      <c r="Q29" s="87"/>
      <c r="R29" s="87"/>
      <c r="S29" s="87"/>
      <c r="T29" s="3">
        <v>46140.625</v>
      </c>
      <c r="U29" s="4">
        <v>309.88</v>
      </c>
      <c r="V29" s="3"/>
      <c r="W29" s="4"/>
      <c r="X29" s="87"/>
      <c r="Z29" s="3">
        <v>46085.625</v>
      </c>
      <c r="AA29" s="4">
        <v>93.3</v>
      </c>
      <c r="AB29" s="3">
        <v>46084.625</v>
      </c>
      <c r="AC29" s="4">
        <v>100.50700000000001</v>
      </c>
      <c r="AD29" s="3">
        <v>46084.625</v>
      </c>
      <c r="AE29" s="4">
        <v>279.875</v>
      </c>
      <c r="AF29" s="3">
        <v>46139.625</v>
      </c>
      <c r="AG29" s="4">
        <v>310.7</v>
      </c>
      <c r="AH29" s="3" t="str">
        <f>IF(COUNTIF(AB:AB,Z29)*COUNTIF(AD:AD,Z29)*COUNTIF(AF:AF,Z29),Z29,"")</f>
        <v/>
      </c>
      <c r="AI29" s="3" t="str">
        <f t="shared" si="0"/>
        <v/>
      </c>
      <c r="AJ29" s="3">
        <v>46148.625</v>
      </c>
      <c r="AK29" s="3">
        <v>46079</v>
      </c>
      <c r="AL29" s="5">
        <v>263.42880000000002</v>
      </c>
      <c r="AM29" s="3">
        <v>45818</v>
      </c>
      <c r="AN29" s="4">
        <v>238.28550000000001</v>
      </c>
      <c r="AO29" s="74">
        <v>45818</v>
      </c>
      <c r="AP29" s="4">
        <v>287.69299999999998</v>
      </c>
      <c r="AQ29" s="6">
        <f t="shared" si="1"/>
        <v>45818</v>
      </c>
    </row>
    <row r="30" spans="1:43" ht="14.45" customHeight="1" x14ac:dyDescent="0.25">
      <c r="A30" s="37">
        <f ca="1">IF(AND(ISBLANK(AJ19), A29 = $AJ$1),NOW(),IF(ISBLANK(AJ19),"",AJ19))</f>
        <v>46129.625</v>
      </c>
      <c r="B30" s="38">
        <f ca="1">IF(COUNTIF($AJ$2:AJ1015,A30)=1,VLOOKUP(A30,Z:AA,2), IF(COUNTIF($AJ$2:AJ1015,A30)=0,$B$9,""))</f>
        <v>91.4</v>
      </c>
      <c r="C30" s="2">
        <f t="shared" ca="1" si="2"/>
        <v>695175.19310422044</v>
      </c>
      <c r="D30" s="41">
        <f t="shared" ca="1" si="3"/>
        <v>-55208.333333333328</v>
      </c>
      <c r="E30" s="78">
        <f ca="1">IF(COUNTIF($AJ$2:AJ1015,A30)=1,VLOOKUP(A30,AF:AG,2), IF(COUNTIF($AJ$2:AJ1015,A30)=0,$E$9,""))</f>
        <v>312.38</v>
      </c>
      <c r="F30" s="113">
        <f ca="1">E30+$H$5</f>
        <v>314.02</v>
      </c>
      <c r="G30" s="93">
        <f t="shared" ca="1" si="4"/>
        <v>628775.99999999965</v>
      </c>
      <c r="H30" s="38">
        <f ca="1">IF(COUNTIF($AJ$2:AJ1015,A30)=1,VLOOKUP(A30,AB:AC,2), IF(COUNTIF($AJ$2:AJ1015,A30)=0,$C$9,""))</f>
        <v>99.953999999999994</v>
      </c>
      <c r="I30" s="2">
        <f ca="1">IF(ISERROR(B30-2),"",(H30-$H$14)/100*$C$5)</f>
        <v>110239.99999999801</v>
      </c>
      <c r="J30" s="41">
        <f ca="1">IF(ISERROR(B30-2),"",(INT(A30)-INT($A$14))/360*$C$6*$C$5-(INT(A30)-INT($A$14))/360*$C$7*$C$5*$H$14/100)</f>
        <v>203.66666666666424</v>
      </c>
      <c r="K30" s="38">
        <f ca="1">IF(COUNTIF($AJ$2:AJ1015,A30)=1,VLOOKUP(A30,AM:AN,2), IF(COUNTIF($AJ$2:AJ1015,A30)=0,$D$10,""))</f>
        <v>250.45760000000001</v>
      </c>
      <c r="L30" s="41">
        <f ca="1">IF(ISERROR(K30-2),"",(K30/$K$14-1)*$D$5)</f>
        <v>646370.86997092492</v>
      </c>
      <c r="M30" s="41" t="str">
        <f ca="1">IF($A30="","",IF(COUNTIFS(Dividends!$G:$G,"&gt;"&amp;INT($A29),Dividends!$G:$G,"&lt;="&amp;INT($A30))=0,"",$Q$2*SUMIFS(Dividends!$H:$H,Dividends!$G:$G,"&gt;"&amp;INT($A29),Dividends!$G:$G,"&lt;="&amp;INT($A30))))</f>
        <v/>
      </c>
      <c r="N30" s="42">
        <f ca="1">IF(ISERROR(B30-2),"",C30+D30-I30-J30-L30+SUM($M$14:M30))</f>
        <v>-116847.6768667025</v>
      </c>
      <c r="O30" s="80">
        <f t="shared" ca="1" si="5"/>
        <v>-128038.53663758998</v>
      </c>
      <c r="P30" s="80"/>
      <c r="Q30" s="87"/>
      <c r="R30" s="87"/>
      <c r="S30" s="87"/>
      <c r="T30" s="3">
        <v>46141.625</v>
      </c>
      <c r="U30" s="4">
        <v>309.58</v>
      </c>
      <c r="V30" s="3"/>
      <c r="W30" s="4"/>
      <c r="X30" s="87"/>
      <c r="Z30" s="3">
        <v>46087.625</v>
      </c>
      <c r="AA30" s="4">
        <v>92.48</v>
      </c>
      <c r="AB30" s="3">
        <v>46085.625</v>
      </c>
      <c r="AC30" s="4">
        <v>100.57899999999999</v>
      </c>
      <c r="AD30" s="3">
        <v>46085.625</v>
      </c>
      <c r="AE30" s="4">
        <v>265.24</v>
      </c>
      <c r="AF30" s="3">
        <v>46140.625</v>
      </c>
      <c r="AG30" s="4">
        <v>309.88</v>
      </c>
      <c r="AH30" s="3" t="str">
        <f>IF(COUNTIF(AB:AB,Z30)*COUNTIF(AD:AD,Z30)*COUNTIF(AF:AF,Z30),Z30,"")</f>
        <v/>
      </c>
      <c r="AI30" s="3" t="str">
        <f t="shared" si="0"/>
        <v/>
      </c>
      <c r="AJ30" s="3">
        <v>46149.625</v>
      </c>
      <c r="AK30" s="3">
        <v>46080</v>
      </c>
      <c r="AL30" s="5">
        <v>262.72750000000002</v>
      </c>
      <c r="AM30" s="3">
        <v>45819</v>
      </c>
      <c r="AN30" s="4">
        <v>238.56219999999999</v>
      </c>
      <c r="AO30" s="74">
        <v>45819</v>
      </c>
      <c r="AP30" s="4">
        <v>286.16800000000001</v>
      </c>
      <c r="AQ30" s="6">
        <f t="shared" si="1"/>
        <v>45819</v>
      </c>
    </row>
    <row r="31" spans="1:43" ht="14.45" customHeight="1" x14ac:dyDescent="0.25">
      <c r="A31" s="37">
        <f ca="1">IF(AND(ISBLANK(AJ20), A30 = $AJ$1),NOW(),IF(ISBLANK(AJ20),"",AJ20))</f>
        <v>46132.625</v>
      </c>
      <c r="B31" s="38">
        <f ca="1">IF(COUNTIF($AJ$2:AJ1016,A31)=1,VLOOKUP(A31,Z:AA,2), IF(COUNTIF($AJ$2:AJ1016,A31)=0,$B$9,""))</f>
        <v>91.09</v>
      </c>
      <c r="C31" s="2">
        <f t="shared" ca="1" si="2"/>
        <v>591066.83085190074</v>
      </c>
      <c r="D31" s="41">
        <f t="shared" ca="1" si="3"/>
        <v>-61833.333333333336</v>
      </c>
      <c r="E31" s="78">
        <f ca="1">IF(COUNTIF($AJ$2:AJ1016,A31)=1,VLOOKUP(A31,AF:AG,2), IF(COUNTIF($AJ$2:AJ1016,A31)=0,$E$9,""))</f>
        <v>311.66000000000003</v>
      </c>
      <c r="F31" s="113">
        <f ca="1">E31+$H$5</f>
        <v>313.3</v>
      </c>
      <c r="G31" s="93">
        <f t="shared" ca="1" si="4"/>
        <v>567432.0000000021</v>
      </c>
      <c r="H31" s="38">
        <f ca="1">IF(COUNTIF($AJ$2:AJ1016,A31)=1,VLOOKUP(A31,AB:AC,2), IF(COUNTIF($AJ$2:AJ1016,A31)=0,$C$9,""))</f>
        <v>99.831000000000003</v>
      </c>
      <c r="I31" s="2">
        <f ca="1">IF(ISERROR(B31-2),"",(H31-$H$14)/100*$C$5)</f>
        <v>78260.000000000495</v>
      </c>
      <c r="J31" s="41">
        <f ca="1">IF(ISERROR(B31-2),"",(INT(A31)-INT($A$14))/360*$C$6*$C$5-(INT(A31)-INT($A$14))/360*$C$7*$C$5*$H$14/100)</f>
        <v>228.10666666666657</v>
      </c>
      <c r="K31" s="38">
        <f ca="1">IF(COUNTIF($AJ$2:AJ1016,A31)=1,VLOOKUP(A31,AM:AN,2), IF(COUNTIF($AJ$2:AJ1016,A31)=0,$D$10,""))</f>
        <v>250.11789999999999</v>
      </c>
      <c r="L31" s="41">
        <f ca="1">IF(ISERROR(K31-2),"",(K31/$K$14-1)*$D$5)</f>
        <v>620131.05059818702</v>
      </c>
      <c r="M31" s="41" t="str">
        <f ca="1">IF($A31="","",IF(COUNTIFS(Dividends!$G:$G,"&gt;"&amp;INT($A30),Dividends!$G:$G,"&lt;="&amp;INT($A31))=0,"",$Q$2*SUMIFS(Dividends!$H:$H,Dividends!$G:$G,"&gt;"&amp;INT($A30),Dividends!$G:$G,"&lt;="&amp;INT($A31))))</f>
        <v/>
      </c>
      <c r="N31" s="42">
        <f ca="1">IF(ISERROR(B31-2),"",C31+D31-I31-J31-L31+SUM($M$14:M31))</f>
        <v>-169385.65974628681</v>
      </c>
      <c r="O31" s="80">
        <f t="shared" ca="1" si="5"/>
        <v>-131187.15726485208</v>
      </c>
      <c r="P31" s="80"/>
      <c r="Q31" s="87"/>
      <c r="R31" s="87"/>
      <c r="S31" s="87"/>
      <c r="T31" s="3">
        <v>46142.625</v>
      </c>
      <c r="U31" s="4">
        <v>310</v>
      </c>
      <c r="V31" s="3"/>
      <c r="W31" s="4"/>
      <c r="X31" s="87"/>
      <c r="Z31" s="3">
        <v>46090.625</v>
      </c>
      <c r="AA31" s="4">
        <v>92.3</v>
      </c>
      <c r="AB31" s="3">
        <v>46086.625</v>
      </c>
      <c r="AC31" s="4">
        <v>100.378</v>
      </c>
      <c r="AD31" s="3">
        <v>46086.625</v>
      </c>
      <c r="AE31" s="4">
        <v>272.31599999999997</v>
      </c>
      <c r="AF31" s="3">
        <v>46141.625</v>
      </c>
      <c r="AG31" s="4">
        <v>309.58</v>
      </c>
      <c r="AH31" s="3" t="str">
        <f>IF(COUNTIF(AB:AB,Z31)*COUNTIF(AD:AD,Z31)*COUNTIF(AF:AF,Z31),Z31,"")</f>
        <v/>
      </c>
      <c r="AI31" s="3" t="str">
        <f t="shared" si="0"/>
        <v/>
      </c>
      <c r="AJ31" s="3">
        <v>46150.625</v>
      </c>
      <c r="AK31" s="3">
        <v>46083</v>
      </c>
      <c r="AL31" s="5">
        <v>262.18009999999998</v>
      </c>
      <c r="AM31" s="3">
        <v>45820</v>
      </c>
      <c r="AN31" s="4">
        <v>237.84450000000001</v>
      </c>
      <c r="AO31" s="74">
        <v>45820</v>
      </c>
      <c r="AP31" s="4">
        <v>292.70299999999997</v>
      </c>
      <c r="AQ31" s="6">
        <f t="shared" si="1"/>
        <v>45820</v>
      </c>
    </row>
    <row r="32" spans="1:43" ht="14.45" customHeight="1" x14ac:dyDescent="0.25">
      <c r="A32" s="37">
        <f ca="1">IF(AND(ISBLANK(AJ21), A31 = $AJ$1),NOW(),IF(ISBLANK(AJ21),"",AJ21))</f>
        <v>46133.625</v>
      </c>
      <c r="B32" s="38">
        <f ca="1">IF(COUNTIF($AJ$2:AJ1017,A32)=1,VLOOKUP(A32,Z:AA,2), IF(COUNTIF($AJ$2:AJ1017,A32)=0,$B$9,""))</f>
        <v>91.01</v>
      </c>
      <c r="C32" s="2">
        <f t="shared" ca="1" si="2"/>
        <v>564200.15672226762</v>
      </c>
      <c r="D32" s="41">
        <f t="shared" ca="1" si="3"/>
        <v>-64041.666666666672</v>
      </c>
      <c r="E32" s="78">
        <f ca="1">IF(COUNTIF($AJ$2:AJ1017,A32)=1,VLOOKUP(A32,AF:AG,2), IF(COUNTIF($AJ$2:AJ1017,A32)=0,$E$9,""))</f>
        <v>311.39999999999998</v>
      </c>
      <c r="F32" s="113">
        <f ca="1">E32+$H$5</f>
        <v>313.03999999999996</v>
      </c>
      <c r="G32" s="93">
        <f t="shared" ca="1" si="4"/>
        <v>545279.99999999802</v>
      </c>
      <c r="H32" s="38">
        <f ca="1">IF(COUNTIF($AJ$2:AJ1017,A32)=1,VLOOKUP(A32,AB:AC,2), IF(COUNTIF($AJ$2:AJ1017,A32)=0,$C$9,""))</f>
        <v>99.707999999999998</v>
      </c>
      <c r="I32" s="2">
        <f ca="1">IF(ISERROR(B32-2),"",(H32-$H$14)/100*$C$5)</f>
        <v>46279.999999999294</v>
      </c>
      <c r="J32" s="41">
        <f ca="1">IF(ISERROR(B32-2),"",(INT(A32)-INT($A$14))/360*$C$6*$C$5-(INT(A32)-INT($A$14))/360*$C$7*$C$5*$H$14/100)</f>
        <v>236.25333333333401</v>
      </c>
      <c r="K32" s="38">
        <f ca="1">IF(COUNTIF($AJ$2:AJ1017,A32)=1,VLOOKUP(A32,AM:AN,2), IF(COUNTIF($AJ$2:AJ1017,A32)=0,$D$10,""))</f>
        <v>249.51689999999999</v>
      </c>
      <c r="L32" s="41">
        <f ca="1">IF(ISERROR(K32-2),"",(K32/$K$14-1)*$D$5)</f>
        <v>573707.34897023591</v>
      </c>
      <c r="M32" s="41" t="str">
        <f ca="1">IF($A32="","",IF(COUNTIFS(Dividends!$G:$G,"&gt;"&amp;INT($A31),Dividends!$G:$G,"&lt;="&amp;INT($A32))=0,"",$Q$2*SUMIFS(Dividends!$H:$H,Dividends!$G:$G,"&gt;"&amp;INT($A31),Dividends!$G:$G,"&lt;="&amp;INT($A32))))</f>
        <v/>
      </c>
      <c r="N32" s="42">
        <f ca="1">IF(ISERROR(B32-2),"",C32+D32-I32-J32-L32+SUM($M$14:M32))</f>
        <v>-120065.11224796763</v>
      </c>
      <c r="O32" s="80">
        <f t="shared" ca="1" si="5"/>
        <v>-74943.602303570544</v>
      </c>
      <c r="P32" s="80"/>
      <c r="Q32" s="87"/>
      <c r="R32" s="87"/>
      <c r="S32" s="87"/>
      <c r="T32" s="3">
        <v>46146.625</v>
      </c>
      <c r="U32" s="4">
        <v>310.38</v>
      </c>
      <c r="V32" s="3"/>
      <c r="W32" s="4"/>
      <c r="X32" s="87"/>
      <c r="Z32" s="3">
        <v>46091.625</v>
      </c>
      <c r="AA32" s="4">
        <v>92.84</v>
      </c>
      <c r="AB32" s="3">
        <v>46087.625</v>
      </c>
      <c r="AC32" s="4">
        <v>100.179</v>
      </c>
      <c r="AD32" s="3">
        <v>46087.625</v>
      </c>
      <c r="AE32" s="4">
        <v>288.95600000000002</v>
      </c>
      <c r="AF32" s="3">
        <v>46142.625</v>
      </c>
      <c r="AG32" s="4">
        <v>310</v>
      </c>
      <c r="AH32" s="3" t="str">
        <f>IF(COUNTIF(AB:AB,Z32)*COUNTIF(AD:AD,Z32)*COUNTIF(AF:AF,Z32),Z32,"")</f>
        <v/>
      </c>
      <c r="AI32" s="3" t="str">
        <f t="shared" si="0"/>
        <v/>
      </c>
      <c r="AJ32" s="3">
        <v>46154.625</v>
      </c>
      <c r="AK32" s="3">
        <v>46084</v>
      </c>
      <c r="AL32" s="5">
        <v>260.81470000000002</v>
      </c>
      <c r="AM32" s="3">
        <v>45821</v>
      </c>
      <c r="AN32" s="4">
        <v>237.1781</v>
      </c>
      <c r="AO32" s="74">
        <v>45821</v>
      </c>
      <c r="AP32" s="4">
        <v>298.005</v>
      </c>
      <c r="AQ32" s="6">
        <f t="shared" si="1"/>
        <v>45821</v>
      </c>
    </row>
    <row r="33" spans="1:43" ht="14.45" customHeight="1" x14ac:dyDescent="0.25">
      <c r="A33" s="37">
        <f ca="1">IF(AND(ISBLANK(AJ22), A32 = $AJ$1),NOW(),IF(ISBLANK(AJ22),"",AJ22))</f>
        <v>46134.625</v>
      </c>
      <c r="B33" s="38">
        <f ca="1">IF(COUNTIF($AJ$2:AJ1018,A33)=1,VLOOKUP(A33,Z:AA,2), IF(COUNTIF($AJ$2:AJ1018,A33)=0,$B$9,""))</f>
        <v>90.94</v>
      </c>
      <c r="C33" s="2">
        <f t="shared" ca="1" si="2"/>
        <v>540691.81685884041</v>
      </c>
      <c r="D33" s="41">
        <f t="shared" ca="1" si="3"/>
        <v>-66249.999999999985</v>
      </c>
      <c r="E33" s="78">
        <f ca="1">IF(COUNTIF($AJ$2:AJ1018,A33)=1,VLOOKUP(A33,AF:AG,2), IF(COUNTIF($AJ$2:AJ1018,A33)=0,$E$9,""))</f>
        <v>310.62</v>
      </c>
      <c r="F33" s="113">
        <f ca="1">E33+$H$5</f>
        <v>312.26</v>
      </c>
      <c r="G33" s="93">
        <f t="shared" ca="1" si="4"/>
        <v>478824.00000000041</v>
      </c>
      <c r="H33" s="38">
        <f ca="1">IF(COUNTIF($AJ$2:AJ1018,A33)=1,VLOOKUP(A33,AB:AC,2), IF(COUNTIF($AJ$2:AJ1018,A33)=0,$C$9,""))</f>
        <v>99.655000000000001</v>
      </c>
      <c r="I33" s="2">
        <f ca="1">IF(ISERROR(B33-2),"",(H33-$H$14)/100*$C$5)</f>
        <v>32500</v>
      </c>
      <c r="J33" s="41">
        <f ca="1">IF(ISERROR(B33-2),"",(INT(A33)-INT($A$14))/360*$C$6*$C$5-(INT(A33)-INT($A$14))/360*$C$7*$C$5*$H$14/100)</f>
        <v>244.40000000000146</v>
      </c>
      <c r="K33" s="38">
        <f ca="1">IF(COUNTIF($AJ$2:AJ1018,A33)=1,VLOOKUP(A33,AM:AN,2), IF(COUNTIF($AJ$2:AJ1018,A33)=0,$D$10,""))</f>
        <v>249.46960000000001</v>
      </c>
      <c r="L33" s="41">
        <f ca="1">IF(ISERROR(K33-2),"",(K33/$K$14-1)*$D$5)</f>
        <v>570053.7032347949</v>
      </c>
      <c r="M33" s="41" t="str">
        <f ca="1">IF($A33="","",IF(COUNTIFS(Dividends!$G:$G,"&gt;"&amp;INT($A32),Dividends!$G:$G,"&lt;="&amp;INT($A33))=0,"",$Q$2*SUMIFS(Dividends!$H:$H,Dividends!$G:$G,"&gt;"&amp;INT($A32),Dividends!$G:$G,"&lt;="&amp;INT($A33))))</f>
        <v/>
      </c>
      <c r="N33" s="42">
        <f ca="1">IF(ISERROR(B33-2),"",C33+D33-I33-J33-L33+SUM($M$14:M33))</f>
        <v>-128356.28637595451</v>
      </c>
      <c r="O33" s="80">
        <f t="shared" ca="1" si="5"/>
        <v>-123974.10323479451</v>
      </c>
      <c r="P33" s="80"/>
      <c r="Q33" s="87"/>
      <c r="R33" s="87"/>
      <c r="S33" s="87"/>
      <c r="T33" s="3">
        <v>46147.625</v>
      </c>
      <c r="U33" s="4">
        <v>310.38</v>
      </c>
      <c r="V33" s="3"/>
      <c r="W33" s="4"/>
      <c r="X33" s="87"/>
      <c r="Z33" s="3">
        <v>46092.625</v>
      </c>
      <c r="AA33" s="4">
        <v>92.41</v>
      </c>
      <c r="AB33" s="3">
        <v>46090.625</v>
      </c>
      <c r="AC33" s="4">
        <v>100.143</v>
      </c>
      <c r="AD33" s="3">
        <v>46090.625</v>
      </c>
      <c r="AE33" s="4">
        <v>293.44200000000001</v>
      </c>
      <c r="AF33" s="3">
        <v>46146.625</v>
      </c>
      <c r="AG33" s="4">
        <v>310.38</v>
      </c>
      <c r="AH33" s="3" t="str">
        <f>IF(COUNTIF(AB:AB,Z33)*COUNTIF(AD:AD,Z33)*COUNTIF(AF:AF,Z33),Z33,"")</f>
        <v/>
      </c>
      <c r="AI33" s="3" t="str">
        <f t="shared" si="0"/>
        <v/>
      </c>
      <c r="AJ33" s="3">
        <v>46155.625</v>
      </c>
      <c r="AK33" s="3">
        <v>46085</v>
      </c>
      <c r="AL33" s="5">
        <v>262.13139999999999</v>
      </c>
      <c r="AM33" s="3">
        <v>45824</v>
      </c>
      <c r="AN33" s="4">
        <v>238.1482</v>
      </c>
      <c r="AO33" s="74">
        <v>45824</v>
      </c>
      <c r="AP33" s="4">
        <v>290.95100000000002</v>
      </c>
      <c r="AQ33" s="6">
        <f t="shared" si="1"/>
        <v>45824</v>
      </c>
    </row>
    <row r="34" spans="1:43" ht="14.45" customHeight="1" x14ac:dyDescent="0.25">
      <c r="A34" s="37">
        <f ca="1">IF(AND(ISBLANK(AJ23), A33 = $AJ$1),NOW(),IF(ISBLANK(AJ23),"",AJ23))</f>
        <v>46136.625</v>
      </c>
      <c r="B34" s="38">
        <f ca="1">IF(COUNTIF($AJ$2:AJ1019,A34)=1,VLOOKUP(A34,Z:AA,2), IF(COUNTIF($AJ$2:AJ1019,A34)=0,$B$9,""))</f>
        <v>90.93</v>
      </c>
      <c r="C34" s="2">
        <f t="shared" ca="1" si="2"/>
        <v>537333.48259263462</v>
      </c>
      <c r="D34" s="41">
        <f t="shared" ca="1" si="3"/>
        <v>-70666.666666666672</v>
      </c>
      <c r="E34" s="78">
        <f ca="1">IF(COUNTIF($AJ$2:AJ1019,A34)=1,VLOOKUP(A34,AF:AG,2), IF(COUNTIF($AJ$2:AJ1019,A34)=0,$E$9,""))</f>
        <v>310.48</v>
      </c>
      <c r="F34" s="113">
        <f ca="1">E34+$H$5</f>
        <v>312.12</v>
      </c>
      <c r="G34" s="93">
        <f t="shared" ca="1" si="4"/>
        <v>466896.00000000157</v>
      </c>
      <c r="H34" s="38">
        <f ca="1">IF(COUNTIF($AJ$2:AJ1019,A34)=1,VLOOKUP(A34,AB:AC,2), IF(COUNTIF($AJ$2:AJ1019,A34)=0,$C$9,""))</f>
        <v>99.637</v>
      </c>
      <c r="I34" s="2">
        <f ca="1">IF(ISERROR(B34-2),"",(H34-$H$14)/100*$C$5)</f>
        <v>27819.999999999825</v>
      </c>
      <c r="J34" s="41">
        <f ca="1">IF(ISERROR(B34-2),"",(INT(A34)-INT($A$14))/360*$C$6*$C$5-(INT(A34)-INT($A$14))/360*$C$7*$C$5*$H$14/100)</f>
        <v>260.69333333332906</v>
      </c>
      <c r="K34" s="38">
        <f ca="1">IF(COUNTIF($AJ$2:AJ1019,A34)=1,VLOOKUP(A34,AM:AN,2), IF(COUNTIF($AJ$2:AJ1019,A34)=0,$D$10,""))</f>
        <v>249.20050000000001</v>
      </c>
      <c r="L34" s="41">
        <f ca="1">IF(ISERROR(K34-2),"",(K34/$K$14-1)*$D$5)</f>
        <v>549267.31703166233</v>
      </c>
      <c r="M34" s="41" t="str">
        <f ca="1">IF($A34="","",IF(COUNTIFS(Dividends!$G:$G,"&gt;"&amp;INT($A33),Dividends!$G:$G,"&lt;="&amp;INT($A34))=0,"",$Q$2*SUMIFS(Dividends!$H:$H,Dividends!$G:$G,"&gt;"&amp;INT($A33),Dividends!$G:$G,"&lt;="&amp;INT($A34))))</f>
        <v/>
      </c>
      <c r="N34" s="42">
        <f ca="1">IF(ISERROR(B34-2),"",C34+D34-I34-J34-L34+SUM($M$14:M34))</f>
        <v>-110681.19443902757</v>
      </c>
      <c r="O34" s="80">
        <f t="shared" ca="1" si="5"/>
        <v>-110452.01036499394</v>
      </c>
      <c r="P34" s="80"/>
      <c r="Q34" s="87"/>
      <c r="R34" s="87"/>
      <c r="S34" s="87"/>
      <c r="T34" s="3">
        <v>46148.625</v>
      </c>
      <c r="U34" s="4">
        <v>311.94</v>
      </c>
      <c r="V34" s="3"/>
      <c r="W34" s="4"/>
      <c r="X34" s="87"/>
      <c r="Z34" s="3">
        <v>46093.625</v>
      </c>
      <c r="AA34" s="4">
        <v>92.08</v>
      </c>
      <c r="AB34" s="3">
        <v>46091.625</v>
      </c>
      <c r="AC34" s="4">
        <v>100.342</v>
      </c>
      <c r="AD34" s="3">
        <v>46091.625</v>
      </c>
      <c r="AE34" s="4">
        <v>273.53199999999998</v>
      </c>
      <c r="AF34" s="3">
        <v>46147.625</v>
      </c>
      <c r="AG34" s="4">
        <v>310.38</v>
      </c>
      <c r="AH34" s="3" t="str">
        <f>IF(COUNTIF(AB:AB,Z34)*COUNTIF(AD:AD,Z34)*COUNTIF(AF:AF,Z34),Z34,"")</f>
        <v/>
      </c>
      <c r="AI34" s="3" t="str">
        <f t="shared" si="0"/>
        <v/>
      </c>
      <c r="AJ34" s="3">
        <v>46157.625</v>
      </c>
      <c r="AK34" s="3">
        <v>46086</v>
      </c>
      <c r="AL34" s="5">
        <v>261.02620000000002</v>
      </c>
      <c r="AM34" s="3">
        <v>45825</v>
      </c>
      <c r="AN34" s="4">
        <v>237.51990000000001</v>
      </c>
      <c r="AO34" s="74">
        <v>45825</v>
      </c>
      <c r="AP34" s="4">
        <v>297.02300000000002</v>
      </c>
      <c r="AQ34" s="6">
        <f t="shared" si="1"/>
        <v>45825</v>
      </c>
    </row>
    <row r="35" spans="1:43" ht="14.45" customHeight="1" x14ac:dyDescent="0.25">
      <c r="A35" s="37">
        <f ca="1">IF(AND(ISBLANK(AJ24), A34 = $AJ$1),NOW(),IF(ISBLANK(AJ24),"",AJ24))</f>
        <v>46139.625</v>
      </c>
      <c r="B35" s="38">
        <f ca="1">IF(COUNTIF($AJ$2:AJ1020,A35)=1,VLOOKUP(A35,Z:AA,2), IF(COUNTIF($AJ$2:AJ1020,A35)=0,$B$9,""))</f>
        <v>90.97</v>
      </c>
      <c r="C35" s="2">
        <f t="shared" ca="1" si="2"/>
        <v>550766.81965745112</v>
      </c>
      <c r="D35" s="41">
        <f t="shared" ca="1" si="3"/>
        <v>-77291.666666666672</v>
      </c>
      <c r="E35" s="78">
        <f ca="1">IF(COUNTIF($AJ$2:AJ1020,A35)=1,VLOOKUP(A35,AF:AG,2), IF(COUNTIF($AJ$2:AJ1020,A35)=0,$E$9,""))</f>
        <v>310.7</v>
      </c>
      <c r="F35" s="113">
        <f ca="1">E35+$H$5</f>
        <v>312.33999999999997</v>
      </c>
      <c r="G35" s="93">
        <f t="shared" ca="1" si="4"/>
        <v>485639.99999999901</v>
      </c>
      <c r="H35" s="38">
        <f ca="1">IF(COUNTIF($AJ$2:AJ1020,A35)=1,VLOOKUP(A35,AB:AC,2), IF(COUNTIF($AJ$2:AJ1020,A35)=0,$C$9,""))</f>
        <v>99.608000000000004</v>
      </c>
      <c r="I35" s="2">
        <f ca="1">IF(ISERROR(B35-2),"",(H35-$H$14)/100*$C$5)</f>
        <v>20280.000000000768</v>
      </c>
      <c r="J35" s="41">
        <f ca="1">IF(ISERROR(B35-2),"",(INT(A35)-INT($A$14))/360*$C$6*$C$5-(INT(A35)-INT($A$14))/360*$C$7*$C$5*$H$14/100)</f>
        <v>285.13333333333139</v>
      </c>
      <c r="K35" s="38">
        <f ca="1">IF(COUNTIF($AJ$2:AJ1020,A35)=1,VLOOKUP(A35,AM:AN,2), IF(COUNTIF($AJ$2:AJ1020,A35)=0,$D$10,""))</f>
        <v>249.10599999999999</v>
      </c>
      <c r="L35" s="41">
        <f ca="1">IF(ISERROR(K35-2),"",(K35/$K$14-1)*$D$5)</f>
        <v>541967.74997036124</v>
      </c>
      <c r="M35" s="41" t="str">
        <f ca="1">IF($A35="","",IF(COUNTIFS(Dividends!$G:$G,"&gt;"&amp;INT($A34),Dividends!$G:$G,"&lt;="&amp;INT($A35))=0,"",$Q$2*SUMIFS(Dividends!$H:$H,Dividends!$G:$G,"&gt;"&amp;INT($A34),Dividends!$G:$G,"&lt;="&amp;INT($A35))))</f>
        <v/>
      </c>
      <c r="N35" s="42">
        <f ca="1">IF(ISERROR(B35-2),"",C35+D35-I35-J35-L35+SUM($M$14:M35))</f>
        <v>-89057.730312910862</v>
      </c>
      <c r="O35" s="80">
        <f t="shared" ca="1" si="5"/>
        <v>-76892.88330369629</v>
      </c>
      <c r="P35" s="80"/>
      <c r="Q35" s="87"/>
      <c r="R35" s="87"/>
      <c r="S35" s="87"/>
      <c r="T35" s="3">
        <v>46149.625</v>
      </c>
      <c r="U35" s="4">
        <v>312.06</v>
      </c>
      <c r="V35" s="3"/>
      <c r="W35" s="4"/>
      <c r="X35" s="87"/>
      <c r="Z35" s="3">
        <v>46094.625</v>
      </c>
      <c r="AA35" s="4">
        <v>91.86</v>
      </c>
      <c r="AB35" s="3">
        <v>46092.625</v>
      </c>
      <c r="AC35" s="4">
        <v>99.995000000000005</v>
      </c>
      <c r="AD35" s="3">
        <v>46092.625</v>
      </c>
      <c r="AE35" s="4">
        <v>289.27199999999999</v>
      </c>
      <c r="AF35" s="3">
        <v>46148.625</v>
      </c>
      <c r="AG35" s="4">
        <v>311.94</v>
      </c>
      <c r="AH35" s="3">
        <f>IF(COUNTIF(AB:AB,Z35)*COUNTIF(AD:AD,Z35)*COUNTIF(AF:AF,Z35),Z35,"")</f>
        <v>46094.625</v>
      </c>
      <c r="AI35" s="3" t="str">
        <f t="shared" si="0"/>
        <v/>
      </c>
      <c r="AJ35" s="3">
        <v>46161.625</v>
      </c>
      <c r="AK35" s="3">
        <v>46087</v>
      </c>
      <c r="AL35" s="5">
        <v>259.30169999999998</v>
      </c>
      <c r="AM35" s="3">
        <v>45826</v>
      </c>
      <c r="AN35" s="4">
        <v>237.07689999999999</v>
      </c>
      <c r="AO35" s="74">
        <v>45826</v>
      </c>
      <c r="AP35" s="4">
        <v>300.35000000000002</v>
      </c>
      <c r="AQ35" s="6">
        <f t="shared" si="1"/>
        <v>45826</v>
      </c>
    </row>
    <row r="36" spans="1:43" ht="14.45" customHeight="1" x14ac:dyDescent="0.25">
      <c r="A36" s="37">
        <f ca="1">IF(AND(ISBLANK(AJ25), A35 = $AJ$1),NOW(),IF(ISBLANK(AJ25),"",AJ25))</f>
        <v>46140.625</v>
      </c>
      <c r="B36" s="38">
        <f ca="1">IF(COUNTIF($AJ$2:AJ1021,A36)=1,VLOOKUP(A36,Z:AA,2), IF(COUNTIF($AJ$2:AJ1021,A36)=0,$B$9,""))</f>
        <v>90.69</v>
      </c>
      <c r="C36" s="2">
        <f t="shared" ca="1" si="2"/>
        <v>456733.46020374208</v>
      </c>
      <c r="D36" s="41">
        <f t="shared" ca="1" si="3"/>
        <v>-79500</v>
      </c>
      <c r="E36" s="78">
        <f ca="1">IF(COUNTIF($AJ$2:AJ1021,A36)=1,VLOOKUP(A36,AF:AG,2), IF(COUNTIF($AJ$2:AJ1021,A36)=0,$E$9,""))</f>
        <v>309.88</v>
      </c>
      <c r="F36" s="113">
        <f ca="1">E36+$H$5</f>
        <v>311.52</v>
      </c>
      <c r="G36" s="93">
        <f t="shared" ca="1" si="4"/>
        <v>415775.99999999959</v>
      </c>
      <c r="H36" s="38">
        <f ca="1">IF(COUNTIF($AJ$2:AJ1021,A36)=1,VLOOKUP(A36,AB:AC,2), IF(COUNTIF($AJ$2:AJ1021,A36)=0,$C$9,""))</f>
        <v>99.456000000000003</v>
      </c>
      <c r="I36" s="2">
        <f ca="1">IF(ISERROR(B36-2),"",(H36-$H$14)/100*$C$5)</f>
        <v>-19239.999999999498</v>
      </c>
      <c r="J36" s="41">
        <f ca="1">IF(ISERROR(B36-2),"",(INT(A36)-INT($A$14))/360*$C$6*$C$5-(INT(A36)-INT($A$14))/360*$C$7*$C$5*$H$14/100)</f>
        <v>293.27999999999884</v>
      </c>
      <c r="K36" s="38">
        <f ca="1">IF(COUNTIF($AJ$2:AJ1021,A36)=1,VLOOKUP(A36,AM:AN,2), IF(COUNTIF($AJ$2:AJ1021,A36)=0,$D$10,""))</f>
        <v>248.827</v>
      </c>
      <c r="L36" s="41">
        <f ca="1">IF(ISERROR(K36-2),"",(K36/$K$14-1)*$D$5)</f>
        <v>520416.64721795509</v>
      </c>
      <c r="M36" s="41" t="str">
        <f ca="1">IF($A36="","",IF(COUNTIFS(Dividends!$G:$G,"&gt;"&amp;INT($A35),Dividends!$G:$G,"&lt;="&amp;INT($A36))=0,"",$Q$2*SUMIFS(Dividends!$H:$H,Dividends!$G:$G,"&gt;"&amp;INT($A35),Dividends!$G:$G,"&lt;="&amp;INT($A36))))</f>
        <v/>
      </c>
      <c r="N36" s="42">
        <f ca="1">IF(ISERROR(B36-2),"",C36+D36-I36-J36-L36+SUM($M$14:M36))</f>
        <v>-124236.46701421356</v>
      </c>
      <c r="O36" s="80">
        <f t="shared" ca="1" si="5"/>
        <v>-85693.92721795605</v>
      </c>
      <c r="P36" s="80"/>
      <c r="Q36" s="87"/>
      <c r="R36" s="87"/>
      <c r="S36" s="87"/>
      <c r="T36" s="3">
        <v>46150.625</v>
      </c>
      <c r="U36" s="4">
        <v>312.38</v>
      </c>
      <c r="V36" s="3"/>
      <c r="W36" s="4"/>
      <c r="X36" s="87"/>
      <c r="Z36" s="3">
        <v>46097.625</v>
      </c>
      <c r="AA36" s="4">
        <v>91.95</v>
      </c>
      <c r="AB36" s="3">
        <v>46093.625</v>
      </c>
      <c r="AC36" s="4">
        <v>99.95</v>
      </c>
      <c r="AD36" s="3">
        <v>46093.625</v>
      </c>
      <c r="AE36" s="4">
        <v>296.22500000000002</v>
      </c>
      <c r="AF36" s="3">
        <v>46149.625</v>
      </c>
      <c r="AG36" s="4">
        <v>312.06</v>
      </c>
      <c r="AH36" s="3">
        <f>IF(COUNTIF(AB:AB,Z36)*COUNTIF(AD:AD,Z36)*COUNTIF(AF:AF,Z36),Z36,"")</f>
        <v>46097.625</v>
      </c>
      <c r="AI36" s="3" t="str">
        <f t="shared" si="0"/>
        <v/>
      </c>
      <c r="AJ36" s="3">
        <v>46162.625</v>
      </c>
      <c r="AK36" s="3">
        <v>46090</v>
      </c>
      <c r="AL36" s="5">
        <v>259.07319999999999</v>
      </c>
      <c r="AM36" s="3">
        <v>45827</v>
      </c>
      <c r="AN36" s="4">
        <v>235.94069999999999</v>
      </c>
      <c r="AO36" s="74">
        <v>45827</v>
      </c>
      <c r="AP36" s="4">
        <v>313.43900000000002</v>
      </c>
      <c r="AQ36" s="6">
        <f t="shared" si="1"/>
        <v>45827</v>
      </c>
    </row>
    <row r="37" spans="1:43" x14ac:dyDescent="0.25">
      <c r="A37" s="37">
        <f ca="1">IF(AND(ISBLANK(AJ26), A36 = $AJ$1),NOW(),IF(ISBLANK(AJ26),"",AJ26))</f>
        <v>46141.625</v>
      </c>
      <c r="B37" s="38">
        <f ca="1">IF(COUNTIF($AJ$2:AJ1022,A37)=1,VLOOKUP(A37,Z:AA,2), IF(COUNTIF($AJ$2:AJ1022,A37)=0,$B$9,""))</f>
        <v>90.76</v>
      </c>
      <c r="C37" s="2">
        <f t="shared" ca="1" si="2"/>
        <v>480241.8000671693</v>
      </c>
      <c r="D37" s="41">
        <f t="shared" ca="1" si="3"/>
        <v>-81708.333333333328</v>
      </c>
      <c r="E37" s="78">
        <f ca="1">IF(COUNTIF($AJ$2:AJ1022,A37)=1,VLOOKUP(A37,AF:AG,2), IF(COUNTIF($AJ$2:AJ1022,A37)=0,$E$9,""))</f>
        <v>309.58</v>
      </c>
      <c r="F37" s="113">
        <f ca="1">E37+$H$5</f>
        <v>311.21999999999997</v>
      </c>
      <c r="G37" s="93">
        <f t="shared" ca="1" si="4"/>
        <v>390215.99999999866</v>
      </c>
      <c r="H37" s="38">
        <f ca="1">IF(COUNTIF($AJ$2:AJ1022,A37)=1,VLOOKUP(A37,AB:AC,2), IF(COUNTIF($AJ$2:AJ1022,A37)=0,$C$9,""))</f>
        <v>99.296000000000006</v>
      </c>
      <c r="I37" s="2">
        <f ca="1">IF(ISERROR(B37-2),"",(H37-$H$14)/100*$C$5)</f>
        <v>-60839.999999998618</v>
      </c>
      <c r="J37" s="41">
        <f ca="1">IF(ISERROR(B37-2),"",(INT(A37)-INT($A$14))/360*$C$6*$C$5-(INT(A37)-INT($A$14))/360*$C$7*$C$5*$H$14/100)</f>
        <v>301.42666666666628</v>
      </c>
      <c r="K37" s="38">
        <f ca="1">IF(COUNTIF($AJ$2:AJ1022,A37)=1,VLOOKUP(A37,AM:AN,2), IF(COUNTIF($AJ$2:AJ1022,A37)=0,$D$10,""))</f>
        <v>248.28469999999999</v>
      </c>
      <c r="L37" s="41">
        <f ca="1">IF(ISERROR(K37-2),"",(K37/$K$14-1)*$D$5)</f>
        <v>478527.17401855398</v>
      </c>
      <c r="M37" s="41" t="str">
        <f ca="1">IF($A37="","",IF(COUNTIFS(Dividends!$G:$G,"&gt;"&amp;INT($A36),Dividends!$G:$G,"&lt;="&amp;INT($A37))=0,"",$Q$2*SUMIFS(Dividends!$H:$H,Dividends!$G:$G,"&gt;"&amp;INT($A36),Dividends!$G:$G,"&lt;="&amp;INT($A37))))</f>
        <v/>
      </c>
      <c r="N37" s="42">
        <f ca="1">IF(ISERROR(B37-2),"",C37+D37-I37-J37-L37+SUM($M$14:M37))</f>
        <v>-19455.133951386029</v>
      </c>
      <c r="O37" s="80">
        <f t="shared" ca="1" si="5"/>
        <v>-27772.600685223413</v>
      </c>
      <c r="P37" s="80"/>
      <c r="Q37" s="87"/>
      <c r="R37" s="87"/>
      <c r="S37" s="87"/>
      <c r="T37" s="3">
        <v>46154.625</v>
      </c>
      <c r="U37" s="4">
        <v>311.7</v>
      </c>
      <c r="V37" s="3"/>
      <c r="W37" s="4"/>
      <c r="X37" s="87"/>
      <c r="Z37" s="3">
        <v>46098.625</v>
      </c>
      <c r="AA37" s="4">
        <v>92.21</v>
      </c>
      <c r="AB37" s="3">
        <v>46094.625</v>
      </c>
      <c r="AC37" s="4">
        <v>99.905000000000001</v>
      </c>
      <c r="AD37" s="3">
        <v>46094.625</v>
      </c>
      <c r="AE37" s="4">
        <v>306.91800000000001</v>
      </c>
      <c r="AF37" s="3">
        <v>46150.625</v>
      </c>
      <c r="AG37" s="4">
        <v>312.38</v>
      </c>
      <c r="AH37" s="3">
        <f>IF(COUNTIF(AB:AB,Z37)*COUNTIF(AD:AD,Z37)*COUNTIF(AF:AF,Z37),Z37,"")</f>
        <v>46098.625</v>
      </c>
      <c r="AI37" s="3" t="str">
        <f t="shared" si="0"/>
        <v/>
      </c>
      <c r="AJ37" s="3">
        <v>46163.625</v>
      </c>
      <c r="AK37" s="3">
        <v>46091</v>
      </c>
      <c r="AL37" s="5">
        <v>261.08800000000002</v>
      </c>
      <c r="AM37" s="3">
        <v>45828</v>
      </c>
      <c r="AN37" s="4">
        <v>236.7012</v>
      </c>
      <c r="AO37" s="74">
        <v>45828</v>
      </c>
      <c r="AP37" s="4">
        <v>304.02</v>
      </c>
      <c r="AQ37" s="6">
        <f t="shared" si="1"/>
        <v>45828</v>
      </c>
    </row>
    <row r="38" spans="1:43" x14ac:dyDescent="0.25">
      <c r="A38" s="37">
        <f ca="1">IF(AND(ISBLANK(AJ27), A37 = $AJ$1),NOW(),IF(ISBLANK(AJ27),"",AJ27))</f>
        <v>46142.625</v>
      </c>
      <c r="B38" s="38">
        <f ca="1">IF(COUNTIF($AJ$2:AJ1023,A38)=1,VLOOKUP(A38,Z:AA,2), IF(COUNTIF($AJ$2:AJ1023,A38)=0,$B$9,""))</f>
        <v>90.81</v>
      </c>
      <c r="C38" s="2">
        <f t="shared" ca="1" si="2"/>
        <v>497033.47139818501</v>
      </c>
      <c r="D38" s="41">
        <f t="shared" ca="1" si="3"/>
        <v>-83916.666666666672</v>
      </c>
      <c r="E38" s="78">
        <f ca="1">IF(COUNTIF($AJ$2:AJ1023,A38)=1,VLOOKUP(A38,AF:AG,2), IF(COUNTIF($AJ$2:AJ1023,A38)=0,$E$9,""))</f>
        <v>310</v>
      </c>
      <c r="F38" s="113">
        <f ca="1">E38+$H$5</f>
        <v>311.64</v>
      </c>
      <c r="G38" s="93">
        <f t="shared" ca="1" si="4"/>
        <v>426000</v>
      </c>
      <c r="H38" s="38">
        <f ca="1">IF(COUNTIF($AJ$2:AJ1023,A38)=1,VLOOKUP(A38,AB:AC,2), IF(COUNTIF($AJ$2:AJ1023,A38)=0,$C$9,""))</f>
        <v>99.435000000000002</v>
      </c>
      <c r="I38" s="2">
        <f ca="1">IF(ISERROR(B38-2),"",(H38-$H$14)/100*$C$5)</f>
        <v>-24699.999999999705</v>
      </c>
      <c r="J38" s="41">
        <f ca="1">IF(ISERROR(B38-2),"",(INT(A38)-INT($A$14))/360*$C$6*$C$5-(INT(A38)-INT($A$14))/360*$C$7*$C$5*$H$14/100)</f>
        <v>309.57333333333372</v>
      </c>
      <c r="K38" s="38">
        <f ca="1">IF(COUNTIF($AJ$2:AJ1023,A38)=1,VLOOKUP(A38,AM:AN,2), IF(COUNTIF($AJ$2:AJ1023,A38)=0,$D$10,""))</f>
        <v>248.685</v>
      </c>
      <c r="L38" s="41">
        <f ca="1">IF(ISERROR(K38-2),"",(K38/$K$14-1)*$D$5)</f>
        <v>509447.98560203006</v>
      </c>
      <c r="M38" s="41" t="str">
        <f ca="1">IF($A38="","",IF(COUNTIFS(Dividends!$G:$G,"&gt;"&amp;INT($A37),Dividends!$G:$G,"&lt;="&amp;INT($A38))=0,"",$Q$2*SUMIFS(Dividends!$H:$H,Dividends!$G:$G,"&gt;"&amp;INT($A37),Dividends!$G:$G,"&lt;="&amp;INT($A38))))</f>
        <v/>
      </c>
      <c r="N38" s="42">
        <f ca="1">IF(ISERROR(B38-2),"",C38+D38-I38-J38-L38+SUM($M$14:M38))</f>
        <v>-71940.754203845398</v>
      </c>
      <c r="O38" s="80">
        <f t="shared" ca="1" si="5"/>
        <v>-59057.558935363661</v>
      </c>
      <c r="P38" s="80"/>
      <c r="Q38" s="87"/>
      <c r="R38" s="87"/>
      <c r="S38" s="87"/>
      <c r="T38" s="3">
        <v>46155.625</v>
      </c>
      <c r="U38" s="4">
        <v>311.88</v>
      </c>
      <c r="V38" s="3"/>
      <c r="W38" s="4"/>
      <c r="X38" s="87"/>
      <c r="Z38" s="3">
        <v>46099.625</v>
      </c>
      <c r="AA38" s="4">
        <v>92.17</v>
      </c>
      <c r="AB38" s="3">
        <v>46097.625</v>
      </c>
      <c r="AC38" s="4">
        <v>99.959000000000003</v>
      </c>
      <c r="AD38" s="3">
        <v>46097.625</v>
      </c>
      <c r="AE38" s="4">
        <v>300.69400000000002</v>
      </c>
      <c r="AF38" s="3">
        <v>46154.625</v>
      </c>
      <c r="AG38" s="4">
        <v>311.7</v>
      </c>
      <c r="AH38" s="3">
        <f>IF(COUNTIF(AB:AB,Z38)*COUNTIF(AD:AD,Z38)*COUNTIF(AF:AF,Z38),Z38,"")</f>
        <v>46099.625</v>
      </c>
      <c r="AI38" s="3" t="str">
        <f t="shared" si="0"/>
        <v/>
      </c>
      <c r="AJ38" s="3">
        <v>46168.625</v>
      </c>
      <c r="AK38" s="3">
        <v>46092</v>
      </c>
      <c r="AL38" s="5">
        <v>259.59120000000001</v>
      </c>
      <c r="AM38" s="3">
        <v>45831</v>
      </c>
      <c r="AN38" s="4">
        <v>236.5609</v>
      </c>
      <c r="AO38" s="74">
        <v>45831</v>
      </c>
      <c r="AP38" s="4">
        <v>307.142</v>
      </c>
      <c r="AQ38" s="6">
        <f t="shared" si="1"/>
        <v>45831</v>
      </c>
    </row>
    <row r="39" spans="1:43" x14ac:dyDescent="0.25">
      <c r="A39" s="37">
        <f ca="1">IF(AND(ISBLANK(AJ28), A38 = $AJ$1),NOW(),IF(ISBLANK(AJ28),"",AJ28))</f>
        <v>46147.625</v>
      </c>
      <c r="B39" s="38">
        <f ca="1">IF(COUNTIF($AJ$2:AJ1024,A39)=1,VLOOKUP(A39,Z:AA,2), IF(COUNTIF($AJ$2:AJ1024,A39)=0,$B$9,""))</f>
        <v>90.89</v>
      </c>
      <c r="C39" s="2">
        <f t="shared" ca="1" si="2"/>
        <v>523900.14552781807</v>
      </c>
      <c r="D39" s="41">
        <f t="shared" ca="1" si="3"/>
        <v>-94958.333333333328</v>
      </c>
      <c r="E39" s="78">
        <f ca="1">IF(COUNTIF($AJ$2:AJ1024,A39)=1,VLOOKUP(A39,AF:AG,2), IF(COUNTIF($AJ$2:AJ1024,A39)=0,$E$9,""))</f>
        <v>310.38</v>
      </c>
      <c r="F39" s="113">
        <f ca="1">E39+$H$5</f>
        <v>312.02</v>
      </c>
      <c r="G39" s="93">
        <f t="shared" ca="1" si="4"/>
        <v>458375.99999999959</v>
      </c>
      <c r="H39" s="38">
        <f ca="1">IF(COUNTIF($AJ$2:AJ1024,A39)=1,VLOOKUP(A39,AB:AC,2), IF(COUNTIF($AJ$2:AJ1024,A39)=0,$C$9,""))</f>
        <v>99.343000000000004</v>
      </c>
      <c r="I39" s="2">
        <f ca="1">IF(ISERROR(B39-2),"",(H39-$H$14)/100*$C$5)</f>
        <v>-48619.999999999374</v>
      </c>
      <c r="J39" s="41">
        <f ca="1">IF(ISERROR(B39-2),"",(INT(A39)-INT($A$14))/360*$C$6*$C$5-(INT(A39)-INT($A$14))/360*$C$7*$C$5*$H$14/100)</f>
        <v>350.30666666667094</v>
      </c>
      <c r="K39" s="38">
        <f ca="1">IF(COUNTIF($AJ$2:AJ1024,A39)=1,VLOOKUP(A39,AM:AN,2), IF(COUNTIF($AJ$2:AJ1024,A39)=0,$D$10,""))</f>
        <v>249.4753</v>
      </c>
      <c r="L39" s="41">
        <f ca="1">IF(ISERROR(K39-2),"",(K39/$K$14-1)*$D$5)</f>
        <v>570493.99458134721</v>
      </c>
      <c r="M39" s="41" t="str">
        <f ca="1">IF($A39="","",IF(COUNTIFS(Dividends!$G:$G,"&gt;"&amp;INT($A38),Dividends!$G:$G,"&lt;="&amp;INT($A39))=0,"",$Q$2*SUMIFS(Dividends!$H:$H,Dividends!$G:$G,"&gt;"&amp;INT($A38),Dividends!$G:$G,"&lt;="&amp;INT($A39))))</f>
        <v/>
      </c>
      <c r="N39" s="42">
        <f ca="1">IF(ISERROR(B39-2),"",C39+D39-I39-J39-L39+SUM($M$14:M39))</f>
        <v>-93282.489053529804</v>
      </c>
      <c r="O39" s="80">
        <f t="shared" ca="1" si="5"/>
        <v>-63848.301248014905</v>
      </c>
      <c r="P39" s="80"/>
      <c r="Q39" s="87"/>
      <c r="R39" s="87"/>
      <c r="S39" s="87"/>
      <c r="T39" s="3">
        <v>46157.625</v>
      </c>
      <c r="U39" s="4">
        <v>311.48</v>
      </c>
      <c r="V39" s="3"/>
      <c r="W39" s="4"/>
      <c r="X39" s="87"/>
      <c r="Z39" s="3">
        <v>46100.625</v>
      </c>
      <c r="AA39" s="4">
        <v>89.42</v>
      </c>
      <c r="AB39" s="3">
        <v>46098.625</v>
      </c>
      <c r="AC39" s="4">
        <v>99.992999999999995</v>
      </c>
      <c r="AD39" s="3">
        <v>46098.625</v>
      </c>
      <c r="AE39" s="4">
        <v>294.98399999999998</v>
      </c>
      <c r="AF39" s="3">
        <v>46155.625</v>
      </c>
      <c r="AG39" s="4">
        <v>311.88</v>
      </c>
      <c r="AH39" s="3">
        <f>IF(COUNTIF(AB:AB,Z39)*COUNTIF(AD:AD,Z39)*COUNTIF(AF:AF,Z39),Z39,"")</f>
        <v>46100.625</v>
      </c>
      <c r="AI39" s="3" t="str">
        <f t="shared" si="0"/>
        <v/>
      </c>
      <c r="AJ39" s="3">
        <v>46169.625</v>
      </c>
      <c r="AK39" s="3">
        <v>46093</v>
      </c>
      <c r="AL39" s="5">
        <v>258.51130000000001</v>
      </c>
      <c r="AM39" s="3">
        <v>45832</v>
      </c>
      <c r="AN39" s="4">
        <v>238.1567</v>
      </c>
      <c r="AO39" s="74">
        <v>45832</v>
      </c>
      <c r="AP39" s="4">
        <v>291.75099999999998</v>
      </c>
      <c r="AQ39" s="6">
        <f t="shared" si="1"/>
        <v>45832</v>
      </c>
    </row>
    <row r="40" spans="1:43" x14ac:dyDescent="0.25">
      <c r="A40" s="37">
        <f ca="1">IF(AND(ISBLANK(AJ29), A39 = $AJ$1),NOW(),IF(ISBLANK(AJ29),"",AJ29))</f>
        <v>46148.625</v>
      </c>
      <c r="B40" s="38">
        <f ca="1">IF(COUNTIF($AJ$2:AJ1025,A40)=1,VLOOKUP(A40,Z:AA,2), IF(COUNTIF($AJ$2:AJ1025,A40)=0,$B$9,""))</f>
        <v>91.41</v>
      </c>
      <c r="C40" s="2">
        <f t="shared" ca="1" si="2"/>
        <v>698533.52737042634</v>
      </c>
      <c r="D40" s="41">
        <f t="shared" ca="1" si="3"/>
        <v>-97166.666666666657</v>
      </c>
      <c r="E40" s="78">
        <f ca="1">IF(COUNTIF($AJ$2:AJ1025,A40)=1,VLOOKUP(A40,AF:AG,2), IF(COUNTIF($AJ$2:AJ1025,A40)=0,$E$9,""))</f>
        <v>311.94</v>
      </c>
      <c r="F40" s="113">
        <f ca="1">E40+$H$5</f>
        <v>313.58</v>
      </c>
      <c r="G40" s="93">
        <f t="shared" ca="1" si="4"/>
        <v>591287.99999999977</v>
      </c>
      <c r="H40" s="38">
        <f ca="1">IF(COUNTIF($AJ$2:AJ1025,A40)=1,VLOOKUP(A40,AB:AC,2), IF(COUNTIF($AJ$2:AJ1025,A40)=0,$C$9,""))</f>
        <v>99.63</v>
      </c>
      <c r="I40" s="2">
        <f ca="1">IF(ISERROR(B40-2),"",(H40-$H$14)/100*$C$5)</f>
        <v>25999.999999998523</v>
      </c>
      <c r="J40" s="41">
        <f ca="1">IF(ISERROR(B40-2),"",(INT(A40)-INT($A$14))/360*$C$6*$C$5-(INT(A40)-INT($A$14))/360*$C$7*$C$5*$H$14/100)</f>
        <v>358.45333333333838</v>
      </c>
      <c r="K40" s="38">
        <f ca="1">IF(COUNTIF($AJ$2:AJ1025,A40)=1,VLOOKUP(A40,AM:AN,2), IF(COUNTIF($AJ$2:AJ1025,A40)=0,$D$10,""))</f>
        <v>250.94749999999999</v>
      </c>
      <c r="L40" s="41">
        <f ca="1">IF(ISERROR(K40-2),"",(K40/$K$14-1)*$D$5)</f>
        <v>684212.75254585163</v>
      </c>
      <c r="M40" s="41" t="str">
        <f ca="1">IF($A40="","",IF(COUNTIFS(Dividends!$G:$G,"&gt;"&amp;INT($A39),Dividends!$G:$G,"&lt;="&amp;INT($A40))=0,"",$Q$2*SUMIFS(Dividends!$H:$H,Dividends!$G:$G,"&gt;"&amp;INT($A39),Dividends!$G:$G,"&lt;="&amp;INT($A40))))</f>
        <v/>
      </c>
      <c r="N40" s="42">
        <f ca="1">IF(ISERROR(B40-2),"",C40+D40-I40-J40-L40+SUM($M$14:M40))</f>
        <v>-109204.34517542378</v>
      </c>
      <c r="O40" s="80">
        <f t="shared" ca="1" si="5"/>
        <v>-119283.20587918372</v>
      </c>
      <c r="P40" s="80"/>
      <c r="Q40" s="87"/>
      <c r="R40" s="87"/>
      <c r="S40" s="87"/>
      <c r="T40" s="3">
        <v>46161.625</v>
      </c>
      <c r="U40" s="4">
        <v>311.22000000000003</v>
      </c>
      <c r="V40" s="3"/>
      <c r="W40" s="4"/>
      <c r="X40" s="87"/>
      <c r="Z40" s="3">
        <v>46101.625</v>
      </c>
      <c r="AA40" s="4">
        <v>89.08</v>
      </c>
      <c r="AB40" s="3">
        <v>46099.625</v>
      </c>
      <c r="AC40" s="4">
        <v>99.841999999999999</v>
      </c>
      <c r="AD40" s="3">
        <v>46099.625</v>
      </c>
      <c r="AE40" s="4">
        <v>298.827</v>
      </c>
      <c r="AF40" s="3">
        <v>46157.625</v>
      </c>
      <c r="AG40" s="4">
        <v>311.48</v>
      </c>
      <c r="AH40" s="3">
        <f>IF(COUNTIF(AB:AB,Z40)*COUNTIF(AD:AD,Z40)*COUNTIF(AF:AF,Z40),Z40,"")</f>
        <v>46101.625</v>
      </c>
      <c r="AI40" s="3" t="str">
        <f t="shared" si="0"/>
        <v/>
      </c>
      <c r="AJ40" s="3">
        <v>46170.625</v>
      </c>
      <c r="AK40" s="3">
        <v>46094</v>
      </c>
      <c r="AL40" s="5">
        <v>257.45740000000001</v>
      </c>
      <c r="AM40" s="3">
        <v>45833</v>
      </c>
      <c r="AN40" s="4">
        <v>238.0162</v>
      </c>
      <c r="AO40" s="74">
        <v>45833</v>
      </c>
      <c r="AP40" s="4">
        <v>292.76</v>
      </c>
      <c r="AQ40" s="6">
        <f t="shared" si="1"/>
        <v>45833</v>
      </c>
    </row>
    <row r="41" spans="1:43" x14ac:dyDescent="0.25">
      <c r="A41" s="37">
        <f ca="1">IF(AND(ISBLANK(AJ30), A40 = $AJ$1),NOW(),IF(ISBLANK(AJ30),"",AJ30))</f>
        <v>46149.625</v>
      </c>
      <c r="B41" s="38">
        <f ca="1">IF(COUNTIF($AJ$2:AJ1026,A41)=1,VLOOKUP(A41,Z:AA,2), IF(COUNTIF($AJ$2:AJ1026,A41)=0,$B$9,""))</f>
        <v>91.39</v>
      </c>
      <c r="C41" s="2">
        <f t="shared" ca="1" si="2"/>
        <v>691816.85883801465</v>
      </c>
      <c r="D41" s="41">
        <f t="shared" ca="1" si="3"/>
        <v>-99375</v>
      </c>
      <c r="E41" s="78">
        <f ca="1">IF(COUNTIF($AJ$2:AJ1026,A41)=1,VLOOKUP(A41,AF:AG,2), IF(COUNTIF($AJ$2:AJ1026,A41)=0,$E$9,""))</f>
        <v>312.06</v>
      </c>
      <c r="F41" s="113">
        <f ca="1">E41+$H$5</f>
        <v>313.7</v>
      </c>
      <c r="G41" s="93">
        <f t="shared" ca="1" si="4"/>
        <v>601512.00000000023</v>
      </c>
      <c r="H41" s="38">
        <f ca="1">IF(COUNTIF($AJ$2:AJ1026,A41)=1,VLOOKUP(A41,AB:AC,2), IF(COUNTIF($AJ$2:AJ1026,A41)=0,$C$9,""))</f>
        <v>99.650999999999996</v>
      </c>
      <c r="I41" s="2">
        <f ca="1">IF(ISERROR(B41-2),"",(H41-$H$14)/100*$C$5)</f>
        <v>31459.99999999873</v>
      </c>
      <c r="J41" s="41">
        <f ca="1">IF(ISERROR(B41-2),"",(INT(A41)-INT($A$14))/360*$C$6*$C$5-(INT(A41)-INT($A$14))/360*$C$7*$C$5*$H$14/100)</f>
        <v>366.60000000000582</v>
      </c>
      <c r="K41" s="38">
        <f ca="1">IF(COUNTIF($AJ$2:AJ1026,A41)=1,VLOOKUP(A41,AM:AN,2), IF(COUNTIF($AJ$2:AJ1026,A41)=0,$D$10,""))</f>
        <v>250.63929999999999</v>
      </c>
      <c r="L41" s="41">
        <f ca="1">IF(ISERROR(K41-2),"",(K41/$K$14-1)*$D$5)</f>
        <v>660406.12219355034</v>
      </c>
      <c r="M41" s="41" t="str">
        <f ca="1">IF($A41="","",IF(COUNTIFS(Dividends!$G:$G,"&gt;"&amp;INT($A40),Dividends!$G:$G,"&lt;="&amp;INT($A41))=0,"",$Q$2*SUMIFS(Dividends!$H:$H,Dividends!$G:$G,"&gt;"&amp;INT($A40),Dividends!$G:$G,"&lt;="&amp;INT($A41))))</f>
        <v/>
      </c>
      <c r="N41" s="42">
        <f ca="1">IF(ISERROR(B41-2),"",C41+D41-I41-J41-L41+SUM($M$14:M41))</f>
        <v>-99790.863355534384</v>
      </c>
      <c r="O41" s="80">
        <f t="shared" ca="1" si="5"/>
        <v>-90720.722193548805</v>
      </c>
      <c r="P41" s="80"/>
      <c r="Q41" s="87"/>
      <c r="R41" s="87"/>
      <c r="S41" s="87"/>
      <c r="T41" s="3">
        <v>46162.625</v>
      </c>
      <c r="U41" s="4">
        <v>311.52</v>
      </c>
      <c r="V41" s="3"/>
      <c r="W41" s="4"/>
      <c r="X41" s="87"/>
      <c r="Z41" s="3">
        <v>46104.625</v>
      </c>
      <c r="AA41" s="4">
        <v>89.33</v>
      </c>
      <c r="AB41" s="3">
        <v>46100.625</v>
      </c>
      <c r="AC41" s="4">
        <v>99.638999999999996</v>
      </c>
      <c r="AD41" s="3">
        <v>46100.625</v>
      </c>
      <c r="AE41" s="4">
        <v>309.03899999999999</v>
      </c>
      <c r="AF41" s="3">
        <v>46161.625</v>
      </c>
      <c r="AG41" s="4">
        <v>311.22000000000003</v>
      </c>
      <c r="AH41" s="3">
        <f>IF(COUNTIF(AB:AB,Z41)*COUNTIF(AD:AD,Z41)*COUNTIF(AF:AF,Z41),Z41,"")</f>
        <v>46104.625</v>
      </c>
      <c r="AI41" s="3">
        <f t="shared" si="0"/>
        <v>46104.625</v>
      </c>
      <c r="AJ41" s="3">
        <v>46171.625</v>
      </c>
      <c r="AK41" s="3">
        <v>46097</v>
      </c>
      <c r="AL41" s="5">
        <v>257.82310000000001</v>
      </c>
      <c r="AM41" s="3">
        <v>45834</v>
      </c>
      <c r="AN41" s="4">
        <v>238.31659999999999</v>
      </c>
      <c r="AO41" s="74">
        <v>45834</v>
      </c>
      <c r="AP41" s="4">
        <v>290.53100000000001</v>
      </c>
      <c r="AQ41" s="6">
        <f t="shared" si="1"/>
        <v>45834</v>
      </c>
    </row>
    <row r="42" spans="1:43" x14ac:dyDescent="0.25">
      <c r="A42" s="37">
        <f ca="1">IF(AND(ISBLANK(AJ31), A41 = $AJ$1),NOW(),IF(ISBLANK(AJ31),"",AJ31))</f>
        <v>46150.625</v>
      </c>
      <c r="B42" s="38">
        <f ca="1">IF(COUNTIF($AJ$2:AJ1027,A42)=1,VLOOKUP(A42,Z:AA,2), IF(COUNTIF($AJ$2:AJ1027,A42)=0,$B$9,""))</f>
        <v>91.4</v>
      </c>
      <c r="C42" s="2">
        <f t="shared" ca="1" si="2"/>
        <v>695175.19310422044</v>
      </c>
      <c r="D42" s="41">
        <f t="shared" ca="1" si="3"/>
        <v>-101583.33333333331</v>
      </c>
      <c r="E42" s="78">
        <f ca="1">IF(COUNTIF($AJ$2:AJ1027,A42)=1,VLOOKUP(A42,AF:AG,2), IF(COUNTIF($AJ$2:AJ1027,A42)=0,$E$9,""))</f>
        <v>312.38</v>
      </c>
      <c r="F42" s="113">
        <f ca="1">E42+$H$5</f>
        <v>314.02</v>
      </c>
      <c r="G42" s="93">
        <f t="shared" ca="1" si="4"/>
        <v>628775.99999999965</v>
      </c>
      <c r="H42" s="38">
        <f ca="1">IF(COUNTIF($AJ$2:AJ1027,A42)=1,VLOOKUP(A42,AB:AC,2), IF(COUNTIF($AJ$2:AJ1027,A42)=0,$C$9,""))</f>
        <v>99.58</v>
      </c>
      <c r="I42" s="2">
        <f ca="1">IF(ISERROR(B42-2),"",(H42-$H$14)/100*$C$5)</f>
        <v>12999.999999999261</v>
      </c>
      <c r="J42" s="41">
        <f ca="1">IF(ISERROR(B42-2),"",(INT(A42)-INT($A$14))/360*$C$6*$C$5-(INT(A42)-INT($A$14))/360*$C$7*$C$5*$H$14/100)</f>
        <v>374.74666666667326</v>
      </c>
      <c r="K42" s="38">
        <f ca="1">IF(COUNTIF($AJ$2:AJ1027,A42)=1,VLOOKUP(A42,AM:AN,2), IF(COUNTIF($AJ$2:AJ1027,A42)=0,$D$10,""))</f>
        <v>250.6848</v>
      </c>
      <c r="L42" s="41">
        <f ca="1">IF(ISERROR(K42-2),"",(K42/$K$14-1)*$D$5)</f>
        <v>663920.72855640075</v>
      </c>
      <c r="M42" s="41" t="str">
        <f ca="1">IF($A42="","",IF(COUNTIFS(Dividends!$G:$G,"&gt;"&amp;INT($A41),Dividends!$G:$G,"&lt;="&amp;INT($A42))=0,"",$Q$2*SUMIFS(Dividends!$H:$H,Dividends!$G:$G,"&gt;"&amp;INT($A41),Dividends!$G:$G,"&lt;="&amp;INT($A42))))</f>
        <v/>
      </c>
      <c r="N42" s="42">
        <f ca="1">IF(ISERROR(B42-2),"",C42+D42-I42-J42-L42+SUM($M$14:M42))</f>
        <v>-83703.615452179685</v>
      </c>
      <c r="O42" s="80">
        <f t="shared" ca="1" si="5"/>
        <v>-48519.4752230671</v>
      </c>
      <c r="P42" s="80"/>
      <c r="Q42" s="87"/>
      <c r="R42" s="87"/>
      <c r="S42" s="87"/>
      <c r="T42" s="3">
        <v>46163.625</v>
      </c>
      <c r="U42" s="4">
        <v>311.18</v>
      </c>
      <c r="V42" s="3"/>
      <c r="W42" s="4"/>
      <c r="X42" s="87"/>
      <c r="Z42" s="3">
        <v>46105.625</v>
      </c>
      <c r="AA42" s="4">
        <v>89.26</v>
      </c>
      <c r="AB42" s="3">
        <v>46101.625</v>
      </c>
      <c r="AC42" s="4">
        <v>99.41</v>
      </c>
      <c r="AD42" s="3">
        <v>46101.625</v>
      </c>
      <c r="AE42" s="4">
        <v>350.86599999999999</v>
      </c>
      <c r="AF42" s="3">
        <v>46162.625</v>
      </c>
      <c r="AG42" s="4">
        <v>311.52</v>
      </c>
      <c r="AH42" s="3">
        <f>IF(COUNTIF(AB:AB,Z42)*COUNTIF(AD:AD,Z42)*COUNTIF(AF:AF,Z42),Z42,"")</f>
        <v>46105.625</v>
      </c>
      <c r="AI42" s="3">
        <f t="shared" si="0"/>
        <v>46105.625</v>
      </c>
      <c r="AJ42" s="3">
        <v>46174.625</v>
      </c>
      <c r="AK42" s="3">
        <v>46098</v>
      </c>
      <c r="AL42" s="5">
        <v>258.83109999999999</v>
      </c>
      <c r="AM42" s="3">
        <v>45835</v>
      </c>
      <c r="AN42" s="4">
        <v>239.05629999999999</v>
      </c>
      <c r="AO42" s="74">
        <v>45835</v>
      </c>
      <c r="AP42" s="4">
        <v>284.21499999999997</v>
      </c>
      <c r="AQ42" s="6">
        <f t="shared" si="1"/>
        <v>45835</v>
      </c>
    </row>
    <row r="43" spans="1:43" x14ac:dyDescent="0.25">
      <c r="A43" s="37">
        <f ca="1">IF(AND(ISBLANK(AJ32), A42 = $AJ$1),NOW(),IF(ISBLANK(AJ32),"",AJ32))</f>
        <v>46154.625</v>
      </c>
      <c r="B43" s="38">
        <f ca="1">IF(COUNTIF($AJ$2:AJ1028,A43)=1,VLOOKUP(A43,Z:AA,2), IF(COUNTIF($AJ$2:AJ1028,A43)=0,$B$9,""))</f>
        <v>91.28</v>
      </c>
      <c r="C43" s="2">
        <f t="shared" ca="1" si="2"/>
        <v>654875.18190977094</v>
      </c>
      <c r="D43" s="41">
        <f t="shared" ca="1" si="3"/>
        <v>-110416.66666666666</v>
      </c>
      <c r="E43" s="78">
        <f ca="1">IF(COUNTIF($AJ$2:AJ1028,A43)=1,VLOOKUP(A43,AF:AG,2), IF(COUNTIF($AJ$2:AJ1028,A43)=0,$E$9,""))</f>
        <v>311.7</v>
      </c>
      <c r="F43" s="113">
        <f ca="1">E43+$H$5</f>
        <v>313.33999999999997</v>
      </c>
      <c r="G43" s="93">
        <f t="shared" ca="1" si="4"/>
        <v>570839.99999999907</v>
      </c>
      <c r="H43" s="38">
        <f ca="1">IF(COUNTIF($AJ$2:AJ1028,A43)=1,VLOOKUP(A43,AB:AC,2), IF(COUNTIF($AJ$2:AJ1028,A43)=0,$C$9,""))</f>
        <v>99.322999999999993</v>
      </c>
      <c r="I43" s="2">
        <f ca="1">IF(ISERROR(B43-2),"",(H43-$H$14)/100*$C$5)</f>
        <v>-53820.000000002037</v>
      </c>
      <c r="J43" s="41">
        <f ca="1">IF(ISERROR(B43-2),"",(INT(A43)-INT($A$14))/360*$C$6*$C$5-(INT(A43)-INT($A$14))/360*$C$7*$C$5*$H$14/100)</f>
        <v>407.33333333332848</v>
      </c>
      <c r="K43" s="38">
        <f ca="1">IF(COUNTIF($AJ$2:AJ1028,A43)=1,VLOOKUP(A43,AM:AN,2), IF(COUNTIF($AJ$2:AJ1028,A43)=0,$D$10,""))</f>
        <v>250.0761</v>
      </c>
      <c r="L43" s="41">
        <f ca="1">IF(ISERROR(K43-2),"",(K43/$K$14-1)*$D$5)</f>
        <v>616902.24739011971</v>
      </c>
      <c r="M43" s="41" t="str">
        <f ca="1">IF($A43="","",IF(COUNTIFS(Dividends!$G:$G,"&gt;"&amp;INT($A42),Dividends!$G:$G,"&lt;="&amp;INT($A43))=0,"",$Q$2*SUMIFS(Dividends!$H:$H,Dividends!$G:$G,"&gt;"&amp;INT($A42),Dividends!$G:$G,"&lt;="&amp;INT($A43))))</f>
        <v/>
      </c>
      <c r="N43" s="42">
        <f ca="1">IF(ISERROR(B43-2),"",C43+D43-I43-J43-L43+SUM($M$14:M43))</f>
        <v>-19031.065480346791</v>
      </c>
      <c r="O43" s="80">
        <f t="shared" ca="1" si="5"/>
        <v>7350.4192765480839</v>
      </c>
      <c r="P43" s="80"/>
      <c r="Q43" s="87"/>
      <c r="R43" s="87"/>
      <c r="S43" s="87"/>
      <c r="T43" s="3">
        <v>46167.625</v>
      </c>
      <c r="U43" s="4">
        <v>313.02</v>
      </c>
      <c r="V43" s="3"/>
      <c r="W43" s="4"/>
      <c r="X43" s="87"/>
      <c r="Z43" s="3">
        <v>46106.625</v>
      </c>
      <c r="AA43" s="4">
        <v>89.54</v>
      </c>
      <c r="AB43" s="3">
        <v>46104.625</v>
      </c>
      <c r="AC43" s="4">
        <v>99.53</v>
      </c>
      <c r="AD43" s="3">
        <v>46104.625</v>
      </c>
      <c r="AE43" s="4">
        <v>341.82299999999998</v>
      </c>
      <c r="AF43" s="3">
        <v>46163.625</v>
      </c>
      <c r="AG43" s="4">
        <v>311.18</v>
      </c>
      <c r="AH43" s="3">
        <f>IF(COUNTIF(AB:AB,Z43)*COUNTIF(AD:AD,Z43)*COUNTIF(AF:AF,Z43),Z43,"")</f>
        <v>46106.625</v>
      </c>
      <c r="AI43" s="3">
        <f t="shared" si="0"/>
        <v>46106.625</v>
      </c>
      <c r="AJ43" s="3">
        <v>46176.625</v>
      </c>
      <c r="AK43" s="3">
        <v>46099</v>
      </c>
      <c r="AL43" s="5">
        <v>258.3931</v>
      </c>
      <c r="AM43" s="3">
        <v>45838</v>
      </c>
      <c r="AN43" s="4">
        <v>239.3235</v>
      </c>
      <c r="AO43" s="74">
        <v>45838</v>
      </c>
      <c r="AP43" s="4">
        <v>282.54000000000002</v>
      </c>
      <c r="AQ43" s="6">
        <f t="shared" si="1"/>
        <v>45838</v>
      </c>
    </row>
    <row r="44" spans="1:43" x14ac:dyDescent="0.25">
      <c r="A44" s="37">
        <f ca="1">IF(AND(ISBLANK(AJ33), A43 = $AJ$1),NOW(),IF(ISBLANK(AJ33),"",AJ33))</f>
        <v>46155.625</v>
      </c>
      <c r="B44" s="38">
        <f ca="1">IF(COUNTIF($AJ$2:AJ1029,A44)=1,VLOOKUP(A44,Z:AA,2), IF(COUNTIF($AJ$2:AJ1029,A44)=0,$B$9,""))</f>
        <v>91.31</v>
      </c>
      <c r="C44" s="2">
        <f t="shared" ca="1" si="2"/>
        <v>664950.18470838829</v>
      </c>
      <c r="D44" s="41">
        <f t="shared" ca="1" si="3"/>
        <v>-112625</v>
      </c>
      <c r="E44" s="78">
        <f ca="1">IF(COUNTIF($AJ$2:AJ1029,A44)=1,VLOOKUP(A44,AF:AG,2), IF(COUNTIF($AJ$2:AJ1029,A44)=0,$E$9,""))</f>
        <v>311.88</v>
      </c>
      <c r="F44" s="113">
        <f ca="1">E44+$H$5</f>
        <v>313.52</v>
      </c>
      <c r="G44" s="93">
        <f t="shared" ca="1" si="4"/>
        <v>586175.99999999965</v>
      </c>
      <c r="H44" s="38">
        <f ca="1">IF(COUNTIF($AJ$2:AJ1029,A44)=1,VLOOKUP(A44,AB:AC,2), IF(COUNTIF($AJ$2:AJ1029,A44)=0,$C$9,""))</f>
        <v>99.292000000000002</v>
      </c>
      <c r="I44" s="2">
        <f ca="1">IF(ISERROR(B44-2),"",(H44-$H$14)/100*$C$5)</f>
        <v>-61879.999999999884</v>
      </c>
      <c r="J44" s="41">
        <f ca="1">IF(ISERROR(B44-2),"",(INT(A44)-INT($A$14))/360*$C$6*$C$5-(INT(A44)-INT($A$14))/360*$C$7*$C$5*$H$14/100)</f>
        <v>415.47999999999593</v>
      </c>
      <c r="K44" s="38">
        <f ca="1">IF(COUNTIF($AJ$2:AJ1029,A44)=1,VLOOKUP(A44,AM:AN,2), IF(COUNTIF($AJ$2:AJ1029,A44)=0,$D$10,""))</f>
        <v>250.61799999999999</v>
      </c>
      <c r="L44" s="41">
        <f ca="1">IF(ISERROR(K44-2),"",(K44/$K$14-1)*$D$5)</f>
        <v>658760.82295116363</v>
      </c>
      <c r="M44" s="41" t="str">
        <f ca="1">IF($A44="","",IF(COUNTIFS(Dividends!$G:$G,"&gt;"&amp;INT($A43),Dividends!$G:$G,"&lt;="&amp;INT($A44))=0,"",$Q$2*SUMIFS(Dividends!$H:$H,Dividends!$G:$G,"&gt;"&amp;INT($A43),Dividends!$G:$G,"&lt;="&amp;INT($A44))))</f>
        <v/>
      </c>
      <c r="N44" s="42">
        <f ca="1">IF(ISERROR(B44-2),"",C44+D44-I44-J44-L44+SUM($M$14:M44))</f>
        <v>-44971.118242775439</v>
      </c>
      <c r="O44" s="80">
        <f t="shared" ca="1" si="5"/>
        <v>-11120.302951164078</v>
      </c>
      <c r="P44" s="80"/>
      <c r="Q44" s="87"/>
      <c r="R44" s="87"/>
      <c r="S44" s="87"/>
      <c r="T44" s="3">
        <v>46168.625</v>
      </c>
      <c r="U44" s="4">
        <v>312.5</v>
      </c>
      <c r="V44" s="3"/>
      <c r="W44" s="4"/>
      <c r="X44" s="87"/>
      <c r="Z44" s="3">
        <v>46107.625</v>
      </c>
      <c r="AA44" s="4">
        <v>89.29</v>
      </c>
      <c r="AB44" s="3">
        <v>46105.625</v>
      </c>
      <c r="AC44" s="4">
        <v>99.400999999999996</v>
      </c>
      <c r="AD44" s="3">
        <v>46105.625</v>
      </c>
      <c r="AE44" s="4">
        <v>342.43400000000003</v>
      </c>
      <c r="AF44" s="3">
        <v>46167.625</v>
      </c>
      <c r="AG44" s="4">
        <v>313.02</v>
      </c>
      <c r="AH44" s="3">
        <f>IF(COUNTIF(AB:AB,Z44)*COUNTIF(AD:AD,Z44)*COUNTIF(AF:AF,Z44),Z44,"")</f>
        <v>46107.625</v>
      </c>
      <c r="AI44" s="3">
        <f t="shared" si="0"/>
        <v>46107.625</v>
      </c>
      <c r="AJ44" s="3">
        <v>46177.625</v>
      </c>
      <c r="AK44" s="3">
        <v>46100</v>
      </c>
      <c r="AL44" s="5">
        <v>257.0634</v>
      </c>
      <c r="AM44" s="3">
        <v>45839</v>
      </c>
      <c r="AN44" s="4">
        <v>239.28819999999999</v>
      </c>
      <c r="AO44" s="74">
        <v>45839</v>
      </c>
      <c r="AP44" s="4">
        <v>282.95999999999998</v>
      </c>
      <c r="AQ44" s="6">
        <f t="shared" si="1"/>
        <v>45839</v>
      </c>
    </row>
    <row r="45" spans="1:43" x14ac:dyDescent="0.25">
      <c r="A45" s="37">
        <f ca="1">IF(AND(ISBLANK(AJ34), A44 = $AJ$1),NOW(),IF(ISBLANK(AJ34),"",AJ34))</f>
        <v>46157.625</v>
      </c>
      <c r="B45" s="38">
        <f ca="1">IF(COUNTIF($AJ$2:AJ1030,A45)=1,VLOOKUP(A45,Z:AA,2), IF(COUNTIF($AJ$2:AJ1030,A45)=0,$B$9,""))</f>
        <v>91.28</v>
      </c>
      <c r="C45" s="2">
        <f t="shared" ca="1" si="2"/>
        <v>654875.18190977094</v>
      </c>
      <c r="D45" s="41">
        <f t="shared" ca="1" si="3"/>
        <v>-117041.66666666666</v>
      </c>
      <c r="E45" s="78">
        <f ca="1">IF(COUNTIF($AJ$2:AJ1030,A45)=1,VLOOKUP(A45,AF:AG,2), IF(COUNTIF($AJ$2:AJ1030,A45)=0,$E$9,""))</f>
        <v>311.48</v>
      </c>
      <c r="F45" s="113">
        <f ca="1">E45+$H$5</f>
        <v>313.12</v>
      </c>
      <c r="G45" s="93">
        <f t="shared" ca="1" si="4"/>
        <v>552096.00000000151</v>
      </c>
      <c r="H45" s="38">
        <f ca="1">IF(COUNTIF($AJ$2:AJ1030,A45)=1,VLOOKUP(A45,AB:AC,2), IF(COUNTIF($AJ$2:AJ1030,A45)=0,$C$9,""))</f>
        <v>99.259</v>
      </c>
      <c r="I45" s="2">
        <f ca="1">IF(ISERROR(B45-2),"",(H45-$H$14)/100*$C$5)</f>
        <v>-70460.000000000204</v>
      </c>
      <c r="J45" s="41">
        <f ca="1">IF(ISERROR(B45-2),"",(INT(A45)-INT($A$14))/360*$C$6*$C$5-(INT(A45)-INT($A$14))/360*$C$7*$C$5*$H$14/100)</f>
        <v>431.77333333333081</v>
      </c>
      <c r="K45" s="38">
        <f ca="1">IF(COUNTIF($AJ$2:AJ1030,A45)=1,VLOOKUP(A45,AM:AN,2), IF(COUNTIF($AJ$2:AJ1030,A45)=0,$D$10,""))</f>
        <v>250.38300000000001</v>
      </c>
      <c r="L45" s="41">
        <f ca="1">IF(ISERROR(K45-2),"",(K45/$K$14-1)*$D$5)</f>
        <v>640608.46041777276</v>
      </c>
      <c r="M45" s="41" t="str">
        <f ca="1">IF($A45="","",IF(COUNTIFS(Dividends!$G:$G,"&gt;"&amp;INT($A44),Dividends!$G:$G,"&lt;="&amp;INT($A45))=0,"",$Q$2*SUMIFS(Dividends!$H:$H,Dividends!$G:$G,"&gt;"&amp;INT($A44),Dividends!$G:$G,"&lt;="&amp;INT($A45))))</f>
        <v/>
      </c>
      <c r="N45" s="42">
        <f ca="1">IF(ISERROR(B45-2),"",C45+D45-I45-J45-L45+SUM($M$14:M45))</f>
        <v>-32746.718508001533</v>
      </c>
      <c r="O45" s="80">
        <f t="shared" ca="1" si="5"/>
        <v>-18484.23375110433</v>
      </c>
      <c r="P45" s="80"/>
      <c r="Q45" s="87"/>
      <c r="R45" s="87"/>
      <c r="S45" s="87"/>
      <c r="T45" s="3">
        <v>46169.625</v>
      </c>
      <c r="U45" s="4">
        <v>312.83999999999997</v>
      </c>
      <c r="V45" s="3"/>
      <c r="W45" s="4"/>
      <c r="X45" s="87"/>
      <c r="Z45" s="3">
        <v>46108.625</v>
      </c>
      <c r="AA45" s="4">
        <v>88.99</v>
      </c>
      <c r="AB45" s="3">
        <v>46106.625</v>
      </c>
      <c r="AC45" s="4">
        <v>99.501000000000005</v>
      </c>
      <c r="AD45" s="3">
        <v>46106.625</v>
      </c>
      <c r="AE45" s="4">
        <v>334.50400000000002</v>
      </c>
      <c r="AF45" s="3">
        <v>46168.625</v>
      </c>
      <c r="AG45" s="4">
        <v>312.5</v>
      </c>
      <c r="AH45" s="3">
        <f>IF(COUNTIF(AB:AB,Z45)*COUNTIF(AD:AD,Z45)*COUNTIF(AF:AF,Z45),Z45,"")</f>
        <v>46108.625</v>
      </c>
      <c r="AI45" s="3">
        <f t="shared" si="0"/>
        <v>46108.625</v>
      </c>
      <c r="AJ45" s="3">
        <v>46182.625</v>
      </c>
      <c r="AK45" s="3">
        <v>46101</v>
      </c>
      <c r="AL45" s="5">
        <v>255.87119999999999</v>
      </c>
      <c r="AM45" s="3">
        <v>45840</v>
      </c>
      <c r="AN45" s="4">
        <v>239.2792</v>
      </c>
      <c r="AO45" s="74">
        <v>45840</v>
      </c>
      <c r="AP45" s="4">
        <v>283.459</v>
      </c>
      <c r="AQ45" s="6">
        <f t="shared" si="1"/>
        <v>45840</v>
      </c>
    </row>
    <row r="46" spans="1:43" x14ac:dyDescent="0.25">
      <c r="A46" s="37">
        <f ca="1">IF(AND(ISBLANK(AJ35), A45 = $AJ$1),NOW(),IF(ISBLANK(AJ35),"",AJ35))</f>
        <v>46161.625</v>
      </c>
      <c r="B46" s="38">
        <f ca="1">IF(COUNTIF($AJ$2:AJ1031,A46)=1,VLOOKUP(A46,Z:AA,2), IF(COUNTIF($AJ$2:AJ1031,A46)=0,$B$9,""))</f>
        <v>90.83</v>
      </c>
      <c r="C46" s="2">
        <f t="shared" ca="1" si="2"/>
        <v>503750.13993059658</v>
      </c>
      <c r="D46" s="41">
        <f t="shared" ca="1" si="3"/>
        <v>-125874.99999999999</v>
      </c>
      <c r="E46" s="78">
        <f ca="1">IF(COUNTIF($AJ$2:AJ1031,A46)=1,VLOOKUP(A46,AF:AG,2), IF(COUNTIF($AJ$2:AJ1031,A46)=0,$E$9,""))</f>
        <v>311.22000000000003</v>
      </c>
      <c r="F46" s="113">
        <f ca="1">E46+$H$5</f>
        <v>312.86</v>
      </c>
      <c r="G46" s="93">
        <f t="shared" ca="1" si="4"/>
        <v>529944.00000000233</v>
      </c>
      <c r="H46" s="38">
        <f ca="1">IF(COUNTIF($AJ$2:AJ1031,A46)=1,VLOOKUP(A46,AB:AC,2), IF(COUNTIF($AJ$2:AJ1031,A46)=0,$C$9,""))</f>
        <v>99.180999999999997</v>
      </c>
      <c r="I46" s="2">
        <f ca="1">IF(ISERROR(B46-2),"",(H46-$H$14)/100*$C$5)</f>
        <v>-90740.000000000975</v>
      </c>
      <c r="J46" s="41">
        <f ca="1">IF(ISERROR(B46-2),"",(INT(A46)-INT($A$14))/360*$C$6*$C$5-(INT(A46)-INT($A$14))/360*$C$7*$C$5*$H$14/100)</f>
        <v>464.36000000000058</v>
      </c>
      <c r="K46" s="38">
        <f ca="1">IF(COUNTIF($AJ$2:AJ1031,A46)=1,VLOOKUP(A46,AM:AN,2), IF(COUNTIF($AJ$2:AJ1031,A46)=0,$D$10,""))</f>
        <v>249.98050000000001</v>
      </c>
      <c r="L46" s="41">
        <f ca="1">IF(ISERROR(K46-2),"",(K46/$K$14-1)*$D$5)</f>
        <v>609517.71182334458</v>
      </c>
      <c r="M46" s="41" t="str">
        <f ca="1">IF($A46="","",IF(COUNTIFS(Dividends!$G:$G,"&gt;"&amp;INT($A45),Dividends!$G:$G,"&lt;="&amp;INT($A46))=0,"",$Q$2*SUMIFS(Dividends!$H:$H,Dividends!$G:$G,"&gt;"&amp;INT($A45),Dividends!$G:$G,"&lt;="&amp;INT($A46))))</f>
        <v/>
      </c>
      <c r="N46" s="42">
        <f ca="1">IF(ISERROR(B46-2),"",C46+D46-I46-J46-L46+SUM($M$14:M46))</f>
        <v>-141366.931892747</v>
      </c>
      <c r="O46" s="80">
        <f t="shared" ca="1" si="5"/>
        <v>10701.928176658694</v>
      </c>
      <c r="P46" s="80"/>
      <c r="Q46" s="87"/>
      <c r="R46" s="87"/>
      <c r="S46" s="87"/>
      <c r="T46" s="3">
        <v>46170.625</v>
      </c>
      <c r="U46" s="4">
        <v>312.7</v>
      </c>
      <c r="V46" s="3"/>
      <c r="W46" s="4"/>
      <c r="X46" s="87"/>
      <c r="Z46" s="3">
        <v>46111.625</v>
      </c>
      <c r="AA46" s="4">
        <v>88.85</v>
      </c>
      <c r="AB46" s="3">
        <v>46107.625</v>
      </c>
      <c r="AC46" s="4">
        <v>99.313000000000002</v>
      </c>
      <c r="AD46" s="3">
        <v>46107.625</v>
      </c>
      <c r="AE46" s="4">
        <v>344.47199999999998</v>
      </c>
      <c r="AF46" s="3">
        <v>46169.625</v>
      </c>
      <c r="AG46" s="4">
        <v>312.83999999999997</v>
      </c>
      <c r="AH46" s="3">
        <f>IF(COUNTIF(AB:AB,Z46)*COUNTIF(AD:AD,Z46)*COUNTIF(AF:AF,Z46),Z46,"")</f>
        <v>46111.625</v>
      </c>
      <c r="AI46" s="3">
        <f t="shared" si="0"/>
        <v>46111.625</v>
      </c>
      <c r="AJ46" s="3">
        <v>46188.625</v>
      </c>
      <c r="AK46" s="3">
        <v>46104</v>
      </c>
      <c r="AL46" s="5">
        <v>256.74209999999999</v>
      </c>
      <c r="AM46" s="3">
        <v>45841</v>
      </c>
      <c r="AN46" s="4">
        <v>239.88030000000001</v>
      </c>
      <c r="AO46" s="74">
        <v>45841</v>
      </c>
      <c r="AP46" s="4">
        <v>278.322</v>
      </c>
      <c r="AQ46" s="6">
        <f t="shared" si="1"/>
        <v>45841</v>
      </c>
    </row>
    <row r="47" spans="1:43" x14ac:dyDescent="0.25">
      <c r="A47" s="37">
        <f ca="1">IF(AND(ISBLANK(AJ36), A46 = $AJ$1),NOW(),IF(ISBLANK(AJ36),"",AJ36))</f>
        <v>46162.625</v>
      </c>
      <c r="B47" s="38">
        <f ca="1">IF(COUNTIF($AJ$2:AJ1032,A47)=1,VLOOKUP(A47,Z:AA,2), IF(COUNTIF($AJ$2:AJ1032,A47)=0,$B$9,""))</f>
        <v>91.06</v>
      </c>
      <c r="C47" s="2">
        <f t="shared" ca="1" si="2"/>
        <v>580991.82805329002</v>
      </c>
      <c r="D47" s="41">
        <f t="shared" ca="1" si="3"/>
        <v>-128083.33333333334</v>
      </c>
      <c r="E47" s="78">
        <f ca="1">IF(COUNTIF($AJ$2:AJ1032,A47)=1,VLOOKUP(A47,AF:AG,2), IF(COUNTIF($AJ$2:AJ1032,A47)=0,$E$9,""))</f>
        <v>311.52</v>
      </c>
      <c r="F47" s="113">
        <f ca="1">E47+$H$5</f>
        <v>313.15999999999997</v>
      </c>
      <c r="G47" s="93">
        <f t="shared" ca="1" si="4"/>
        <v>555503.99999999849</v>
      </c>
      <c r="H47" s="38">
        <f ca="1">IF(COUNTIF($AJ$2:AJ1032,A47)=1,VLOOKUP(A47,AB:AC,2), IF(COUNTIF($AJ$2:AJ1032,A47)=0,$C$9,""))</f>
        <v>99.39</v>
      </c>
      <c r="I47" s="2">
        <f ca="1">IF(ISERROR(B47-2),"",(H47-$H$14)/100*$C$5)</f>
        <v>-36400.000000000146</v>
      </c>
      <c r="J47" s="41">
        <f ca="1">IF(ISERROR(B47-2),"",(INT(A47)-INT($A$14))/360*$C$6*$C$5-(INT(A47)-INT($A$14))/360*$C$7*$C$5*$H$14/100)</f>
        <v>472.50666666666802</v>
      </c>
      <c r="K47" s="38">
        <f ca="1">IF(COUNTIF($AJ$2:AJ1032,A47)=1,VLOOKUP(A47,AM:AN,2), IF(COUNTIF($AJ$2:AJ1032,A47)=0,$D$10,""))</f>
        <v>251.0129</v>
      </c>
      <c r="L47" s="41">
        <f ca="1">IF(ISERROR(K47-2),"",(K47/$K$14-1)*$D$5)</f>
        <v>689264.51641685108</v>
      </c>
      <c r="M47" s="41" t="str">
        <f ca="1">IF($A47="","",IF(COUNTIFS(Dividends!$G:$G,"&gt;"&amp;INT($A46),Dividends!$G:$G,"&lt;="&amp;INT($A47))=0,"",$Q$2*SUMIFS(Dividends!$H:$H,Dividends!$G:$G,"&gt;"&amp;INT($A46),Dividends!$G:$G,"&lt;="&amp;INT($A47))))</f>
        <v/>
      </c>
      <c r="N47" s="42">
        <f ca="1">IF(ISERROR(B47-2),"",C47+D47-I47-J47-L47+SUM($M$14:M47))</f>
        <v>-200428.52836356097</v>
      </c>
      <c r="O47" s="80">
        <f t="shared" ca="1" si="5"/>
        <v>-97833.023083519191</v>
      </c>
      <c r="P47" s="80"/>
      <c r="Q47" s="87"/>
      <c r="R47" s="87"/>
      <c r="S47" s="87"/>
      <c r="T47" s="3">
        <v>46171.625</v>
      </c>
      <c r="U47" s="4">
        <v>313.77999999999997</v>
      </c>
      <c r="V47" s="3"/>
      <c r="W47" s="4"/>
      <c r="X47" s="87"/>
      <c r="Z47" s="3">
        <v>46112.625</v>
      </c>
      <c r="AA47" s="4">
        <v>89.12</v>
      </c>
      <c r="AB47" s="3">
        <v>46108.625</v>
      </c>
      <c r="AC47" s="4">
        <v>99.304000000000002</v>
      </c>
      <c r="AD47" s="3">
        <v>46108.625</v>
      </c>
      <c r="AE47" s="4">
        <v>361.33</v>
      </c>
      <c r="AF47" s="3">
        <v>46170.625</v>
      </c>
      <c r="AG47" s="4">
        <v>312.7</v>
      </c>
      <c r="AH47" s="3">
        <f>IF(COUNTIF(AB:AB,Z47)*COUNTIF(AD:AD,Z47)*COUNTIF(AF:AF,Z47),Z47,"")</f>
        <v>46112.625</v>
      </c>
      <c r="AI47" s="3">
        <f t="shared" si="0"/>
        <v>46112.625</v>
      </c>
      <c r="AJ47" s="3">
        <v>46189.625</v>
      </c>
      <c r="AK47" s="3">
        <v>46105</v>
      </c>
      <c r="AL47" s="5">
        <v>256.9957</v>
      </c>
      <c r="AM47" s="3">
        <v>45842</v>
      </c>
      <c r="AN47" s="4">
        <v>239.0291</v>
      </c>
      <c r="AO47" s="74">
        <v>45842</v>
      </c>
      <c r="AP47" s="4">
        <v>286.32499999999999</v>
      </c>
      <c r="AQ47" s="6">
        <f t="shared" si="1"/>
        <v>45842</v>
      </c>
    </row>
    <row r="48" spans="1:43" x14ac:dyDescent="0.25">
      <c r="A48" s="37">
        <f ca="1">IF(AND(ISBLANK(AJ37), A47 = $AJ$1),NOW(),IF(ISBLANK(AJ37),"",AJ37))</f>
        <v>46163.625</v>
      </c>
      <c r="B48" s="38">
        <f ca="1">IF(COUNTIF($AJ$2:AJ1033,A48)=1,VLOOKUP(A48,Z:AA,2), IF(COUNTIF($AJ$2:AJ1033,A48)=0,$B$9,""))</f>
        <v>91.15</v>
      </c>
      <c r="C48" s="2">
        <f t="shared" ca="1" si="2"/>
        <v>611216.83644912217</v>
      </c>
      <c r="D48" s="41">
        <f t="shared" ca="1" si="3"/>
        <v>-130291.66666666667</v>
      </c>
      <c r="E48" s="78">
        <f ca="1">IF(COUNTIF($AJ$2:AJ1033,A48)=1,VLOOKUP(A48,AF:AG,2), IF(COUNTIF($AJ$2:AJ1033,A48)=0,$E$9,""))</f>
        <v>311.18</v>
      </c>
      <c r="F48" s="113">
        <f ca="1">E48+$H$5</f>
        <v>312.82</v>
      </c>
      <c r="G48" s="93">
        <f t="shared" ca="1" si="4"/>
        <v>526536.00000000058</v>
      </c>
      <c r="H48" s="38">
        <f ca="1">IF(COUNTIF($AJ$2:AJ1033,A48)=1,VLOOKUP(A48,AB:AC,2), IF(COUNTIF($AJ$2:AJ1033,A48)=0,$C$9,""))</f>
        <v>99.37</v>
      </c>
      <c r="I48" s="2">
        <f ca="1">IF(ISERROR(B48-2),"",(H48-$H$14)/100*$C$5)</f>
        <v>-41599.999999999112</v>
      </c>
      <c r="J48" s="41">
        <f ca="1">IF(ISERROR(B48-2),"",(INT(A48)-INT($A$14))/360*$C$6*$C$5-(INT(A48)-INT($A$14))/360*$C$7*$C$5*$H$14/100)</f>
        <v>480.65333333332092</v>
      </c>
      <c r="K48" s="38">
        <f ca="1">IF(COUNTIF($AJ$2:AJ1033,A48)=1,VLOOKUP(A48,AM:AN,2), IF(COUNTIF($AJ$2:AJ1033,A48)=0,$D$10,""))</f>
        <v>250.6669</v>
      </c>
      <c r="L48" s="41">
        <f ca="1">IF(ISERROR(K48-2),"",(K48/$K$14-1)*$D$5)</f>
        <v>662538.05924002512</v>
      </c>
      <c r="M48" s="41" t="str">
        <f ca="1">IF($A48="","",IF(COUNTIFS(Dividends!$G:$G,"&gt;"&amp;INT($A47),Dividends!$G:$G,"&lt;="&amp;INT($A48))=0,"",$Q$2*SUMIFS(Dividends!$H:$H,Dividends!$G:$G,"&gt;"&amp;INT($A47),Dividends!$G:$G,"&lt;="&amp;INT($A48))))</f>
        <v/>
      </c>
      <c r="N48" s="42">
        <f ca="1">IF(ISERROR(B48-2),"",C48+D48-I48-J48-L48+SUM($M$14:M48))</f>
        <v>-140493.54279090383</v>
      </c>
      <c r="O48" s="80">
        <f t="shared" ca="1" si="5"/>
        <v>-94882.712573358789</v>
      </c>
      <c r="P48" s="80"/>
      <c r="Q48" s="87"/>
      <c r="R48" s="87"/>
      <c r="S48" s="87"/>
      <c r="T48" s="3">
        <v>46174.625</v>
      </c>
      <c r="U48" s="4">
        <v>312.83999999999997</v>
      </c>
      <c r="V48" s="3"/>
      <c r="W48" s="4"/>
      <c r="X48" s="87"/>
      <c r="Z48" s="3">
        <v>46113.625</v>
      </c>
      <c r="AA48" s="4">
        <v>89.8</v>
      </c>
      <c r="AB48" s="3">
        <v>46111.625</v>
      </c>
      <c r="AC48" s="4">
        <v>99.466999999999999</v>
      </c>
      <c r="AD48" s="3">
        <v>46111.625</v>
      </c>
      <c r="AE48" s="4">
        <v>364.03399999999999</v>
      </c>
      <c r="AF48" s="3">
        <v>46171.625</v>
      </c>
      <c r="AG48" s="4">
        <v>313.77999999999997</v>
      </c>
      <c r="AH48" s="3">
        <f>IF(COUNTIF(AB:AB,Z48)*COUNTIF(AD:AD,Z48)*COUNTIF(AF:AF,Z48),Z48,"")</f>
        <v>46113.625</v>
      </c>
      <c r="AI48" s="3">
        <f t="shared" si="0"/>
        <v>46113.625</v>
      </c>
      <c r="AJ48" s="3">
        <v>46190.625</v>
      </c>
      <c r="AK48" s="3">
        <v>46106</v>
      </c>
      <c r="AL48" s="5">
        <v>258.20859999999999</v>
      </c>
      <c r="AM48" s="3">
        <v>45845</v>
      </c>
      <c r="AN48" s="4">
        <v>239.6181</v>
      </c>
      <c r="AO48" s="74">
        <v>45845</v>
      </c>
      <c r="AP48" s="4">
        <v>282.00400000000002</v>
      </c>
      <c r="AQ48" s="6">
        <f t="shared" si="1"/>
        <v>45845</v>
      </c>
    </row>
    <row r="49" spans="1:48" x14ac:dyDescent="0.25">
      <c r="A49" s="37">
        <f ca="1">IF(AND(ISBLANK(AJ38), A48 = $AJ$1),NOW(),IF(ISBLANK(AJ38),"",AJ38))</f>
        <v>46168.625</v>
      </c>
      <c r="B49" s="38">
        <f ca="1">IF(COUNTIF($AJ$2:AJ1034,A49)=1,VLOOKUP(A49,Z:AA,2), IF(COUNTIF($AJ$2:AJ1034,A49)=0,$B$9,""))</f>
        <v>91.51</v>
      </c>
      <c r="C49" s="2">
        <f t="shared" ca="1" si="2"/>
        <v>732116.87003246427</v>
      </c>
      <c r="D49" s="41">
        <f t="shared" ca="1" si="3"/>
        <v>-141333.33333333334</v>
      </c>
      <c r="E49" s="78">
        <f ca="1">IF(COUNTIF($AJ$2:AJ1034,A49)=1,VLOOKUP(A49,AF:AG,2), IF(COUNTIF($AJ$2:AJ1034,A49)=0,$E$9,""))</f>
        <v>312.5</v>
      </c>
      <c r="F49" s="113">
        <f ca="1">E49+$H$5</f>
        <v>314.14</v>
      </c>
      <c r="G49" s="93">
        <f t="shared" ca="1" si="4"/>
        <v>639000</v>
      </c>
      <c r="H49" s="38">
        <f ca="1">IF(COUNTIF($AJ$2:AJ1034,A49)=1,VLOOKUP(A49,AB:AC,2), IF(COUNTIF($AJ$2:AJ1034,A49)=0,$C$9,""))</f>
        <v>99.56</v>
      </c>
      <c r="I49" s="2">
        <f ca="1">IF(ISERROR(B49-2),"",(H49-$H$14)/100*$C$5)</f>
        <v>7800.0000000002956</v>
      </c>
      <c r="J49" s="41">
        <f ca="1">IF(ISERROR(B49-2),"",(INT(A49)-INT($A$14))/360*$C$6*$C$5-(INT(A49)-INT($A$14))/360*$C$7*$C$5*$H$14/100)</f>
        <v>521.38666666665813</v>
      </c>
      <c r="K49" s="38">
        <f ca="1">IF(COUNTIF($AJ$2:AJ1034,A49)=1,VLOOKUP(A49,AM:AN,2), IF(COUNTIF($AJ$2:AJ1034,A49)=0,$D$10,""))</f>
        <v>252.1686</v>
      </c>
      <c r="L49" s="41">
        <f ca="1">IF(ISERROR(K49-2),"",(K49/$K$14-1)*$D$5)</f>
        <v>778535.51803319273</v>
      </c>
      <c r="M49" s="41" t="str">
        <f ca="1">IF($A49="","",IF(COUNTIFS(Dividends!$G:$G,"&gt;"&amp;INT($A48),Dividends!$G:$G,"&lt;="&amp;INT($A49))=0,"",$Q$2*SUMIFS(Dividends!$H:$H,Dividends!$G:$G,"&gt;"&amp;INT($A48),Dividends!$G:$G,"&lt;="&amp;INT($A49))))</f>
        <v/>
      </c>
      <c r="N49" s="42">
        <f ca="1">IF(ISERROR(B49-2),"",C49+D49-I49-J49-L49+SUM($M$14:M49))</f>
        <v>-196073.36800072878</v>
      </c>
      <c r="O49" s="80">
        <f t="shared" ca="1" si="5"/>
        <v>-147856.90469985968</v>
      </c>
      <c r="P49" s="80"/>
      <c r="Q49" s="87"/>
      <c r="R49" s="87"/>
      <c r="S49" s="87"/>
      <c r="T49" s="3">
        <v>46176.625</v>
      </c>
      <c r="U49" s="4">
        <v>313.08</v>
      </c>
      <c r="V49" s="3"/>
      <c r="W49" s="4"/>
      <c r="X49" s="87"/>
      <c r="Z49" s="3">
        <v>46114.625</v>
      </c>
      <c r="AA49" s="4">
        <v>89.7</v>
      </c>
      <c r="AB49" s="3">
        <v>46112.625</v>
      </c>
      <c r="AC49" s="4">
        <v>99.444000000000003</v>
      </c>
      <c r="AD49" s="3">
        <v>46112.625</v>
      </c>
      <c r="AE49" s="4">
        <v>355.63</v>
      </c>
      <c r="AF49" s="3">
        <v>46174.625</v>
      </c>
      <c r="AG49" s="4">
        <v>312.83999999999997</v>
      </c>
      <c r="AH49" s="3">
        <f>IF(COUNTIF(AB:AB,Z49)*COUNTIF(AD:AD,Z49)*COUNTIF(AF:AF,Z49),Z49,"")</f>
        <v>46114.625</v>
      </c>
      <c r="AI49" s="3">
        <f t="shared" si="0"/>
        <v>46114.625</v>
      </c>
      <c r="AJ49" s="3">
        <v>46191.625</v>
      </c>
      <c r="AK49" s="3">
        <v>46107</v>
      </c>
      <c r="AL49" s="5">
        <v>255.99350000000001</v>
      </c>
      <c r="AM49" s="3">
        <v>45846</v>
      </c>
      <c r="AN49" s="4">
        <v>239.49889999999999</v>
      </c>
      <c r="AO49" s="74">
        <v>45846</v>
      </c>
      <c r="AP49" s="4">
        <v>282.16399999999999</v>
      </c>
      <c r="AQ49" s="6">
        <f t="shared" si="1"/>
        <v>45846</v>
      </c>
    </row>
    <row r="50" spans="1:48" x14ac:dyDescent="0.25">
      <c r="A50" s="37">
        <f ca="1">IF(AND(ISBLANK(AJ39), A49 = $AJ$1),NOW(),IF(ISBLANK(AJ39),"",AJ39))</f>
        <v>46169.625</v>
      </c>
      <c r="B50" s="38">
        <f ca="1">IF(COUNTIF($AJ$2:AJ1035,A50)=1,VLOOKUP(A50,Z:AA,2), IF(COUNTIF($AJ$2:AJ1035,A50)=0,$B$9,""))</f>
        <v>91.58</v>
      </c>
      <c r="C50" s="2">
        <f t="shared" ca="1" si="2"/>
        <v>755625.2098958916</v>
      </c>
      <c r="D50" s="41">
        <f t="shared" ca="1" si="3"/>
        <v>-143541.66666666666</v>
      </c>
      <c r="E50" s="78">
        <f ca="1">IF(COUNTIF($AJ$2:AJ1035,A50)=1,VLOOKUP(A50,AF:AG,2), IF(COUNTIF($AJ$2:AJ1035,A50)=0,$E$9,""))</f>
        <v>312.83999999999997</v>
      </c>
      <c r="F50" s="113">
        <f ca="1">E50+$H$5</f>
        <v>314.47999999999996</v>
      </c>
      <c r="G50" s="93">
        <f t="shared" ca="1" si="4"/>
        <v>667967.9999999979</v>
      </c>
      <c r="H50" s="38">
        <f ca="1">IF(COUNTIF($AJ$2:AJ1035,A50)=1,VLOOKUP(A50,AB:AC,2), IF(COUNTIF($AJ$2:AJ1035,A50)=0,$C$9,""))</f>
        <v>99.588999999999999</v>
      </c>
      <c r="I50" s="2">
        <f ca="1">IF(ISERROR(B50-2),"",(H50-$H$14)/100*$C$5)</f>
        <v>15339.999999999349</v>
      </c>
      <c r="J50" s="41">
        <f ca="1">IF(ISERROR(B50-2),"",(INT(A50)-INT($A$14))/360*$C$6*$C$5-(INT(A50)-INT($A$14))/360*$C$7*$C$5*$H$14/100)</f>
        <v>529.53333333334012</v>
      </c>
      <c r="K50" s="38">
        <f ca="1">IF(COUNTIF($AJ$2:AJ1035,A50)=1,VLOOKUP(A50,AM:AN,2), IF(COUNTIF($AJ$2:AJ1035,A50)=0,$D$10,""))</f>
        <v>252.41059999999999</v>
      </c>
      <c r="L50" s="41">
        <f ca="1">IF(ISERROR(K50-2),"",(K50/$K$14-1)*$D$5)</f>
        <v>797228.58923778858</v>
      </c>
      <c r="M50" s="41" t="str">
        <f ca="1">IF($A50="","",IF(COUNTIFS(Dividends!$G:$G,"&gt;"&amp;INT($A49),Dividends!$G:$G,"&lt;="&amp;INT($A50))=0,"",$Q$2*SUMIFS(Dividends!$H:$H,Dividends!$G:$G,"&gt;"&amp;INT($A49),Dividends!$G:$G,"&lt;="&amp;INT($A50))))</f>
        <v/>
      </c>
      <c r="N50" s="42">
        <f ca="1">IF(ISERROR(B50-2),"",C50+D50-I50-J50-L50+SUM($M$14:M50))</f>
        <v>-201014.57934189623</v>
      </c>
      <c r="O50" s="80">
        <f t="shared" ca="1" si="5"/>
        <v>-145130.1225711233</v>
      </c>
      <c r="P50" s="80"/>
      <c r="Q50" s="87"/>
      <c r="R50" s="87"/>
      <c r="S50" s="87"/>
      <c r="T50" s="3">
        <v>46177.625</v>
      </c>
      <c r="U50" s="4">
        <v>313.04000000000002</v>
      </c>
      <c r="V50" s="3"/>
      <c r="W50" s="4"/>
      <c r="X50" s="87"/>
      <c r="Z50" s="3">
        <v>46119.625</v>
      </c>
      <c r="AA50" s="4">
        <v>89.6</v>
      </c>
      <c r="AB50" s="3">
        <v>46113.625</v>
      </c>
      <c r="AC50" s="4">
        <v>99.510999999999996</v>
      </c>
      <c r="AD50" s="3">
        <v>46113.625</v>
      </c>
      <c r="AE50" s="4">
        <v>329.10599999999999</v>
      </c>
      <c r="AF50" s="3">
        <v>46176.625</v>
      </c>
      <c r="AG50" s="4">
        <v>313.08</v>
      </c>
      <c r="AH50" s="3">
        <f>IF(COUNTIF(AB:AB,Z50)*COUNTIF(AD:AD,Z50)*COUNTIF(AF:AF,Z50),Z50,"")</f>
        <v>46119.625</v>
      </c>
      <c r="AI50" s="3">
        <f t="shared" si="0"/>
        <v>46119.625</v>
      </c>
      <c r="AJ50" s="3">
        <v>46192.625</v>
      </c>
      <c r="AK50" s="3">
        <v>46108</v>
      </c>
      <c r="AL50" s="5">
        <v>254.57159999999999</v>
      </c>
      <c r="AM50" s="3">
        <v>45847</v>
      </c>
      <c r="AN50" s="4">
        <v>239.9195</v>
      </c>
      <c r="AO50" s="74">
        <v>45847</v>
      </c>
      <c r="AP50" s="4">
        <v>278.887</v>
      </c>
      <c r="AQ50" s="6">
        <f t="shared" si="1"/>
        <v>45847</v>
      </c>
    </row>
    <row r="51" spans="1:48" x14ac:dyDescent="0.25">
      <c r="A51" s="37">
        <f ca="1">IF(AND(ISBLANK(AJ40), A50 = $AJ$1),NOW(),IF(ISBLANK(AJ40),"",AJ40))</f>
        <v>46170.625</v>
      </c>
      <c r="B51" s="38">
        <f ca="1">IF(COUNTIF($AJ$2:AJ1036,A51)=1,VLOOKUP(A51,Z:AA,2), IF(COUNTIF($AJ$2:AJ1036,A51)=0,$B$9,""))</f>
        <v>91.7</v>
      </c>
      <c r="C51" s="2">
        <f t="shared" ca="1" si="2"/>
        <v>795925.2210903411</v>
      </c>
      <c r="D51" s="41">
        <f t="shared" ca="1" si="3"/>
        <v>-145749.99999999997</v>
      </c>
      <c r="E51" s="78">
        <f ca="1">IF(COUNTIF($AJ$2:AJ1036,A51)=1,VLOOKUP(A51,AF:AG,2), IF(COUNTIF($AJ$2:AJ1036,A51)=0,$E$9,""))</f>
        <v>312.7</v>
      </c>
      <c r="F51" s="113">
        <f ca="1">E51+$H$5</f>
        <v>314.33999999999997</v>
      </c>
      <c r="G51" s="93">
        <f t="shared" ca="1" si="4"/>
        <v>656039.99999999907</v>
      </c>
      <c r="H51" s="38">
        <f ca="1">IF(COUNTIF($AJ$2:AJ1036,A51)=1,VLOOKUP(A51,AB:AC,2), IF(COUNTIF($AJ$2:AJ1036,A51)=0,$C$9,""))</f>
        <v>99.653999999999996</v>
      </c>
      <c r="I51" s="2">
        <f ca="1">IF(ISERROR(B51-2),"",(H51-$H$14)/100*$C$5)</f>
        <v>32239.999999998759</v>
      </c>
      <c r="J51" s="41">
        <f ca="1">IF(ISERROR(B51-2),"",(INT(A51)-INT($A$14))/360*$C$6*$C$5-(INT(A51)-INT($A$14))/360*$C$7*$C$5*$H$14/100)</f>
        <v>537.68000000000757</v>
      </c>
      <c r="K51" s="38">
        <f ca="1">IF(COUNTIF($AJ$2:AJ1036,A51)=1,VLOOKUP(A51,AM:AN,2), IF(COUNTIF($AJ$2:AJ1036,A51)=0,$D$10,""))</f>
        <v>252.9316</v>
      </c>
      <c r="L51" s="41">
        <f ca="1">IF(ISERROR(K51-2),"",(K51/$K$14-1)*$D$5)</f>
        <v>837472.76319479884</v>
      </c>
      <c r="M51" s="41" t="str">
        <f ca="1">IF($A51="","",IF(COUNTIFS(Dividends!$G:$G,"&gt;"&amp;INT($A50),Dividends!$G:$G,"&lt;="&amp;INT($A51))=0,"",$Q$2*SUMIFS(Dividends!$H:$H,Dividends!$G:$G,"&gt;"&amp;INT($A50),Dividends!$G:$G,"&lt;="&amp;INT($A51))))</f>
        <v/>
      </c>
      <c r="N51" s="42">
        <f ca="1">IF(ISERROR(B51-2),"",C51+D51-I51-J51-L51+SUM($M$14:M51))</f>
        <v>-220075.22210445651</v>
      </c>
      <c r="O51" s="80">
        <f t="shared" ca="1" si="5"/>
        <v>-214210.44319479854</v>
      </c>
      <c r="P51" s="80"/>
      <c r="Q51" s="87"/>
      <c r="R51" s="87"/>
      <c r="S51" s="87"/>
      <c r="T51" s="3">
        <v>46182.625</v>
      </c>
      <c r="U51" s="4">
        <v>313.3</v>
      </c>
      <c r="V51" s="3"/>
      <c r="W51" s="4"/>
      <c r="X51" s="87"/>
      <c r="Z51" s="3">
        <v>46120.625</v>
      </c>
      <c r="AA51" s="4">
        <v>90.56</v>
      </c>
      <c r="AB51" s="3">
        <v>46114.625</v>
      </c>
      <c r="AC51" s="4">
        <v>99.484999999999999</v>
      </c>
      <c r="AD51" s="3">
        <v>46114.625</v>
      </c>
      <c r="AE51" s="4">
        <v>326.72000000000003</v>
      </c>
      <c r="AF51" s="3">
        <v>46177.625</v>
      </c>
      <c r="AG51" s="4">
        <v>313.04000000000002</v>
      </c>
      <c r="AH51" s="3">
        <f>IF(COUNTIF(AB:AB,Z51)*COUNTIF(AD:AD,Z51)*COUNTIF(AF:AF,Z51),Z51,"")</f>
        <v>46120.625</v>
      </c>
      <c r="AI51" s="3">
        <f t="shared" si="0"/>
        <v>46120.625</v>
      </c>
      <c r="AJ51" s="3">
        <v>46196.625</v>
      </c>
      <c r="AK51" s="3">
        <v>46111</v>
      </c>
      <c r="AL51" s="5">
        <v>254.6893</v>
      </c>
      <c r="AM51" s="3">
        <v>45848</v>
      </c>
      <c r="AN51" s="4">
        <v>240.07650000000001</v>
      </c>
      <c r="AO51" s="74">
        <v>45848</v>
      </c>
      <c r="AP51" s="4">
        <v>277.661</v>
      </c>
      <c r="AQ51" s="6">
        <f t="shared" si="1"/>
        <v>45848</v>
      </c>
    </row>
    <row r="52" spans="1:48" x14ac:dyDescent="0.25">
      <c r="A52" s="37">
        <f ca="1">IF(AND(ISBLANK(AJ41), A51 = $AJ$1),NOW(),IF(ISBLANK(AJ41),"",AJ41))</f>
        <v>46171.625</v>
      </c>
      <c r="B52" s="38">
        <f ca="1">IF(COUNTIF($AJ$2:AJ1037,A52)=1,VLOOKUP(A52,Z:AA,2), IF(COUNTIF($AJ$2:AJ1037,A52)=0,$B$9,""))</f>
        <v>91.85</v>
      </c>
      <c r="C52" s="2">
        <f t="shared" ca="1" si="2"/>
        <v>846300.2350833948</v>
      </c>
      <c r="D52" s="41">
        <f t="shared" ca="1" si="3"/>
        <v>-147958.33333333334</v>
      </c>
      <c r="E52" s="78">
        <f ca="1">IF(COUNTIF($AJ$2:AJ1037,A52)=1,VLOOKUP(A52,AF:AG,2), IF(COUNTIF($AJ$2:AJ1037,A52)=0,$E$9,""))</f>
        <v>313.77999999999997</v>
      </c>
      <c r="F52" s="113">
        <f ca="1">E52+$H$5</f>
        <v>315.41999999999996</v>
      </c>
      <c r="G52" s="93">
        <f t="shared" ca="1" si="4"/>
        <v>748055.99999999767</v>
      </c>
      <c r="H52" s="38">
        <f ca="1">IF(COUNTIF($AJ$2:AJ1037,A52)=1,VLOOKUP(A52,AB:AC,2), IF(COUNTIF($AJ$2:AJ1037,A52)=0,$C$9,""))</f>
        <v>99.679000000000002</v>
      </c>
      <c r="I52" s="2">
        <f ca="1">IF(ISERROR(B52-2),"",(H52-$H$14)/100*$C$5)</f>
        <v>38740.00000000024</v>
      </c>
      <c r="J52" s="41">
        <f ca="1">IF(ISERROR(B52-2),"",(INT(A52)-INT($A$14))/360*$C$6*$C$5-(INT(A52)-INT($A$14))/360*$C$7*$C$5*$H$14/100)</f>
        <v>545.82666666667501</v>
      </c>
      <c r="K52" s="38">
        <f ca="1">IF(COUNTIF($AJ$2:AJ1037,A52)=1,VLOOKUP(A52,AM:AN,2), IF(COUNTIF($AJ$2:AJ1037,A52)=0,$D$10,""))</f>
        <v>253.4469</v>
      </c>
      <c r="L52" s="41">
        <f ca="1">IF(ISERROR(K52-2),"",(K52/$K$14-1)*$D$5)</f>
        <v>877276.6458052526</v>
      </c>
      <c r="M52" s="41" t="str">
        <f ca="1">IF($A52="","",IF(COUNTIFS(Dividends!$G:$G,"&gt;"&amp;INT($A51),Dividends!$G:$G,"&lt;="&amp;INT($A52))=0,"",$Q$2*SUMIFS(Dividends!$H:$H,Dividends!$G:$G,"&gt;"&amp;INT($A51),Dividends!$G:$G,"&lt;="&amp;INT($A52))))</f>
        <v/>
      </c>
      <c r="N52" s="42">
        <f ca="1">IF(ISERROR(B52-2),"",C52+D52-I52-J52-L52+SUM($M$14:M52))</f>
        <v>-218220.57072185806</v>
      </c>
      <c r="O52" s="80">
        <f t="shared" ca="1" si="5"/>
        <v>-168506.47247192182</v>
      </c>
      <c r="P52" s="80"/>
      <c r="Q52" s="87"/>
      <c r="R52" s="87"/>
      <c r="S52" s="87"/>
      <c r="T52" s="3">
        <v>46188.625</v>
      </c>
      <c r="U52" s="4">
        <v>314.27999999999997</v>
      </c>
      <c r="V52" s="3"/>
      <c r="W52" s="4"/>
      <c r="X52" s="87"/>
      <c r="Z52" s="3">
        <v>46121.625</v>
      </c>
      <c r="AA52" s="4">
        <v>90.47</v>
      </c>
      <c r="AB52" s="3">
        <v>46119.625</v>
      </c>
      <c r="AC52" s="4">
        <v>99.212999999999994</v>
      </c>
      <c r="AD52" s="3">
        <v>46119.625</v>
      </c>
      <c r="AE52" s="4">
        <v>333.96699999999998</v>
      </c>
      <c r="AF52" s="3">
        <v>46182.625</v>
      </c>
      <c r="AG52" s="4">
        <v>313.3</v>
      </c>
      <c r="AH52" s="3" t="str">
        <f>IF(COUNTIF(AB:AB,Z52)*COUNTIF(AD:AD,Z52)*COUNTIF(AF:AF,Z52),Z52,"")</f>
        <v/>
      </c>
      <c r="AI52" s="3" t="str">
        <f t="shared" si="0"/>
        <v/>
      </c>
      <c r="AJ52" s="3">
        <v>46197.625</v>
      </c>
      <c r="AK52" s="3">
        <v>46112</v>
      </c>
      <c r="AL52" s="5">
        <v>255.8124</v>
      </c>
      <c r="AM52" s="3">
        <v>45849</v>
      </c>
      <c r="AN52" s="4">
        <v>239.64150000000001</v>
      </c>
      <c r="AO52" s="74">
        <v>45849</v>
      </c>
      <c r="AP52" s="4">
        <v>281.73500000000001</v>
      </c>
      <c r="AQ52" s="6">
        <f t="shared" si="1"/>
        <v>45849</v>
      </c>
    </row>
    <row r="53" spans="1:48" x14ac:dyDescent="0.25">
      <c r="A53" s="37">
        <f ca="1">IF(AND(ISBLANK(AJ42), A52 = $AJ$1),NOW(),IF(ISBLANK(AJ42),"",AJ42))</f>
        <v>46174.625</v>
      </c>
      <c r="B53" s="38">
        <f ca="1">IF(COUNTIF($AJ$2:AJ1038,A53)=1,VLOOKUP(A53,Z:AA,2), IF(COUNTIF($AJ$2:AJ1038,A53)=0,$B$9,""))</f>
        <v>91.65</v>
      </c>
      <c r="C53" s="2">
        <f t="shared" ca="1" si="2"/>
        <v>779133.54975931882</v>
      </c>
      <c r="D53" s="41">
        <f t="shared" ca="1" si="3"/>
        <v>-154583.33333333334</v>
      </c>
      <c r="E53" s="78">
        <f ca="1">IF(COUNTIF($AJ$2:AJ1038,A53)=1,VLOOKUP(A53,AF:AG,2), IF(COUNTIF($AJ$2:AJ1038,A53)=0,$E$9,""))</f>
        <v>312.83999999999997</v>
      </c>
      <c r="F53" s="113">
        <f ca="1">E53+$H$5</f>
        <v>314.47999999999996</v>
      </c>
      <c r="G53" s="93">
        <f t="shared" ca="1" si="4"/>
        <v>667967.9999999979</v>
      </c>
      <c r="H53" s="38">
        <f ca="1">IF(COUNTIF($AJ$2:AJ1038,A53)=1,VLOOKUP(A53,AB:AC,2), IF(COUNTIF($AJ$2:AJ1038,A53)=0,$C$9,""))</f>
        <v>99.450999999999993</v>
      </c>
      <c r="I53" s="2">
        <f ca="1">IF(ISERROR(B53-2),"",(H53-$H$14)/100*$C$5)</f>
        <v>-20540.000000002012</v>
      </c>
      <c r="J53" s="41">
        <f ca="1">IF(ISERROR(B53-2),"",(INT(A53)-INT($A$14))/360*$C$6*$C$5-(INT(A53)-INT($A$14))/360*$C$7*$C$5*$H$14/100)</f>
        <v>570.26666666666279</v>
      </c>
      <c r="K53" s="38">
        <f ca="1">IF(COUNTIF($AJ$2:AJ1038,A53)=1,VLOOKUP(A53,AM:AN,2), IF(COUNTIF($AJ$2:AJ1038,A53)=0,$D$10,""))</f>
        <v>253.10400000000001</v>
      </c>
      <c r="L53" s="41">
        <f ca="1">IF(ISERROR(K53-2),"",(K53/$K$14-1)*$D$5)</f>
        <v>850789.64532568224</v>
      </c>
      <c r="M53" s="41" t="str">
        <f ca="1">IF($A53="","",IF(COUNTIFS(Dividends!$G:$G,"&gt;"&amp;INT($A52),Dividends!$G:$G,"&lt;="&amp;INT($A53))=0,"",$Q$2*SUMIFS(Dividends!$H:$H,Dividends!$G:$G,"&gt;"&amp;INT($A52),Dividends!$G:$G,"&lt;="&amp;INT($A53))))</f>
        <v/>
      </c>
      <c r="N53" s="42">
        <f ca="1">IF(ISERROR(B53-2),"",C53+D53-I53-J53-L53+SUM($M$14:M53))</f>
        <v>-206269.69556636142</v>
      </c>
      <c r="O53" s="80">
        <f t="shared" ca="1" si="5"/>
        <v>-162851.91199234908</v>
      </c>
      <c r="P53" s="80"/>
      <c r="Q53" s="87"/>
      <c r="R53" s="87"/>
      <c r="S53" s="87"/>
      <c r="T53" s="81">
        <v>46189.625</v>
      </c>
      <c r="U53" s="82">
        <v>314.16000000000003</v>
      </c>
      <c r="V53" s="81"/>
      <c r="W53" s="82"/>
      <c r="X53" s="87"/>
      <c r="Z53" s="3">
        <v>46122.625</v>
      </c>
      <c r="AA53" s="4">
        <v>90.75</v>
      </c>
      <c r="AB53" s="3">
        <v>46120.625</v>
      </c>
      <c r="AC53" s="4">
        <v>99.777000000000001</v>
      </c>
      <c r="AD53" s="3">
        <v>46120.625</v>
      </c>
      <c r="AE53" s="4">
        <v>301.61900000000003</v>
      </c>
      <c r="AF53" s="3">
        <v>46188.625</v>
      </c>
      <c r="AG53" s="4">
        <v>314.27999999999997</v>
      </c>
      <c r="AH53" s="3">
        <f>IF(COUNTIF(AB:AB,Z53)*COUNTIF(AD:AD,Z53)*COUNTIF(AF:AF,Z53),Z53,"")</f>
        <v>46122.625</v>
      </c>
      <c r="AI53" s="3">
        <f t="shared" si="0"/>
        <v>46122.625</v>
      </c>
      <c r="AK53" s="3">
        <v>46113</v>
      </c>
      <c r="AL53" s="5">
        <v>258.79109999999997</v>
      </c>
      <c r="AM53" s="3">
        <v>45852</v>
      </c>
      <c r="AN53" s="4">
        <v>239.5692</v>
      </c>
      <c r="AO53" s="74">
        <v>45852</v>
      </c>
      <c r="AP53" s="4">
        <v>282.80599999999998</v>
      </c>
      <c r="AQ53" s="6">
        <f t="shared" si="1"/>
        <v>45852</v>
      </c>
    </row>
    <row r="54" spans="1:48" x14ac:dyDescent="0.25">
      <c r="A54" s="37">
        <f ca="1">IF(AND(ISBLANK(AJ43), A53 = $AJ$1),NOW(),IF(ISBLANK(AJ43),"",AJ43))</f>
        <v>46176.625</v>
      </c>
      <c r="B54" s="38">
        <f ca="1">IF(COUNTIF($AJ$2:AJ1039,A54)=1,VLOOKUP(A54,Z:AA,2), IF(COUNTIF($AJ$2:AJ1039,A54)=0,$B$9,""))</f>
        <v>91.75</v>
      </c>
      <c r="C54" s="2">
        <f t="shared" ca="1" si="2"/>
        <v>812716.89242135675</v>
      </c>
      <c r="D54" s="41">
        <f t="shared" ca="1" si="3"/>
        <v>-159000</v>
      </c>
      <c r="E54" s="78">
        <f ca="1">IF(COUNTIF($AJ$2:AJ1039,A54)=1,VLOOKUP(A54,AF:AG,2), IF(COUNTIF($AJ$2:AJ1039,A54)=0,$E$9,""))</f>
        <v>313.08</v>
      </c>
      <c r="F54" s="113">
        <f ca="1">E54+$H$5</f>
        <v>314.71999999999997</v>
      </c>
      <c r="G54" s="93">
        <f t="shared" ca="1" si="4"/>
        <v>688415.9999999986</v>
      </c>
      <c r="H54" s="38">
        <f ca="1">IF(COUNTIF($AJ$2:AJ1039,A54)=1,VLOOKUP(A54,AB:AC,2), IF(COUNTIF($AJ$2:AJ1039,A54)=0,$C$9,""))</f>
        <v>99.421999999999997</v>
      </c>
      <c r="I54" s="2">
        <f ca="1">IF(ISERROR(B54-2),"",(H54-$H$14)/100*$C$5)</f>
        <v>-28080.000000001066</v>
      </c>
      <c r="J54" s="41">
        <f ca="1">IF(ISERROR(B54-2),"",(INT(A54)-INT($A$14))/360*$C$6*$C$5-(INT(A54)-INT($A$14))/360*$C$7*$C$5*$H$14/100)</f>
        <v>586.55999999999767</v>
      </c>
      <c r="K54" s="38">
        <f ca="1">IF(COUNTIF($AJ$2:AJ1039,A54)=1,VLOOKUP(A54,AM:AN,2), IF(COUNTIF($AJ$2:AJ1039,A54)=0,$D$10,""))</f>
        <v>253.11359999999999</v>
      </c>
      <c r="L54" s="41">
        <f ca="1">IF(ISERROR(K54-2),"",(K54/$K$14-1)*$D$5)</f>
        <v>851531.1886461922</v>
      </c>
      <c r="M54" s="41" t="str">
        <f ca="1">IF($A54="","",IF(COUNTIFS(Dividends!$G:$G,"&gt;"&amp;INT($A53),Dividends!$G:$G,"&lt;="&amp;INT($A54))=0,"",$Q$2*SUMIFS(Dividends!$H:$H,Dividends!$G:$G,"&gt;"&amp;INT($A53),Dividends!$G:$G,"&lt;="&amp;INT($A54))))</f>
        <v/>
      </c>
      <c r="N54" s="42">
        <f ca="1">IF(ISERROR(B54-2),"",C54+D54-I54-J54-L54+SUM($M$14:M54))</f>
        <v>-170320.85622483445</v>
      </c>
      <c r="O54" s="80">
        <f t="shared" ca="1" si="5"/>
        <v>-135621.74864619249</v>
      </c>
      <c r="P54" s="80"/>
      <c r="Q54" s="87"/>
      <c r="R54" s="87"/>
      <c r="S54" s="87"/>
      <c r="T54" s="108"/>
      <c r="U54" s="87"/>
      <c r="V54" s="108"/>
      <c r="W54" s="87"/>
      <c r="X54" s="87"/>
      <c r="Z54" s="3">
        <v>46125.625</v>
      </c>
      <c r="AA54" s="4">
        <v>90.46</v>
      </c>
      <c r="AB54" s="3">
        <v>46121.625</v>
      </c>
      <c r="AC54" s="4">
        <v>99.576999999999998</v>
      </c>
      <c r="AD54" s="3">
        <v>46121.625</v>
      </c>
      <c r="AE54" s="4">
        <v>299.79199999999997</v>
      </c>
      <c r="AF54" s="81">
        <v>46189.625</v>
      </c>
      <c r="AG54" s="82">
        <v>314.16000000000003</v>
      </c>
      <c r="AH54" s="3" t="str">
        <f>IF(COUNTIF(AB:AB,Z54)*COUNTIF(AD:AD,Z54)*COUNTIF(AF:AF,Z54),Z54,"")</f>
        <v/>
      </c>
      <c r="AI54" s="3" t="str">
        <f t="shared" si="0"/>
        <v/>
      </c>
      <c r="AK54" s="3">
        <v>46114</v>
      </c>
      <c r="AL54" s="5">
        <v>259.01429999999999</v>
      </c>
      <c r="AM54" s="3">
        <v>45853</v>
      </c>
      <c r="AN54" s="4">
        <v>239.57310000000001</v>
      </c>
      <c r="AO54" s="74">
        <v>45853</v>
      </c>
      <c r="AP54" s="4">
        <v>282.98599999999999</v>
      </c>
      <c r="AQ54" s="6">
        <f t="shared" si="1"/>
        <v>45853</v>
      </c>
    </row>
    <row r="55" spans="1:48" x14ac:dyDescent="0.25">
      <c r="A55" s="37">
        <f ca="1">IF(AND(ISBLANK(AJ44), A54 = $AJ$1),NOW(),IF(ISBLANK(AJ44),"",AJ44))</f>
        <v>46177.625</v>
      </c>
      <c r="B55" s="38">
        <f ca="1">IF(COUNTIF($AJ$2:AJ1040,A55)=1,VLOOKUP(A55,Z:AA,2), IF(COUNTIF($AJ$2:AJ1040,A55)=0,$B$9,""))</f>
        <v>91.74</v>
      </c>
      <c r="C55" s="2">
        <f t="shared" ca="1" si="2"/>
        <v>809358.55815515097</v>
      </c>
      <c r="D55" s="41">
        <f t="shared" ca="1" si="3"/>
        <v>-161208.33333333334</v>
      </c>
      <c r="E55" s="78">
        <f ca="1">IF(COUNTIF($AJ$2:AJ1040,A55)=1,VLOOKUP(A55,AF:AG,2), IF(COUNTIF($AJ$2:AJ1040,A55)=0,$E$9,""))</f>
        <v>313.04000000000002</v>
      </c>
      <c r="F55" s="113">
        <f ca="1">E55+$H$5</f>
        <v>314.68</v>
      </c>
      <c r="G55" s="93">
        <f t="shared" ca="1" si="4"/>
        <v>685008.00000000175</v>
      </c>
      <c r="H55" s="38">
        <f ca="1">IF(COUNTIF($AJ$2:AJ1040,A55)=1,VLOOKUP(A55,AB:AC,2), IF(COUNTIF($AJ$2:AJ1040,A55)=0,$C$9,""))</f>
        <v>99.430999999999997</v>
      </c>
      <c r="I55" s="2">
        <f ca="1">IF(ISERROR(B55-2),"",(H55-$H$14)/100*$C$5)</f>
        <v>-25740.000000000975</v>
      </c>
      <c r="J55" s="41">
        <f ca="1">IF(ISERROR(B55-2),"",(INT(A55)-INT($A$14))/360*$C$6*$C$5-(INT(A55)-INT($A$14))/360*$C$7*$C$5*$H$14/100)</f>
        <v>594.70666666666511</v>
      </c>
      <c r="K55" s="38">
        <f ca="1">IF(COUNTIF($AJ$2:AJ1040,A55)=1,VLOOKUP(A55,AM:AN,2), IF(COUNTIF($AJ$2:AJ1040,A55)=0,$D$10,""))</f>
        <v>253.3374</v>
      </c>
      <c r="L55" s="41">
        <f ca="1">IF(ISERROR(K55-2),"",(K55/$K$14-1)*$D$5)</f>
        <v>868818.41730565287</v>
      </c>
      <c r="M55" s="41" t="str">
        <f ca="1">IF($A55="","",IF(COUNTIFS(Dividends!$G:$G,"&gt;"&amp;INT($A54),Dividends!$G:$G,"&lt;="&amp;INT($A55))=0,"",$Q$2*SUMIFS(Dividends!$H:$H,Dividends!$G:$G,"&gt;"&amp;INT($A54),Dividends!$G:$G,"&lt;="&amp;INT($A55))))</f>
        <v/>
      </c>
      <c r="N55" s="42">
        <f ca="1">IF(ISERROR(B55-2),"",C55+D55-I55-J55-L55+SUM($M$14:M55))</f>
        <v>-195522.89915050101</v>
      </c>
      <c r="O55" s="80">
        <f t="shared" ca="1" si="5"/>
        <v>-158665.12397231685</v>
      </c>
      <c r="P55" s="80"/>
      <c r="Q55" s="87"/>
      <c r="R55" s="87"/>
      <c r="S55" s="87"/>
      <c r="T55" s="108"/>
      <c r="U55" s="87"/>
      <c r="V55" s="108"/>
      <c r="W55" s="87"/>
      <c r="X55" s="87"/>
      <c r="Z55" s="3">
        <v>46126.625</v>
      </c>
      <c r="AA55" s="4">
        <v>90.75</v>
      </c>
      <c r="AB55" s="3">
        <v>46122.625</v>
      </c>
      <c r="AC55" s="4">
        <v>99.55</v>
      </c>
      <c r="AD55" s="3">
        <v>46122.625</v>
      </c>
      <c r="AE55" s="4">
        <v>291.34300000000002</v>
      </c>
      <c r="AF55" s="81" cm="1">
        <f t="array" ref="AF55:AG60">_xll.BDH(N3, "LAST_PRICE", "06/16/2026 15:00:00", "01/26/2035 16:00:00", "BarSize=60", "BarType=T", "RecurDaily=True", "TZ=London")</f>
        <v>46189.625</v>
      </c>
      <c r="AG55" s="82">
        <v>315.8</v>
      </c>
      <c r="AH55" s="3">
        <f>IF(COUNTIF(AB:AB,Z55)*COUNTIF(AD:AD,Z55)*COUNTIF(AF:AF,Z55),Z55,"")</f>
        <v>46126.625</v>
      </c>
      <c r="AI55" s="3">
        <f t="shared" si="0"/>
        <v>46126.625</v>
      </c>
      <c r="AK55" s="3">
        <v>46119</v>
      </c>
      <c r="AL55" s="5">
        <v>258.06200000000001</v>
      </c>
      <c r="AM55" s="3">
        <v>45854</v>
      </c>
      <c r="AN55" s="4">
        <v>239.2413</v>
      </c>
      <c r="AO55" s="74">
        <v>45854</v>
      </c>
      <c r="AP55" s="4">
        <v>285.26100000000002</v>
      </c>
      <c r="AQ55" s="6">
        <f t="shared" si="1"/>
        <v>45854</v>
      </c>
    </row>
    <row r="56" spans="1:48" x14ac:dyDescent="0.25">
      <c r="A56" s="37">
        <f ca="1">IF(AND(ISBLANK(AJ45), A55 = $AJ$1),NOW(),IF(ISBLANK(AJ45),"",AJ45))</f>
        <v>46182.625</v>
      </c>
      <c r="B56" s="38">
        <f ca="1">IF(COUNTIF($AJ$2:AJ1041,A56)=1,VLOOKUP(A56,Z:AA,2), IF(COUNTIF($AJ$2:AJ1041,A56)=0,$B$9,""))</f>
        <v>91.63</v>
      </c>
      <c r="C56" s="2">
        <f t="shared" ca="1" si="2"/>
        <v>772416.88122690725</v>
      </c>
      <c r="D56" s="41">
        <f t="shared" ca="1" si="3"/>
        <v>-172250</v>
      </c>
      <c r="E56" s="78">
        <f ca="1">IF(COUNTIF($AJ$2:AJ1041,A56)=1,VLOOKUP(A56,AF:AG,2), IF(COUNTIF($AJ$2:AJ1041,A56)=0,$E$9,""))</f>
        <v>313.3</v>
      </c>
      <c r="F56" s="113">
        <f ca="1">E56+$H$5</f>
        <v>314.94</v>
      </c>
      <c r="G56" s="93">
        <f t="shared" ca="1" si="4"/>
        <v>707160.00000000093</v>
      </c>
      <c r="H56" s="38">
        <f ca="1">IF(COUNTIF($AJ$2:AJ1041,A56)=1,VLOOKUP(A56,AB:AC,2), IF(COUNTIF($AJ$2:AJ1041,A56)=0,$C$9,""))</f>
        <v>99.396000000000001</v>
      </c>
      <c r="I56" s="2">
        <f ca="1">IF(ISERROR(B56-2),"",(H56-$H$14)/100*$C$5)</f>
        <v>-34840.000000000095</v>
      </c>
      <c r="J56" s="41">
        <f ca="1">IF(ISERROR(B56-2),"",(INT(A56)-INT($A$14))/360*$C$6*$C$5-(INT(A56)-INT($A$14))/360*$C$7*$C$5*$H$14/100)</f>
        <v>635.44000000000233</v>
      </c>
      <c r="K56" s="38">
        <f ca="1">IF(COUNTIF($AJ$2:AJ1041,A56)=1,VLOOKUP(A56,AM:AN,2), IF(COUNTIF($AJ$2:AJ1041,A56)=0,$D$10,""))</f>
        <v>253.04320000000001</v>
      </c>
      <c r="L56" s="41">
        <f ca="1">IF(ISERROR(K56-2),"",(K56/$K$14-1)*$D$5)</f>
        <v>846093.20429576538</v>
      </c>
      <c r="M56" s="41" t="str">
        <f ca="1">IF($A56="","",IF(COUNTIFS(Dividends!$G:$G,"&gt;"&amp;INT($A55),Dividends!$G:$G,"&lt;="&amp;INT($A56))=0,"",$Q$2*SUMIFS(Dividends!$H:$H,Dividends!$G:$G,"&gt;"&amp;INT($A55),Dividends!$G:$G,"&lt;="&amp;INT($A56))))</f>
        <v/>
      </c>
      <c r="N56" s="42">
        <f ca="1">IF(ISERROR(B56-2),"",C56+D56-I56-J56-L56+SUM($M$14:M56))</f>
        <v>-211721.76306885807</v>
      </c>
      <c r="O56" s="80">
        <f t="shared" ca="1" si="5"/>
        <v>-104728.64429576439</v>
      </c>
      <c r="P56" s="80"/>
      <c r="Q56" s="87"/>
      <c r="R56" s="87"/>
      <c r="S56" s="87"/>
      <c r="T56" s="108"/>
      <c r="U56" s="87"/>
      <c r="V56" s="108"/>
      <c r="W56" s="87"/>
      <c r="X56" s="87"/>
      <c r="Z56" s="3">
        <v>46127.625</v>
      </c>
      <c r="AA56" s="4">
        <v>90.88</v>
      </c>
      <c r="AB56" s="3">
        <v>46125.625</v>
      </c>
      <c r="AC56" s="4">
        <v>99.418000000000006</v>
      </c>
      <c r="AD56" s="3">
        <v>46125.625</v>
      </c>
      <c r="AE56" s="4">
        <v>294.25299999999999</v>
      </c>
      <c r="AF56" s="3">
        <v>46190.625</v>
      </c>
      <c r="AG56" s="4">
        <v>315.42</v>
      </c>
      <c r="AH56" s="3">
        <f>IF(COUNTIF(AB:AB,Z56)*COUNTIF(AD:AD,Z56)*COUNTIF(AF:AF,Z56),Z56,"")</f>
        <v>46127.625</v>
      </c>
      <c r="AI56" s="3">
        <f t="shared" si="0"/>
        <v>46127.625</v>
      </c>
      <c r="AK56" s="3">
        <v>46120</v>
      </c>
      <c r="AL56" s="5">
        <v>262.38350000000003</v>
      </c>
      <c r="AM56" s="3">
        <v>45855</v>
      </c>
      <c r="AN56" s="4">
        <v>240.13030000000001</v>
      </c>
      <c r="AO56" s="74">
        <v>45855</v>
      </c>
      <c r="AP56" s="4">
        <v>278.76799999999997</v>
      </c>
      <c r="AQ56" s="6">
        <f t="shared" si="1"/>
        <v>45855</v>
      </c>
    </row>
    <row r="57" spans="1:48" x14ac:dyDescent="0.25">
      <c r="A57" s="37">
        <f ca="1">IF(AND(ISBLANK(AJ46), A56 = $AJ$1),NOW(),IF(ISBLANK(AJ46),"",AJ46))</f>
        <v>46188.625</v>
      </c>
      <c r="B57" s="38">
        <f ca="1">IF(COUNTIF($AJ$2:AJ1042,A57)=1,VLOOKUP(A57,Z:AA,2), IF(COUNTIF($AJ$2:AJ1042,A57)=0,$B$9,""))</f>
        <v>92.18</v>
      </c>
      <c r="C57" s="2">
        <f t="shared" ca="1" si="2"/>
        <v>957125.26586813282</v>
      </c>
      <c r="D57" s="41">
        <f t="shared" ca="1" si="3"/>
        <v>-185500</v>
      </c>
      <c r="E57" s="78">
        <f ca="1">IF(COUNTIF($AJ$2:AJ1042,A57)=1,VLOOKUP(A57,AF:AG,2), IF(COUNTIF($AJ$2:AJ1042,A57)=0,$E$9,""))</f>
        <v>314.27999999999997</v>
      </c>
      <c r="F57" s="113">
        <f ca="1">E57+$H$5</f>
        <v>315.91999999999996</v>
      </c>
      <c r="G57" s="93">
        <f t="shared" ca="1" si="4"/>
        <v>790655.99999999767</v>
      </c>
      <c r="H57" s="38">
        <f ca="1">IF(COUNTIF($AJ$2:AJ1042,A57)=1,VLOOKUP(A57,AB:AC,2), IF(COUNTIF($AJ$2:AJ1042,A57)=0,$C$9,""))</f>
        <v>99.631</v>
      </c>
      <c r="I57" s="2">
        <f ca="1">IF(ISERROR(B57-2),"",(H57-$H$14)/100*$C$5)</f>
        <v>26259.999999999764</v>
      </c>
      <c r="J57" s="41">
        <f ca="1">IF(ISERROR(B57-2),"",(INT(A57)-INT($A$14))/360*$C$6*$C$5-(INT(A57)-INT($A$14))/360*$C$7*$C$5*$H$14/100)</f>
        <v>684.32000000000698</v>
      </c>
      <c r="K57" s="38">
        <f ca="1">IF(COUNTIF($AJ$2:AJ1042,A57)=1,VLOOKUP(A57,AM:AN,2), IF(COUNTIF($AJ$2:AJ1042,A57)=0,$D$10,""))</f>
        <v>255.0607</v>
      </c>
      <c r="L57" s="41">
        <f ca="1">IF(ISERROR(K57-2),"",(K57/$K$14-1)*$D$5)</f>
        <v>1001933.167747329</v>
      </c>
      <c r="M57" s="41" t="str">
        <f ca="1">IF($A57="","",IF(COUNTIFS(Dividends!$G:$G,"&gt;"&amp;INT($A56),Dividends!$G:$G,"&lt;="&amp;INT($A57))=0,"",$Q$2*SUMIFS(Dividends!$H:$H,Dividends!$G:$G,"&gt;"&amp;INT($A56),Dividends!$G:$G,"&lt;="&amp;INT($A57))))</f>
        <v/>
      </c>
      <c r="N57" s="42">
        <f ca="1">IF(ISERROR(B57-2),"",C57+D57-I57-J57-L57+SUM($M$14:M57))</f>
        <v>-257252.22187919589</v>
      </c>
      <c r="O57" s="80">
        <f t="shared" ca="1" si="5"/>
        <v>-238221.48774733115</v>
      </c>
      <c r="P57" s="80"/>
      <c r="Q57" s="87"/>
      <c r="R57" s="87"/>
      <c r="S57" s="87"/>
      <c r="T57" s="108"/>
      <c r="U57" s="87"/>
      <c r="V57" s="108"/>
      <c r="W57" s="87"/>
      <c r="X57" s="87"/>
      <c r="Z57" s="3">
        <v>46128.625</v>
      </c>
      <c r="AA57" s="4">
        <v>90.85</v>
      </c>
      <c r="AB57" s="3">
        <v>46126.625</v>
      </c>
      <c r="AC57" s="4">
        <v>99.619</v>
      </c>
      <c r="AD57" s="3">
        <v>46126.625</v>
      </c>
      <c r="AE57" s="4">
        <v>282.697</v>
      </c>
      <c r="AF57" s="3">
        <v>46191.625</v>
      </c>
      <c r="AG57" s="4">
        <v>315.68</v>
      </c>
      <c r="AH57" s="3">
        <f>IF(COUNTIF(AB:AB,Z57)*COUNTIF(AD:AD,Z57)*COUNTIF(AF:AF,Z57),Z57,"")</f>
        <v>46128.625</v>
      </c>
      <c r="AI57" s="3">
        <f t="shared" si="0"/>
        <v>46128.625</v>
      </c>
      <c r="AK57" s="3">
        <v>46121</v>
      </c>
      <c r="AL57" s="5">
        <v>263.26260000000002</v>
      </c>
      <c r="AM57" s="3">
        <v>45856</v>
      </c>
      <c r="AN57" s="4">
        <v>240.32839999999999</v>
      </c>
      <c r="AO57" s="74">
        <v>45856</v>
      </c>
      <c r="AP57" s="4">
        <v>277.18599999999998</v>
      </c>
      <c r="AQ57" s="6">
        <f t="shared" si="1"/>
        <v>45856</v>
      </c>
    </row>
    <row r="58" spans="1:48" x14ac:dyDescent="0.25">
      <c r="A58" s="103">
        <f ca="1">IF(AND(ISBLANK(AJ47), A57 = $AJ$1),NOW(),IF(ISBLANK(AJ47),"",AJ47))</f>
        <v>46189.625</v>
      </c>
      <c r="B58" s="104">
        <f ca="1">IF(COUNTIF($AJ$2:AJ1043,A58)=1,VLOOKUP(A58,Z:AA,2), IF(COUNTIF($AJ$2:AJ1043,A58)=0,$B$9,""))</f>
        <v>92.15</v>
      </c>
      <c r="C58" s="105">
        <f t="shared" ca="1" si="2"/>
        <v>947050.2630695221</v>
      </c>
      <c r="D58" s="106">
        <f t="shared" ca="1" si="3"/>
        <v>-187708.33333333334</v>
      </c>
      <c r="E58" s="78">
        <f ca="1">IF(COUNTIF($AJ$2:AJ1043,A58)=1,VLOOKUP(A58,AF:AG,2), IF(COUNTIF($AJ$2:AJ1043,A58)=0,$E$9,""))</f>
        <v>315.8</v>
      </c>
      <c r="F58" s="91">
        <f ca="1">IF(COUNTIF($AJ$2:AJ1043,A58)=1,VLOOKUP(A58,AF:AG,2), IF(COUNTIF($AJ$2:AJ1043,A58)=0,$E$9,""))</f>
        <v>315.8</v>
      </c>
      <c r="G58" s="93">
        <f t="shared" ca="1" si="4"/>
        <v>920160.00000000093</v>
      </c>
      <c r="H58" s="38">
        <f ca="1">IF(COUNTIF($AJ$2:AJ1043,A58)=1,VLOOKUP(A58,AB:AC,2), IF(COUNTIF($AJ$2:AJ1043,A58)=0,$C$9,""))</f>
        <v>99.625</v>
      </c>
      <c r="I58" s="2">
        <f ca="1">IF(ISERROR(B58-2),"",(H58-$H$14)/100*$C$5)</f>
        <v>24699.999999999705</v>
      </c>
      <c r="J58" s="41">
        <f ca="1">IF(ISERROR(B58-2),"",(INT(A58)-INT($A$14))/360*$C$6*$C$5-(INT(A58)-INT($A$14))/360*$C$7*$C$5*$H$14/100)</f>
        <v>692.46666666667443</v>
      </c>
      <c r="K58" s="38">
        <f ca="1">IF(COUNTIF($AJ$2:AJ1043,A58)=1,VLOOKUP(A58,AM:AN,2), IF(COUNTIF($AJ$2:AJ1043,A58)=0,$D$10,""))</f>
        <v>254.93340000000001</v>
      </c>
      <c r="L58" s="41">
        <f ca="1">IF(ISERROR(K58-2),"",(K58/$K$14-1)*$D$5)</f>
        <v>992099.99434094294</v>
      </c>
      <c r="M58" s="41" t="str">
        <f ca="1">IF($A58="","",IF(COUNTIFS(Dividends!$G:$G,"&gt;"&amp;INT($A57),Dividends!$G:$G,"&lt;="&amp;INT($A58))=0,"",$Q$2*SUMIFS(Dividends!$H:$H,Dividends!$G:$G,"&gt;"&amp;INT($A57),Dividends!$G:$G,"&lt;="&amp;INT($A58))))</f>
        <v/>
      </c>
      <c r="N58" s="42">
        <f ca="1">IF(ISERROR(B58-2),"",C58+D58-I58-J58-L58+SUM($M$14:M58))</f>
        <v>-258150.53127142054</v>
      </c>
      <c r="O58" s="80">
        <f t="shared" ca="1" si="5"/>
        <v>-97332.461007608334</v>
      </c>
      <c r="P58" s="80"/>
      <c r="Q58" s="87"/>
      <c r="R58" s="87"/>
      <c r="S58" s="87"/>
      <c r="T58" s="108"/>
      <c r="U58" s="87"/>
      <c r="V58" s="108"/>
      <c r="W58" s="87"/>
      <c r="X58" s="87"/>
      <c r="Z58" s="3">
        <v>46129.625</v>
      </c>
      <c r="AA58" s="4">
        <v>91.4</v>
      </c>
      <c r="AB58" s="3">
        <v>46127.625</v>
      </c>
      <c r="AC58" s="4">
        <v>99.653999999999996</v>
      </c>
      <c r="AD58" s="3">
        <v>46127.625</v>
      </c>
      <c r="AE58" s="4">
        <v>282.51900000000001</v>
      </c>
      <c r="AF58" s="3">
        <v>46192.625</v>
      </c>
      <c r="AG58" s="4">
        <v>315.88</v>
      </c>
      <c r="AH58" s="3">
        <f>IF(COUNTIF(AB:AB,Z58)*COUNTIF(AD:AD,Z58)*COUNTIF(AF:AF,Z58),Z58,"")</f>
        <v>46129.625</v>
      </c>
      <c r="AI58" s="3">
        <f t="shared" si="0"/>
        <v>46129.625</v>
      </c>
      <c r="AK58" s="3">
        <v>46122</v>
      </c>
      <c r="AL58" s="5">
        <v>263.29309999999998</v>
      </c>
      <c r="AM58" s="3">
        <v>45859</v>
      </c>
      <c r="AN58" s="4">
        <v>240.33940000000001</v>
      </c>
      <c r="AO58" s="74">
        <v>45859</v>
      </c>
      <c r="AP58" s="4">
        <v>277.45800000000003</v>
      </c>
      <c r="AQ58" s="6">
        <f t="shared" si="1"/>
        <v>45859</v>
      </c>
    </row>
    <row r="59" spans="1:48" x14ac:dyDescent="0.25">
      <c r="A59" s="37">
        <f ca="1">IF(AND(ISBLANK(AJ48), A58 = $AJ$1),NOW(),IF(ISBLANK(AJ48),"",AJ48))</f>
        <v>46190.625</v>
      </c>
      <c r="B59" s="38">
        <f ca="1">IF(COUNTIF($AJ$2:AJ1044,A59)=1,VLOOKUP(A59,Z:AA,2), IF(COUNTIF($AJ$2:AJ1044,A59)=0,$B$9,""))</f>
        <v>92.16</v>
      </c>
      <c r="C59" s="2">
        <f t="shared" ca="1" si="2"/>
        <v>950408.59733572125</v>
      </c>
      <c r="D59" s="41">
        <f t="shared" ca="1" si="3"/>
        <v>-189916.66666666666</v>
      </c>
      <c r="E59" s="78">
        <f ca="1">IF(COUNTIF($AJ$2:AJ1044,A59)=1,VLOOKUP(A59,AF:AG,2), IF(COUNTIF($AJ$2:AJ1044,A59)=0,$E$9,""))</f>
        <v>315.42</v>
      </c>
      <c r="F59" s="91">
        <f ca="1">IF(COUNTIF($AJ$2:AJ1044,A59)=1,VLOOKUP(A59,AF:AG,2), IF(COUNTIF($AJ$2:AJ1044,A59)=0,$E$9,""))</f>
        <v>315.42</v>
      </c>
      <c r="G59" s="93">
        <f t="shared" ca="1" si="4"/>
        <v>887784.0000000014</v>
      </c>
      <c r="H59" s="38">
        <f ca="1">IF(COUNTIF($AJ$2:AJ1044,A59)=1,VLOOKUP(A59,AB:AC,2), IF(COUNTIF($AJ$2:AJ1044,A59)=0,$C$9,""))</f>
        <v>99.600999999999999</v>
      </c>
      <c r="I59" s="2">
        <f ca="1">IF(ISERROR(B59-2),"",(H59-$H$14)/100*$C$5)</f>
        <v>18459.999999999469</v>
      </c>
      <c r="J59" s="41">
        <f ca="1">IF(ISERROR(B59-2),"",(INT(A59)-INT($A$14))/360*$C$6*$C$5-(INT(A59)-INT($A$14))/360*$C$7*$C$5*$H$14/100)</f>
        <v>700.61333333334187</v>
      </c>
      <c r="K59" s="38">
        <f ca="1">IF(COUNTIF($AJ$2:AJ1044,A59)=1,VLOOKUP(A59,AM:AN,2), IF(COUNTIF($AJ$2:AJ1044,A59)=0,$D$10,""))</f>
        <v>254.77209999999999</v>
      </c>
      <c r="L59" s="41">
        <f ca="1">IF(ISERROR(K59-2),"",(K59/$K$14-1)*$D$5)</f>
        <v>979640.52167440462</v>
      </c>
      <c r="M59" s="41" t="str">
        <f ca="1">IF($A59="","",IF(COUNTIFS(Dividends!$G:$G,"&gt;"&amp;INT($A58),Dividends!$G:$G,"&lt;="&amp;INT($A59))=0,"",$Q$2*SUMIFS(Dividends!$H:$H,Dividends!$G:$G,"&gt;"&amp;INT($A58),Dividends!$G:$G,"&lt;="&amp;INT($A59))))</f>
        <v/>
      </c>
      <c r="N59" s="42">
        <f ca="1">IF(ISERROR(B59-2),"",C59+D59-I59-J59-L59+SUM($M$14:M59))</f>
        <v>-238309.20433868282</v>
      </c>
      <c r="O59" s="80">
        <f t="shared" ca="1" si="5"/>
        <v>-111017.13500773604</v>
      </c>
      <c r="P59" s="80"/>
      <c r="Q59" s="87"/>
      <c r="R59" s="87"/>
      <c r="S59" s="87"/>
      <c r="T59" s="108"/>
      <c r="U59" s="87"/>
      <c r="V59" s="108"/>
      <c r="W59" s="87"/>
      <c r="X59" s="87"/>
      <c r="Z59" s="3">
        <v>46132.625</v>
      </c>
      <c r="AA59" s="4">
        <v>91.09</v>
      </c>
      <c r="AB59" s="3">
        <v>46128.625</v>
      </c>
      <c r="AC59" s="4">
        <v>99.677000000000007</v>
      </c>
      <c r="AD59" s="3">
        <v>46128.625</v>
      </c>
      <c r="AE59" s="4">
        <v>286.733</v>
      </c>
      <c r="AF59" s="3">
        <v>46196.625</v>
      </c>
      <c r="AG59" s="4">
        <v>315.56</v>
      </c>
      <c r="AH59" s="3">
        <f>IF(COUNTIF(AB:AB,Z59)*COUNTIF(AD:AD,Z59)*COUNTIF(AF:AF,Z59),Z59,"")</f>
        <v>46132.625</v>
      </c>
      <c r="AI59" s="3">
        <f t="shared" si="0"/>
        <v>46132.625</v>
      </c>
      <c r="AK59" s="3">
        <v>46125</v>
      </c>
      <c r="AL59" s="5">
        <v>263.03910000000002</v>
      </c>
      <c r="AM59" s="3">
        <v>45860</v>
      </c>
      <c r="AN59" s="4">
        <v>240.12450000000001</v>
      </c>
      <c r="AO59" s="74">
        <v>45860</v>
      </c>
      <c r="AP59" s="4">
        <v>279.55700000000002</v>
      </c>
      <c r="AQ59" s="6">
        <f t="shared" si="1"/>
        <v>45860</v>
      </c>
    </row>
    <row r="60" spans="1:48" x14ac:dyDescent="0.25">
      <c r="A60" s="37">
        <f ca="1">IF(AND(ISBLANK(AJ49), A59 = $AJ$1),NOW(),IF(ISBLANK(AJ49),"",AJ49))</f>
        <v>46191.625</v>
      </c>
      <c r="B60" s="38">
        <f ca="1">IF(COUNTIF($AJ$2:AJ1045,A60)=1,VLOOKUP(A60,Z:AA,2), IF(COUNTIF($AJ$2:AJ1045,A60)=0,$B$9,""))</f>
        <v>91.01</v>
      </c>
      <c r="C60" s="2">
        <f t="shared" ca="1" si="2"/>
        <v>564200.15672226762</v>
      </c>
      <c r="D60" s="41">
        <f t="shared" ca="1" si="3"/>
        <v>-192125</v>
      </c>
      <c r="E60" s="78">
        <f ca="1">IF(COUNTIF($AJ$2:AJ1045,A60)=1,VLOOKUP(A60,AF:AG,2), IF(COUNTIF($AJ$2:AJ1045,A60)=0,$E$9,""))</f>
        <v>315.68</v>
      </c>
      <c r="F60" s="91">
        <f ca="1">IF(COUNTIF($AJ$2:AJ1045,A60)=1,VLOOKUP(A60,AF:AG,2), IF(COUNTIF($AJ$2:AJ1045,A60)=0,$E$9,""))</f>
        <v>315.68</v>
      </c>
      <c r="G60" s="93">
        <f t="shared" ca="1" si="4"/>
        <v>909936.00000000058</v>
      </c>
      <c r="H60" s="38">
        <f ca="1">IF(COUNTIF($AJ$2:AJ1045,A60)=1,VLOOKUP(A60,AB:AC,2), IF(COUNTIF($AJ$2:AJ1045,A60)=0,$C$9,""))</f>
        <v>99.582999999999998</v>
      </c>
      <c r="I60" s="2">
        <f ca="1">IF(ISERROR(B60-2),"",(H60-$H$14)/100*$C$5)</f>
        <v>13779.999999999292</v>
      </c>
      <c r="J60" s="41">
        <f ca="1">IF(ISERROR(B60-2),"",(INT(A60)-INT($A$14))/360*$C$6*$C$5-(INT(A60)-INT($A$14))/360*$C$7*$C$5*$H$14/100)</f>
        <v>708.76000000000931</v>
      </c>
      <c r="K60" s="38">
        <f ca="1">IF(COUNTIF($AJ$2:AJ1045,A60)=1,VLOOKUP(A60,AM:AN,2), IF(COUNTIF($AJ$2:AJ1045,A60)=0,$D$10,""))</f>
        <v>255.09270000000001</v>
      </c>
      <c r="L60" s="41">
        <f ca="1">IF(ISERROR(K60-2),"",(K60/$K$14-1)*$D$5)</f>
        <v>1004404.9788157037</v>
      </c>
      <c r="M60" s="41">
        <f ca="1">IF($A60="","",IF(COUNTIFS(Dividends!$G:$G,"&gt;"&amp;INT($A59),Dividends!$G:$G,"&lt;="&amp;INT($A60))=0,"",$Q$2*SUMIFS(Dividends!$H:$H,Dividends!$G:$G,"&gt;"&amp;INT($A59),Dividends!$G:$G,"&lt;="&amp;INT($A60))))</f>
        <v>391111.60864211351</v>
      </c>
      <c r="N60" s="42">
        <f ca="1">IF(ISERROR(B60-2),"",C60+D60-I60-J60-L60+SUM($M$14:M60))</f>
        <v>-255706.97345132183</v>
      </c>
      <c r="O60" s="80">
        <f t="shared" ca="1" si="5"/>
        <v>-108957.73881570238</v>
      </c>
      <c r="P60" s="80"/>
      <c r="Q60" s="87"/>
      <c r="R60" s="87"/>
      <c r="S60" s="87"/>
      <c r="T60" s="108"/>
      <c r="U60" s="87"/>
      <c r="V60" s="108"/>
      <c r="W60" s="87"/>
      <c r="X60" s="87"/>
      <c r="Z60" s="3">
        <v>46133.625</v>
      </c>
      <c r="AA60" s="4">
        <v>91.01</v>
      </c>
      <c r="AB60" s="3">
        <v>46129.625</v>
      </c>
      <c r="AC60" s="4">
        <v>99.953999999999994</v>
      </c>
      <c r="AD60" s="3">
        <v>46129.625</v>
      </c>
      <c r="AE60" s="4">
        <v>275.16800000000001</v>
      </c>
      <c r="AF60" s="3">
        <v>46197.625</v>
      </c>
      <c r="AG60" s="4">
        <v>315.52</v>
      </c>
      <c r="AH60" s="3">
        <f>IF(COUNTIF(AB:AB,Z60)*COUNTIF(AD:AD,Z60)*COUNTIF(AF:AF,Z60),Z60,"")</f>
        <v>46133.625</v>
      </c>
      <c r="AI60" s="3">
        <f t="shared" si="0"/>
        <v>46133.625</v>
      </c>
      <c r="AK60" s="3">
        <v>46126</v>
      </c>
      <c r="AL60" s="5">
        <v>264.6927</v>
      </c>
      <c r="AM60" s="3">
        <v>45861</v>
      </c>
      <c r="AN60" s="4">
        <v>240.6497</v>
      </c>
      <c r="AO60" s="74">
        <v>45861</v>
      </c>
      <c r="AP60" s="4">
        <v>273.14100000000002</v>
      </c>
      <c r="AQ60" s="6">
        <f t="shared" si="1"/>
        <v>45861</v>
      </c>
    </row>
    <row r="61" spans="1:48" x14ac:dyDescent="0.25">
      <c r="A61" s="37">
        <f ca="1">IF(AND(ISBLANK(AJ50), A60 = $AJ$1),NOW(),IF(ISBLANK(AJ50),"",AJ50))</f>
        <v>46192.625</v>
      </c>
      <c r="B61" s="38">
        <f ca="1">IF(COUNTIF($AJ$2:AJ1046,A61)=1,VLOOKUP(A61,Z:AA,2), IF(COUNTIF($AJ$2:AJ1046,A61)=0,$B$9,""))</f>
        <v>91.05</v>
      </c>
      <c r="C61" s="2">
        <f t="shared" ca="1" si="2"/>
        <v>577633.49378708412</v>
      </c>
      <c r="D61" s="41">
        <f t="shared" ca="1" si="3"/>
        <v>-194333.33333333331</v>
      </c>
      <c r="E61" s="78">
        <f ca="1">IF(COUNTIF($AJ$2:AJ1046,A61)=1,VLOOKUP(A61,AF:AG,2), IF(COUNTIF($AJ$2:AJ1046,A61)=0,$E$9,""))</f>
        <v>315.88</v>
      </c>
      <c r="F61" s="91">
        <f ca="1">IF(COUNTIF($AJ$2:AJ1046,A61)=1,VLOOKUP(A61,AF:AG,2), IF(COUNTIF($AJ$2:AJ1046,A61)=0,$E$9,""))</f>
        <v>315.88</v>
      </c>
      <c r="G61" s="93">
        <f t="shared" ca="1" si="4"/>
        <v>926975.99999999965</v>
      </c>
      <c r="H61" s="38">
        <f ca="1">IF(COUNTIF($AJ$2:AJ1046,A61)=1,VLOOKUP(A61,AB:AC,2), IF(COUNTIF($AJ$2:AJ1046,A61)=0,$C$9,""))</f>
        <v>99.489000000000004</v>
      </c>
      <c r="I61" s="2">
        <f ca="1">IF(ISERROR(B61-2),"",(H61-$H$14)/100*$C$5)</f>
        <v>-10659.999999999172</v>
      </c>
      <c r="J61" s="41">
        <f ca="1">IF(ISERROR(B61-2),"",(INT(A61)-INT($A$14))/360*$C$6*$C$5-(INT(A61)-INT($A$14))/360*$C$7*$C$5*$H$14/100)</f>
        <v>716.90666666667676</v>
      </c>
      <c r="K61" s="38">
        <f ca="1">IF(COUNTIF($AJ$2:AJ1046,A61)=1,VLOOKUP(A61,AM:AN,2), IF(COUNTIF($AJ$2:AJ1046,A61)=0,$D$10,""))</f>
        <v>255.0326</v>
      </c>
      <c r="L61" s="41">
        <f ca="1">IF(ISERROR(K61-2),"",(K61/$K$14-1)*$D$5)</f>
        <v>999762.60865290766</v>
      </c>
      <c r="M61" s="41" t="str">
        <f ca="1">IF($A61="","",IF(COUNTIFS(Dividends!$G:$G,"&gt;"&amp;INT($A60),Dividends!$G:$G,"&lt;="&amp;INT($A61))=0,"",$Q$2*SUMIFS(Dividends!$H:$H,Dividends!$G:$G,"&gt;"&amp;INT($A60),Dividends!$G:$G,"&lt;="&amp;INT($A61))))</f>
        <v/>
      </c>
      <c r="N61" s="42">
        <f ca="1">IF(ISERROR(B61-2),"",C61+D61-I61-J61-L61+SUM($M$14:M61))</f>
        <v>-215407.74622371083</v>
      </c>
      <c r="O61" s="80">
        <f t="shared" ca="1" si="5"/>
        <v>-62843.515319575556</v>
      </c>
      <c r="P61" s="80"/>
      <c r="Q61" s="87"/>
      <c r="R61" s="87"/>
      <c r="S61" s="87"/>
      <c r="T61" s="108"/>
      <c r="U61" s="87"/>
      <c r="V61" s="108"/>
      <c r="W61" s="87"/>
      <c r="X61" s="87"/>
      <c r="Z61" s="3">
        <v>46134.625</v>
      </c>
      <c r="AA61" s="4">
        <v>90.94</v>
      </c>
      <c r="AB61" s="3">
        <v>46132.625</v>
      </c>
      <c r="AC61" s="4">
        <v>99.831000000000003</v>
      </c>
      <c r="AD61" s="3">
        <v>46132.625</v>
      </c>
      <c r="AE61" s="4">
        <v>280.36399999999998</v>
      </c>
      <c r="AH61" s="3">
        <f>IF(COUNTIF(AB:AB,Z61)*COUNTIF(AD:AD,Z61)*COUNTIF(AF:AF,Z61),Z61,"")</f>
        <v>46134.625</v>
      </c>
      <c r="AI61" s="3">
        <f t="shared" si="0"/>
        <v>46134.625</v>
      </c>
      <c r="AK61" s="3">
        <v>46127</v>
      </c>
      <c r="AL61" s="5">
        <v>264.62900000000002</v>
      </c>
      <c r="AM61" s="3">
        <v>45862</v>
      </c>
      <c r="AN61" s="4">
        <v>241.25620000000001</v>
      </c>
      <c r="AO61" s="74">
        <v>45862</v>
      </c>
      <c r="AP61" s="4">
        <v>270.69799999999998</v>
      </c>
      <c r="AQ61" s="6">
        <f t="shared" si="1"/>
        <v>45862</v>
      </c>
    </row>
    <row r="62" spans="1:48" x14ac:dyDescent="0.25">
      <c r="A62" s="37">
        <f ca="1">IF(AND(ISBLANK(AJ51), A61 = $AJ$1),NOW(),IF(ISBLANK(AJ51),"",AJ51))</f>
        <v>46196.625</v>
      </c>
      <c r="B62" s="38">
        <f ca="1">IF(COUNTIF($AJ$2:AJ1047,A62)=1,VLOOKUP(A62,Z:AA,2), IF(COUNTIF($AJ$2:AJ1047,A62)=0,$B$9,""))</f>
        <v>91.08</v>
      </c>
      <c r="C62" s="2">
        <f t="shared" ca="1" si="2"/>
        <v>587708.49658569496</v>
      </c>
      <c r="D62" s="41">
        <f t="shared" ca="1" si="3"/>
        <v>-203166.66666666663</v>
      </c>
      <c r="E62" s="78">
        <f ca="1">IF(COUNTIF($AJ$2:AJ1047,A62)=1,VLOOKUP(A62,AF:AG,2), IF(COUNTIF($AJ$2:AJ1047,A62)=0,$E$9,""))</f>
        <v>315.56</v>
      </c>
      <c r="F62" s="91">
        <f ca="1">IF(COUNTIF($AJ$2:AJ1047,A62)=1,VLOOKUP(A62,AF:AG,2), IF(COUNTIF($AJ$2:AJ1047,A62)=0,$E$9,""))</f>
        <v>315.56</v>
      </c>
      <c r="G62" s="93">
        <f t="shared" ca="1" si="4"/>
        <v>899712.00000000023</v>
      </c>
      <c r="H62" s="38">
        <f ca="1">IF(COUNTIF($AJ$2:AJ1047,A62)=1,VLOOKUP(A62,AB:AC,2), IF(COUNTIF($AJ$2:AJ1047,A62)=0,$C$9,""))</f>
        <v>99.66</v>
      </c>
      <c r="I62" s="2">
        <f ca="1">IF(ISERROR(B62-2),"",(H62-$H$14)/100*$C$5)</f>
        <v>33799.999999998821</v>
      </c>
      <c r="J62" s="41">
        <f ca="1">IF(ISERROR(B62-2),"",(INT(A62)-INT($A$14))/360*$C$6*$C$5-(INT(A62)-INT($A$14))/360*$C$7*$C$5*$H$14/100)</f>
        <v>749.49333333334653</v>
      </c>
      <c r="K62" s="38">
        <f ca="1">IF(COUNTIF($AJ$2:AJ1047,A62)=1,VLOOKUP(A62,AM:AN,2), IF(COUNTIF($AJ$2:AJ1047,A62)=0,$D$10,""))</f>
        <v>255.2808</v>
      </c>
      <c r="L62" s="41">
        <f ca="1">IF(ISERROR(K62-2),"",(K62/$K$14-1)*$D$5)</f>
        <v>1018934.5932520066</v>
      </c>
      <c r="M62" s="41" t="str">
        <f ca="1">IF($A62="","",IF(COUNTIFS(Dividends!$G:$G,"&gt;"&amp;INT($A61),Dividends!$G:$G,"&lt;="&amp;INT($A62))=0,"",$Q$2*SUMIFS(Dividends!$H:$H,Dividends!$G:$G,"&gt;"&amp;INT($A61),Dividends!$G:$G,"&lt;="&amp;INT($A62))))</f>
        <v/>
      </c>
      <c r="N62" s="42">
        <f ca="1">IF(ISERROR(B62-2),"",C62+D62-I62-J62-L62+SUM($M$14:M62))</f>
        <v>-277830.64802419685</v>
      </c>
      <c r="O62" s="80">
        <f t="shared" ca="1" si="5"/>
        <v>-153772.08658533858</v>
      </c>
      <c r="P62" s="80"/>
      <c r="Q62" s="87"/>
      <c r="R62" s="87"/>
      <c r="S62" s="87"/>
      <c r="T62" s="108"/>
      <c r="U62" s="87"/>
      <c r="V62" s="108"/>
      <c r="W62" s="87"/>
      <c r="X62" s="87"/>
      <c r="Z62" s="3">
        <v>46135.625</v>
      </c>
      <c r="AA62" s="4">
        <v>90.99</v>
      </c>
      <c r="AB62" s="3">
        <v>46133.625</v>
      </c>
      <c r="AC62" s="4">
        <v>99.707999999999998</v>
      </c>
      <c r="AD62" s="3">
        <v>46133.625</v>
      </c>
      <c r="AE62" s="4">
        <v>285.44799999999998</v>
      </c>
      <c r="AH62" s="3" t="str">
        <f>IF(COUNTIF(AB:AB,Z62)*COUNTIF(AD:AD,Z62)*COUNTIF(AF:AF,Z62),Z62,"")</f>
        <v/>
      </c>
      <c r="AI62" s="3" t="str">
        <f t="shared" si="0"/>
        <v/>
      </c>
      <c r="AK62" s="3">
        <v>46128</v>
      </c>
      <c r="AL62" s="5">
        <v>264.24419999999998</v>
      </c>
      <c r="AM62" s="3">
        <v>45863</v>
      </c>
      <c r="AN62" s="4">
        <v>241.32810000000001</v>
      </c>
      <c r="AO62" s="74">
        <v>45863</v>
      </c>
      <c r="AP62" s="4">
        <v>269.24400000000003</v>
      </c>
      <c r="AQ62" s="6">
        <f t="shared" si="1"/>
        <v>45863</v>
      </c>
    </row>
    <row r="63" spans="1:48" x14ac:dyDescent="0.25">
      <c r="A63" s="37">
        <f ca="1">IF(AND(ISBLANK(AJ52), A62 = $AJ$1),NOW(),IF(ISBLANK(AJ52),"",AJ52))</f>
        <v>46197.625</v>
      </c>
      <c r="B63" s="38">
        <f ca="1">IF(COUNTIF($AJ$2:AJ1048,A63)=1,VLOOKUP(A63,Z:AA,2), IF(COUNTIF($AJ$2:AJ1048,A63)=0,$B$9,""))</f>
        <v>91.03</v>
      </c>
      <c r="C63" s="2">
        <f t="shared" ca="1" si="2"/>
        <v>570916.82525467256</v>
      </c>
      <c r="D63" s="41">
        <f t="shared" ca="1" si="3"/>
        <v>-205375.00000000003</v>
      </c>
      <c r="E63" s="78">
        <f ca="1">IF(COUNTIF($AJ$2:AJ1048,A63)=1,VLOOKUP(A63,AF:AG,2), IF(COUNTIF($AJ$2:AJ1048,A63)=0,$E$9,""))</f>
        <v>315.52</v>
      </c>
      <c r="F63" s="91">
        <f ca="1">IF(COUNTIF($AJ$2:AJ1048,A63)=1,VLOOKUP(A63,AF:AG,2), IF(COUNTIF($AJ$2:AJ1048,A63)=0,$E$9,""))</f>
        <v>315.52</v>
      </c>
      <c r="G63" s="93">
        <f t="shared" ca="1" si="4"/>
        <v>896303.99999999849</v>
      </c>
      <c r="H63" s="38">
        <f ca="1">IF(COUNTIF($AJ$2:AJ1048,A63)=1,VLOOKUP(A63,AB:AC,2), IF(COUNTIF($AJ$2:AJ1048,A63)=0,$C$9,""))</f>
        <v>99.724999999999994</v>
      </c>
      <c r="I63" s="2">
        <f ca="1">IF(ISERROR(B63-2),"",(H63-$H$14)/100*$C$5)</f>
        <v>50699.999999998225</v>
      </c>
      <c r="J63" s="41">
        <f ca="1">IF(ISERROR(B63-2),"",(INT(A63)-INT($A$14))/360*$C$6*$C$5-(INT(A63)-INT($A$14))/360*$C$7*$C$5*$H$14/100)</f>
        <v>757.63999999998487</v>
      </c>
      <c r="K63" s="38">
        <f ca="1">IF(COUNTIF($AJ$2:AJ1048,A63)=1,VLOOKUP(A63,AM:AN,2), IF(COUNTIF($AJ$2:AJ1048,A63)=0,$D$10,""))</f>
        <v>255.37479999999999</v>
      </c>
      <c r="L63" s="41">
        <f ca="1">IF(ISERROR(K63-2),"",(K63/$K$14-1)*$D$5)</f>
        <v>1026195.5382653612</v>
      </c>
      <c r="M63" s="41" t="str">
        <f ca="1">IF($A63="","",IF(COUNTIFS(Dividends!$G:$G,"&gt;"&amp;INT($A62),Dividends!$G:$G,"&lt;="&amp;INT($A63))=0,"",$Q$2*SUMIFS(Dividends!$H:$H,Dividends!$G:$G,"&gt;"&amp;INT($A62),Dividends!$G:$G,"&lt;="&amp;INT($A63))))</f>
        <v/>
      </c>
      <c r="N63" s="42">
        <f ca="1">IF(ISERROR(B63-2),"",C63+D63-I63-J63-L63+SUM($M$14:M63))</f>
        <v>-320999.74436857342</v>
      </c>
      <c r="O63" s="80">
        <f t="shared" ca="1" si="5"/>
        <v>-181349.178265361</v>
      </c>
      <c r="P63" s="80"/>
      <c r="Q63" s="87"/>
      <c r="R63" s="87"/>
      <c r="S63" s="87"/>
      <c r="T63" s="108"/>
      <c r="U63" s="87"/>
      <c r="V63" s="108"/>
      <c r="W63" s="87"/>
      <c r="X63" s="87"/>
      <c r="Z63" s="3">
        <v>46136.625</v>
      </c>
      <c r="AA63" s="4">
        <v>90.93</v>
      </c>
      <c r="AB63" s="3">
        <v>46134.625</v>
      </c>
      <c r="AC63" s="4">
        <v>99.655000000000001</v>
      </c>
      <c r="AD63" s="3">
        <v>46134.625</v>
      </c>
      <c r="AE63" s="4">
        <v>285.53500000000003</v>
      </c>
      <c r="AH63" s="3">
        <f>IF(COUNTIF(AB:AB,Z63)*COUNTIF(AD:AD,Z63)*COUNTIF(AF:AF,Z63),Z63,"")</f>
        <v>46136.625</v>
      </c>
      <c r="AI63" s="3">
        <f t="shared" si="0"/>
        <v>46136.625</v>
      </c>
      <c r="AK63" s="3">
        <v>46129</v>
      </c>
      <c r="AL63" s="5">
        <v>265.60180000000003</v>
      </c>
      <c r="AM63" s="3">
        <v>45866</v>
      </c>
      <c r="AN63" s="4">
        <v>241.53149999999999</v>
      </c>
      <c r="AO63" s="74">
        <v>45866</v>
      </c>
      <c r="AP63" s="4">
        <v>267.81099999999998</v>
      </c>
      <c r="AQ63" s="6">
        <f t="shared" si="1"/>
        <v>45866</v>
      </c>
      <c r="AV63" s="7"/>
    </row>
    <row r="64" spans="1:48" x14ac:dyDescent="0.25">
      <c r="A64" s="37">
        <f ca="1">IF(AND(ISBLANK(AJ53), A63 = $AJ$1),NOW(),IF(ISBLANK(AJ53),"",AJ53))</f>
        <v>46199.367899884259</v>
      </c>
      <c r="B64" s="38">
        <f ca="1">IF(COUNTIF($AJ$2:AJ1049,A64)=1,VLOOKUP(A64,Z:AA,2), IF(COUNTIF($AJ$2:AJ1049,A64)=0,$B$9,""))</f>
        <v>91.07</v>
      </c>
      <c r="C64" s="2">
        <f t="shared" ca="1" si="2"/>
        <v>584350.16231948906</v>
      </c>
      <c r="D64" s="41">
        <f t="shared" ca="1" si="3"/>
        <v>-209791.66666666666</v>
      </c>
      <c r="E64" s="78">
        <f ca="1">IF(COUNTIF($AJ$2:AJ1049,A64)=1,VLOOKUP(A64,AF:AG,2), IF(COUNTIF($AJ$2:AJ1049,A64)=0,$E$9,""))</f>
        <v>315.95999999999998</v>
      </c>
      <c r="F64" s="91">
        <f ca="1">IF(COUNTIF($AJ$2:AJ1049,A64)=1,VLOOKUP(A64,AF:AG,2), IF(COUNTIF($AJ$2:AJ1049,A64)=0,$E$9,""))</f>
        <v>315.95999999999998</v>
      </c>
      <c r="G64" s="93">
        <f t="shared" ca="1" si="4"/>
        <v>933791.99999999825</v>
      </c>
      <c r="H64" s="38">
        <f ca="1">IF(COUNTIF($AJ$2:AJ1049,A64)=1,VLOOKUP(A64,AB:AC,2), IF(COUNTIF($AJ$2:AJ1049,A64)=0,$C$9,""))</f>
        <v>99.774000000000001</v>
      </c>
      <c r="I64" s="2">
        <f ca="1">IF(ISERROR(B64-2),"",(H64-$H$14)/100*$C$5)</f>
        <v>63439.999999999942</v>
      </c>
      <c r="J64" s="41">
        <f ca="1">IF(ISERROR(B64-2),"",(INT(A64)-INT($A$14))/360*$C$6*$C$5-(INT(A64)-INT($A$14))/360*$C$7*$C$5*$H$14/100)</f>
        <v>773.93333333331975</v>
      </c>
      <c r="K64" s="38">
        <f ca="1">IF(COUNTIF($AJ$2:AJ1049,A64)=1,VLOOKUP(A64,AM:AN,2), IF(COUNTIF($AJ$2:AJ1049,A64)=0,$D$10,""))</f>
        <v>255.32830781086102</v>
      </c>
      <c r="L64" s="41">
        <f ca="1">IF(ISERROR(K64-2),"",(K64/$K$14-1)*$D$5)</f>
        <v>1022604.2911495243</v>
      </c>
      <c r="M64" s="41" t="str">
        <f ca="1">IF($A64="","",IF(COUNTIFS(Dividends!$G:$G,"&gt;"&amp;INT($A63),Dividends!$G:$G,"&lt;="&amp;INT($A64))=0,"",$Q$2*SUMIFS(Dividends!$H:$H,Dividends!$G:$G,"&gt;"&amp;INT($A63),Dividends!$G:$G,"&lt;="&amp;INT($A64))))</f>
        <v/>
      </c>
      <c r="N64" s="42">
        <f ca="1">IF(ISERROR(B64-2),"",C64+D64-I64-J64-L64+SUM($M$14:M64))</f>
        <v>-321148.12018792157</v>
      </c>
      <c r="O64" s="80">
        <f t="shared" ca="1" si="5"/>
        <v>-153026.22448285925</v>
      </c>
      <c r="P64" s="80"/>
      <c r="Q64" s="87"/>
      <c r="R64" s="87"/>
      <c r="S64" s="87"/>
      <c r="T64" s="108"/>
      <c r="U64" s="87"/>
      <c r="V64" s="108"/>
      <c r="W64" s="87"/>
      <c r="X64" s="87"/>
      <c r="Z64" s="3">
        <v>46139.625</v>
      </c>
      <c r="AA64" s="4">
        <v>90.97</v>
      </c>
      <c r="AB64" s="3">
        <v>46135.625</v>
      </c>
      <c r="AC64" s="4">
        <v>99.626999999999995</v>
      </c>
      <c r="AD64" s="3">
        <v>46135.625</v>
      </c>
      <c r="AE64" s="4">
        <v>284.40800000000002</v>
      </c>
      <c r="AH64" s="3">
        <f>IF(COUNTIF(AB:AB,Z64)*COUNTIF(AD:AD,Z64)*COUNTIF(AF:AF,Z64),Z64,"")</f>
        <v>46139.625</v>
      </c>
      <c r="AI64" s="3">
        <f t="shared" si="0"/>
        <v>46139.625</v>
      </c>
      <c r="AK64" s="3">
        <v>46132</v>
      </c>
      <c r="AL64" s="5">
        <v>265.2414</v>
      </c>
      <c r="AM64" s="3">
        <v>45867</v>
      </c>
      <c r="AN64" s="19">
        <v>241.9485</v>
      </c>
      <c r="AO64" s="75">
        <v>45867</v>
      </c>
      <c r="AP64" s="19">
        <v>264.29199999999997</v>
      </c>
      <c r="AQ64" s="6">
        <f t="shared" si="1"/>
        <v>45867</v>
      </c>
      <c r="AR64" s="19"/>
      <c r="AS64" s="19"/>
      <c r="AT64" s="19"/>
      <c r="AU64" s="43"/>
      <c r="AV64" s="7"/>
    </row>
    <row r="65" spans="1:48" x14ac:dyDescent="0.25">
      <c r="A65" s="37" t="str">
        <f ca="1">IF(AND(ISBLANK(AJ54), A64 = $AJ$1),NOW(),IF(ISBLANK(AJ54),"",AJ54))</f>
        <v/>
      </c>
      <c r="B65" s="38" t="str">
        <f ca="1">IF(COUNTIF($AJ$2:AJ1050,A65)=1,VLOOKUP(A65,Z:AA,2), IF(COUNTIF($AJ$2:AJ1050,A65)=0,$B$9,""))</f>
        <v/>
      </c>
      <c r="C65" s="2" t="str">
        <f t="shared" ca="1" si="2"/>
        <v/>
      </c>
      <c r="D65" s="41" t="str">
        <f t="shared" ca="1" si="3"/>
        <v/>
      </c>
      <c r="E65" s="78" t="str">
        <f ca="1">IF(COUNTIF($AJ$2:AJ1050,A65)=1,VLOOKUP(A65,AF:AG,2), IF(COUNTIF($AJ$2:AJ1050,A65)=0,$E$9,""))</f>
        <v/>
      </c>
      <c r="F65" s="91" t="str">
        <f ca="1">IF(COUNTIF($AJ$2:AJ1050,A65)=1,VLOOKUP(A65,AF:AG,2), IF(COUNTIF($AJ$2:AJ1050,A65)=0,$E$9,""))</f>
        <v/>
      </c>
      <c r="G65" s="93" t="str">
        <f t="shared" ca="1" si="4"/>
        <v/>
      </c>
      <c r="H65" s="38" t="str">
        <f ca="1">IF(COUNTIF($AJ$2:AJ1050,A65)=1,VLOOKUP(A65,AB:AC,2), IF(COUNTIF($AJ$2:AJ1050,A65)=0,$C$9,""))</f>
        <v/>
      </c>
      <c r="I65" s="2" t="str">
        <f ca="1">IF(ISERROR(B65-2),"",(H65-$H$14)/100*$C$5)</f>
        <v/>
      </c>
      <c r="J65" s="41" t="str">
        <f ca="1">IF(ISERROR(B65-2),"",(INT(A65)-INT($A$14))/360*$C$6*$C$5-(INT(A65)-INT($A$14))/360*$C$7*$C$5*$H$14/100)</f>
        <v/>
      </c>
      <c r="K65" s="38" t="str">
        <f ca="1">IF(COUNTIF($AJ$2:AJ1050,A65)=1,VLOOKUP(A65,AM:AN,2), IF(COUNTIF($AJ$2:AJ1050,A65)=0,$D$10,""))</f>
        <v/>
      </c>
      <c r="L65" s="41" t="str">
        <f ca="1">IF(ISERROR(K65-2),"",(K65/$K$14-1)*$D$5)</f>
        <v/>
      </c>
      <c r="M65" s="41" t="str">
        <f ca="1">IF($A65="","",IF(COUNTIFS(Dividends!$G:$G,"&gt;"&amp;INT($A64),Dividends!$G:$G,"&lt;="&amp;INT($A65))=0,"",$Q$2*SUMIFS(Dividends!$H:$H,Dividends!$G:$G,"&gt;"&amp;INT($A64),Dividends!$G:$G,"&lt;="&amp;INT($A65))))</f>
        <v/>
      </c>
      <c r="N65" s="42" t="str">
        <f ca="1">IF(ISERROR(B65-2),"",C65+D65-I65-J65-L65+SUM($M$14:M65))</f>
        <v/>
      </c>
      <c r="O65" s="80" t="str">
        <f t="shared" ca="1" si="5"/>
        <v/>
      </c>
      <c r="P65" s="80"/>
      <c r="Q65" s="87"/>
      <c r="R65" s="87"/>
      <c r="S65" s="87"/>
      <c r="T65" s="108"/>
      <c r="U65" s="87"/>
      <c r="V65" s="108"/>
      <c r="W65" s="87"/>
      <c r="X65" s="87"/>
      <c r="Z65" s="3">
        <v>46140.625</v>
      </c>
      <c r="AA65" s="4">
        <v>90.69</v>
      </c>
      <c r="AB65" s="3">
        <v>46136.625</v>
      </c>
      <c r="AC65" s="4">
        <v>99.637</v>
      </c>
      <c r="AD65" s="3">
        <v>46136.625</v>
      </c>
      <c r="AE65" s="4">
        <v>288.863</v>
      </c>
      <c r="AH65" s="3">
        <f>IF(COUNTIF(AB:AB,Z65)*COUNTIF(AD:AD,Z65)*COUNTIF(AF:AF,Z65),Z65,"")</f>
        <v>46140.625</v>
      </c>
      <c r="AI65" s="3">
        <f t="shared" si="0"/>
        <v>46140.625</v>
      </c>
      <c r="AK65" s="3">
        <v>46133</v>
      </c>
      <c r="AL65" s="5">
        <v>264.60359999999997</v>
      </c>
      <c r="AM65" s="3">
        <v>45868</v>
      </c>
      <c r="AN65" s="19">
        <v>241.70859999999999</v>
      </c>
      <c r="AO65" s="76">
        <v>45868</v>
      </c>
      <c r="AP65" s="20">
        <v>266.43200000000002</v>
      </c>
      <c r="AQ65" s="6">
        <f t="shared" si="1"/>
        <v>45868</v>
      </c>
      <c r="AR65" s="20"/>
      <c r="AS65" s="20"/>
      <c r="AT65" s="20"/>
      <c r="AU65" s="20"/>
      <c r="AV65" s="7"/>
    </row>
    <row r="66" spans="1:48" x14ac:dyDescent="0.25">
      <c r="A66" s="37" t="str">
        <f ca="1">IF(AND(ISBLANK(AJ55), A65 = $AJ$1),NOW(),IF(ISBLANK(AJ55),"",AJ55))</f>
        <v/>
      </c>
      <c r="B66" s="38" t="str">
        <f ca="1">IF(COUNTIF($AJ$2:AJ1051,A66)=1,VLOOKUP(A66,Z:AA,2), IF(COUNTIF($AJ$2:AJ1051,A66)=0,$B$9,""))</f>
        <v/>
      </c>
      <c r="C66" s="2" t="str">
        <f t="shared" ca="1" si="2"/>
        <v/>
      </c>
      <c r="D66" s="41" t="str">
        <f t="shared" ca="1" si="3"/>
        <v/>
      </c>
      <c r="E66" s="78" t="str">
        <f ca="1">IF(COUNTIF($AJ$2:AJ1051,A66)=1,VLOOKUP(A66,AF:AG,2), IF(COUNTIF($AJ$2:AJ1051,A66)=0,$E$9,""))</f>
        <v/>
      </c>
      <c r="F66" s="91" t="str">
        <f ca="1">IF(COUNTIF($AJ$2:AJ1051,A66)=1,VLOOKUP(A66,AF:AG,2), IF(COUNTIF($AJ$2:AJ1051,A66)=0,$E$9,""))</f>
        <v/>
      </c>
      <c r="G66" s="93" t="str">
        <f t="shared" ca="1" si="4"/>
        <v/>
      </c>
      <c r="H66" s="38" t="str">
        <f ca="1">IF(COUNTIF($AJ$2:AJ1051,A66)=1,VLOOKUP(A66,AB:AC,2), IF(COUNTIF($AJ$2:AJ1051,A66)=0,$C$9,""))</f>
        <v/>
      </c>
      <c r="I66" s="2" t="str">
        <f ca="1">IF(ISERROR(B66-2),"",(H66-$H$14)/100*$C$5)</f>
        <v/>
      </c>
      <c r="J66" s="41" t="str">
        <f ca="1">IF(ISERROR(B66-2),"",(INT(A66)-INT($A$14))/360*$C$6*$C$5-(INT(A66)-INT($A$14))/360*$C$7*$C$5*$H$14/100)</f>
        <v/>
      </c>
      <c r="K66" s="38" t="str">
        <f ca="1">IF(COUNTIF($AJ$2:AJ1051,A66)=1,VLOOKUP(A66,AM:AN,2), IF(COUNTIF($AJ$2:AJ1051,A66)=0,$D$10,""))</f>
        <v/>
      </c>
      <c r="L66" s="41" t="str">
        <f ca="1">IF(ISERROR(K66-2),"",(K66/$K$14-1)*$D$5)</f>
        <v/>
      </c>
      <c r="M66" s="41" t="str">
        <f ca="1">IF($A66="","",IF(COUNTIFS(Dividends!$G:$G,"&gt;"&amp;INT($A65),Dividends!$G:$G,"&lt;="&amp;INT($A66))=0,"",$Q$2*SUMIFS(Dividends!$H:$H,Dividends!$G:$G,"&gt;"&amp;INT($A65),Dividends!$G:$G,"&lt;="&amp;INT($A66))))</f>
        <v/>
      </c>
      <c r="N66" s="42" t="str">
        <f ca="1">IF(ISERROR(B66-2),"",C66+D66-I66-J66-L66+SUM($M$14:M66))</f>
        <v/>
      </c>
      <c r="O66" s="80" t="str">
        <f t="shared" ca="1" si="5"/>
        <v/>
      </c>
      <c r="P66" s="80"/>
      <c r="Q66" s="87"/>
      <c r="R66" s="87"/>
      <c r="S66" s="87"/>
      <c r="T66" s="108"/>
      <c r="U66" s="87"/>
      <c r="V66" s="108"/>
      <c r="W66" s="87"/>
      <c r="X66" s="87"/>
      <c r="Z66" s="3">
        <v>46141.625</v>
      </c>
      <c r="AA66" s="4">
        <v>90.76</v>
      </c>
      <c r="AB66" s="3">
        <v>46139.625</v>
      </c>
      <c r="AC66" s="4">
        <v>99.608000000000004</v>
      </c>
      <c r="AD66" s="3">
        <v>46139.625</v>
      </c>
      <c r="AE66" s="4">
        <v>289.209</v>
      </c>
      <c r="AH66" s="3">
        <f>IF(COUNTIF(AB:AB,Z66)*COUNTIF(AD:AD,Z66)*COUNTIF(AF:AF,Z66),Z66,"")</f>
        <v>46141.625</v>
      </c>
      <c r="AI66" s="3">
        <f t="shared" si="0"/>
        <v>46141.625</v>
      </c>
      <c r="AK66" s="3">
        <v>46134</v>
      </c>
      <c r="AL66" s="5">
        <v>264.55340000000001</v>
      </c>
      <c r="AM66" s="3">
        <v>45869</v>
      </c>
      <c r="AN66" s="19">
        <v>241.51009999999999</v>
      </c>
      <c r="AO66" s="76">
        <v>45869</v>
      </c>
      <c r="AP66" s="20">
        <v>268.46899999999999</v>
      </c>
      <c r="AQ66" s="6">
        <f t="shared" si="1"/>
        <v>45869</v>
      </c>
      <c r="AR66" s="20"/>
      <c r="AS66" s="20"/>
      <c r="AT66" s="20"/>
      <c r="AU66" s="20"/>
      <c r="AV66" s="7"/>
    </row>
    <row r="67" spans="1:48" x14ac:dyDescent="0.25">
      <c r="A67" s="37" t="str">
        <f ca="1">IF(AND(ISBLANK(AJ56), A66 = $AJ$1),NOW(),IF(ISBLANK(AJ56),"",AJ56))</f>
        <v/>
      </c>
      <c r="B67" s="38" t="str">
        <f ca="1">IF(COUNTIF($AJ$2:AJ1052,A67)=1,VLOOKUP(A67,Z:AA,2), IF(COUNTIF($AJ$2:AJ1052,A67)=0,$B$9,""))</f>
        <v/>
      </c>
      <c r="C67" s="2" t="str">
        <f t="shared" ca="1" si="2"/>
        <v/>
      </c>
      <c r="D67" s="41" t="str">
        <f t="shared" ca="1" si="3"/>
        <v/>
      </c>
      <c r="E67" s="78" t="str">
        <f ca="1">IF(COUNTIF($AJ$2:AJ1052,A67)=1,VLOOKUP(A67,AF:AG,2), IF(COUNTIF($AJ$2:AJ1052,A67)=0,$E$9,""))</f>
        <v/>
      </c>
      <c r="F67" s="91" t="str">
        <f ca="1">IF(COUNTIF($AJ$2:AJ1052,A67)=1,VLOOKUP(A67,AF:AG,2), IF(COUNTIF($AJ$2:AJ1052,A67)=0,$E$9,""))</f>
        <v/>
      </c>
      <c r="G67" s="93" t="str">
        <f t="shared" ca="1" si="4"/>
        <v/>
      </c>
      <c r="H67" s="38" t="str">
        <f ca="1">IF(COUNTIF($AJ$2:AJ1052,A67)=1,VLOOKUP(A67,AB:AC,2), IF(COUNTIF($AJ$2:AJ1052,A67)=0,$C$9,""))</f>
        <v/>
      </c>
      <c r="I67" s="2" t="str">
        <f ca="1">IF(ISERROR(B67-2),"",(H67-$H$14)/100*$C$5)</f>
        <v/>
      </c>
      <c r="J67" s="41" t="str">
        <f ca="1">IF(ISERROR(B67-2),"",(INT(A67)-INT($A$14))/360*$C$6*$C$5-(INT(A67)-INT($A$14))/360*$C$7*$C$5*$H$14/100)</f>
        <v/>
      </c>
      <c r="K67" s="38" t="str">
        <f ca="1">IF(COUNTIF($AJ$2:AJ1052,A67)=1,VLOOKUP(A67,AM:AN,2), IF(COUNTIF($AJ$2:AJ1052,A67)=0,$D$10,""))</f>
        <v/>
      </c>
      <c r="L67" s="41" t="str">
        <f ca="1">IF(ISERROR(K67-2),"",(K67/$K$14-1)*$D$5)</f>
        <v/>
      </c>
      <c r="M67" s="41" t="str">
        <f ca="1">IF($A67="","",IF(COUNTIFS(Dividends!$G:$G,"&gt;"&amp;INT($A66),Dividends!$G:$G,"&lt;="&amp;INT($A67))=0,"",$Q$2*SUMIFS(Dividends!$H:$H,Dividends!$G:$G,"&gt;"&amp;INT($A66),Dividends!$G:$G,"&lt;="&amp;INT($A67))))</f>
        <v/>
      </c>
      <c r="N67" s="42" t="str">
        <f ca="1">IF(ISERROR(B67-2),"",C67+D67-I67-J67-L67+SUM($M$14:M67))</f>
        <v/>
      </c>
      <c r="O67" s="80" t="str">
        <f t="shared" ca="1" si="5"/>
        <v/>
      </c>
      <c r="P67" s="80"/>
      <c r="Q67" s="87"/>
      <c r="R67" s="87"/>
      <c r="S67" s="87"/>
      <c r="T67" s="108"/>
      <c r="U67" s="87"/>
      <c r="V67" s="108"/>
      <c r="W67" s="87"/>
      <c r="X67" s="87"/>
      <c r="Z67" s="3">
        <v>46142.625</v>
      </c>
      <c r="AA67" s="4">
        <v>90.81</v>
      </c>
      <c r="AB67" s="3">
        <v>46140.625</v>
      </c>
      <c r="AC67" s="4">
        <v>99.456000000000003</v>
      </c>
      <c r="AD67" s="3">
        <v>46140.625</v>
      </c>
      <c r="AE67" s="4">
        <v>291.65699999999998</v>
      </c>
      <c r="AH67" s="3">
        <f>IF(COUNTIF(AB:AB,Z67)*COUNTIF(AD:AD,Z67)*COUNTIF(AF:AF,Z67),Z67,"")</f>
        <v>46142.625</v>
      </c>
      <c r="AI67" s="3">
        <f t="shared" si="0"/>
        <v>46142.625</v>
      </c>
      <c r="AK67" s="3">
        <v>46135</v>
      </c>
      <c r="AL67" s="5">
        <v>264.38159999999999</v>
      </c>
      <c r="AM67" s="3">
        <v>45870</v>
      </c>
      <c r="AN67" s="19">
        <v>240.1619</v>
      </c>
      <c r="AO67" s="76">
        <v>45870</v>
      </c>
      <c r="AP67" s="20">
        <v>279.928</v>
      </c>
      <c r="AQ67" s="6">
        <f t="shared" si="1"/>
        <v>45870</v>
      </c>
      <c r="AR67" s="20"/>
      <c r="AS67" s="20"/>
      <c r="AT67" s="20"/>
      <c r="AU67" s="20"/>
      <c r="AV67" s="7"/>
    </row>
    <row r="68" spans="1:48" x14ac:dyDescent="0.25">
      <c r="A68" s="37" t="str">
        <f ca="1">IF(AND(ISBLANK(AJ57), A67 = $AJ$1),NOW(),IF(ISBLANK(AJ57),"",AJ57))</f>
        <v/>
      </c>
      <c r="B68" s="38" t="str">
        <f ca="1">IF(COUNTIF($AJ$2:AJ1053,A68)=1,VLOOKUP(A68,Z:AA,2), IF(COUNTIF($AJ$2:AJ1053,A68)=0,$B$9,""))</f>
        <v/>
      </c>
      <c r="C68" s="2" t="str">
        <f t="shared" ca="1" si="2"/>
        <v/>
      </c>
      <c r="D68" s="41" t="str">
        <f t="shared" ca="1" si="3"/>
        <v/>
      </c>
      <c r="E68" s="78" t="str">
        <f ca="1">IF(COUNTIF($AJ$2:AJ1053,A68)=1,VLOOKUP(A68,AF:AG,2), IF(COUNTIF($AJ$2:AJ1053,A68)=0,$E$9,""))</f>
        <v/>
      </c>
      <c r="F68" s="91" t="str">
        <f ca="1">IF(COUNTIF($AJ$2:AJ1053,A68)=1,VLOOKUP(A68,AF:AG,2), IF(COUNTIF($AJ$2:AJ1053,A68)=0,$E$9,""))</f>
        <v/>
      </c>
      <c r="G68" s="93" t="str">
        <f t="shared" ca="1" si="4"/>
        <v/>
      </c>
      <c r="H68" s="38" t="str">
        <f ca="1">IF(COUNTIF($AJ$2:AJ1053,A68)=1,VLOOKUP(A68,AB:AC,2), IF(COUNTIF($AJ$2:AJ1053,A68)=0,$C$9,""))</f>
        <v/>
      </c>
      <c r="I68" s="2" t="str">
        <f ca="1">IF(ISERROR(B68-2),"",(H68-$H$14)/100*$C$5)</f>
        <v/>
      </c>
      <c r="J68" s="41" t="str">
        <f ca="1">IF(ISERROR(B68-2),"",(INT(A68)-INT($A$14))/360*$C$6*$C$5-(INT(A68)-INT($A$14))/360*$C$7*$C$5*$H$14/100)</f>
        <v/>
      </c>
      <c r="K68" s="38" t="str">
        <f ca="1">IF(COUNTIF($AJ$2:AJ1053,A68)=1,VLOOKUP(A68,AM:AN,2), IF(COUNTIF($AJ$2:AJ1053,A68)=0,$D$10,""))</f>
        <v/>
      </c>
      <c r="L68" s="41" t="str">
        <f ca="1">IF(ISERROR(K68-2),"",(K68/$K$14-1)*$D$5)</f>
        <v/>
      </c>
      <c r="M68" s="41" t="str">
        <f ca="1">IF($A68="","",IF(COUNTIFS(Dividends!$G:$G,"&gt;"&amp;INT($A67),Dividends!$G:$G,"&lt;="&amp;INT($A68))=0,"",$Q$2*SUMIFS(Dividends!$H:$H,Dividends!$G:$G,"&gt;"&amp;INT($A67),Dividends!$G:$G,"&lt;="&amp;INT($A68))))</f>
        <v/>
      </c>
      <c r="N68" s="42" t="str">
        <f ca="1">IF(ISERROR(B68-2),"",C68+D68-I68-J68-L68+SUM($M$14:M68))</f>
        <v/>
      </c>
      <c r="O68" s="80" t="str">
        <f t="shared" ca="1" si="5"/>
        <v/>
      </c>
      <c r="P68" s="80"/>
      <c r="Q68" s="87"/>
      <c r="R68" s="87"/>
      <c r="S68" s="87"/>
      <c r="T68" s="108"/>
      <c r="U68" s="87"/>
      <c r="V68" s="108"/>
      <c r="W68" s="87"/>
      <c r="X68" s="87"/>
      <c r="Z68" s="3">
        <v>46147.625</v>
      </c>
      <c r="AA68" s="4">
        <v>90.89</v>
      </c>
      <c r="AB68" s="3">
        <v>46141.625</v>
      </c>
      <c r="AC68" s="4">
        <v>99.296000000000006</v>
      </c>
      <c r="AD68" s="3">
        <v>46141.625</v>
      </c>
      <c r="AE68" s="4">
        <v>294.57900000000001</v>
      </c>
      <c r="AH68" s="3">
        <f>IF(COUNTIF(AB:AB,Z68)*COUNTIF(AD:AD,Z68)*COUNTIF(AF:AF,Z68),Z68,"")</f>
        <v>46147.625</v>
      </c>
      <c r="AI68" s="3">
        <f t="shared" ref="AI68:AI131" si="6">IF(AH68&gt;=$A$14,AH68,"")</f>
        <v>46147.625</v>
      </c>
      <c r="AK68" s="3">
        <v>46136</v>
      </c>
      <c r="AL68" s="5">
        <v>264.2679</v>
      </c>
      <c r="AM68" s="3">
        <v>45873</v>
      </c>
      <c r="AN68" s="19">
        <v>240.82929999999999</v>
      </c>
      <c r="AO68" s="76">
        <v>45873</v>
      </c>
      <c r="AP68" s="20">
        <v>275.71300000000002</v>
      </c>
      <c r="AQ68" s="6">
        <f t="shared" ref="AQ68:AQ131" si="7">IF(COUNTIF(AO:AO,AM68),AM68,"")</f>
        <v>45873</v>
      </c>
      <c r="AR68" s="20"/>
      <c r="AS68" s="20"/>
      <c r="AT68" s="20"/>
      <c r="AU68" s="20"/>
      <c r="AV68" s="7"/>
    </row>
    <row r="69" spans="1:48" x14ac:dyDescent="0.25">
      <c r="A69" s="37" t="str">
        <f ca="1">IF(AND(ISBLANK(AJ58), A68 = $AJ$1),NOW(),IF(ISBLANK(AJ58),"",AJ58))</f>
        <v/>
      </c>
      <c r="B69" s="38" t="str">
        <f ca="1">IF(COUNTIF($AJ$2:AJ1054,A69)=1,VLOOKUP(A69,Z:AA,2), IF(COUNTIF($AJ$2:AJ1054,A69)=0,$B$9,""))</f>
        <v/>
      </c>
      <c r="C69" s="2" t="str">
        <f t="shared" ca="1" si="2"/>
        <v/>
      </c>
      <c r="D69" s="41" t="str">
        <f t="shared" ca="1" si="3"/>
        <v/>
      </c>
      <c r="E69" s="78" t="str">
        <f ca="1">IF(COUNTIF($AJ$2:AJ1054,A69)=1,VLOOKUP(A69,AF:AG,2), IF(COUNTIF($AJ$2:AJ1054,A69)=0,$E$9,""))</f>
        <v/>
      </c>
      <c r="F69" s="91" t="str">
        <f ca="1">IF(COUNTIF($AJ$2:AJ1054,A69)=1,VLOOKUP(A69,AF:AG,2), IF(COUNTIF($AJ$2:AJ1054,A69)=0,$E$9,""))</f>
        <v/>
      </c>
      <c r="G69" s="93" t="str">
        <f t="shared" ca="1" si="4"/>
        <v/>
      </c>
      <c r="H69" s="38" t="str">
        <f ca="1">IF(COUNTIF($AJ$2:AJ1054,A69)=1,VLOOKUP(A69,AB:AC,2), IF(COUNTIF($AJ$2:AJ1054,A69)=0,$C$9,""))</f>
        <v/>
      </c>
      <c r="I69" s="2" t="str">
        <f ca="1">IF(ISERROR(B69-2),"",(H69-$H$14)/100*$C$5)</f>
        <v/>
      </c>
      <c r="J69" s="41" t="str">
        <f ca="1">IF(ISERROR(B69-2),"",(INT(A69)-INT($A$14))/360*$C$6*$C$5-(INT(A69)-INT($A$14))/360*$C$7*$C$5*$H$14/100)</f>
        <v/>
      </c>
      <c r="K69" s="38" t="str">
        <f ca="1">IF(COUNTIF($AJ$2:AJ1054,A69)=1,VLOOKUP(A69,AM:AN,2), IF(COUNTIF($AJ$2:AJ1054,A69)=0,$D$10,""))</f>
        <v/>
      </c>
      <c r="L69" s="41" t="str">
        <f ca="1">IF(ISERROR(K69-2),"",(K69/$K$14-1)*$D$5)</f>
        <v/>
      </c>
      <c r="M69" s="41" t="str">
        <f ca="1">IF($A69="","",IF(COUNTIFS(Dividends!$G:$G,"&gt;"&amp;INT($A68),Dividends!$G:$G,"&lt;="&amp;INT($A69))=0,"",$Q$2*SUMIFS(Dividends!$H:$H,Dividends!$G:$G,"&gt;"&amp;INT($A68),Dividends!$G:$G,"&lt;="&amp;INT($A69))))</f>
        <v/>
      </c>
      <c r="N69" s="42" t="str">
        <f ca="1">IF(ISERROR(B69-2),"",C69+D69-I69-J69-L69+SUM($M$14:M69))</f>
        <v/>
      </c>
      <c r="O69" s="80" t="str">
        <f t="shared" ca="1" si="5"/>
        <v/>
      </c>
      <c r="P69" s="80"/>
      <c r="Q69" s="87"/>
      <c r="R69" s="87"/>
      <c r="S69" s="87"/>
      <c r="T69" s="108"/>
      <c r="U69" s="87"/>
      <c r="V69" s="108"/>
      <c r="W69" s="87"/>
      <c r="X69" s="87"/>
      <c r="Z69" s="3">
        <v>46148.625</v>
      </c>
      <c r="AA69" s="4">
        <v>91.41</v>
      </c>
      <c r="AB69" s="3">
        <v>46142.625</v>
      </c>
      <c r="AC69" s="4">
        <v>99.435000000000002</v>
      </c>
      <c r="AD69" s="3">
        <v>46142.625</v>
      </c>
      <c r="AE69" s="4">
        <v>292.42099999999999</v>
      </c>
      <c r="AH69" s="3">
        <f>IF(COUNTIF(AB:AB,Z69)*COUNTIF(AD:AD,Z69)*COUNTIF(AF:AF,Z69),Z69,"")</f>
        <v>46148.625</v>
      </c>
      <c r="AI69" s="3">
        <f t="shared" si="6"/>
        <v>46148.625</v>
      </c>
      <c r="AK69" s="3">
        <v>46139</v>
      </c>
      <c r="AL69" s="5">
        <v>264.16750000000002</v>
      </c>
      <c r="AM69" s="3">
        <v>45874</v>
      </c>
      <c r="AN69" s="19">
        <v>240.89189999999999</v>
      </c>
      <c r="AO69" s="76">
        <v>45874</v>
      </c>
      <c r="AP69" s="20">
        <v>275.75200000000001</v>
      </c>
      <c r="AQ69" s="6">
        <f t="shared" si="7"/>
        <v>45874</v>
      </c>
      <c r="AR69" s="20"/>
      <c r="AS69" s="20"/>
      <c r="AT69" s="20"/>
      <c r="AU69" s="20"/>
      <c r="AV69" s="7"/>
    </row>
    <row r="70" spans="1:48" x14ac:dyDescent="0.25">
      <c r="A70" s="37" t="str">
        <f ca="1">IF(AND(ISBLANK(AJ59), A69 = $AJ$1),NOW(),IF(ISBLANK(AJ59),"",AJ59))</f>
        <v/>
      </c>
      <c r="B70" s="38" t="str">
        <f ca="1">IF(COUNTIF($AJ$2:AJ1055,A70)=1,VLOOKUP(A70,Z:AA,2), IF(COUNTIF($AJ$2:AJ1055,A70)=0,$B$9,""))</f>
        <v/>
      </c>
      <c r="C70" s="2" t="str">
        <f t="shared" ca="1" si="2"/>
        <v/>
      </c>
      <c r="D70" s="41" t="str">
        <f t="shared" ca="1" si="3"/>
        <v/>
      </c>
      <c r="E70" s="78" t="str">
        <f ca="1">IF(COUNTIF($AJ$2:AJ1055,A70)=1,VLOOKUP(A70,AF:AG,2), IF(COUNTIF($AJ$2:AJ1055,A70)=0,$E$9,""))</f>
        <v/>
      </c>
      <c r="F70" s="91" t="str">
        <f ca="1">IF(COUNTIF($AJ$2:AJ1055,A70)=1,VLOOKUP(A70,AF:AG,2), IF(COUNTIF($AJ$2:AJ1055,A70)=0,$E$9,""))</f>
        <v/>
      </c>
      <c r="G70" s="93" t="str">
        <f t="shared" ca="1" si="4"/>
        <v/>
      </c>
      <c r="H70" s="38" t="str">
        <f ca="1">IF(COUNTIF($AJ$2:AJ1055,A70)=1,VLOOKUP(A70,AB:AC,2), IF(COUNTIF($AJ$2:AJ1055,A70)=0,$C$9,""))</f>
        <v/>
      </c>
      <c r="I70" s="2" t="str">
        <f ca="1">IF(ISERROR(B70-2),"",(H70-$H$14)/100*$C$5)</f>
        <v/>
      </c>
      <c r="J70" s="41" t="str">
        <f ca="1">IF(ISERROR(B70-2),"",(INT(A70)-INT($A$14))/360*$C$6*$C$5-(INT(A70)-INT($A$14))/360*$C$7*$C$5*$H$14/100)</f>
        <v/>
      </c>
      <c r="K70" s="38" t="str">
        <f ca="1">IF(COUNTIF($AJ$2:AJ1055,A70)=1,VLOOKUP(A70,AM:AN,2), IF(COUNTIF($AJ$2:AJ1055,A70)=0,$D$10,""))</f>
        <v/>
      </c>
      <c r="L70" s="41" t="str">
        <f ca="1">IF(ISERROR(K70-2),"",(K70/$K$14-1)*$D$5)</f>
        <v/>
      </c>
      <c r="M70" s="41" t="str">
        <f ca="1">IF($A70="","",IF(COUNTIFS(Dividends!$G:$G,"&gt;"&amp;INT($A69),Dividends!$G:$G,"&lt;="&amp;INT($A70))=0,"",$Q$2*SUMIFS(Dividends!$H:$H,Dividends!$G:$G,"&gt;"&amp;INT($A69),Dividends!$G:$G,"&lt;="&amp;INT($A70))))</f>
        <v/>
      </c>
      <c r="N70" s="42" t="str">
        <f ca="1">IF(ISERROR(B70-2),"",C70+D70-I70-J70-L70+SUM($M$14:M70))</f>
        <v/>
      </c>
      <c r="O70" s="80" t="str">
        <f t="shared" ca="1" si="5"/>
        <v/>
      </c>
      <c r="P70" s="80"/>
      <c r="Q70" s="87"/>
      <c r="R70" s="87"/>
      <c r="S70" s="87"/>
      <c r="T70" s="108"/>
      <c r="U70" s="87"/>
      <c r="V70" s="108"/>
      <c r="W70" s="87"/>
      <c r="X70" s="87"/>
      <c r="Z70" s="3">
        <v>46149.625</v>
      </c>
      <c r="AA70" s="4">
        <v>91.39</v>
      </c>
      <c r="AB70" s="3">
        <v>46146.625</v>
      </c>
      <c r="AC70" s="4">
        <v>99.343999999999994</v>
      </c>
      <c r="AD70" s="3">
        <v>46143.625</v>
      </c>
      <c r="AE70" s="4">
        <v>284.04199999999997</v>
      </c>
      <c r="AH70" s="3">
        <f>IF(COUNTIF(AB:AB,Z70)*COUNTIF(AD:AD,Z70)*COUNTIF(AF:AF,Z70),Z70,"")</f>
        <v>46149.625</v>
      </c>
      <c r="AI70" s="3">
        <f t="shared" si="6"/>
        <v>46149.625</v>
      </c>
      <c r="AK70" s="3">
        <v>46140</v>
      </c>
      <c r="AL70" s="5">
        <v>263.87139999999999</v>
      </c>
      <c r="AM70" s="3">
        <v>45875</v>
      </c>
      <c r="AN70" s="4">
        <v>240.93029999999999</v>
      </c>
      <c r="AO70" s="74">
        <v>45875</v>
      </c>
      <c r="AP70" s="4">
        <v>275.17599999999999</v>
      </c>
      <c r="AQ70" s="6">
        <f t="shared" si="7"/>
        <v>45875</v>
      </c>
      <c r="AV70" s="7"/>
    </row>
    <row r="71" spans="1:48" x14ac:dyDescent="0.25">
      <c r="A71" s="37" t="str">
        <f ca="1">IF(AND(ISBLANK(AJ60), A70 = $AJ$1),NOW(),IF(ISBLANK(AJ60),"",AJ60))</f>
        <v/>
      </c>
      <c r="B71" s="38" t="str">
        <f ca="1">IF(COUNTIF($AJ$2:AJ1056,A71)=1,VLOOKUP(A71,Z:AA,2), IF(COUNTIF($AJ$2:AJ1056,A71)=0,$B$9,""))</f>
        <v/>
      </c>
      <c r="C71" s="2" t="str">
        <f t="shared" ca="1" si="2"/>
        <v/>
      </c>
      <c r="D71" s="41" t="str">
        <f t="shared" ca="1" si="3"/>
        <v/>
      </c>
      <c r="E71" s="78" t="str">
        <f ca="1">IF(COUNTIF($AJ$2:AJ1056,A71)=1,VLOOKUP(A71,AF:AG,2), IF(COUNTIF($AJ$2:AJ1056,A71)=0,$E$9,""))</f>
        <v/>
      </c>
      <c r="F71" s="91" t="str">
        <f ca="1">IF(COUNTIF($AJ$2:AJ1056,A71)=1,VLOOKUP(A71,AF:AG,2), IF(COUNTIF($AJ$2:AJ1056,A71)=0,$E$9,""))</f>
        <v/>
      </c>
      <c r="G71" s="93" t="str">
        <f t="shared" ca="1" si="4"/>
        <v/>
      </c>
      <c r="H71" s="38" t="str">
        <f ca="1">IF(COUNTIF($AJ$2:AJ1056,A71)=1,VLOOKUP(A71,AB:AC,2), IF(COUNTIF($AJ$2:AJ1056,A71)=0,$C$9,""))</f>
        <v/>
      </c>
      <c r="I71" s="2" t="str">
        <f ca="1">IF(ISERROR(B71-2),"",(H71-$H$14)/100*$C$5)</f>
        <v/>
      </c>
      <c r="J71" s="41" t="str">
        <f ca="1">IF(ISERROR(B71-2),"",(INT(A71)-INT($A$14))/360*$C$6*$C$5-(INT(A71)-INT($A$14))/360*$C$7*$C$5*$H$14/100)</f>
        <v/>
      </c>
      <c r="K71" s="38" t="str">
        <f ca="1">IF(COUNTIF($AJ$2:AJ1056,A71)=1,VLOOKUP(A71,AM:AN,2), IF(COUNTIF($AJ$2:AJ1056,A71)=0,$D$10,""))</f>
        <v/>
      </c>
      <c r="L71" s="41" t="str">
        <f ca="1">IF(ISERROR(K71-2),"",(K71/$K$14-1)*$D$5)</f>
        <v/>
      </c>
      <c r="M71" s="41" t="str">
        <f ca="1">IF($A71="","",IF(COUNTIFS(Dividends!$G:$G,"&gt;"&amp;INT($A70),Dividends!$G:$G,"&lt;="&amp;INT($A71))=0,"",$Q$2*SUMIFS(Dividends!$H:$H,Dividends!$G:$G,"&gt;"&amp;INT($A70),Dividends!$G:$G,"&lt;="&amp;INT($A71))))</f>
        <v/>
      </c>
      <c r="N71" s="42" t="str">
        <f ca="1">IF(ISERROR(B71-2),"",C71+D71-I71-J71-L71+SUM($M$14:M71))</f>
        <v/>
      </c>
      <c r="O71" s="80" t="str">
        <f t="shared" ca="1" si="5"/>
        <v/>
      </c>
      <c r="P71" s="80"/>
      <c r="Q71" s="87"/>
      <c r="R71" s="87"/>
      <c r="S71" s="87"/>
      <c r="T71" s="108"/>
      <c r="U71" s="87"/>
      <c r="V71" s="108"/>
      <c r="W71" s="87"/>
      <c r="X71" s="87"/>
      <c r="Z71" s="3">
        <v>46150.625</v>
      </c>
      <c r="AA71" s="4">
        <v>91.4</v>
      </c>
      <c r="AB71" s="3">
        <v>46147.625</v>
      </c>
      <c r="AC71" s="4">
        <v>99.343000000000004</v>
      </c>
      <c r="AD71" s="3">
        <v>46147.625</v>
      </c>
      <c r="AE71" s="4">
        <v>287.88900000000001</v>
      </c>
      <c r="AH71" s="3">
        <f>IF(COUNTIF(AB:AB,Z71)*COUNTIF(AD:AD,Z71)*COUNTIF(AF:AF,Z71),Z71,"")</f>
        <v>46150.625</v>
      </c>
      <c r="AI71" s="3">
        <f t="shared" si="6"/>
        <v>46150.625</v>
      </c>
      <c r="AK71" s="3">
        <v>46141</v>
      </c>
      <c r="AL71" s="5">
        <v>263.29599999999999</v>
      </c>
      <c r="AM71" s="3">
        <v>45876</v>
      </c>
      <c r="AN71" s="4">
        <v>241.5027</v>
      </c>
      <c r="AO71" s="74">
        <v>45876</v>
      </c>
      <c r="AP71" s="4">
        <v>270.50400000000002</v>
      </c>
      <c r="AQ71" s="6">
        <f t="shared" si="7"/>
        <v>45876</v>
      </c>
      <c r="AV71" s="7"/>
    </row>
    <row r="72" spans="1:48" x14ac:dyDescent="0.25">
      <c r="A72" s="37" t="str">
        <f ca="1">IF(AND(ISBLANK(AJ61), A71 = $AJ$1),NOW(),IF(ISBLANK(AJ61),"",AJ61))</f>
        <v/>
      </c>
      <c r="B72" s="38" t="str">
        <f ca="1">IF(COUNTIF($AJ$2:AJ1057,A72)=1,VLOOKUP(A72,Z:AA,2), IF(COUNTIF($AJ$2:AJ1057,A72)=0,$B$9,""))</f>
        <v/>
      </c>
      <c r="C72" s="2" t="str">
        <f t="shared" ca="1" si="2"/>
        <v/>
      </c>
      <c r="D72" s="41" t="str">
        <f t="shared" ca="1" si="3"/>
        <v/>
      </c>
      <c r="E72" s="78" t="str">
        <f ca="1">IF(COUNTIF($AJ$2:AJ1057,A72)=1,VLOOKUP(A72,AF:AG,2), IF(COUNTIF($AJ$2:AJ1057,A72)=0,$E$9,""))</f>
        <v/>
      </c>
      <c r="F72" s="91" t="str">
        <f ca="1">IF(COUNTIF($AJ$2:AJ1057,A72)=1,VLOOKUP(A72,AF:AG,2), IF(COUNTIF($AJ$2:AJ1057,A72)=0,$E$9,""))</f>
        <v/>
      </c>
      <c r="G72" s="93" t="str">
        <f t="shared" ca="1" si="4"/>
        <v/>
      </c>
      <c r="H72" s="38" t="str">
        <f ca="1">IF(COUNTIF($AJ$2:AJ1057,A72)=1,VLOOKUP(A72,AB:AC,2), IF(COUNTIF($AJ$2:AJ1057,A72)=0,$C$9,""))</f>
        <v/>
      </c>
      <c r="I72" s="2" t="str">
        <f ca="1">IF(ISERROR(B72-2),"",(H72-$H$14)/100*$C$5)</f>
        <v/>
      </c>
      <c r="J72" s="41" t="str">
        <f ca="1">IF(ISERROR(B72-2),"",(INT(A72)-INT($A$14))/360*$C$6*$C$5-(INT(A72)-INT($A$14))/360*$C$7*$C$5*$H$14/100)</f>
        <v/>
      </c>
      <c r="K72" s="38" t="str">
        <f ca="1">IF(COUNTIF($AJ$2:AJ1057,A72)=1,VLOOKUP(A72,AM:AN,2), IF(COUNTIF($AJ$2:AJ1057,A72)=0,$D$10,""))</f>
        <v/>
      </c>
      <c r="L72" s="41" t="str">
        <f ca="1">IF(ISERROR(K72-2),"",(K72/$K$14-1)*$D$5)</f>
        <v/>
      </c>
      <c r="M72" s="41" t="str">
        <f ca="1">IF($A72="","",IF(COUNTIFS(Dividends!$G:$G,"&gt;"&amp;INT($A71),Dividends!$G:$G,"&lt;="&amp;INT($A72))=0,"",$Q$2*SUMIFS(Dividends!$H:$H,Dividends!$G:$G,"&gt;"&amp;INT($A71),Dividends!$G:$G,"&lt;="&amp;INT($A72))))</f>
        <v/>
      </c>
      <c r="N72" s="42" t="str">
        <f ca="1">IF(ISERROR(B72-2),"",C72+D72-I72-J72-L72+SUM($M$14:M72))</f>
        <v/>
      </c>
      <c r="O72" s="80" t="str">
        <f t="shared" ca="1" si="5"/>
        <v/>
      </c>
      <c r="P72" s="80"/>
      <c r="Q72" s="87"/>
      <c r="R72" s="87"/>
      <c r="S72" s="87"/>
      <c r="T72" s="108"/>
      <c r="U72" s="87"/>
      <c r="V72" s="108"/>
      <c r="W72" s="87"/>
      <c r="X72" s="87"/>
      <c r="Z72" s="3">
        <v>46153.625</v>
      </c>
      <c r="AA72" s="4">
        <v>91.44</v>
      </c>
      <c r="AB72" s="3">
        <v>46148.625</v>
      </c>
      <c r="AC72" s="4">
        <v>99.63</v>
      </c>
      <c r="AD72" s="3">
        <v>46148.625</v>
      </c>
      <c r="AE72" s="4">
        <v>275.09699999999998</v>
      </c>
      <c r="AH72" s="3" t="str">
        <f>IF(COUNTIF(AB:AB,Z72)*COUNTIF(AD:AD,Z72)*COUNTIF(AF:AF,Z72),Z72,"")</f>
        <v/>
      </c>
      <c r="AI72" s="3" t="str">
        <f t="shared" si="6"/>
        <v/>
      </c>
      <c r="AK72" s="3">
        <v>46142</v>
      </c>
      <c r="AL72" s="5">
        <v>263.72019999999998</v>
      </c>
      <c r="AM72" s="3">
        <v>45877</v>
      </c>
      <c r="AN72" s="4">
        <v>241.9376</v>
      </c>
      <c r="AO72" s="74">
        <v>45877</v>
      </c>
      <c r="AP72" s="4">
        <v>266.57299999999998</v>
      </c>
      <c r="AQ72" s="6">
        <f t="shared" si="7"/>
        <v>45877</v>
      </c>
      <c r="AV72" s="7"/>
    </row>
    <row r="73" spans="1:48" x14ac:dyDescent="0.25">
      <c r="A73" s="37" t="str">
        <f ca="1">IF(AND(ISBLANK(AJ62), A72 = $AJ$1),NOW(),IF(ISBLANK(AJ62),"",AJ62))</f>
        <v/>
      </c>
      <c r="B73" s="38" t="str">
        <f ca="1">IF(COUNTIF($AJ$2:AJ1058,A73)=1,VLOOKUP(A73,Z:AA,2), IF(COUNTIF($AJ$2:AJ1058,A73)=0,$B$9,""))</f>
        <v/>
      </c>
      <c r="C73" s="2" t="str">
        <f t="shared" ca="1" si="2"/>
        <v/>
      </c>
      <c r="D73" s="41" t="str">
        <f t="shared" ca="1" si="3"/>
        <v/>
      </c>
      <c r="E73" s="78" t="str">
        <f ca="1">IF(COUNTIF($AJ$2:AJ1058,A73)=1,VLOOKUP(A73,AF:AG,2), IF(COUNTIF($AJ$2:AJ1058,A73)=0,$E$9,""))</f>
        <v/>
      </c>
      <c r="F73" s="91" t="str">
        <f ca="1">IF(COUNTIF($AJ$2:AJ1058,A73)=1,VLOOKUP(A73,AF:AG,2), IF(COUNTIF($AJ$2:AJ1058,A73)=0,$E$9,""))</f>
        <v/>
      </c>
      <c r="G73" s="93" t="str">
        <f t="shared" ca="1" si="4"/>
        <v/>
      </c>
      <c r="H73" s="38" t="str">
        <f ca="1">IF(COUNTIF($AJ$2:AJ1058,A73)=1,VLOOKUP(A73,AB:AC,2), IF(COUNTIF($AJ$2:AJ1058,A73)=0,$C$9,""))</f>
        <v/>
      </c>
      <c r="I73" s="2" t="str">
        <f ca="1">IF(ISERROR(B73-2),"",(H73-$H$14)/100*$C$5)</f>
        <v/>
      </c>
      <c r="J73" s="41" t="str">
        <f ca="1">IF(ISERROR(B73-2),"",(INT(A73)-INT($A$14))/360*$C$6*$C$5-(INT(A73)-INT($A$14))/360*$C$7*$C$5*$H$14/100)</f>
        <v/>
      </c>
      <c r="K73" s="38" t="str">
        <f ca="1">IF(COUNTIF($AJ$2:AJ1058,A73)=1,VLOOKUP(A73,AM:AN,2), IF(COUNTIF($AJ$2:AJ1058,A73)=0,$D$10,""))</f>
        <v/>
      </c>
      <c r="L73" s="41" t="str">
        <f ca="1">IF(ISERROR(K73-2),"",(K73/$K$14-1)*$D$5)</f>
        <v/>
      </c>
      <c r="M73" s="41" t="str">
        <f ca="1">IF($A73="","",IF(COUNTIFS(Dividends!$G:$G,"&gt;"&amp;INT($A72),Dividends!$G:$G,"&lt;="&amp;INT($A73))=0,"",$Q$2*SUMIFS(Dividends!$H:$H,Dividends!$G:$G,"&gt;"&amp;INT($A72),Dividends!$G:$G,"&lt;="&amp;INT($A73))))</f>
        <v/>
      </c>
      <c r="N73" s="42" t="str">
        <f ca="1">IF(ISERROR(B73-2),"",C73+D73-I73-J73-L73+SUM($M$14:M73))</f>
        <v/>
      </c>
      <c r="O73" s="80" t="str">
        <f t="shared" ca="1" si="5"/>
        <v/>
      </c>
      <c r="P73" s="80"/>
      <c r="Q73" s="87"/>
      <c r="R73" s="87"/>
      <c r="S73" s="87"/>
      <c r="T73" s="108"/>
      <c r="U73" s="87"/>
      <c r="V73" s="108"/>
      <c r="W73" s="87"/>
      <c r="X73" s="87"/>
      <c r="Z73" s="3">
        <v>46154.625</v>
      </c>
      <c r="AA73" s="4">
        <v>91.28</v>
      </c>
      <c r="AB73" s="3">
        <v>46149.625</v>
      </c>
      <c r="AC73" s="4">
        <v>99.650999999999996</v>
      </c>
      <c r="AD73" s="3">
        <v>46149.625</v>
      </c>
      <c r="AE73" s="4">
        <v>275.04599999999999</v>
      </c>
      <c r="AH73" s="3">
        <f>IF(COUNTIF(AB:AB,Z73)*COUNTIF(AD:AD,Z73)*COUNTIF(AF:AF,Z73),Z73,"")</f>
        <v>46154.625</v>
      </c>
      <c r="AI73" s="3">
        <f t="shared" si="6"/>
        <v>46154.625</v>
      </c>
      <c r="AK73" s="3">
        <v>46143</v>
      </c>
      <c r="AL73" s="5">
        <v>264.85550000000001</v>
      </c>
      <c r="AM73" s="3">
        <v>45880</v>
      </c>
      <c r="AN73" s="4">
        <v>241.95820000000001</v>
      </c>
      <c r="AO73" s="74">
        <v>45880</v>
      </c>
      <c r="AP73" s="4">
        <v>265.935</v>
      </c>
      <c r="AQ73" s="6">
        <f t="shared" si="7"/>
        <v>45880</v>
      </c>
      <c r="AV73" s="7"/>
    </row>
    <row r="74" spans="1:48" x14ac:dyDescent="0.25">
      <c r="A74" s="37" t="str">
        <f ca="1">IF(AND(ISBLANK(AJ63), A73 = $AJ$1),NOW(),IF(ISBLANK(AJ63),"",AJ63))</f>
        <v/>
      </c>
      <c r="B74" s="38" t="str">
        <f ca="1">IF(COUNTIF($AJ$2:AJ1059,A74)=1,VLOOKUP(A74,Z:AA,2), IF(COUNTIF($AJ$2:AJ1059,A74)=0,$B$9,""))</f>
        <v/>
      </c>
      <c r="C74" s="2" t="str">
        <f t="shared" ca="1" si="2"/>
        <v/>
      </c>
      <c r="D74" s="41" t="str">
        <f t="shared" ca="1" si="3"/>
        <v/>
      </c>
      <c r="E74" s="78" t="str">
        <f ca="1">IF(COUNTIF($AJ$2:AJ1059,A74)=1,VLOOKUP(A74,AF:AG,2), IF(COUNTIF($AJ$2:AJ1059,A74)=0,$E$9,""))</f>
        <v/>
      </c>
      <c r="F74" s="91" t="str">
        <f ca="1">IF(COUNTIF($AJ$2:AJ1059,A74)=1,VLOOKUP(A74,AF:AG,2), IF(COUNTIF($AJ$2:AJ1059,A74)=0,$E$9,""))</f>
        <v/>
      </c>
      <c r="G74" s="93" t="str">
        <f t="shared" ca="1" si="4"/>
        <v/>
      </c>
      <c r="H74" s="38" t="str">
        <f ca="1">IF(COUNTIF($AJ$2:AJ1059,A74)=1,VLOOKUP(A74,AB:AC,2), IF(COUNTIF($AJ$2:AJ1059,A74)=0,$C$9,""))</f>
        <v/>
      </c>
      <c r="I74" s="2" t="str">
        <f ca="1">IF(ISERROR(B74-2),"",(H74-$H$14)/100*$C$5)</f>
        <v/>
      </c>
      <c r="J74" s="41" t="str">
        <f ca="1">IF(ISERROR(B74-2),"",(INT(A74)-INT($A$14))/360*$C$6*$C$5-(INT(A74)-INT($A$14))/360*$C$7*$C$5*$H$14/100)</f>
        <v/>
      </c>
      <c r="K74" s="38" t="str">
        <f ca="1">IF(COUNTIF($AJ$2:AJ1059,A74)=1,VLOOKUP(A74,AM:AN,2), IF(COUNTIF($AJ$2:AJ1059,A74)=0,$D$10,""))</f>
        <v/>
      </c>
      <c r="L74" s="41" t="str">
        <f ca="1">IF(ISERROR(K74-2),"",(K74/$K$14-1)*$D$5)</f>
        <v/>
      </c>
      <c r="M74" s="41" t="str">
        <f ca="1">IF($A74="","",IF(COUNTIFS(Dividends!$G:$G,"&gt;"&amp;INT($A73),Dividends!$G:$G,"&lt;="&amp;INT($A74))=0,"",$Q$2*SUMIFS(Dividends!$H:$H,Dividends!$G:$G,"&gt;"&amp;INT($A73),Dividends!$G:$G,"&lt;="&amp;INT($A74))))</f>
        <v/>
      </c>
      <c r="N74" s="42" t="str">
        <f ca="1">IF(ISERROR(B74-2),"",C74+D74-I74-J74-L74+SUM($M$14:M74))</f>
        <v/>
      </c>
      <c r="O74" s="80" t="str">
        <f t="shared" ca="1" si="5"/>
        <v/>
      </c>
      <c r="P74" s="80"/>
      <c r="Q74" s="87"/>
      <c r="R74" s="87"/>
      <c r="S74" s="87"/>
      <c r="T74" s="108"/>
      <c r="U74" s="87"/>
      <c r="V74" s="108"/>
      <c r="W74" s="87"/>
      <c r="X74" s="87"/>
      <c r="Z74" s="3">
        <v>46155.625</v>
      </c>
      <c r="AA74" s="4">
        <v>91.31</v>
      </c>
      <c r="AB74" s="3">
        <v>46150.625</v>
      </c>
      <c r="AC74" s="4">
        <v>99.58</v>
      </c>
      <c r="AD74" s="3">
        <v>46150.625</v>
      </c>
      <c r="AE74" s="4">
        <v>277.74599999999998</v>
      </c>
      <c r="AH74" s="3">
        <f>IF(COUNTIF(AB:AB,Z74)*COUNTIF(AD:AD,Z74)*COUNTIF(AF:AF,Z74),Z74,"")</f>
        <v>46155.625</v>
      </c>
      <c r="AI74" s="3">
        <f t="shared" si="6"/>
        <v>46155.625</v>
      </c>
      <c r="AK74" s="3">
        <v>46147</v>
      </c>
      <c r="AL74" s="5">
        <v>264.5573</v>
      </c>
      <c r="AM74" s="3">
        <v>45881</v>
      </c>
      <c r="AN74" s="4">
        <v>242.30109999999999</v>
      </c>
      <c r="AO74" s="74">
        <v>45881</v>
      </c>
      <c r="AP74" s="4">
        <v>263.49</v>
      </c>
      <c r="AQ74" s="6">
        <f t="shared" si="7"/>
        <v>45881</v>
      </c>
      <c r="AV74" s="7"/>
    </row>
    <row r="75" spans="1:48" x14ac:dyDescent="0.25">
      <c r="A75" s="37" t="str">
        <f ca="1">IF(AND(ISBLANK(AJ64), A74 = $AJ$1),NOW(),IF(ISBLANK(AJ64),"",AJ64))</f>
        <v/>
      </c>
      <c r="B75" s="38" t="str">
        <f ca="1">IF(COUNTIF($AJ$2:AJ1060,A75)=1,VLOOKUP(A75,Z:AA,2), IF(COUNTIF($AJ$2:AJ1060,A75)=0,$B$9,""))</f>
        <v/>
      </c>
      <c r="C75" s="2" t="str">
        <f t="shared" ca="1" si="2"/>
        <v/>
      </c>
      <c r="D75" s="41" t="str">
        <f t="shared" ca="1" si="3"/>
        <v/>
      </c>
      <c r="E75" s="78" t="str">
        <f ca="1">IF(COUNTIF($AJ$2:AJ1060,A75)=1,VLOOKUP(A75,AF:AG,2), IF(COUNTIF($AJ$2:AJ1060,A75)=0,$E$9,""))</f>
        <v/>
      </c>
      <c r="F75" s="91" t="str">
        <f ca="1">IF(COUNTIF($AJ$2:AJ1060,A75)=1,VLOOKUP(A75,AF:AG,2), IF(COUNTIF($AJ$2:AJ1060,A75)=0,$E$9,""))</f>
        <v/>
      </c>
      <c r="G75" s="93" t="str">
        <f t="shared" ca="1" si="4"/>
        <v/>
      </c>
      <c r="H75" s="38" t="str">
        <f ca="1">IF(COUNTIF($AJ$2:AJ1060,A75)=1,VLOOKUP(A75,AB:AC,2), IF(COUNTIF($AJ$2:AJ1060,A75)=0,$C$9,""))</f>
        <v/>
      </c>
      <c r="I75" s="2" t="str">
        <f ca="1">IF(ISERROR(B75-2),"",(H75-$H$14)/100*$C$5)</f>
        <v/>
      </c>
      <c r="J75" s="41" t="str">
        <f ca="1">IF(ISERROR(B75-2),"",(INT(A75)-INT($A$14))/360*$C$6*$C$5-(INT(A75)-INT($A$14))/360*$C$7*$C$5*$H$14/100)</f>
        <v/>
      </c>
      <c r="K75" s="38" t="str">
        <f ca="1">IF(COUNTIF($AJ$2:AJ1060,A75)=1,VLOOKUP(A75,AM:AN,2), IF(COUNTIF($AJ$2:AJ1060,A75)=0,$D$10,""))</f>
        <v/>
      </c>
      <c r="L75" s="41" t="str">
        <f ca="1">IF(ISERROR(K75-2),"",(K75/$K$14-1)*$D$5)</f>
        <v/>
      </c>
      <c r="M75" s="41" t="str">
        <f ca="1">IF($A75="","",IF(COUNTIFS(Dividends!$G:$G,"&gt;"&amp;INT($A74),Dividends!$G:$G,"&lt;="&amp;INT($A75))=0,"",$Q$2*SUMIFS(Dividends!$H:$H,Dividends!$G:$G,"&gt;"&amp;INT($A74),Dividends!$G:$G,"&lt;="&amp;INT($A75))))</f>
        <v/>
      </c>
      <c r="N75" s="42" t="str">
        <f ca="1">IF(ISERROR(B75-2),"",C75+D75-I75-J75-L75+SUM($M$14:M75))</f>
        <v/>
      </c>
      <c r="O75" s="80" t="str">
        <f t="shared" ca="1" si="5"/>
        <v/>
      </c>
      <c r="P75" s="80"/>
      <c r="Q75" s="87"/>
      <c r="R75" s="87"/>
      <c r="S75" s="87"/>
      <c r="T75" s="108"/>
      <c r="U75" s="87"/>
      <c r="V75" s="108"/>
      <c r="W75" s="87"/>
      <c r="X75" s="87"/>
      <c r="Z75" s="3">
        <v>46156.625</v>
      </c>
      <c r="AA75" s="4">
        <v>91.4</v>
      </c>
      <c r="AB75" s="3">
        <v>46153.625</v>
      </c>
      <c r="AC75" s="4">
        <v>99.436999999999998</v>
      </c>
      <c r="AD75" s="3">
        <v>46153.625</v>
      </c>
      <c r="AE75" s="4">
        <v>277.33600000000001</v>
      </c>
      <c r="AH75" s="3" t="str">
        <f>IF(COUNTIF(AB:AB,Z75)*COUNTIF(AD:AD,Z75)*COUNTIF(AF:AF,Z75),Z75,"")</f>
        <v/>
      </c>
      <c r="AI75" s="3" t="str">
        <f t="shared" si="6"/>
        <v/>
      </c>
      <c r="AK75" s="3">
        <v>46148</v>
      </c>
      <c r="AL75" s="5">
        <v>266.11750000000001</v>
      </c>
      <c r="AM75" s="3">
        <v>45882</v>
      </c>
      <c r="AN75" s="4">
        <v>242.66040000000001</v>
      </c>
      <c r="AO75" s="74">
        <v>45882</v>
      </c>
      <c r="AP75" s="4">
        <v>261.18700000000001</v>
      </c>
      <c r="AQ75" s="6">
        <f t="shared" si="7"/>
        <v>45882</v>
      </c>
      <c r="AV75" s="7"/>
    </row>
    <row r="76" spans="1:48" x14ac:dyDescent="0.25">
      <c r="A76" s="37" t="str">
        <f ca="1">IF(AND(ISBLANK(AJ65), A75 = $AJ$1),NOW(),IF(ISBLANK(AJ65),"",AJ65))</f>
        <v/>
      </c>
      <c r="B76" s="38" t="str">
        <f ca="1">IF(COUNTIF($AJ$2:AJ1061,A76)=1,VLOOKUP(A76,Z:AA,2), IF(COUNTIF($AJ$2:AJ1061,A76)=0,$B$9,""))</f>
        <v/>
      </c>
      <c r="C76" s="2" t="str">
        <f t="shared" ca="1" si="2"/>
        <v/>
      </c>
      <c r="D76" s="41" t="str">
        <f t="shared" ca="1" si="3"/>
        <v/>
      </c>
      <c r="E76" s="78" t="str">
        <f ca="1">IF(COUNTIF($AJ$2:AJ1061,A76)=1,VLOOKUP(A76,AF:AG,2), IF(COUNTIF($AJ$2:AJ1061,A76)=0,$E$9,""))</f>
        <v/>
      </c>
      <c r="F76" s="91" t="str">
        <f ca="1">IF(COUNTIF($AJ$2:AJ1061,A76)=1,VLOOKUP(A76,AF:AG,2), IF(COUNTIF($AJ$2:AJ1061,A76)=0,$E$9,""))</f>
        <v/>
      </c>
      <c r="G76" s="93" t="str">
        <f t="shared" ca="1" si="4"/>
        <v/>
      </c>
      <c r="H76" s="38" t="str">
        <f ca="1">IF(COUNTIF($AJ$2:AJ1061,A76)=1,VLOOKUP(A76,AB:AC,2), IF(COUNTIF($AJ$2:AJ1061,A76)=0,$C$9,""))</f>
        <v/>
      </c>
      <c r="I76" s="2" t="str">
        <f ca="1">IF(ISERROR(B76-2),"",(H76-$H$14)/100*$C$5)</f>
        <v/>
      </c>
      <c r="J76" s="41" t="str">
        <f ca="1">IF(ISERROR(B76-2),"",(INT(A76)-INT($A$14))/360*$C$6*$C$5-(INT(A76)-INT($A$14))/360*$C$7*$C$5*$H$14/100)</f>
        <v/>
      </c>
      <c r="K76" s="38" t="str">
        <f ca="1">IF(COUNTIF($AJ$2:AJ1061,A76)=1,VLOOKUP(A76,AM:AN,2), IF(COUNTIF($AJ$2:AJ1061,A76)=0,$D$10,""))</f>
        <v/>
      </c>
      <c r="L76" s="41" t="str">
        <f ca="1">IF(ISERROR(K76-2),"",(K76/$K$14-1)*$D$5)</f>
        <v/>
      </c>
      <c r="M76" s="41" t="str">
        <f ca="1">IF($A76="","",IF(COUNTIFS(Dividends!$G:$G,"&gt;"&amp;INT($A75),Dividends!$G:$G,"&lt;="&amp;INT($A76))=0,"",$Q$2*SUMIFS(Dividends!$H:$H,Dividends!$G:$G,"&gt;"&amp;INT($A75),Dividends!$G:$G,"&lt;="&amp;INT($A76))))</f>
        <v/>
      </c>
      <c r="N76" s="42" t="str">
        <f ca="1">IF(ISERROR(B76-2),"",C76+D76-I76-J76-L76+SUM($M$14:M76))</f>
        <v/>
      </c>
      <c r="O76" s="80" t="str">
        <f t="shared" ca="1" si="5"/>
        <v/>
      </c>
      <c r="P76" s="80"/>
      <c r="Q76" s="87"/>
      <c r="R76" s="87"/>
      <c r="S76" s="87"/>
      <c r="T76" s="108"/>
      <c r="U76" s="87"/>
      <c r="V76" s="108"/>
      <c r="W76" s="87"/>
      <c r="X76" s="87"/>
      <c r="Z76" s="3">
        <v>46157.625</v>
      </c>
      <c r="AA76" s="4">
        <v>91.28</v>
      </c>
      <c r="AB76" s="3">
        <v>46154.625</v>
      </c>
      <c r="AC76" s="4">
        <v>99.322999999999993</v>
      </c>
      <c r="AD76" s="3">
        <v>46154.625</v>
      </c>
      <c r="AE76" s="4">
        <v>283.721</v>
      </c>
      <c r="AH76" s="3">
        <f>IF(COUNTIF(AB:AB,Z76)*COUNTIF(AD:AD,Z76)*COUNTIF(AF:AF,Z76),Z76,"")</f>
        <v>46157.625</v>
      </c>
      <c r="AI76" s="3">
        <f t="shared" si="6"/>
        <v>46157.625</v>
      </c>
      <c r="AK76" s="3">
        <v>46149</v>
      </c>
      <c r="AL76" s="5">
        <v>265.79050000000001</v>
      </c>
      <c r="AM76" s="3">
        <v>45883</v>
      </c>
      <c r="AN76" s="4">
        <v>242.72069999999999</v>
      </c>
      <c r="AO76" s="74">
        <v>45883</v>
      </c>
      <c r="AP76" s="4">
        <v>260.53300000000002</v>
      </c>
      <c r="AQ76" s="6">
        <f t="shared" si="7"/>
        <v>45883</v>
      </c>
      <c r="AV76" s="7"/>
    </row>
    <row r="77" spans="1:48" x14ac:dyDescent="0.25">
      <c r="A77" s="37" t="str">
        <f ca="1">IF(AND(ISBLANK(AJ66), A76 = $AJ$1),NOW(),IF(ISBLANK(AJ66),"",AJ66))</f>
        <v/>
      </c>
      <c r="B77" s="38" t="str">
        <f ca="1">IF(COUNTIF($AJ$2:AJ1062,A77)=1,VLOOKUP(A77,Z:AA,2), IF(COUNTIF($AJ$2:AJ1062,A77)=0,$B$9,""))</f>
        <v/>
      </c>
      <c r="C77" s="2" t="str">
        <f t="shared" ca="1" si="2"/>
        <v/>
      </c>
      <c r="D77" s="41" t="str">
        <f t="shared" ca="1" si="3"/>
        <v/>
      </c>
      <c r="E77" s="78" t="str">
        <f ca="1">IF(COUNTIF($AJ$2:AJ1062,A77)=1,VLOOKUP(A77,AF:AG,2), IF(COUNTIF($AJ$2:AJ1062,A77)=0,$E$9,""))</f>
        <v/>
      </c>
      <c r="F77" s="91" t="str">
        <f ca="1">IF(COUNTIF($AJ$2:AJ1062,A77)=1,VLOOKUP(A77,AF:AG,2), IF(COUNTIF($AJ$2:AJ1062,A77)=0,$E$9,""))</f>
        <v/>
      </c>
      <c r="G77" s="93" t="str">
        <f t="shared" ca="1" si="4"/>
        <v/>
      </c>
      <c r="H77" s="38" t="str">
        <f ca="1">IF(COUNTIF($AJ$2:AJ1062,A77)=1,VLOOKUP(A77,AB:AC,2), IF(COUNTIF($AJ$2:AJ1062,A77)=0,$C$9,""))</f>
        <v/>
      </c>
      <c r="I77" s="2" t="str">
        <f ca="1">IF(ISERROR(B77-2),"",(H77-$H$14)/100*$C$5)</f>
        <v/>
      </c>
      <c r="J77" s="41" t="str">
        <f ca="1">IF(ISERROR(B77-2),"",(INT(A77)-INT($A$14))/360*$C$6*$C$5-(INT(A77)-INT($A$14))/360*$C$7*$C$5*$H$14/100)</f>
        <v/>
      </c>
      <c r="K77" s="38" t="str">
        <f ca="1">IF(COUNTIF($AJ$2:AJ1062,A77)=1,VLOOKUP(A77,AM:AN,2), IF(COUNTIF($AJ$2:AJ1062,A77)=0,$D$10,""))</f>
        <v/>
      </c>
      <c r="L77" s="41" t="str">
        <f ca="1">IF(ISERROR(K77-2),"",(K77/$K$14-1)*$D$5)</f>
        <v/>
      </c>
      <c r="M77" s="41" t="str">
        <f ca="1">IF($A77="","",IF(COUNTIFS(Dividends!$G:$G,"&gt;"&amp;INT($A76),Dividends!$G:$G,"&lt;="&amp;INT($A77))=0,"",$Q$2*SUMIFS(Dividends!$H:$H,Dividends!$G:$G,"&gt;"&amp;INT($A76),Dividends!$G:$G,"&lt;="&amp;INT($A77))))</f>
        <v/>
      </c>
      <c r="N77" s="42" t="str">
        <f ca="1">IF(ISERROR(B77-2),"",C77+D77-I77-J77-L77+SUM($M$14:M77))</f>
        <v/>
      </c>
      <c r="O77" s="80" t="str">
        <f t="shared" ca="1" si="5"/>
        <v/>
      </c>
      <c r="P77" s="80"/>
      <c r="Q77" s="87"/>
      <c r="R77" s="87"/>
      <c r="S77" s="87"/>
      <c r="T77" s="108"/>
      <c r="U77" s="87"/>
      <c r="V77" s="108"/>
      <c r="W77" s="87"/>
      <c r="X77" s="87"/>
      <c r="Z77" s="3">
        <v>46160.625</v>
      </c>
      <c r="AA77" s="4">
        <v>91.22</v>
      </c>
      <c r="AB77" s="3">
        <v>46155.625</v>
      </c>
      <c r="AC77" s="4">
        <v>99.292000000000002</v>
      </c>
      <c r="AD77" s="3">
        <v>46155.625</v>
      </c>
      <c r="AE77" s="4">
        <v>280.03899999999999</v>
      </c>
      <c r="AH77" s="3" t="str">
        <f>IF(COUNTIF(AB:AB,Z77)*COUNTIF(AD:AD,Z77)*COUNTIF(AF:AF,Z77),Z77,"")</f>
        <v/>
      </c>
      <c r="AI77" s="3" t="str">
        <f t="shared" si="6"/>
        <v/>
      </c>
      <c r="AK77" s="3">
        <v>46150</v>
      </c>
      <c r="AL77" s="5">
        <v>265.83870000000002</v>
      </c>
      <c r="AM77" s="3">
        <v>45884</v>
      </c>
      <c r="AN77" s="4">
        <v>242.86539999999999</v>
      </c>
      <c r="AO77" s="74">
        <v>45884</v>
      </c>
      <c r="AP77" s="4">
        <v>259.50799999999998</v>
      </c>
      <c r="AQ77" s="6">
        <f t="shared" si="7"/>
        <v>45884</v>
      </c>
      <c r="AV77" s="7"/>
    </row>
    <row r="78" spans="1:48" x14ac:dyDescent="0.25">
      <c r="A78" s="37" t="str">
        <f ca="1">IF(AND(ISBLANK(AJ67), A77 = $AJ$1),NOW(),IF(ISBLANK(AJ67),"",AJ67))</f>
        <v/>
      </c>
      <c r="B78" s="38" t="str">
        <f ca="1">IF(COUNTIF($AJ$2:AJ1063,A78)=1,VLOOKUP(A78,Z:AA,2), IF(COUNTIF($AJ$2:AJ1063,A78)=0,$B$9,""))</f>
        <v/>
      </c>
      <c r="C78" s="2" t="str">
        <f t="shared" ca="1" si="2"/>
        <v/>
      </c>
      <c r="D78" s="41" t="str">
        <f t="shared" ca="1" si="3"/>
        <v/>
      </c>
      <c r="E78" s="78" t="str">
        <f ca="1">IF(COUNTIF($AJ$2:AJ1063,A78)=1,VLOOKUP(A78,AF:AG,2), IF(COUNTIF($AJ$2:AJ1063,A78)=0,$E$9,""))</f>
        <v/>
      </c>
      <c r="F78" s="91" t="str">
        <f ca="1">IF(COUNTIF($AJ$2:AJ1063,A78)=1,VLOOKUP(A78,AF:AG,2), IF(COUNTIF($AJ$2:AJ1063,A78)=0,$E$9,""))</f>
        <v/>
      </c>
      <c r="G78" s="93" t="str">
        <f t="shared" ca="1" si="4"/>
        <v/>
      </c>
      <c r="H78" s="38" t="str">
        <f ca="1">IF(COUNTIF($AJ$2:AJ1063,A78)=1,VLOOKUP(A78,AB:AC,2), IF(COUNTIF($AJ$2:AJ1063,A78)=0,$C$9,""))</f>
        <v/>
      </c>
      <c r="I78" s="2" t="str">
        <f ca="1">IF(ISERROR(B78-2),"",(H78-$H$14)/100*$C$5)</f>
        <v/>
      </c>
      <c r="J78" s="41" t="str">
        <f ca="1">IF(ISERROR(B78-2),"",(INT(A78)-INT($A$14))/360*$C$6*$C$5-(INT(A78)-INT($A$14))/360*$C$7*$C$5*$H$14/100)</f>
        <v/>
      </c>
      <c r="K78" s="38" t="str">
        <f ca="1">IF(COUNTIF($AJ$2:AJ1063,A78)=1,VLOOKUP(A78,AM:AN,2), IF(COUNTIF($AJ$2:AJ1063,A78)=0,$D$10,""))</f>
        <v/>
      </c>
      <c r="L78" s="41" t="str">
        <f ca="1">IF(ISERROR(K78-2),"",(K78/$K$14-1)*$D$5)</f>
        <v/>
      </c>
      <c r="M78" s="41" t="str">
        <f ca="1">IF($A78="","",IF(COUNTIFS(Dividends!$G:$G,"&gt;"&amp;INT($A77),Dividends!$G:$G,"&lt;="&amp;INT($A78))=0,"",$Q$2*SUMIFS(Dividends!$H:$H,Dividends!$G:$G,"&gt;"&amp;INT($A77),Dividends!$G:$G,"&lt;="&amp;INT($A78))))</f>
        <v/>
      </c>
      <c r="N78" s="42" t="str">
        <f ca="1">IF(ISERROR(B78-2),"",C78+D78-I78-J78-L78+SUM($M$14:M78))</f>
        <v/>
      </c>
      <c r="O78" s="80" t="str">
        <f t="shared" ca="1" si="5"/>
        <v/>
      </c>
      <c r="P78" s="80"/>
      <c r="Q78" s="87"/>
      <c r="R78" s="87"/>
      <c r="S78" s="87"/>
      <c r="T78" s="108"/>
      <c r="U78" s="87"/>
      <c r="V78" s="108"/>
      <c r="W78" s="87"/>
      <c r="X78" s="87"/>
      <c r="Z78" s="3">
        <v>46161.625</v>
      </c>
      <c r="AA78" s="4">
        <v>90.83</v>
      </c>
      <c r="AB78" s="3">
        <v>46156.625</v>
      </c>
      <c r="AC78" s="4">
        <v>99.430999999999997</v>
      </c>
      <c r="AD78" s="3">
        <v>46156.625</v>
      </c>
      <c r="AE78" s="4">
        <v>274.584</v>
      </c>
      <c r="AH78" s="3">
        <f>IF(COUNTIF(AB:AB,Z78)*COUNTIF(AD:AD,Z78)*COUNTIF(AF:AF,Z78),Z78,"")</f>
        <v>46161.625</v>
      </c>
      <c r="AI78" s="3">
        <f t="shared" si="6"/>
        <v>46161.625</v>
      </c>
      <c r="AK78" s="3">
        <v>46153</v>
      </c>
      <c r="AL78" s="5">
        <v>266.14510000000001</v>
      </c>
      <c r="AM78" s="3">
        <v>45887</v>
      </c>
      <c r="AN78" s="4">
        <v>242.83189999999999</v>
      </c>
      <c r="AO78" s="74">
        <v>45887</v>
      </c>
      <c r="AP78" s="4">
        <v>259.964</v>
      </c>
      <c r="AQ78" s="6">
        <f t="shared" si="7"/>
        <v>45887</v>
      </c>
    </row>
    <row r="79" spans="1:48" x14ac:dyDescent="0.25">
      <c r="A79" s="37" t="str">
        <f ca="1">IF(AND(ISBLANK(AJ68), A78 = $AJ$1),NOW(),IF(ISBLANK(AJ68),"",AJ68))</f>
        <v/>
      </c>
      <c r="B79" s="38" t="str">
        <f ca="1">IF(COUNTIF($AJ$2:AJ1064,A79)=1,VLOOKUP(A79,Z:AA,2), IF(COUNTIF($AJ$2:AJ1064,A79)=0,$B$9,""))</f>
        <v/>
      </c>
      <c r="C79" s="2" t="str">
        <f t="shared" ca="1" si="2"/>
        <v/>
      </c>
      <c r="D79" s="41" t="str">
        <f t="shared" ca="1" si="3"/>
        <v/>
      </c>
      <c r="E79" s="78" t="str">
        <f ca="1">IF(COUNTIF($AJ$2:AJ1064,A79)=1,VLOOKUP(A79,AF:AG,2), IF(COUNTIF($AJ$2:AJ1064,A79)=0,$E$9,""))</f>
        <v/>
      </c>
      <c r="F79" s="91" t="str">
        <f ca="1">IF(COUNTIF($AJ$2:AJ1064,A79)=1,VLOOKUP(A79,AF:AG,2), IF(COUNTIF($AJ$2:AJ1064,A79)=0,$E$9,""))</f>
        <v/>
      </c>
      <c r="G79" s="93" t="str">
        <f t="shared" ca="1" si="4"/>
        <v/>
      </c>
      <c r="H79" s="38" t="str">
        <f ca="1">IF(COUNTIF($AJ$2:AJ1064,A79)=1,VLOOKUP(A79,AB:AC,2), IF(COUNTIF($AJ$2:AJ1064,A79)=0,$C$9,""))</f>
        <v/>
      </c>
      <c r="I79" s="2" t="str">
        <f ca="1">IF(ISERROR(B79-2),"",(H79-$H$14)/100*$C$5)</f>
        <v/>
      </c>
      <c r="J79" s="41" t="str">
        <f ca="1">IF(ISERROR(B79-2),"",(INT(A79)-INT($A$14))/360*$C$6*$C$5-(INT(A79)-INT($A$14))/360*$C$7*$C$5*$H$14/100)</f>
        <v/>
      </c>
      <c r="K79" s="38" t="str">
        <f ca="1">IF(COUNTIF($AJ$2:AJ1064,A79)=1,VLOOKUP(A79,AM:AN,2), IF(COUNTIF($AJ$2:AJ1064,A79)=0,$D$10,""))</f>
        <v/>
      </c>
      <c r="L79" s="41" t="str">
        <f ca="1">IF(ISERROR(K79-2),"",(K79/$K$14-1)*$D$5)</f>
        <v/>
      </c>
      <c r="M79" s="41" t="str">
        <f ca="1">IF($A79="","",IF(COUNTIFS(Dividends!$G:$G,"&gt;"&amp;INT($A78),Dividends!$G:$G,"&lt;="&amp;INT($A79))=0,"",$Q$2*SUMIFS(Dividends!$H:$H,Dividends!$G:$G,"&gt;"&amp;INT($A78),Dividends!$G:$G,"&lt;="&amp;INT($A79))))</f>
        <v/>
      </c>
      <c r="N79" s="42" t="str">
        <f ca="1">IF(ISERROR(B79-2),"",C79+D79-I79-J79-L79+SUM($M$14:M79))</f>
        <v/>
      </c>
      <c r="O79" s="80" t="str">
        <f t="shared" ca="1" si="5"/>
        <v/>
      </c>
      <c r="P79" s="80"/>
      <c r="Q79" s="87"/>
      <c r="R79" s="87"/>
      <c r="S79" s="87"/>
      <c r="T79" s="108"/>
      <c r="U79" s="87"/>
      <c r="V79" s="108"/>
      <c r="W79" s="87"/>
      <c r="X79" s="87"/>
      <c r="Z79" s="3">
        <v>46162.625</v>
      </c>
      <c r="AA79" s="4">
        <v>91.06</v>
      </c>
      <c r="AB79" s="3">
        <v>46157.625</v>
      </c>
      <c r="AC79" s="4">
        <v>99.259</v>
      </c>
      <c r="AD79" s="3">
        <v>46157.625</v>
      </c>
      <c r="AE79" s="4">
        <v>280.37200000000001</v>
      </c>
      <c r="AH79" s="3">
        <f>IF(COUNTIF(AB:AB,Z79)*COUNTIF(AD:AD,Z79)*COUNTIF(AF:AF,Z79),Z79,"")</f>
        <v>46162.625</v>
      </c>
      <c r="AI79" s="3">
        <f t="shared" si="6"/>
        <v>46162.625</v>
      </c>
      <c r="AK79" s="3">
        <v>46154</v>
      </c>
      <c r="AL79" s="5">
        <v>265.19240000000002</v>
      </c>
      <c r="AM79" s="3">
        <v>45888</v>
      </c>
      <c r="AN79" s="4">
        <v>242.8905</v>
      </c>
      <c r="AO79" s="74">
        <v>45888</v>
      </c>
      <c r="AP79" s="4">
        <v>260.928</v>
      </c>
      <c r="AQ79" s="6">
        <f t="shared" si="7"/>
        <v>45888</v>
      </c>
    </row>
    <row r="80" spans="1:48" x14ac:dyDescent="0.25">
      <c r="A80" s="37" t="str">
        <f ca="1">IF(AND(ISBLANK(AJ69), A79 = $AJ$1),NOW(),IF(ISBLANK(AJ69),"",AJ69))</f>
        <v/>
      </c>
      <c r="B80" s="38" t="str">
        <f ca="1">IF(COUNTIF($AJ$2:AJ1065,A80)=1,VLOOKUP(A80,Z:AA,2), IF(COUNTIF($AJ$2:AJ1065,A80)=0,$B$9,""))</f>
        <v/>
      </c>
      <c r="C80" s="2" t="str">
        <f t="shared" ref="C80:C143" ca="1" si="8">IF(ISERROR(B80-2),"",(B80/$B$14-1)*$B$5)</f>
        <v/>
      </c>
      <c r="D80" s="41" t="str">
        <f t="shared" ref="D80:D143" ca="1" si="9">IF(ISERROR(B80-2),"",-1*(INT(A80)-INT($A$14))/360*$B$7*$B$5)</f>
        <v/>
      </c>
      <c r="E80" s="78" t="str">
        <f ca="1">IF(COUNTIF($AJ$2:AJ1065,A80)=1,VLOOKUP(A80,AF:AG,2), IF(COUNTIF($AJ$2:AJ1065,A80)=0,$E$9,""))</f>
        <v/>
      </c>
      <c r="F80" s="91" t="str">
        <f ca="1">IF(COUNTIF($AJ$2:AJ1065,A80)=1,VLOOKUP(A80,AF:AG,2), IF(COUNTIF($AJ$2:AJ1065,A80)=0,$E$9,""))</f>
        <v/>
      </c>
      <c r="G80" s="93" t="str">
        <f t="shared" ref="G80:G143" ca="1" si="10">IF(ISERROR(B80-2),"",(E80-$E$14)*$H$3*$J$3)</f>
        <v/>
      </c>
      <c r="H80" s="38" t="str">
        <f ca="1">IF(COUNTIF($AJ$2:AJ1065,A80)=1,VLOOKUP(A80,AB:AC,2), IF(COUNTIF($AJ$2:AJ1065,A80)=0,$C$9,""))</f>
        <v/>
      </c>
      <c r="I80" s="2" t="str">
        <f ca="1">IF(ISERROR(B80-2),"",(H80-$H$14)/100*$C$5)</f>
        <v/>
      </c>
      <c r="J80" s="41" t="str">
        <f ca="1">IF(ISERROR(B80-2),"",(INT(A80)-INT($A$14))/360*$C$6*$C$5-(INT(A80)-INT($A$14))/360*$C$7*$C$5*$H$14/100)</f>
        <v/>
      </c>
      <c r="K80" s="38" t="str">
        <f ca="1">IF(COUNTIF($AJ$2:AJ1065,A80)=1,VLOOKUP(A80,AM:AN,2), IF(COUNTIF($AJ$2:AJ1065,A80)=0,$D$10,""))</f>
        <v/>
      </c>
      <c r="L80" s="41" t="str">
        <f ca="1">IF(ISERROR(K80-2),"",(K80/$K$14-1)*$D$5)</f>
        <v/>
      </c>
      <c r="M80" s="41" t="str">
        <f ca="1">IF($A80="","",IF(COUNTIFS(Dividends!$G:$G,"&gt;"&amp;INT($A79),Dividends!$G:$G,"&lt;="&amp;INT($A80))=0,"",$Q$2*SUMIFS(Dividends!$H:$H,Dividends!$G:$G,"&gt;"&amp;INT($A79),Dividends!$G:$G,"&lt;="&amp;INT($A80))))</f>
        <v/>
      </c>
      <c r="N80" s="42" t="str">
        <f ca="1">IF(ISERROR(B80-2),"",C80+D80-I80-J80-L80+SUM($M$14:M80))</f>
        <v/>
      </c>
      <c r="O80" s="80" t="str">
        <f t="shared" ref="O80:O143" ca="1" si="11">IF(ISERROR(B80-2),"",G80-I80-J80-L80)</f>
        <v/>
      </c>
      <c r="P80" s="80"/>
      <c r="Q80" s="87"/>
      <c r="R80" s="87"/>
      <c r="S80" s="87"/>
      <c r="T80" s="108"/>
      <c r="U80" s="87"/>
      <c r="V80" s="108"/>
      <c r="W80" s="87"/>
      <c r="X80" s="87"/>
      <c r="Z80" s="3">
        <v>46163.625</v>
      </c>
      <c r="AA80" s="4">
        <v>91.15</v>
      </c>
      <c r="AB80" s="3">
        <v>46160.625</v>
      </c>
      <c r="AC80" s="4">
        <v>99.296000000000006</v>
      </c>
      <c r="AD80" s="3">
        <v>46160.625</v>
      </c>
      <c r="AE80" s="4">
        <v>279.00200000000001</v>
      </c>
      <c r="AH80" s="3">
        <f>IF(COUNTIF(AB:AB,Z80)*COUNTIF(AD:AD,Z80)*COUNTIF(AF:AF,Z80),Z80,"")</f>
        <v>46163.625</v>
      </c>
      <c r="AI80" s="3">
        <f t="shared" si="6"/>
        <v>46163.625</v>
      </c>
      <c r="AK80" s="3">
        <v>46155</v>
      </c>
      <c r="AL80" s="5">
        <v>265.76659999999998</v>
      </c>
      <c r="AM80" s="3">
        <v>45889</v>
      </c>
      <c r="AN80" s="4">
        <v>242.38249999999999</v>
      </c>
      <c r="AO80" s="74">
        <v>45889</v>
      </c>
      <c r="AP80" s="4">
        <v>265.03500000000003</v>
      </c>
      <c r="AQ80" s="6">
        <f t="shared" si="7"/>
        <v>45889</v>
      </c>
    </row>
    <row r="81" spans="1:43" x14ac:dyDescent="0.25">
      <c r="A81" s="37" t="str">
        <f ca="1">IF(AND(ISBLANK(AJ70), A80 = $AJ$1),NOW(),IF(ISBLANK(AJ70),"",AJ70))</f>
        <v/>
      </c>
      <c r="B81" s="38" t="str">
        <f ca="1">IF(COUNTIF($AJ$2:AJ1066,A81)=1,VLOOKUP(A81,Z:AA,2), IF(COUNTIF($AJ$2:AJ1066,A81)=0,$B$9,""))</f>
        <v/>
      </c>
      <c r="C81" s="2" t="str">
        <f t="shared" ca="1" si="8"/>
        <v/>
      </c>
      <c r="D81" s="41" t="str">
        <f t="shared" ca="1" si="9"/>
        <v/>
      </c>
      <c r="E81" s="78" t="str">
        <f ca="1">IF(COUNTIF($AJ$2:AJ1066,A81)=1,VLOOKUP(A81,AF:AG,2), IF(COUNTIF($AJ$2:AJ1066,A81)=0,$E$9,""))</f>
        <v/>
      </c>
      <c r="F81" s="91" t="str">
        <f ca="1">IF(COUNTIF($AJ$2:AJ1066,A81)=1,VLOOKUP(A81,AF:AG,2), IF(COUNTIF($AJ$2:AJ1066,A81)=0,$E$9,""))</f>
        <v/>
      </c>
      <c r="G81" s="93" t="str">
        <f t="shared" ca="1" si="10"/>
        <v/>
      </c>
      <c r="H81" s="38" t="str">
        <f ca="1">IF(COUNTIF($AJ$2:AJ1066,A81)=1,VLOOKUP(A81,AB:AC,2), IF(COUNTIF($AJ$2:AJ1066,A81)=0,$C$9,""))</f>
        <v/>
      </c>
      <c r="I81" s="2" t="str">
        <f ca="1">IF(ISERROR(B81-2),"",(H81-$H$14)/100*$C$5)</f>
        <v/>
      </c>
      <c r="J81" s="41" t="str">
        <f ca="1">IF(ISERROR(B81-2),"",(INT(A81)-INT($A$14))/360*$C$6*$C$5-(INT(A81)-INT($A$14))/360*$C$7*$C$5*$H$14/100)</f>
        <v/>
      </c>
      <c r="K81" s="38" t="str">
        <f ca="1">IF(COUNTIF($AJ$2:AJ1066,A81)=1,VLOOKUP(A81,AM:AN,2), IF(COUNTIF($AJ$2:AJ1066,A81)=0,$D$10,""))</f>
        <v/>
      </c>
      <c r="L81" s="41" t="str">
        <f ca="1">IF(ISERROR(K81-2),"",(K81/$K$14-1)*$D$5)</f>
        <v/>
      </c>
      <c r="M81" s="41" t="str">
        <f ca="1">IF($A81="","",IF(COUNTIFS(Dividends!$G:$G,"&gt;"&amp;INT($A80),Dividends!$G:$G,"&lt;="&amp;INT($A81))=0,"",$Q$2*SUMIFS(Dividends!$H:$H,Dividends!$G:$G,"&gt;"&amp;INT($A80),Dividends!$G:$G,"&lt;="&amp;INT($A81))))</f>
        <v/>
      </c>
      <c r="N81" s="42" t="str">
        <f ca="1">IF(ISERROR(B81-2),"",C81+D81-I81-J81-L81+SUM($M$14:M81))</f>
        <v/>
      </c>
      <c r="O81" s="80" t="str">
        <f t="shared" ca="1" si="11"/>
        <v/>
      </c>
      <c r="P81" s="80"/>
      <c r="Q81" s="87"/>
      <c r="R81" s="87"/>
      <c r="S81" s="87"/>
      <c r="T81" s="108"/>
      <c r="U81" s="87"/>
      <c r="V81" s="108"/>
      <c r="W81" s="87"/>
      <c r="X81" s="87"/>
      <c r="Z81" s="3">
        <v>46164.625</v>
      </c>
      <c r="AA81" s="4">
        <v>91.28</v>
      </c>
      <c r="AB81" s="3">
        <v>46161.625</v>
      </c>
      <c r="AC81" s="4">
        <v>99.180999999999997</v>
      </c>
      <c r="AD81" s="3">
        <v>46161.625</v>
      </c>
      <c r="AE81" s="4">
        <v>285.488</v>
      </c>
      <c r="AH81" s="3" t="str">
        <f>IF(COUNTIF(AB:AB,Z81)*COUNTIF(AD:AD,Z81)*COUNTIF(AF:AF,Z81),Z81,"")</f>
        <v/>
      </c>
      <c r="AI81" s="3" t="str">
        <f t="shared" si="6"/>
        <v/>
      </c>
      <c r="AK81" s="3">
        <v>46156</v>
      </c>
      <c r="AL81" s="5">
        <v>266.41410000000002</v>
      </c>
      <c r="AM81" s="3">
        <v>45890</v>
      </c>
      <c r="AN81" s="4">
        <v>242.1087</v>
      </c>
      <c r="AO81" s="74">
        <v>45890</v>
      </c>
      <c r="AP81" s="4">
        <v>267.86399999999998</v>
      </c>
      <c r="AQ81" s="6">
        <f t="shared" si="7"/>
        <v>45890</v>
      </c>
    </row>
    <row r="82" spans="1:43" x14ac:dyDescent="0.25">
      <c r="A82" s="37" t="str">
        <f ca="1">IF(AND(ISBLANK(AJ71), A81 = $AJ$1),NOW(),IF(ISBLANK(AJ71),"",AJ71))</f>
        <v/>
      </c>
      <c r="B82" s="38" t="str">
        <f ca="1">IF(COUNTIF($AJ$2:AJ1067,A82)=1,VLOOKUP(A82,Z:AA,2), IF(COUNTIF($AJ$2:AJ1067,A82)=0,$B$9,""))</f>
        <v/>
      </c>
      <c r="C82" s="2" t="str">
        <f t="shared" ca="1" si="8"/>
        <v/>
      </c>
      <c r="D82" s="41" t="str">
        <f t="shared" ca="1" si="9"/>
        <v/>
      </c>
      <c r="E82" s="78" t="str">
        <f ca="1">IF(COUNTIF($AJ$2:AJ1067,A82)=1,VLOOKUP(A82,AF:AG,2), IF(COUNTIF($AJ$2:AJ1067,A82)=0,$E$9,""))</f>
        <v/>
      </c>
      <c r="F82" s="91" t="str">
        <f ca="1">IF(COUNTIF($AJ$2:AJ1067,A82)=1,VLOOKUP(A82,AF:AG,2), IF(COUNTIF($AJ$2:AJ1067,A82)=0,$E$9,""))</f>
        <v/>
      </c>
      <c r="G82" s="93" t="str">
        <f t="shared" ca="1" si="10"/>
        <v/>
      </c>
      <c r="H82" s="38" t="str">
        <f ca="1">IF(COUNTIF($AJ$2:AJ1067,A82)=1,VLOOKUP(A82,AB:AC,2), IF(COUNTIF($AJ$2:AJ1067,A82)=0,$C$9,""))</f>
        <v/>
      </c>
      <c r="I82" s="2" t="str">
        <f ca="1">IF(ISERROR(B82-2),"",(H82-$H$14)/100*$C$5)</f>
        <v/>
      </c>
      <c r="J82" s="41" t="str">
        <f ca="1">IF(ISERROR(B82-2),"",(INT(A82)-INT($A$14))/360*$C$6*$C$5-(INT(A82)-INT($A$14))/360*$C$7*$C$5*$H$14/100)</f>
        <v/>
      </c>
      <c r="K82" s="38" t="str">
        <f ca="1">IF(COUNTIF($AJ$2:AJ1067,A82)=1,VLOOKUP(A82,AM:AN,2), IF(COUNTIF($AJ$2:AJ1067,A82)=0,$D$10,""))</f>
        <v/>
      </c>
      <c r="L82" s="41" t="str">
        <f ca="1">IF(ISERROR(K82-2),"",(K82/$K$14-1)*$D$5)</f>
        <v/>
      </c>
      <c r="M82" s="41" t="str">
        <f ca="1">IF($A82="","",IF(COUNTIFS(Dividends!$G:$G,"&gt;"&amp;INT($A81),Dividends!$G:$G,"&lt;="&amp;INT($A82))=0,"",$Q$2*SUMIFS(Dividends!$H:$H,Dividends!$G:$G,"&gt;"&amp;INT($A81),Dividends!$G:$G,"&lt;="&amp;INT($A82))))</f>
        <v/>
      </c>
      <c r="N82" s="42" t="str">
        <f ca="1">IF(ISERROR(B82-2),"",C82+D82-I82-J82-L82+SUM($M$14:M82))</f>
        <v/>
      </c>
      <c r="O82" s="80" t="str">
        <f t="shared" ca="1" si="11"/>
        <v/>
      </c>
      <c r="P82" s="80"/>
      <c r="Q82" s="87"/>
      <c r="R82" s="87"/>
      <c r="S82" s="87"/>
      <c r="T82" s="108"/>
      <c r="U82" s="87"/>
      <c r="V82" s="108"/>
      <c r="W82" s="87"/>
      <c r="X82" s="87"/>
      <c r="Z82" s="3">
        <v>46168.625</v>
      </c>
      <c r="AA82" s="4">
        <v>91.51</v>
      </c>
      <c r="AB82" s="3">
        <v>46162.625</v>
      </c>
      <c r="AC82" s="4">
        <v>99.39</v>
      </c>
      <c r="AD82" s="3">
        <v>46162.625</v>
      </c>
      <c r="AE82" s="4">
        <v>278.315</v>
      </c>
      <c r="AH82" s="3">
        <f>IF(COUNTIF(AB:AB,Z82)*COUNTIF(AD:AD,Z82)*COUNTIF(AF:AF,Z82),Z82,"")</f>
        <v>46168.625</v>
      </c>
      <c r="AI82" s="3">
        <f t="shared" si="6"/>
        <v>46168.625</v>
      </c>
      <c r="AK82" s="3">
        <v>46157</v>
      </c>
      <c r="AL82" s="5">
        <v>265.51639999999998</v>
      </c>
      <c r="AM82" s="3">
        <v>45891</v>
      </c>
      <c r="AN82" s="4">
        <v>242.8244</v>
      </c>
      <c r="AO82" s="74">
        <v>45891</v>
      </c>
      <c r="AP82" s="4">
        <v>260.35599999999999</v>
      </c>
      <c r="AQ82" s="6">
        <f t="shared" si="7"/>
        <v>45891</v>
      </c>
    </row>
    <row r="83" spans="1:43" x14ac:dyDescent="0.25">
      <c r="A83" s="37" t="str">
        <f ca="1">IF(AND(ISBLANK(AJ72), A82 = $AJ$1),NOW(),IF(ISBLANK(AJ72),"",AJ72))</f>
        <v/>
      </c>
      <c r="B83" s="38" t="str">
        <f ca="1">IF(COUNTIF($AJ$2:AJ1068,A83)=1,VLOOKUP(A83,Z:AA,2), IF(COUNTIF($AJ$2:AJ1068,A83)=0,$B$9,""))</f>
        <v/>
      </c>
      <c r="C83" s="2" t="str">
        <f t="shared" ca="1" si="8"/>
        <v/>
      </c>
      <c r="D83" s="41" t="str">
        <f t="shared" ca="1" si="9"/>
        <v/>
      </c>
      <c r="E83" s="78" t="str">
        <f ca="1">IF(COUNTIF($AJ$2:AJ1068,A83)=1,VLOOKUP(A83,AF:AG,2), IF(COUNTIF($AJ$2:AJ1068,A83)=0,$E$9,""))</f>
        <v/>
      </c>
      <c r="F83" s="91" t="str">
        <f ca="1">IF(COUNTIF($AJ$2:AJ1068,A83)=1,VLOOKUP(A83,AF:AG,2), IF(COUNTIF($AJ$2:AJ1068,A83)=0,$E$9,""))</f>
        <v/>
      </c>
      <c r="G83" s="93" t="str">
        <f t="shared" ca="1" si="10"/>
        <v/>
      </c>
      <c r="H83" s="38" t="str">
        <f ca="1">IF(COUNTIF($AJ$2:AJ1068,A83)=1,VLOOKUP(A83,AB:AC,2), IF(COUNTIF($AJ$2:AJ1068,A83)=0,$C$9,""))</f>
        <v/>
      </c>
      <c r="I83" s="2" t="str">
        <f ca="1">IF(ISERROR(B83-2),"",(H83-$H$14)/100*$C$5)</f>
        <v/>
      </c>
      <c r="J83" s="41" t="str">
        <f ca="1">IF(ISERROR(B83-2),"",(INT(A83)-INT($A$14))/360*$C$6*$C$5-(INT(A83)-INT($A$14))/360*$C$7*$C$5*$H$14/100)</f>
        <v/>
      </c>
      <c r="K83" s="38" t="str">
        <f ca="1">IF(COUNTIF($AJ$2:AJ1068,A83)=1,VLOOKUP(A83,AM:AN,2), IF(COUNTIF($AJ$2:AJ1068,A83)=0,$D$10,""))</f>
        <v/>
      </c>
      <c r="L83" s="41" t="str">
        <f ca="1">IF(ISERROR(K83-2),"",(K83/$K$14-1)*$D$5)</f>
        <v/>
      </c>
      <c r="M83" s="41" t="str">
        <f ca="1">IF($A83="","",IF(COUNTIFS(Dividends!$G:$G,"&gt;"&amp;INT($A82),Dividends!$G:$G,"&lt;="&amp;INT($A83))=0,"",$Q$2*SUMIFS(Dividends!$H:$H,Dividends!$G:$G,"&gt;"&amp;INT($A82),Dividends!$G:$G,"&lt;="&amp;INT($A83))))</f>
        <v/>
      </c>
      <c r="N83" s="42" t="str">
        <f ca="1">IF(ISERROR(B83-2),"",C83+D83-I83-J83-L83+SUM($M$14:M83))</f>
        <v/>
      </c>
      <c r="O83" s="80" t="str">
        <f t="shared" ca="1" si="11"/>
        <v/>
      </c>
      <c r="P83" s="80"/>
      <c r="Q83" s="87"/>
      <c r="R83" s="87"/>
      <c r="S83" s="87"/>
      <c r="T83" s="108"/>
      <c r="U83" s="87"/>
      <c r="V83" s="108"/>
      <c r="W83" s="87"/>
      <c r="X83" s="87"/>
      <c r="Z83" s="3">
        <v>46169.625</v>
      </c>
      <c r="AA83" s="4">
        <v>91.58</v>
      </c>
      <c r="AB83" s="3">
        <v>46163.625</v>
      </c>
      <c r="AC83" s="4">
        <v>99.37</v>
      </c>
      <c r="AD83" s="3">
        <v>46163.625</v>
      </c>
      <c r="AE83" s="4">
        <v>279.541</v>
      </c>
      <c r="AH83" s="3">
        <f>IF(COUNTIF(AB:AB,Z83)*COUNTIF(AD:AD,Z83)*COUNTIF(AF:AF,Z83),Z83,"")</f>
        <v>46169.625</v>
      </c>
      <c r="AI83" s="3">
        <f t="shared" si="6"/>
        <v>46169.625</v>
      </c>
      <c r="AK83" s="3">
        <v>46160</v>
      </c>
      <c r="AL83" s="5">
        <v>265.6705</v>
      </c>
      <c r="AM83" s="3">
        <v>45895</v>
      </c>
      <c r="AN83" s="4">
        <v>242.22980000000001</v>
      </c>
      <c r="AO83" s="74">
        <v>45895</v>
      </c>
      <c r="AP83" s="4">
        <v>267.541</v>
      </c>
      <c r="AQ83" s="6">
        <f t="shared" si="7"/>
        <v>45895</v>
      </c>
    </row>
    <row r="84" spans="1:43" x14ac:dyDescent="0.25">
      <c r="A84" s="37" t="str">
        <f ca="1">IF(AND(ISBLANK(AJ73), A83 = $AJ$1),NOW(),IF(ISBLANK(AJ73),"",AJ73))</f>
        <v/>
      </c>
      <c r="B84" s="38" t="str">
        <f ca="1">IF(COUNTIF($AJ$2:AJ1069,A84)=1,VLOOKUP(A84,Z:AA,2), IF(COUNTIF($AJ$2:AJ1069,A84)=0,$B$9,""))</f>
        <v/>
      </c>
      <c r="C84" s="2" t="str">
        <f t="shared" ca="1" si="8"/>
        <v/>
      </c>
      <c r="D84" s="41" t="str">
        <f t="shared" ca="1" si="9"/>
        <v/>
      </c>
      <c r="E84" s="78" t="str">
        <f ca="1">IF(COUNTIF($AJ$2:AJ1069,A84)=1,VLOOKUP(A84,AF:AG,2), IF(COUNTIF($AJ$2:AJ1069,A84)=0,$E$9,""))</f>
        <v/>
      </c>
      <c r="F84" s="91" t="str">
        <f ca="1">IF(COUNTIF($AJ$2:AJ1069,A84)=1,VLOOKUP(A84,AF:AG,2), IF(COUNTIF($AJ$2:AJ1069,A84)=0,$E$9,""))</f>
        <v/>
      </c>
      <c r="G84" s="93" t="str">
        <f t="shared" ca="1" si="10"/>
        <v/>
      </c>
      <c r="H84" s="38" t="str">
        <f ca="1">IF(COUNTIF($AJ$2:AJ1069,A84)=1,VLOOKUP(A84,AB:AC,2), IF(COUNTIF($AJ$2:AJ1069,A84)=0,$C$9,""))</f>
        <v/>
      </c>
      <c r="I84" s="2" t="str">
        <f ca="1">IF(ISERROR(B84-2),"",(H84-$H$14)/100*$C$5)</f>
        <v/>
      </c>
      <c r="J84" s="41" t="str">
        <f ca="1">IF(ISERROR(B84-2),"",(INT(A84)-INT($A$14))/360*$C$6*$C$5-(INT(A84)-INT($A$14))/360*$C$7*$C$5*$H$14/100)</f>
        <v/>
      </c>
      <c r="K84" s="38" t="str">
        <f ca="1">IF(COUNTIF($AJ$2:AJ1069,A84)=1,VLOOKUP(A84,AM:AN,2), IF(COUNTIF($AJ$2:AJ1069,A84)=0,$D$10,""))</f>
        <v/>
      </c>
      <c r="L84" s="41" t="str">
        <f ca="1">IF(ISERROR(K84-2),"",(K84/$K$14-1)*$D$5)</f>
        <v/>
      </c>
      <c r="M84" s="41" t="str">
        <f ca="1">IF($A84="","",IF(COUNTIFS(Dividends!$G:$G,"&gt;"&amp;INT($A83),Dividends!$G:$G,"&lt;="&amp;INT($A84))=0,"",$Q$2*SUMIFS(Dividends!$H:$H,Dividends!$G:$G,"&gt;"&amp;INT($A83),Dividends!$G:$G,"&lt;="&amp;INT($A84))))</f>
        <v/>
      </c>
      <c r="N84" s="42" t="str">
        <f ca="1">IF(ISERROR(B84-2),"",C84+D84-I84-J84-L84+SUM($M$14:M84))</f>
        <v/>
      </c>
      <c r="O84" s="80" t="str">
        <f t="shared" ca="1" si="11"/>
        <v/>
      </c>
      <c r="P84" s="80"/>
      <c r="Q84" s="87"/>
      <c r="R84" s="87"/>
      <c r="S84" s="87"/>
      <c r="T84" s="108"/>
      <c r="U84" s="87"/>
      <c r="V84" s="108"/>
      <c r="W84" s="87"/>
      <c r="X84" s="87"/>
      <c r="Z84" s="3">
        <v>46170.625</v>
      </c>
      <c r="AA84" s="4">
        <v>91.7</v>
      </c>
      <c r="AB84" s="3">
        <v>46164.625</v>
      </c>
      <c r="AC84" s="4">
        <v>99.453999999999994</v>
      </c>
      <c r="AD84" s="3">
        <v>46164.625</v>
      </c>
      <c r="AE84" s="4">
        <v>273.86200000000002</v>
      </c>
      <c r="AH84" s="3">
        <f>IF(COUNTIF(AB:AB,Z84)*COUNTIF(AD:AD,Z84)*COUNTIF(AF:AF,Z84),Z84,"")</f>
        <v>46170.625</v>
      </c>
      <c r="AI84" s="3">
        <f t="shared" si="6"/>
        <v>46170.625</v>
      </c>
      <c r="AK84" s="3">
        <v>46161</v>
      </c>
      <c r="AL84" s="5">
        <v>265.08920000000001</v>
      </c>
      <c r="AM84" s="3">
        <v>45896</v>
      </c>
      <c r="AN84" s="4">
        <v>241.55430000000001</v>
      </c>
      <c r="AO84" s="74">
        <v>45896</v>
      </c>
      <c r="AP84" s="4">
        <v>274.06099999999998</v>
      </c>
      <c r="AQ84" s="6">
        <f t="shared" si="7"/>
        <v>45896</v>
      </c>
    </row>
    <row r="85" spans="1:43" x14ac:dyDescent="0.25">
      <c r="A85" s="37" t="str">
        <f ca="1">IF(AND(ISBLANK(AJ74), A84 = $AJ$1),NOW(),IF(ISBLANK(AJ74),"",AJ74))</f>
        <v/>
      </c>
      <c r="B85" s="38" t="str">
        <f ca="1">IF(COUNTIF($AJ$2:AJ1070,A85)=1,VLOOKUP(A85,Z:AA,2), IF(COUNTIF($AJ$2:AJ1070,A85)=0,$B$9,""))</f>
        <v/>
      </c>
      <c r="C85" s="2" t="str">
        <f t="shared" ca="1" si="8"/>
        <v/>
      </c>
      <c r="D85" s="41" t="str">
        <f t="shared" ca="1" si="9"/>
        <v/>
      </c>
      <c r="E85" s="78" t="str">
        <f ca="1">IF(COUNTIF($AJ$2:AJ1070,A85)=1,VLOOKUP(A85,AF:AG,2), IF(COUNTIF($AJ$2:AJ1070,A85)=0,$E$9,""))</f>
        <v/>
      </c>
      <c r="F85" s="91" t="str">
        <f ca="1">IF(COUNTIF($AJ$2:AJ1070,A85)=1,VLOOKUP(A85,AF:AG,2), IF(COUNTIF($AJ$2:AJ1070,A85)=0,$E$9,""))</f>
        <v/>
      </c>
      <c r="G85" s="93" t="str">
        <f t="shared" ca="1" si="10"/>
        <v/>
      </c>
      <c r="H85" s="38" t="str">
        <f ca="1">IF(COUNTIF($AJ$2:AJ1070,A85)=1,VLOOKUP(A85,AB:AC,2), IF(COUNTIF($AJ$2:AJ1070,A85)=0,$C$9,""))</f>
        <v/>
      </c>
      <c r="I85" s="2" t="str">
        <f ca="1">IF(ISERROR(B85-2),"",(H85-$H$14)/100*$C$5)</f>
        <v/>
      </c>
      <c r="J85" s="41" t="str">
        <f ca="1">IF(ISERROR(B85-2),"",(INT(A85)-INT($A$14))/360*$C$6*$C$5-(INT(A85)-INT($A$14))/360*$C$7*$C$5*$H$14/100)</f>
        <v/>
      </c>
      <c r="K85" s="38" t="str">
        <f ca="1">IF(COUNTIF($AJ$2:AJ1070,A85)=1,VLOOKUP(A85,AM:AN,2), IF(COUNTIF($AJ$2:AJ1070,A85)=0,$D$10,""))</f>
        <v/>
      </c>
      <c r="L85" s="41" t="str">
        <f ca="1">IF(ISERROR(K85-2),"",(K85/$K$14-1)*$D$5)</f>
        <v/>
      </c>
      <c r="M85" s="41" t="str">
        <f ca="1">IF($A85="","",IF(COUNTIFS(Dividends!$G:$G,"&gt;"&amp;INT($A84),Dividends!$G:$G,"&lt;="&amp;INT($A85))=0,"",$Q$2*SUMIFS(Dividends!$H:$H,Dividends!$G:$G,"&gt;"&amp;INT($A84),Dividends!$G:$G,"&lt;="&amp;INT($A85))))</f>
        <v/>
      </c>
      <c r="N85" s="42" t="str">
        <f ca="1">IF(ISERROR(B85-2),"",C85+D85-I85-J85-L85+SUM($M$14:M85))</f>
        <v/>
      </c>
      <c r="O85" s="80" t="str">
        <f t="shared" ca="1" si="11"/>
        <v/>
      </c>
      <c r="P85" s="80"/>
      <c r="Q85" s="87"/>
      <c r="R85" s="87"/>
      <c r="S85" s="87"/>
      <c r="T85" s="108"/>
      <c r="U85" s="87"/>
      <c r="V85" s="108"/>
      <c r="W85" s="87"/>
      <c r="X85" s="87"/>
      <c r="Z85" s="3">
        <v>46171.625</v>
      </c>
      <c r="AA85" s="4">
        <v>91.85</v>
      </c>
      <c r="AB85" s="3">
        <v>46167.625</v>
      </c>
      <c r="AC85" s="4">
        <v>99.706000000000003</v>
      </c>
      <c r="AD85" s="3">
        <v>46168.625</v>
      </c>
      <c r="AE85" s="4">
        <v>268.83499999999998</v>
      </c>
      <c r="AH85" s="3">
        <f>IF(COUNTIF(AB:AB,Z85)*COUNTIF(AD:AD,Z85)*COUNTIF(AF:AF,Z85),Z85,"")</f>
        <v>46171.625</v>
      </c>
      <c r="AI85" s="3">
        <f t="shared" si="6"/>
        <v>46171.625</v>
      </c>
      <c r="AK85" s="3">
        <v>46162</v>
      </c>
      <c r="AL85" s="5">
        <v>266.18329999999997</v>
      </c>
      <c r="AM85" s="3">
        <v>45897</v>
      </c>
      <c r="AN85" s="4">
        <v>242.03229999999999</v>
      </c>
      <c r="AO85" s="74">
        <v>45897</v>
      </c>
      <c r="AP85" s="4">
        <v>262.23500000000001</v>
      </c>
      <c r="AQ85" s="6">
        <f t="shared" si="7"/>
        <v>45897</v>
      </c>
    </row>
    <row r="86" spans="1:43" x14ac:dyDescent="0.25">
      <c r="A86" s="37" t="str">
        <f ca="1">IF(AND(ISBLANK(AJ75), A85 = $AJ$1),NOW(),IF(ISBLANK(AJ75),"",AJ75))</f>
        <v/>
      </c>
      <c r="B86" s="38" t="str">
        <f ca="1">IF(COUNTIF($AJ$2:AJ1071,A86)=1,VLOOKUP(A86,Z:AA,2), IF(COUNTIF($AJ$2:AJ1071,A86)=0,$B$9,""))</f>
        <v/>
      </c>
      <c r="C86" s="2" t="str">
        <f t="shared" ca="1" si="8"/>
        <v/>
      </c>
      <c r="D86" s="41" t="str">
        <f t="shared" ca="1" si="9"/>
        <v/>
      </c>
      <c r="E86" s="78" t="str">
        <f ca="1">IF(COUNTIF($AJ$2:AJ1071,A86)=1,VLOOKUP(A86,AF:AG,2), IF(COUNTIF($AJ$2:AJ1071,A86)=0,$E$9,""))</f>
        <v/>
      </c>
      <c r="F86" s="91" t="str">
        <f ca="1">IF(COUNTIF($AJ$2:AJ1071,A86)=1,VLOOKUP(A86,AF:AG,2), IF(COUNTIF($AJ$2:AJ1071,A86)=0,$E$9,""))</f>
        <v/>
      </c>
      <c r="G86" s="93" t="str">
        <f t="shared" ca="1" si="10"/>
        <v/>
      </c>
      <c r="H86" s="38" t="str">
        <f ca="1">IF(COUNTIF($AJ$2:AJ1071,A86)=1,VLOOKUP(A86,AB:AC,2), IF(COUNTIF($AJ$2:AJ1071,A86)=0,$C$9,""))</f>
        <v/>
      </c>
      <c r="I86" s="2" t="str">
        <f ca="1">IF(ISERROR(B86-2),"",(H86-$H$14)/100*$C$5)</f>
        <v/>
      </c>
      <c r="J86" s="41" t="str">
        <f ca="1">IF(ISERROR(B86-2),"",(INT(A86)-INT($A$14))/360*$C$6*$C$5-(INT(A86)-INT($A$14))/360*$C$7*$C$5*$H$14/100)</f>
        <v/>
      </c>
      <c r="K86" s="38" t="str">
        <f ca="1">IF(COUNTIF($AJ$2:AJ1071,A86)=1,VLOOKUP(A86,AM:AN,2), IF(COUNTIF($AJ$2:AJ1071,A86)=0,$D$10,""))</f>
        <v/>
      </c>
      <c r="L86" s="41" t="str">
        <f ca="1">IF(ISERROR(K86-2),"",(K86/$K$14-1)*$D$5)</f>
        <v/>
      </c>
      <c r="M86" s="41" t="str">
        <f ca="1">IF($A86="","",IF(COUNTIFS(Dividends!$G:$G,"&gt;"&amp;INT($A85),Dividends!$G:$G,"&lt;="&amp;INT($A86))=0,"",$Q$2*SUMIFS(Dividends!$H:$H,Dividends!$G:$G,"&gt;"&amp;INT($A85),Dividends!$G:$G,"&lt;="&amp;INT($A86))))</f>
        <v/>
      </c>
      <c r="N86" s="42" t="str">
        <f ca="1">IF(ISERROR(B86-2),"",C86+D86-I86-J86-L86+SUM($M$14:M86))</f>
        <v/>
      </c>
      <c r="O86" s="80" t="str">
        <f t="shared" ca="1" si="11"/>
        <v/>
      </c>
      <c r="P86" s="80"/>
      <c r="Q86" s="87"/>
      <c r="R86" s="87"/>
      <c r="S86" s="87"/>
      <c r="T86" s="108"/>
      <c r="U86" s="87"/>
      <c r="V86" s="108"/>
      <c r="W86" s="87"/>
      <c r="X86" s="87"/>
      <c r="Z86" s="3">
        <v>46174.625</v>
      </c>
      <c r="AA86" s="4">
        <v>91.65</v>
      </c>
      <c r="AB86" s="3">
        <v>46168.625</v>
      </c>
      <c r="AC86" s="4">
        <v>99.56</v>
      </c>
      <c r="AD86" s="3">
        <v>46169.625</v>
      </c>
      <c r="AE86" s="4">
        <v>266.55900000000003</v>
      </c>
      <c r="AH86" s="3">
        <f>IF(COUNTIF(AB:AB,Z86)*COUNTIF(AD:AD,Z86)*COUNTIF(AF:AF,Z86),Z86,"")</f>
        <v>46174.625</v>
      </c>
      <c r="AI86" s="3">
        <f t="shared" si="6"/>
        <v>46174.625</v>
      </c>
      <c r="AK86" s="3">
        <v>46163</v>
      </c>
      <c r="AL86" s="5">
        <v>265.81610000000001</v>
      </c>
      <c r="AM86" s="3">
        <v>45898</v>
      </c>
      <c r="AN86" s="4">
        <v>241.4692</v>
      </c>
      <c r="AO86" s="74">
        <v>45898</v>
      </c>
      <c r="AP86" s="4">
        <v>267.947</v>
      </c>
      <c r="AQ86" s="6">
        <f t="shared" si="7"/>
        <v>45898</v>
      </c>
    </row>
    <row r="87" spans="1:43" x14ac:dyDescent="0.25">
      <c r="A87" s="37" t="str">
        <f ca="1">IF(AND(ISBLANK(AJ76), A86 = $AJ$1),NOW(),IF(ISBLANK(AJ76),"",AJ76))</f>
        <v/>
      </c>
      <c r="B87" s="38" t="str">
        <f ca="1">IF(COUNTIF($AJ$2:AJ1072,A87)=1,VLOOKUP(A87,Z:AA,2), IF(COUNTIF($AJ$2:AJ1072,A87)=0,$B$9,""))</f>
        <v/>
      </c>
      <c r="C87" s="2" t="str">
        <f t="shared" ca="1" si="8"/>
        <v/>
      </c>
      <c r="D87" s="41" t="str">
        <f t="shared" ca="1" si="9"/>
        <v/>
      </c>
      <c r="E87" s="78" t="str">
        <f ca="1">IF(COUNTIF($AJ$2:AJ1072,A87)=1,VLOOKUP(A87,AF:AG,2), IF(COUNTIF($AJ$2:AJ1072,A87)=0,$E$9,""))</f>
        <v/>
      </c>
      <c r="F87" s="91" t="str">
        <f ca="1">IF(COUNTIF($AJ$2:AJ1072,A87)=1,VLOOKUP(A87,AF:AG,2), IF(COUNTIF($AJ$2:AJ1072,A87)=0,$E$9,""))</f>
        <v/>
      </c>
      <c r="G87" s="93" t="str">
        <f t="shared" ca="1" si="10"/>
        <v/>
      </c>
      <c r="H87" s="38" t="str">
        <f ca="1">IF(COUNTIF($AJ$2:AJ1072,A87)=1,VLOOKUP(A87,AB:AC,2), IF(COUNTIF($AJ$2:AJ1072,A87)=0,$C$9,""))</f>
        <v/>
      </c>
      <c r="I87" s="2" t="str">
        <f ca="1">IF(ISERROR(B87-2),"",(H87-$H$14)/100*$C$5)</f>
        <v/>
      </c>
      <c r="J87" s="41" t="str">
        <f ca="1">IF(ISERROR(B87-2),"",(INT(A87)-INT($A$14))/360*$C$6*$C$5-(INT(A87)-INT($A$14))/360*$C$7*$C$5*$H$14/100)</f>
        <v/>
      </c>
      <c r="K87" s="38" t="str">
        <f ca="1">IF(COUNTIF($AJ$2:AJ1072,A87)=1,VLOOKUP(A87,AM:AN,2), IF(COUNTIF($AJ$2:AJ1072,A87)=0,$D$10,""))</f>
        <v/>
      </c>
      <c r="L87" s="41" t="str">
        <f ca="1">IF(ISERROR(K87-2),"",(K87/$K$14-1)*$D$5)</f>
        <v/>
      </c>
      <c r="M87" s="41" t="str">
        <f ca="1">IF($A87="","",IF(COUNTIFS(Dividends!$G:$G,"&gt;"&amp;INT($A86),Dividends!$G:$G,"&lt;="&amp;INT($A87))=0,"",$Q$2*SUMIFS(Dividends!$H:$H,Dividends!$G:$G,"&gt;"&amp;INT($A86),Dividends!$G:$G,"&lt;="&amp;INT($A87))))</f>
        <v/>
      </c>
      <c r="N87" s="42" t="str">
        <f ca="1">IF(ISERROR(B87-2),"",C87+D87-I87-J87-L87+SUM($M$14:M87))</f>
        <v/>
      </c>
      <c r="O87" s="80" t="str">
        <f t="shared" ca="1" si="11"/>
        <v/>
      </c>
      <c r="P87" s="80"/>
      <c r="Q87" s="87"/>
      <c r="R87" s="87"/>
      <c r="S87" s="87"/>
      <c r="T87" s="108"/>
      <c r="U87" s="87"/>
      <c r="V87" s="108"/>
      <c r="W87" s="87"/>
      <c r="X87" s="87"/>
      <c r="Z87" s="3">
        <v>46175.625</v>
      </c>
      <c r="AA87" s="4">
        <v>91.88</v>
      </c>
      <c r="AB87" s="3">
        <v>46169.625</v>
      </c>
      <c r="AC87" s="4">
        <v>99.588999999999999</v>
      </c>
      <c r="AD87" s="3">
        <v>46170.625</v>
      </c>
      <c r="AE87" s="4">
        <v>264.23200000000003</v>
      </c>
      <c r="AH87" s="3" t="str">
        <f>IF(COUNTIF(AB:AB,Z87)*COUNTIF(AD:AD,Z87)*COUNTIF(AF:AF,Z87),Z87,"")</f>
        <v/>
      </c>
      <c r="AI87" s="3" t="str">
        <f t="shared" si="6"/>
        <v/>
      </c>
      <c r="AK87" s="3">
        <v>46164</v>
      </c>
      <c r="AL87" s="5">
        <v>266.66180000000003</v>
      </c>
      <c r="AM87" s="3">
        <v>45901</v>
      </c>
      <c r="AN87" s="4">
        <v>241.56809999999999</v>
      </c>
      <c r="AO87" s="74">
        <v>45901</v>
      </c>
      <c r="AP87" s="4">
        <v>268.048</v>
      </c>
      <c r="AQ87" s="6">
        <f t="shared" si="7"/>
        <v>45901</v>
      </c>
    </row>
    <row r="88" spans="1:43" x14ac:dyDescent="0.25">
      <c r="A88" s="37" t="str">
        <f ca="1">IF(AND(ISBLANK(AJ77), A87 = $AJ$1),NOW(),IF(ISBLANK(AJ77),"",AJ77))</f>
        <v/>
      </c>
      <c r="B88" s="38" t="str">
        <f ca="1">IF(COUNTIF($AJ$2:AJ1073,A88)=1,VLOOKUP(A88,Z:AA,2), IF(COUNTIF($AJ$2:AJ1073,A88)=0,$B$9,""))</f>
        <v/>
      </c>
      <c r="C88" s="2" t="str">
        <f t="shared" ca="1" si="8"/>
        <v/>
      </c>
      <c r="D88" s="41" t="str">
        <f t="shared" ca="1" si="9"/>
        <v/>
      </c>
      <c r="E88" s="78" t="str">
        <f ca="1">IF(COUNTIF($AJ$2:AJ1073,A88)=1,VLOOKUP(A88,AF:AG,2), IF(COUNTIF($AJ$2:AJ1073,A88)=0,$E$9,""))</f>
        <v/>
      </c>
      <c r="F88" s="91" t="str">
        <f ca="1">IF(COUNTIF($AJ$2:AJ1073,A88)=1,VLOOKUP(A88,AF:AG,2), IF(COUNTIF($AJ$2:AJ1073,A88)=0,$E$9,""))</f>
        <v/>
      </c>
      <c r="G88" s="93" t="str">
        <f t="shared" ca="1" si="10"/>
        <v/>
      </c>
      <c r="H88" s="38" t="str">
        <f ca="1">IF(COUNTIF($AJ$2:AJ1073,A88)=1,VLOOKUP(A88,AB:AC,2), IF(COUNTIF($AJ$2:AJ1073,A88)=0,$C$9,""))</f>
        <v/>
      </c>
      <c r="I88" s="2" t="str">
        <f ca="1">IF(ISERROR(B88-2),"",(H88-$H$14)/100*$C$5)</f>
        <v/>
      </c>
      <c r="J88" s="41" t="str">
        <f ca="1">IF(ISERROR(B88-2),"",(INT(A88)-INT($A$14))/360*$C$6*$C$5-(INT(A88)-INT($A$14))/360*$C$7*$C$5*$H$14/100)</f>
        <v/>
      </c>
      <c r="K88" s="38" t="str">
        <f ca="1">IF(COUNTIF($AJ$2:AJ1073,A88)=1,VLOOKUP(A88,AM:AN,2), IF(COUNTIF($AJ$2:AJ1073,A88)=0,$D$10,""))</f>
        <v/>
      </c>
      <c r="L88" s="41" t="str">
        <f ca="1">IF(ISERROR(K88-2),"",(K88/$K$14-1)*$D$5)</f>
        <v/>
      </c>
      <c r="M88" s="41" t="str">
        <f ca="1">IF($A88="","",IF(COUNTIFS(Dividends!$G:$G,"&gt;"&amp;INT($A87),Dividends!$G:$G,"&lt;="&amp;INT($A88))=0,"",$Q$2*SUMIFS(Dividends!$H:$H,Dividends!$G:$G,"&gt;"&amp;INT($A87),Dividends!$G:$G,"&lt;="&amp;INT($A88))))</f>
        <v/>
      </c>
      <c r="N88" s="42" t="str">
        <f ca="1">IF(ISERROR(B88-2),"",C88+D88-I88-J88-L88+SUM($M$14:M88))</f>
        <v/>
      </c>
      <c r="O88" s="80" t="str">
        <f t="shared" ca="1" si="11"/>
        <v/>
      </c>
      <c r="P88" s="80"/>
      <c r="Q88" s="87"/>
      <c r="R88" s="87"/>
      <c r="S88" s="87"/>
      <c r="T88" s="108"/>
      <c r="U88" s="87"/>
      <c r="V88" s="108"/>
      <c r="W88" s="87"/>
      <c r="X88" s="87"/>
      <c r="Z88" s="3">
        <v>46176.625</v>
      </c>
      <c r="AA88" s="4">
        <v>91.75</v>
      </c>
      <c r="AB88" s="3">
        <v>46170.625</v>
      </c>
      <c r="AC88" s="4">
        <v>99.653999999999996</v>
      </c>
      <c r="AD88" s="3">
        <v>46171.625</v>
      </c>
      <c r="AE88" s="4">
        <v>258.70600000000002</v>
      </c>
      <c r="AH88" s="3">
        <f>IF(COUNTIF(AB:AB,Z88)*COUNTIF(AD:AD,Z88)*COUNTIF(AF:AF,Z88),Z88,"")</f>
        <v>46176.625</v>
      </c>
      <c r="AI88" s="3">
        <f t="shared" si="6"/>
        <v>46176.625</v>
      </c>
      <c r="AK88" s="3">
        <v>46168</v>
      </c>
      <c r="AL88" s="5">
        <v>267.40750000000003</v>
      </c>
      <c r="AM88" s="3">
        <v>45902</v>
      </c>
      <c r="AN88" s="4">
        <v>240.87819999999999</v>
      </c>
      <c r="AO88" s="74">
        <v>45902</v>
      </c>
      <c r="AP88" s="4">
        <v>274.36700000000002</v>
      </c>
      <c r="AQ88" s="6">
        <f t="shared" si="7"/>
        <v>45902</v>
      </c>
    </row>
    <row r="89" spans="1:43" x14ac:dyDescent="0.25">
      <c r="A89" s="37" t="str">
        <f ca="1">IF(AND(ISBLANK(AJ78), A88 = $AJ$1),NOW(),IF(ISBLANK(AJ78),"",AJ78))</f>
        <v/>
      </c>
      <c r="B89" s="38" t="str">
        <f ca="1">IF(COUNTIF($AJ$2:AJ1074,A89)=1,VLOOKUP(A89,Z:AA,2), IF(COUNTIF($AJ$2:AJ1074,A89)=0,$B$9,""))</f>
        <v/>
      </c>
      <c r="C89" s="2" t="str">
        <f t="shared" ca="1" si="8"/>
        <v/>
      </c>
      <c r="D89" s="41" t="str">
        <f t="shared" ca="1" si="9"/>
        <v/>
      </c>
      <c r="E89" s="78" t="str">
        <f ca="1">IF(COUNTIF($AJ$2:AJ1074,A89)=1,VLOOKUP(A89,AF:AG,2), IF(COUNTIF($AJ$2:AJ1074,A89)=0,$E$9,""))</f>
        <v/>
      </c>
      <c r="F89" s="91" t="str">
        <f ca="1">IF(COUNTIF($AJ$2:AJ1074,A89)=1,VLOOKUP(A89,AF:AG,2), IF(COUNTIF($AJ$2:AJ1074,A89)=0,$E$9,""))</f>
        <v/>
      </c>
      <c r="G89" s="93" t="str">
        <f t="shared" ca="1" si="10"/>
        <v/>
      </c>
      <c r="H89" s="38" t="str">
        <f ca="1">IF(COUNTIF($AJ$2:AJ1074,A89)=1,VLOOKUP(A89,AB:AC,2), IF(COUNTIF($AJ$2:AJ1074,A89)=0,$C$9,""))</f>
        <v/>
      </c>
      <c r="I89" s="2" t="str">
        <f ca="1">IF(ISERROR(B89-2),"",(H89-$H$14)/100*$C$5)</f>
        <v/>
      </c>
      <c r="J89" s="41" t="str">
        <f ca="1">IF(ISERROR(B89-2),"",(INT(A89)-INT($A$14))/360*$C$6*$C$5-(INT(A89)-INT($A$14))/360*$C$7*$C$5*$H$14/100)</f>
        <v/>
      </c>
      <c r="K89" s="38" t="str">
        <f ca="1">IF(COUNTIF($AJ$2:AJ1074,A89)=1,VLOOKUP(A89,AM:AN,2), IF(COUNTIF($AJ$2:AJ1074,A89)=0,$D$10,""))</f>
        <v/>
      </c>
      <c r="L89" s="41" t="str">
        <f ca="1">IF(ISERROR(K89-2),"",(K89/$K$14-1)*$D$5)</f>
        <v/>
      </c>
      <c r="M89" s="41" t="str">
        <f ca="1">IF($A89="","",IF(COUNTIFS(Dividends!$G:$G,"&gt;"&amp;INT($A88),Dividends!$G:$G,"&lt;="&amp;INT($A89))=0,"",$Q$2*SUMIFS(Dividends!$H:$H,Dividends!$G:$G,"&gt;"&amp;INT($A88),Dividends!$G:$G,"&lt;="&amp;INT($A89))))</f>
        <v/>
      </c>
      <c r="N89" s="42" t="str">
        <f ca="1">IF(ISERROR(B89-2),"",C89+D89-I89-J89-L89+SUM($M$14:M89))</f>
        <v/>
      </c>
      <c r="O89" s="80" t="str">
        <f t="shared" ca="1" si="11"/>
        <v/>
      </c>
      <c r="P89" s="80"/>
      <c r="Q89" s="87"/>
      <c r="R89" s="87"/>
      <c r="S89" s="87"/>
      <c r="T89" s="108"/>
      <c r="U89" s="87"/>
      <c r="V89" s="108"/>
      <c r="W89" s="87"/>
      <c r="X89" s="87"/>
      <c r="Z89" s="3">
        <v>46177.625</v>
      </c>
      <c r="AA89" s="4">
        <v>91.74</v>
      </c>
      <c r="AB89" s="3">
        <v>46171.625</v>
      </c>
      <c r="AC89" s="4">
        <v>99.679000000000002</v>
      </c>
      <c r="AD89" s="3">
        <v>46174.625</v>
      </c>
      <c r="AE89" s="4">
        <v>265.43599999999998</v>
      </c>
      <c r="AH89" s="3">
        <f>IF(COUNTIF(AB:AB,Z89)*COUNTIF(AD:AD,Z89)*COUNTIF(AF:AF,Z89),Z89,"")</f>
        <v>46177.625</v>
      </c>
      <c r="AI89" s="3">
        <f t="shared" si="6"/>
        <v>46177.625</v>
      </c>
      <c r="AK89" s="3">
        <v>46169</v>
      </c>
      <c r="AL89" s="5">
        <v>267.66390000000001</v>
      </c>
      <c r="AM89" s="3">
        <v>45903</v>
      </c>
      <c r="AN89" s="4">
        <v>241.68289999999999</v>
      </c>
      <c r="AO89" s="74">
        <v>45903</v>
      </c>
      <c r="AP89" s="4">
        <v>267.29599999999999</v>
      </c>
      <c r="AQ89" s="6">
        <f t="shared" si="7"/>
        <v>45903</v>
      </c>
    </row>
    <row r="90" spans="1:43" x14ac:dyDescent="0.25">
      <c r="A90" s="37" t="str">
        <f ca="1">IF(AND(ISBLANK(AJ79), A89 = $AJ$1),NOW(),IF(ISBLANK(AJ79),"",AJ79))</f>
        <v/>
      </c>
      <c r="B90" s="38" t="str">
        <f ca="1">IF(COUNTIF($AJ$2:AJ1075,A90)=1,VLOOKUP(A90,Z:AA,2), IF(COUNTIF($AJ$2:AJ1075,A90)=0,$B$9,""))</f>
        <v/>
      </c>
      <c r="C90" s="2" t="str">
        <f t="shared" ca="1" si="8"/>
        <v/>
      </c>
      <c r="D90" s="41" t="str">
        <f t="shared" ca="1" si="9"/>
        <v/>
      </c>
      <c r="E90" s="78" t="str">
        <f ca="1">IF(COUNTIF($AJ$2:AJ1075,A90)=1,VLOOKUP(A90,AF:AG,2), IF(COUNTIF($AJ$2:AJ1075,A90)=0,$E$9,""))</f>
        <v/>
      </c>
      <c r="F90" s="91" t="str">
        <f ca="1">IF(COUNTIF($AJ$2:AJ1075,A90)=1,VLOOKUP(A90,AF:AG,2), IF(COUNTIF($AJ$2:AJ1075,A90)=0,$E$9,""))</f>
        <v/>
      </c>
      <c r="G90" s="93" t="str">
        <f t="shared" ca="1" si="10"/>
        <v/>
      </c>
      <c r="H90" s="38" t="str">
        <f ca="1">IF(COUNTIF($AJ$2:AJ1075,A90)=1,VLOOKUP(A90,AB:AC,2), IF(COUNTIF($AJ$2:AJ1075,A90)=0,$C$9,""))</f>
        <v/>
      </c>
      <c r="I90" s="2" t="str">
        <f ca="1">IF(ISERROR(B90-2),"",(H90-$H$14)/100*$C$5)</f>
        <v/>
      </c>
      <c r="J90" s="41" t="str">
        <f ca="1">IF(ISERROR(B90-2),"",(INT(A90)-INT($A$14))/360*$C$6*$C$5-(INT(A90)-INT($A$14))/360*$C$7*$C$5*$H$14/100)</f>
        <v/>
      </c>
      <c r="K90" s="38" t="str">
        <f ca="1">IF(COUNTIF($AJ$2:AJ1075,A90)=1,VLOOKUP(A90,AM:AN,2), IF(COUNTIF($AJ$2:AJ1075,A90)=0,$D$10,""))</f>
        <v/>
      </c>
      <c r="L90" s="41" t="str">
        <f ca="1">IF(ISERROR(K90-2),"",(K90/$K$14-1)*$D$5)</f>
        <v/>
      </c>
      <c r="M90" s="41" t="str">
        <f ca="1">IF($A90="","",IF(COUNTIFS(Dividends!$G:$G,"&gt;"&amp;INT($A89),Dividends!$G:$G,"&lt;="&amp;INT($A90))=0,"",$Q$2*SUMIFS(Dividends!$H:$H,Dividends!$G:$G,"&gt;"&amp;INT($A89),Dividends!$G:$G,"&lt;="&amp;INT($A90))))</f>
        <v/>
      </c>
      <c r="N90" s="42" t="str">
        <f ca="1">IF(ISERROR(B90-2),"",C90+D90-I90-J90-L90+SUM($M$14:M90))</f>
        <v/>
      </c>
      <c r="O90" s="80" t="str">
        <f t="shared" ca="1" si="11"/>
        <v/>
      </c>
      <c r="P90" s="80"/>
      <c r="Q90" s="87"/>
      <c r="R90" s="87"/>
      <c r="S90" s="87"/>
      <c r="T90" s="108"/>
      <c r="U90" s="87"/>
      <c r="V90" s="108"/>
      <c r="W90" s="87"/>
      <c r="X90" s="87"/>
      <c r="Z90" s="3">
        <v>46178.625</v>
      </c>
      <c r="AA90" s="4">
        <v>91.71</v>
      </c>
      <c r="AB90" s="3">
        <v>46174.625</v>
      </c>
      <c r="AC90" s="4">
        <v>99.450999999999993</v>
      </c>
      <c r="AD90" s="3">
        <v>46175.625</v>
      </c>
      <c r="AE90" s="4">
        <v>258.46100000000001</v>
      </c>
      <c r="AH90" s="3" t="str">
        <f>IF(COUNTIF(AB:AB,Z90)*COUNTIF(AD:AD,Z90)*COUNTIF(AF:AF,Z90),Z90,"")</f>
        <v/>
      </c>
      <c r="AI90" s="3" t="str">
        <f t="shared" si="6"/>
        <v/>
      </c>
      <c r="AK90" s="3">
        <v>46170</v>
      </c>
      <c r="AL90" s="5">
        <v>268.21620000000001</v>
      </c>
      <c r="AM90" s="3">
        <v>45904</v>
      </c>
      <c r="AN90" s="4">
        <v>242.12819999999999</v>
      </c>
      <c r="AO90" s="74">
        <v>45904</v>
      </c>
      <c r="AP90" s="4">
        <v>262.767</v>
      </c>
      <c r="AQ90" s="6">
        <f t="shared" si="7"/>
        <v>45904</v>
      </c>
    </row>
    <row r="91" spans="1:43" x14ac:dyDescent="0.25">
      <c r="A91" s="37" t="str">
        <f ca="1">IF(AND(ISBLANK(AJ80), A90 = $AJ$1),NOW(),IF(ISBLANK(AJ80),"",AJ80))</f>
        <v/>
      </c>
      <c r="B91" s="38" t="str">
        <f ca="1">IF(COUNTIF($AJ$2:AJ1076,A91)=1,VLOOKUP(A91,Z:AA,2), IF(COUNTIF($AJ$2:AJ1076,A91)=0,$B$9,""))</f>
        <v/>
      </c>
      <c r="C91" s="2" t="str">
        <f t="shared" ca="1" si="8"/>
        <v/>
      </c>
      <c r="D91" s="41" t="str">
        <f t="shared" ca="1" si="9"/>
        <v/>
      </c>
      <c r="E91" s="78" t="str">
        <f ca="1">IF(COUNTIF($AJ$2:AJ1076,A91)=1,VLOOKUP(A91,AF:AG,2), IF(COUNTIF($AJ$2:AJ1076,A91)=0,$E$9,""))</f>
        <v/>
      </c>
      <c r="F91" s="91" t="str">
        <f ca="1">IF(COUNTIF($AJ$2:AJ1076,A91)=1,VLOOKUP(A91,AF:AG,2), IF(COUNTIF($AJ$2:AJ1076,A91)=0,$E$9,""))</f>
        <v/>
      </c>
      <c r="G91" s="93" t="str">
        <f t="shared" ca="1" si="10"/>
        <v/>
      </c>
      <c r="H91" s="38" t="str">
        <f ca="1">IF(COUNTIF($AJ$2:AJ1076,A91)=1,VLOOKUP(A91,AB:AC,2), IF(COUNTIF($AJ$2:AJ1076,A91)=0,$C$9,""))</f>
        <v/>
      </c>
      <c r="I91" s="2" t="str">
        <f ca="1">IF(ISERROR(B91-2),"",(H91-$H$14)/100*$C$5)</f>
        <v/>
      </c>
      <c r="J91" s="41" t="str">
        <f ca="1">IF(ISERROR(B91-2),"",(INT(A91)-INT($A$14))/360*$C$6*$C$5-(INT(A91)-INT($A$14))/360*$C$7*$C$5*$H$14/100)</f>
        <v/>
      </c>
      <c r="K91" s="38" t="str">
        <f ca="1">IF(COUNTIF($AJ$2:AJ1076,A91)=1,VLOOKUP(A91,AM:AN,2), IF(COUNTIF($AJ$2:AJ1076,A91)=0,$D$10,""))</f>
        <v/>
      </c>
      <c r="L91" s="41" t="str">
        <f ca="1">IF(ISERROR(K91-2),"",(K91/$K$14-1)*$D$5)</f>
        <v/>
      </c>
      <c r="M91" s="41" t="str">
        <f ca="1">IF($A91="","",IF(COUNTIFS(Dividends!$G:$G,"&gt;"&amp;INT($A90),Dividends!$G:$G,"&lt;="&amp;INT($A91))=0,"",$Q$2*SUMIFS(Dividends!$H:$H,Dividends!$G:$G,"&gt;"&amp;INT($A90),Dividends!$G:$G,"&lt;="&amp;INT($A91))))</f>
        <v/>
      </c>
      <c r="N91" s="42" t="str">
        <f ca="1">IF(ISERROR(B91-2),"",C91+D91-I91-J91-L91+SUM($M$14:M91))</f>
        <v/>
      </c>
      <c r="O91" s="80" t="str">
        <f t="shared" ca="1" si="11"/>
        <v/>
      </c>
      <c r="P91" s="80"/>
      <c r="Q91" s="87"/>
      <c r="R91" s="87"/>
      <c r="S91" s="87"/>
      <c r="T91" s="108"/>
      <c r="U91" s="87"/>
      <c r="V91" s="108"/>
      <c r="W91" s="87"/>
      <c r="X91" s="87"/>
      <c r="Z91" s="3">
        <v>46181.625</v>
      </c>
      <c r="AA91" s="4">
        <v>91.65</v>
      </c>
      <c r="AB91" s="3">
        <v>46175.625</v>
      </c>
      <c r="AC91" s="4">
        <v>99.534999999999997</v>
      </c>
      <c r="AD91" s="3">
        <v>46176.625</v>
      </c>
      <c r="AE91" s="4">
        <v>261.79599999999999</v>
      </c>
      <c r="AH91" s="3" t="str">
        <f>IF(COUNTIF(AB:AB,Z91)*COUNTIF(AD:AD,Z91)*COUNTIF(AF:AF,Z91),Z91,"")</f>
        <v/>
      </c>
      <c r="AI91" s="3" t="str">
        <f t="shared" si="6"/>
        <v/>
      </c>
      <c r="AK91" s="3">
        <v>46171</v>
      </c>
      <c r="AL91" s="5">
        <v>268.76229999999998</v>
      </c>
      <c r="AM91" s="3">
        <v>45905</v>
      </c>
      <c r="AN91" s="4">
        <v>242.15459999999999</v>
      </c>
      <c r="AO91" s="74">
        <v>45905</v>
      </c>
      <c r="AP91" s="4">
        <v>262.98399999999998</v>
      </c>
      <c r="AQ91" s="6">
        <f t="shared" si="7"/>
        <v>45905</v>
      </c>
    </row>
    <row r="92" spans="1:43" x14ac:dyDescent="0.25">
      <c r="A92" s="37" t="str">
        <f ca="1">IF(AND(ISBLANK(AJ81), A91 = $AJ$1),NOW(),IF(ISBLANK(AJ81),"",AJ81))</f>
        <v/>
      </c>
      <c r="B92" s="38" t="str">
        <f ca="1">IF(COUNTIF($AJ$2:AJ1077,A92)=1,VLOOKUP(A92,Z:AA,2), IF(COUNTIF($AJ$2:AJ1077,A92)=0,$B$9,""))</f>
        <v/>
      </c>
      <c r="C92" s="2" t="str">
        <f t="shared" ca="1" si="8"/>
        <v/>
      </c>
      <c r="D92" s="41" t="str">
        <f t="shared" ca="1" si="9"/>
        <v/>
      </c>
      <c r="E92" s="78" t="str">
        <f ca="1">IF(COUNTIF($AJ$2:AJ1077,A92)=1,VLOOKUP(A92,AF:AG,2), IF(COUNTIF($AJ$2:AJ1077,A92)=0,$E$9,""))</f>
        <v/>
      </c>
      <c r="F92" s="91" t="str">
        <f ca="1">IF(COUNTIF($AJ$2:AJ1077,A92)=1,VLOOKUP(A92,AF:AG,2), IF(COUNTIF($AJ$2:AJ1077,A92)=0,$E$9,""))</f>
        <v/>
      </c>
      <c r="G92" s="93" t="str">
        <f t="shared" ca="1" si="10"/>
        <v/>
      </c>
      <c r="H92" s="38" t="str">
        <f ca="1">IF(COUNTIF($AJ$2:AJ1077,A92)=1,VLOOKUP(A92,AB:AC,2), IF(COUNTIF($AJ$2:AJ1077,A92)=0,$C$9,""))</f>
        <v/>
      </c>
      <c r="I92" s="2" t="str">
        <f ca="1">IF(ISERROR(B92-2),"",(H92-$H$14)/100*$C$5)</f>
        <v/>
      </c>
      <c r="J92" s="41" t="str">
        <f ca="1">IF(ISERROR(B92-2),"",(INT(A92)-INT($A$14))/360*$C$6*$C$5-(INT(A92)-INT($A$14))/360*$C$7*$C$5*$H$14/100)</f>
        <v/>
      </c>
      <c r="K92" s="38" t="str">
        <f ca="1">IF(COUNTIF($AJ$2:AJ1077,A92)=1,VLOOKUP(A92,AM:AN,2), IF(COUNTIF($AJ$2:AJ1077,A92)=0,$D$10,""))</f>
        <v/>
      </c>
      <c r="L92" s="41" t="str">
        <f ca="1">IF(ISERROR(K92-2),"",(K92/$K$14-1)*$D$5)</f>
        <v/>
      </c>
      <c r="M92" s="41" t="str">
        <f ca="1">IF($A92="","",IF(COUNTIFS(Dividends!$G:$G,"&gt;"&amp;INT($A91),Dividends!$G:$G,"&lt;="&amp;INT($A92))=0,"",$Q$2*SUMIFS(Dividends!$H:$H,Dividends!$G:$G,"&gt;"&amp;INT($A91),Dividends!$G:$G,"&lt;="&amp;INT($A92))))</f>
        <v/>
      </c>
      <c r="N92" s="42" t="str">
        <f ca="1">IF(ISERROR(B92-2),"",C92+D92-I92-J92-L92+SUM($M$14:M92))</f>
        <v/>
      </c>
      <c r="O92" s="80" t="str">
        <f t="shared" ca="1" si="11"/>
        <v/>
      </c>
      <c r="P92" s="80"/>
      <c r="Q92" s="87"/>
      <c r="R92" s="87"/>
      <c r="S92" s="87"/>
      <c r="T92" s="108"/>
      <c r="U92" s="87"/>
      <c r="V92" s="108"/>
      <c r="W92" s="87"/>
      <c r="X92" s="87"/>
      <c r="Z92" s="3">
        <v>46182.625</v>
      </c>
      <c r="AA92" s="4">
        <v>91.63</v>
      </c>
      <c r="AB92" s="3">
        <v>46176.625</v>
      </c>
      <c r="AC92" s="4">
        <v>99.421999999999997</v>
      </c>
      <c r="AD92" s="3">
        <v>46177.625</v>
      </c>
      <c r="AE92" s="4">
        <v>261.392</v>
      </c>
      <c r="AH92" s="3">
        <f>IF(COUNTIF(AB:AB,Z92)*COUNTIF(AD:AD,Z92)*COUNTIF(AF:AF,Z92),Z92,"")</f>
        <v>46182.625</v>
      </c>
      <c r="AI92" s="3">
        <f t="shared" si="6"/>
        <v>46182.625</v>
      </c>
      <c r="AK92" s="3">
        <v>46174</v>
      </c>
      <c r="AL92" s="5">
        <v>268.39839999999998</v>
      </c>
      <c r="AM92" s="3">
        <v>45908</v>
      </c>
      <c r="AN92" s="4">
        <v>242.51220000000001</v>
      </c>
      <c r="AO92" s="74">
        <v>45908</v>
      </c>
      <c r="AP92" s="4">
        <v>260.62700000000001</v>
      </c>
      <c r="AQ92" s="6">
        <f t="shared" si="7"/>
        <v>45908</v>
      </c>
    </row>
    <row r="93" spans="1:43" x14ac:dyDescent="0.25">
      <c r="A93" s="37" t="str">
        <f ca="1">IF(AND(ISBLANK(AJ82), A92 = $AJ$1),NOW(),IF(ISBLANK(AJ82),"",AJ82))</f>
        <v/>
      </c>
      <c r="B93" s="38" t="str">
        <f ca="1">IF(COUNTIF($AJ$2:AJ1078,A93)=1,VLOOKUP(A93,Z:AA,2), IF(COUNTIF($AJ$2:AJ1078,A93)=0,$B$9,""))</f>
        <v/>
      </c>
      <c r="C93" s="2" t="str">
        <f t="shared" ca="1" si="8"/>
        <v/>
      </c>
      <c r="D93" s="41" t="str">
        <f t="shared" ca="1" si="9"/>
        <v/>
      </c>
      <c r="E93" s="78" t="str">
        <f ca="1">IF(COUNTIF($AJ$2:AJ1078,A93)=1,VLOOKUP(A93,AF:AG,2), IF(COUNTIF($AJ$2:AJ1078,A93)=0,$E$9,""))</f>
        <v/>
      </c>
      <c r="F93" s="91" t="str">
        <f ca="1">IF(COUNTIF($AJ$2:AJ1078,A93)=1,VLOOKUP(A93,AF:AG,2), IF(COUNTIF($AJ$2:AJ1078,A93)=0,$E$9,""))</f>
        <v/>
      </c>
      <c r="G93" s="93" t="str">
        <f t="shared" ca="1" si="10"/>
        <v/>
      </c>
      <c r="H93" s="38" t="str">
        <f ca="1">IF(COUNTIF($AJ$2:AJ1078,A93)=1,VLOOKUP(A93,AB:AC,2), IF(COUNTIF($AJ$2:AJ1078,A93)=0,$C$9,""))</f>
        <v/>
      </c>
      <c r="I93" s="2" t="str">
        <f ca="1">IF(ISERROR(B93-2),"",(H93-$H$14)/100*$C$5)</f>
        <v/>
      </c>
      <c r="J93" s="41" t="str">
        <f ca="1">IF(ISERROR(B93-2),"",(INT(A93)-INT($A$14))/360*$C$6*$C$5-(INT(A93)-INT($A$14))/360*$C$7*$C$5*$H$14/100)</f>
        <v/>
      </c>
      <c r="K93" s="38" t="str">
        <f ca="1">IF(COUNTIF($AJ$2:AJ1078,A93)=1,VLOOKUP(A93,AM:AN,2), IF(COUNTIF($AJ$2:AJ1078,A93)=0,$D$10,""))</f>
        <v/>
      </c>
      <c r="L93" s="41" t="str">
        <f ca="1">IF(ISERROR(K93-2),"",(K93/$K$14-1)*$D$5)</f>
        <v/>
      </c>
      <c r="M93" s="41" t="str">
        <f ca="1">IF($A93="","",IF(COUNTIFS(Dividends!$G:$G,"&gt;"&amp;INT($A92),Dividends!$G:$G,"&lt;="&amp;INT($A93))=0,"",$Q$2*SUMIFS(Dividends!$H:$H,Dividends!$G:$G,"&gt;"&amp;INT($A92),Dividends!$G:$G,"&lt;="&amp;INT($A93))))</f>
        <v/>
      </c>
      <c r="N93" s="42" t="str">
        <f ca="1">IF(ISERROR(B93-2),"",C93+D93-I93-J93-L93+SUM($M$14:M93))</f>
        <v/>
      </c>
      <c r="O93" s="80" t="str">
        <f t="shared" ca="1" si="11"/>
        <v/>
      </c>
      <c r="P93" s="80"/>
      <c r="Q93" s="87"/>
      <c r="R93" s="87"/>
      <c r="S93" s="87"/>
      <c r="T93" s="108"/>
      <c r="U93" s="87"/>
      <c r="V93" s="108"/>
      <c r="W93" s="87"/>
      <c r="X93" s="87"/>
      <c r="Z93" s="3">
        <v>46183.625</v>
      </c>
      <c r="AA93" s="4">
        <v>91.62</v>
      </c>
      <c r="AB93" s="3">
        <v>46177.625</v>
      </c>
      <c r="AC93" s="4">
        <v>99.430999999999997</v>
      </c>
      <c r="AD93" s="3">
        <v>46178.625</v>
      </c>
      <c r="AE93" s="4">
        <v>261.88600000000002</v>
      </c>
      <c r="AH93" s="3" t="str">
        <f>IF(COUNTIF(AB:AB,Z93)*COUNTIF(AD:AD,Z93)*COUNTIF(AF:AF,Z93),Z93,"")</f>
        <v/>
      </c>
      <c r="AI93" s="3" t="str">
        <f t="shared" si="6"/>
        <v/>
      </c>
      <c r="AK93" s="3">
        <v>46175</v>
      </c>
      <c r="AL93" s="5">
        <v>268.89879999999999</v>
      </c>
      <c r="AM93" s="3">
        <v>45909</v>
      </c>
      <c r="AN93" s="4">
        <v>242.49459999999999</v>
      </c>
      <c r="AO93" s="74">
        <v>45909</v>
      </c>
      <c r="AP93" s="4">
        <v>260.81900000000002</v>
      </c>
      <c r="AQ93" s="6">
        <f t="shared" si="7"/>
        <v>45909</v>
      </c>
    </row>
    <row r="94" spans="1:43" x14ac:dyDescent="0.25">
      <c r="A94" s="37" t="str">
        <f ca="1">IF(AND(ISBLANK(AJ83), A93 = $AJ$1),NOW(),IF(ISBLANK(AJ83),"",AJ83))</f>
        <v/>
      </c>
      <c r="B94" s="38" t="str">
        <f ca="1">IF(COUNTIF($AJ$2:AJ1079,A94)=1,VLOOKUP(A94,Z:AA,2), IF(COUNTIF($AJ$2:AJ1079,A94)=0,$B$9,""))</f>
        <v/>
      </c>
      <c r="C94" s="2" t="str">
        <f t="shared" ca="1" si="8"/>
        <v/>
      </c>
      <c r="D94" s="41" t="str">
        <f t="shared" ca="1" si="9"/>
        <v/>
      </c>
      <c r="E94" s="78" t="str">
        <f ca="1">IF(COUNTIF($AJ$2:AJ1079,A94)=1,VLOOKUP(A94,AF:AG,2), IF(COUNTIF($AJ$2:AJ1079,A94)=0,$E$9,""))</f>
        <v/>
      </c>
      <c r="F94" s="91" t="str">
        <f ca="1">IF(COUNTIF($AJ$2:AJ1079,A94)=1,VLOOKUP(A94,AF:AG,2), IF(COUNTIF($AJ$2:AJ1079,A94)=0,$E$9,""))</f>
        <v/>
      </c>
      <c r="G94" s="93" t="str">
        <f t="shared" ca="1" si="10"/>
        <v/>
      </c>
      <c r="H94" s="38" t="str">
        <f ca="1">IF(COUNTIF($AJ$2:AJ1079,A94)=1,VLOOKUP(A94,AB:AC,2), IF(COUNTIF($AJ$2:AJ1079,A94)=0,$C$9,""))</f>
        <v/>
      </c>
      <c r="I94" s="2" t="str">
        <f ca="1">IF(ISERROR(B94-2),"",(H94-$H$14)/100*$C$5)</f>
        <v/>
      </c>
      <c r="J94" s="41" t="str">
        <f ca="1">IF(ISERROR(B94-2),"",(INT(A94)-INT($A$14))/360*$C$6*$C$5-(INT(A94)-INT($A$14))/360*$C$7*$C$5*$H$14/100)</f>
        <v/>
      </c>
      <c r="K94" s="38" t="str">
        <f ca="1">IF(COUNTIF($AJ$2:AJ1079,A94)=1,VLOOKUP(A94,AM:AN,2), IF(COUNTIF($AJ$2:AJ1079,A94)=0,$D$10,""))</f>
        <v/>
      </c>
      <c r="L94" s="41" t="str">
        <f ca="1">IF(ISERROR(K94-2),"",(K94/$K$14-1)*$D$5)</f>
        <v/>
      </c>
      <c r="M94" s="41" t="str">
        <f ca="1">IF($A94="","",IF(COUNTIFS(Dividends!$G:$G,"&gt;"&amp;INT($A93),Dividends!$G:$G,"&lt;="&amp;INT($A94))=0,"",$Q$2*SUMIFS(Dividends!$H:$H,Dividends!$G:$G,"&gt;"&amp;INT($A93),Dividends!$G:$G,"&lt;="&amp;INT($A94))))</f>
        <v/>
      </c>
      <c r="N94" s="42" t="str">
        <f ca="1">IF(ISERROR(B94-2),"",C94+D94-I94-J94-L94+SUM($M$14:M94))</f>
        <v/>
      </c>
      <c r="O94" s="80" t="str">
        <f t="shared" ca="1" si="11"/>
        <v/>
      </c>
      <c r="P94" s="80"/>
      <c r="Q94" s="87"/>
      <c r="R94" s="87"/>
      <c r="S94" s="87"/>
      <c r="T94" s="108"/>
      <c r="U94" s="87"/>
      <c r="V94" s="108"/>
      <c r="W94" s="87"/>
      <c r="X94" s="87"/>
      <c r="Z94" s="3">
        <v>46184.625</v>
      </c>
      <c r="AA94" s="4">
        <v>91.65</v>
      </c>
      <c r="AB94" s="3">
        <v>46178.625</v>
      </c>
      <c r="AC94" s="4">
        <v>99.38</v>
      </c>
      <c r="AD94" s="3">
        <v>46181.625</v>
      </c>
      <c r="AE94" s="4">
        <v>263.755</v>
      </c>
      <c r="AH94" s="3" t="str">
        <f>IF(COUNTIF(AB:AB,Z94)*COUNTIF(AD:AD,Z94)*COUNTIF(AF:AF,Z94),Z94,"")</f>
        <v/>
      </c>
      <c r="AI94" s="3" t="str">
        <f t="shared" si="6"/>
        <v/>
      </c>
      <c r="AK94" s="3">
        <v>46176</v>
      </c>
      <c r="AL94" s="5">
        <v>268.40789999999998</v>
      </c>
      <c r="AM94" s="3">
        <v>45910</v>
      </c>
      <c r="AN94" s="4">
        <v>242.7055</v>
      </c>
      <c r="AO94" s="74">
        <v>45910</v>
      </c>
      <c r="AP94" s="4">
        <v>258.92</v>
      </c>
      <c r="AQ94" s="6">
        <f t="shared" si="7"/>
        <v>45910</v>
      </c>
    </row>
    <row r="95" spans="1:43" x14ac:dyDescent="0.25">
      <c r="A95" s="37" t="str">
        <f ca="1">IF(AND(ISBLANK(AJ84), A94 = $AJ$1),NOW(),IF(ISBLANK(AJ84),"",AJ84))</f>
        <v/>
      </c>
      <c r="B95" s="38" t="str">
        <f ca="1">IF(COUNTIF($AJ$2:AJ1080,A95)=1,VLOOKUP(A95,Z:AA,2), IF(COUNTIF($AJ$2:AJ1080,A95)=0,$B$9,""))</f>
        <v/>
      </c>
      <c r="C95" s="2" t="str">
        <f t="shared" ca="1" si="8"/>
        <v/>
      </c>
      <c r="D95" s="41" t="str">
        <f t="shared" ca="1" si="9"/>
        <v/>
      </c>
      <c r="E95" s="78" t="str">
        <f ca="1">IF(COUNTIF($AJ$2:AJ1080,A95)=1,VLOOKUP(A95,AF:AG,2), IF(COUNTIF($AJ$2:AJ1080,A95)=0,$E$9,""))</f>
        <v/>
      </c>
      <c r="F95" s="91" t="str">
        <f ca="1">IF(COUNTIF($AJ$2:AJ1080,A95)=1,VLOOKUP(A95,AF:AG,2), IF(COUNTIF($AJ$2:AJ1080,A95)=0,$E$9,""))</f>
        <v/>
      </c>
      <c r="G95" s="93" t="str">
        <f t="shared" ca="1" si="10"/>
        <v/>
      </c>
      <c r="H95" s="38" t="str">
        <f ca="1">IF(COUNTIF($AJ$2:AJ1080,A95)=1,VLOOKUP(A95,AB:AC,2), IF(COUNTIF($AJ$2:AJ1080,A95)=0,$C$9,""))</f>
        <v/>
      </c>
      <c r="I95" s="2" t="str">
        <f ca="1">IF(ISERROR(B95-2),"",(H95-$H$14)/100*$C$5)</f>
        <v/>
      </c>
      <c r="J95" s="41" t="str">
        <f ca="1">IF(ISERROR(B95-2),"",(INT(A95)-INT($A$14))/360*$C$6*$C$5-(INT(A95)-INT($A$14))/360*$C$7*$C$5*$H$14/100)</f>
        <v/>
      </c>
      <c r="K95" s="38" t="str">
        <f ca="1">IF(COUNTIF($AJ$2:AJ1080,A95)=1,VLOOKUP(A95,AM:AN,2), IF(COUNTIF($AJ$2:AJ1080,A95)=0,$D$10,""))</f>
        <v/>
      </c>
      <c r="L95" s="41" t="str">
        <f ca="1">IF(ISERROR(K95-2),"",(K95/$K$14-1)*$D$5)</f>
        <v/>
      </c>
      <c r="M95" s="41" t="str">
        <f ca="1">IF($A95="","",IF(COUNTIFS(Dividends!$G:$G,"&gt;"&amp;INT($A94),Dividends!$G:$G,"&lt;="&amp;INT($A95))=0,"",$Q$2*SUMIFS(Dividends!$H:$H,Dividends!$G:$G,"&gt;"&amp;INT($A94),Dividends!$G:$G,"&lt;="&amp;INT($A95))))</f>
        <v/>
      </c>
      <c r="N95" s="42" t="str">
        <f ca="1">IF(ISERROR(B95-2),"",C95+D95-I95-J95-L95+SUM($M$14:M95))</f>
        <v/>
      </c>
      <c r="O95" s="80" t="str">
        <f t="shared" ca="1" si="11"/>
        <v/>
      </c>
      <c r="P95" s="80"/>
      <c r="Q95" s="87"/>
      <c r="R95" s="87"/>
      <c r="S95" s="87"/>
      <c r="T95" s="108"/>
      <c r="U95" s="87"/>
      <c r="V95" s="108"/>
      <c r="W95" s="87"/>
      <c r="X95" s="87"/>
      <c r="Z95" s="3">
        <v>46185.625</v>
      </c>
      <c r="AA95" s="4">
        <v>91.87</v>
      </c>
      <c r="AB95" s="3">
        <v>46181.625</v>
      </c>
      <c r="AC95" s="4">
        <v>99.350999999999999</v>
      </c>
      <c r="AD95" s="3">
        <v>46182.625</v>
      </c>
      <c r="AE95" s="4">
        <v>261.05</v>
      </c>
      <c r="AH95" s="3" t="str">
        <f>IF(COUNTIF(AB:AB,Z95)*COUNTIF(AD:AD,Z95)*COUNTIF(AF:AF,Z95),Z95,"")</f>
        <v/>
      </c>
      <c r="AI95" s="3" t="str">
        <f t="shared" si="6"/>
        <v/>
      </c>
      <c r="AK95" s="3">
        <v>46177</v>
      </c>
      <c r="AL95" s="5">
        <v>268.64510000000001</v>
      </c>
      <c r="AM95" s="3">
        <v>45911</v>
      </c>
      <c r="AN95" s="4">
        <v>243.49940000000001</v>
      </c>
      <c r="AO95" s="74">
        <v>45911</v>
      </c>
      <c r="AP95" s="4">
        <v>252.2</v>
      </c>
      <c r="AQ95" s="6">
        <f t="shared" si="7"/>
        <v>45911</v>
      </c>
    </row>
    <row r="96" spans="1:43" x14ac:dyDescent="0.25">
      <c r="A96" s="37" t="str">
        <f ca="1">IF(AND(ISBLANK(AJ85), A95 = $AJ$1),NOW(),IF(ISBLANK(AJ85),"",AJ85))</f>
        <v/>
      </c>
      <c r="B96" s="38" t="str">
        <f ca="1">IF(COUNTIF($AJ$2:AJ1081,A96)=1,VLOOKUP(A96,Z:AA,2), IF(COUNTIF($AJ$2:AJ1081,A96)=0,$B$9,""))</f>
        <v/>
      </c>
      <c r="C96" s="2" t="str">
        <f t="shared" ca="1" si="8"/>
        <v/>
      </c>
      <c r="D96" s="41" t="str">
        <f t="shared" ca="1" si="9"/>
        <v/>
      </c>
      <c r="E96" s="78" t="str">
        <f ca="1">IF(COUNTIF($AJ$2:AJ1081,A96)=1,VLOOKUP(A96,AF:AG,2), IF(COUNTIF($AJ$2:AJ1081,A96)=0,$E$9,""))</f>
        <v/>
      </c>
      <c r="F96" s="91" t="str">
        <f ca="1">IF(COUNTIF($AJ$2:AJ1081,A96)=1,VLOOKUP(A96,AF:AG,2), IF(COUNTIF($AJ$2:AJ1081,A96)=0,$E$9,""))</f>
        <v/>
      </c>
      <c r="G96" s="93" t="str">
        <f t="shared" ca="1" si="10"/>
        <v/>
      </c>
      <c r="H96" s="38" t="str">
        <f ca="1">IF(COUNTIF($AJ$2:AJ1081,A96)=1,VLOOKUP(A96,AB:AC,2), IF(COUNTIF($AJ$2:AJ1081,A96)=0,$C$9,""))</f>
        <v/>
      </c>
      <c r="I96" s="2" t="str">
        <f ca="1">IF(ISERROR(B96-2),"",(H96-$H$14)/100*$C$5)</f>
        <v/>
      </c>
      <c r="J96" s="41" t="str">
        <f ca="1">IF(ISERROR(B96-2),"",(INT(A96)-INT($A$14))/360*$C$6*$C$5-(INT(A96)-INT($A$14))/360*$C$7*$C$5*$H$14/100)</f>
        <v/>
      </c>
      <c r="K96" s="38" t="str">
        <f ca="1">IF(COUNTIF($AJ$2:AJ1081,A96)=1,VLOOKUP(A96,AM:AN,2), IF(COUNTIF($AJ$2:AJ1081,A96)=0,$D$10,""))</f>
        <v/>
      </c>
      <c r="L96" s="41" t="str">
        <f ca="1">IF(ISERROR(K96-2),"",(K96/$K$14-1)*$D$5)</f>
        <v/>
      </c>
      <c r="M96" s="41" t="str">
        <f ca="1">IF($A96="","",IF(COUNTIFS(Dividends!$G:$G,"&gt;"&amp;INT($A95),Dividends!$G:$G,"&lt;="&amp;INT($A96))=0,"",$Q$2*SUMIFS(Dividends!$H:$H,Dividends!$G:$G,"&gt;"&amp;INT($A95),Dividends!$G:$G,"&lt;="&amp;INT($A96))))</f>
        <v/>
      </c>
      <c r="N96" s="42" t="str">
        <f ca="1">IF(ISERROR(B96-2),"",C96+D96-I96-J96-L96+SUM($M$14:M96))</f>
        <v/>
      </c>
      <c r="O96" s="80" t="str">
        <f t="shared" ca="1" si="11"/>
        <v/>
      </c>
      <c r="P96" s="80"/>
      <c r="Q96" s="87"/>
      <c r="R96" s="87"/>
      <c r="S96" s="87"/>
      <c r="T96" s="108"/>
      <c r="U96" s="87"/>
      <c r="V96" s="108"/>
      <c r="W96" s="87"/>
      <c r="X96" s="87"/>
      <c r="Z96" s="3">
        <v>46188.625</v>
      </c>
      <c r="AA96" s="4">
        <v>92.18</v>
      </c>
      <c r="AB96" s="3">
        <v>46182.625</v>
      </c>
      <c r="AC96" s="4">
        <v>99.396000000000001</v>
      </c>
      <c r="AD96" s="3">
        <v>46183.625</v>
      </c>
      <c r="AE96" s="4">
        <v>264.82</v>
      </c>
      <c r="AH96" s="3">
        <f>IF(COUNTIF(AB:AB,Z96)*COUNTIF(AD:AD,Z96)*COUNTIF(AF:AF,Z96),Z96,"")</f>
        <v>46188.625</v>
      </c>
      <c r="AI96" s="3">
        <f t="shared" si="6"/>
        <v>46188.625</v>
      </c>
      <c r="AK96" s="3">
        <v>46178</v>
      </c>
      <c r="AL96" s="5">
        <v>268.35000000000002</v>
      </c>
      <c r="AM96" s="3">
        <v>45912</v>
      </c>
      <c r="AN96" s="4">
        <v>243.55</v>
      </c>
      <c r="AO96" s="74">
        <v>45912</v>
      </c>
      <c r="AP96" s="4">
        <v>251.792</v>
      </c>
      <c r="AQ96" s="6">
        <f t="shared" si="7"/>
        <v>45912</v>
      </c>
    </row>
    <row r="97" spans="1:43" x14ac:dyDescent="0.25">
      <c r="A97" s="37" t="str">
        <f ca="1">IF(AND(ISBLANK(AJ86), A96 = $AJ$1),NOW(),IF(ISBLANK(AJ86),"",AJ86))</f>
        <v/>
      </c>
      <c r="B97" s="38" t="str">
        <f ca="1">IF(COUNTIF($AJ$2:AJ1082,A97)=1,VLOOKUP(A97,Z:AA,2), IF(COUNTIF($AJ$2:AJ1082,A97)=0,$B$9,""))</f>
        <v/>
      </c>
      <c r="C97" s="2" t="str">
        <f t="shared" ca="1" si="8"/>
        <v/>
      </c>
      <c r="D97" s="41" t="str">
        <f t="shared" ca="1" si="9"/>
        <v/>
      </c>
      <c r="E97" s="78" t="str">
        <f ca="1">IF(COUNTIF($AJ$2:AJ1082,A97)=1,VLOOKUP(A97,AF:AG,2), IF(COUNTIF($AJ$2:AJ1082,A97)=0,$E$9,""))</f>
        <v/>
      </c>
      <c r="F97" s="91" t="str">
        <f ca="1">IF(COUNTIF($AJ$2:AJ1082,A97)=1,VLOOKUP(A97,AF:AG,2), IF(COUNTIF($AJ$2:AJ1082,A97)=0,$E$9,""))</f>
        <v/>
      </c>
      <c r="G97" s="93" t="str">
        <f t="shared" ca="1" si="10"/>
        <v/>
      </c>
      <c r="H97" s="38" t="str">
        <f ca="1">IF(COUNTIF($AJ$2:AJ1082,A97)=1,VLOOKUP(A97,AB:AC,2), IF(COUNTIF($AJ$2:AJ1082,A97)=0,$C$9,""))</f>
        <v/>
      </c>
      <c r="I97" s="2" t="str">
        <f ca="1">IF(ISERROR(B97-2),"",(H97-$H$14)/100*$C$5)</f>
        <v/>
      </c>
      <c r="J97" s="41" t="str">
        <f ca="1">IF(ISERROR(B97-2),"",(INT(A97)-INT($A$14))/360*$C$6*$C$5-(INT(A97)-INT($A$14))/360*$C$7*$C$5*$H$14/100)</f>
        <v/>
      </c>
      <c r="K97" s="38" t="str">
        <f ca="1">IF(COUNTIF($AJ$2:AJ1082,A97)=1,VLOOKUP(A97,AM:AN,2), IF(COUNTIF($AJ$2:AJ1082,A97)=0,$D$10,""))</f>
        <v/>
      </c>
      <c r="L97" s="41" t="str">
        <f ca="1">IF(ISERROR(K97-2),"",(K97/$K$14-1)*$D$5)</f>
        <v/>
      </c>
      <c r="M97" s="41" t="str">
        <f ca="1">IF($A97="","",IF(COUNTIFS(Dividends!$G:$G,"&gt;"&amp;INT($A96),Dividends!$G:$G,"&lt;="&amp;INT($A97))=0,"",$Q$2*SUMIFS(Dividends!$H:$H,Dividends!$G:$G,"&gt;"&amp;INT($A96),Dividends!$G:$G,"&lt;="&amp;INT($A97))))</f>
        <v/>
      </c>
      <c r="N97" s="42" t="str">
        <f ca="1">IF(ISERROR(B97-2),"",C97+D97-I97-J97-L97+SUM($M$14:M97))</f>
        <v/>
      </c>
      <c r="O97" s="80" t="str">
        <f t="shared" ca="1" si="11"/>
        <v/>
      </c>
      <c r="P97" s="80"/>
      <c r="Q97" s="87"/>
      <c r="R97" s="87"/>
      <c r="S97" s="87"/>
      <c r="T97" s="108"/>
      <c r="U97" s="87"/>
      <c r="V97" s="108"/>
      <c r="W97" s="87"/>
      <c r="X97" s="87"/>
      <c r="Z97" s="3">
        <v>46189.625</v>
      </c>
      <c r="AA97" s="4">
        <v>92.15</v>
      </c>
      <c r="AB97" s="3">
        <v>46183.625</v>
      </c>
      <c r="AC97" s="4">
        <v>99.337999999999994</v>
      </c>
      <c r="AD97" s="3">
        <v>46184.625</v>
      </c>
      <c r="AE97" s="4">
        <v>263.56900000000002</v>
      </c>
      <c r="AH97" s="3">
        <f>IF(COUNTIF(AB:AB,Z97)*COUNTIF(AD:AD,Z97)*COUNTIF(AF:AF,Z97),Z97,"")</f>
        <v>46189.625</v>
      </c>
      <c r="AI97" s="3">
        <f t="shared" si="6"/>
        <v>46189.625</v>
      </c>
      <c r="AK97" s="3">
        <v>46181</v>
      </c>
      <c r="AL97" s="5">
        <v>268.29649999999998</v>
      </c>
      <c r="AM97" s="3">
        <v>45915</v>
      </c>
      <c r="AN97" s="4">
        <v>244.01660000000001</v>
      </c>
      <c r="AO97" s="74">
        <v>45915</v>
      </c>
      <c r="AP97" s="4">
        <v>248.089</v>
      </c>
      <c r="AQ97" s="6">
        <f t="shared" si="7"/>
        <v>45915</v>
      </c>
    </row>
    <row r="98" spans="1:43" x14ac:dyDescent="0.25">
      <c r="A98" s="37" t="str">
        <f ca="1">IF(AND(ISBLANK(AJ87), A97 = $AJ$1),NOW(),IF(ISBLANK(AJ87),"",AJ87))</f>
        <v/>
      </c>
      <c r="B98" s="38" t="str">
        <f ca="1">IF(COUNTIF($AJ$2:AJ1083,A98)=1,VLOOKUP(A98,Z:AA,2), IF(COUNTIF($AJ$2:AJ1083,A98)=0,$B$9,""))</f>
        <v/>
      </c>
      <c r="C98" s="2" t="str">
        <f t="shared" ca="1" si="8"/>
        <v/>
      </c>
      <c r="D98" s="41" t="str">
        <f t="shared" ca="1" si="9"/>
        <v/>
      </c>
      <c r="E98" s="78" t="str">
        <f ca="1">IF(COUNTIF($AJ$2:AJ1083,A98)=1,VLOOKUP(A98,AF:AG,2), IF(COUNTIF($AJ$2:AJ1083,A98)=0,$E$9,""))</f>
        <v/>
      </c>
      <c r="F98" s="91" t="str">
        <f ca="1">IF(COUNTIF($AJ$2:AJ1083,A98)=1,VLOOKUP(A98,AF:AG,2), IF(COUNTIF($AJ$2:AJ1083,A98)=0,$E$9,""))</f>
        <v/>
      </c>
      <c r="G98" s="93" t="str">
        <f t="shared" ca="1" si="10"/>
        <v/>
      </c>
      <c r="H98" s="38" t="str">
        <f ca="1">IF(COUNTIF($AJ$2:AJ1083,A98)=1,VLOOKUP(A98,AB:AC,2), IF(COUNTIF($AJ$2:AJ1083,A98)=0,$C$9,""))</f>
        <v/>
      </c>
      <c r="I98" s="2" t="str">
        <f ca="1">IF(ISERROR(B98-2),"",(H98-$H$14)/100*$C$5)</f>
        <v/>
      </c>
      <c r="J98" s="41" t="str">
        <f ca="1">IF(ISERROR(B98-2),"",(INT(A98)-INT($A$14))/360*$C$6*$C$5-(INT(A98)-INT($A$14))/360*$C$7*$C$5*$H$14/100)</f>
        <v/>
      </c>
      <c r="K98" s="38" t="str">
        <f ca="1">IF(COUNTIF($AJ$2:AJ1083,A98)=1,VLOOKUP(A98,AM:AN,2), IF(COUNTIF($AJ$2:AJ1083,A98)=0,$D$10,""))</f>
        <v/>
      </c>
      <c r="L98" s="41" t="str">
        <f ca="1">IF(ISERROR(K98-2),"",(K98/$K$14-1)*$D$5)</f>
        <v/>
      </c>
      <c r="M98" s="41" t="str">
        <f ca="1">IF($A98="","",IF(COUNTIFS(Dividends!$G:$G,"&gt;"&amp;INT($A97),Dividends!$G:$G,"&lt;="&amp;INT($A98))=0,"",$Q$2*SUMIFS(Dividends!$H:$H,Dividends!$G:$G,"&gt;"&amp;INT($A97),Dividends!$G:$G,"&lt;="&amp;INT($A98))))</f>
        <v/>
      </c>
      <c r="N98" s="42" t="str">
        <f ca="1">IF(ISERROR(B98-2),"",C98+D98-I98-J98-L98+SUM($M$14:M98))</f>
        <v/>
      </c>
      <c r="O98" s="80" t="str">
        <f t="shared" ca="1" si="11"/>
        <v/>
      </c>
      <c r="P98" s="80"/>
      <c r="Q98" s="87"/>
      <c r="R98" s="87"/>
      <c r="S98" s="87"/>
      <c r="T98" s="108"/>
      <c r="U98" s="87"/>
      <c r="V98" s="108"/>
      <c r="W98" s="87"/>
      <c r="X98" s="87"/>
      <c r="Z98" s="3">
        <v>46190.625</v>
      </c>
      <c r="AA98" s="4">
        <v>92.16</v>
      </c>
      <c r="AB98" s="3">
        <v>46184.625</v>
      </c>
      <c r="AC98" s="4">
        <v>99.400999999999996</v>
      </c>
      <c r="AD98" s="3">
        <v>46185.625</v>
      </c>
      <c r="AE98" s="4">
        <v>253.16399999999999</v>
      </c>
      <c r="AH98" s="3">
        <f>IF(COUNTIF(AB:AB,Z98)*COUNTIF(AD:AD,Z98)*COUNTIF(AF:AF,Z98),Z98,"")</f>
        <v>46190.625</v>
      </c>
      <c r="AI98" s="3">
        <f t="shared" si="6"/>
        <v>46190.625</v>
      </c>
      <c r="AK98" s="3">
        <v>46182</v>
      </c>
      <c r="AL98" s="5">
        <v>268.3329</v>
      </c>
      <c r="AM98" s="3">
        <v>45916</v>
      </c>
      <c r="AN98" s="4">
        <v>243.57589999999999</v>
      </c>
      <c r="AO98" s="74">
        <v>45916</v>
      </c>
      <c r="AP98" s="4">
        <v>252.04</v>
      </c>
      <c r="AQ98" s="6">
        <f t="shared" si="7"/>
        <v>45916</v>
      </c>
    </row>
    <row r="99" spans="1:43" x14ac:dyDescent="0.25">
      <c r="A99" s="37" t="str">
        <f ca="1">IF(AND(ISBLANK(AJ88), A98 = $AJ$1),NOW(),IF(ISBLANK(AJ88),"",AJ88))</f>
        <v/>
      </c>
      <c r="B99" s="38" t="str">
        <f ca="1">IF(COUNTIF($AJ$2:AJ1084,A99)=1,VLOOKUP(A99,Z:AA,2), IF(COUNTIF($AJ$2:AJ1084,A99)=0,$B$9,""))</f>
        <v/>
      </c>
      <c r="C99" s="2" t="str">
        <f t="shared" ca="1" si="8"/>
        <v/>
      </c>
      <c r="D99" s="41" t="str">
        <f t="shared" ca="1" si="9"/>
        <v/>
      </c>
      <c r="E99" s="78" t="str">
        <f ca="1">IF(COUNTIF($AJ$2:AJ1084,A99)=1,VLOOKUP(A99,AF:AG,2), IF(COUNTIF($AJ$2:AJ1084,A99)=0,$E$9,""))</f>
        <v/>
      </c>
      <c r="F99" s="91" t="str">
        <f ca="1">IF(COUNTIF($AJ$2:AJ1084,A99)=1,VLOOKUP(A99,AF:AG,2), IF(COUNTIF($AJ$2:AJ1084,A99)=0,$E$9,""))</f>
        <v/>
      </c>
      <c r="G99" s="93" t="str">
        <f t="shared" ca="1" si="10"/>
        <v/>
      </c>
      <c r="H99" s="38" t="str">
        <f ca="1">IF(COUNTIF($AJ$2:AJ1084,A99)=1,VLOOKUP(A99,AB:AC,2), IF(COUNTIF($AJ$2:AJ1084,A99)=0,$C$9,""))</f>
        <v/>
      </c>
      <c r="I99" s="2" t="str">
        <f ca="1">IF(ISERROR(B99-2),"",(H99-$H$14)/100*$C$5)</f>
        <v/>
      </c>
      <c r="J99" s="41" t="str">
        <f ca="1">IF(ISERROR(B99-2),"",(INT(A99)-INT($A$14))/360*$C$6*$C$5-(INT(A99)-INT($A$14))/360*$C$7*$C$5*$H$14/100)</f>
        <v/>
      </c>
      <c r="K99" s="38" t="str">
        <f ca="1">IF(COUNTIF($AJ$2:AJ1084,A99)=1,VLOOKUP(A99,AM:AN,2), IF(COUNTIF($AJ$2:AJ1084,A99)=0,$D$10,""))</f>
        <v/>
      </c>
      <c r="L99" s="41" t="str">
        <f ca="1">IF(ISERROR(K99-2),"",(K99/$K$14-1)*$D$5)</f>
        <v/>
      </c>
      <c r="M99" s="41" t="str">
        <f ca="1">IF($A99="","",IF(COUNTIFS(Dividends!$G:$G,"&gt;"&amp;INT($A98),Dividends!$G:$G,"&lt;="&amp;INT($A99))=0,"",$Q$2*SUMIFS(Dividends!$H:$H,Dividends!$G:$G,"&gt;"&amp;INT($A98),Dividends!$G:$G,"&lt;="&amp;INT($A99))))</f>
        <v/>
      </c>
      <c r="N99" s="42" t="str">
        <f ca="1">IF(ISERROR(B99-2),"",C99+D99-I99-J99-L99+SUM($M$14:M99))</f>
        <v/>
      </c>
      <c r="O99" s="80" t="str">
        <f t="shared" ca="1" si="11"/>
        <v/>
      </c>
      <c r="P99" s="80"/>
      <c r="Q99" s="87"/>
      <c r="R99" s="87"/>
      <c r="S99" s="87"/>
      <c r="T99" s="108"/>
      <c r="U99" s="87"/>
      <c r="V99" s="108"/>
      <c r="W99" s="87"/>
      <c r="X99" s="87"/>
      <c r="Z99" s="3">
        <v>46191.625</v>
      </c>
      <c r="AA99" s="4">
        <v>91.01</v>
      </c>
      <c r="AB99" s="3">
        <v>46185.625</v>
      </c>
      <c r="AC99" s="4">
        <v>99.512</v>
      </c>
      <c r="AD99" s="3">
        <v>46188.625</v>
      </c>
      <c r="AE99" s="4">
        <v>248.518</v>
      </c>
      <c r="AH99" s="3">
        <f>IF(COUNTIF(AB:AB,Z99)*COUNTIF(AD:AD,Z99)*COUNTIF(AF:AF,Z99),Z99,"")</f>
        <v>46191.625</v>
      </c>
      <c r="AI99" s="3">
        <f t="shared" si="6"/>
        <v>46191.625</v>
      </c>
      <c r="AK99" s="3">
        <v>46183</v>
      </c>
      <c r="AL99" s="5">
        <v>268.03980000000001</v>
      </c>
      <c r="AM99" s="3">
        <v>45917</v>
      </c>
      <c r="AN99" s="4">
        <v>243.72110000000001</v>
      </c>
      <c r="AO99" s="74">
        <v>45917</v>
      </c>
      <c r="AP99" s="4">
        <v>250.89500000000001</v>
      </c>
      <c r="AQ99" s="6">
        <f t="shared" si="7"/>
        <v>45917</v>
      </c>
    </row>
    <row r="100" spans="1:43" x14ac:dyDescent="0.25">
      <c r="A100" s="37" t="str">
        <f ca="1">IF(AND(ISBLANK(AJ89), A99 = $AJ$1),NOW(),IF(ISBLANK(AJ89),"",AJ89))</f>
        <v/>
      </c>
      <c r="B100" s="38" t="str">
        <f ca="1">IF(COUNTIF($AJ$2:AJ1085,A100)=1,VLOOKUP(A100,Z:AA,2), IF(COUNTIF($AJ$2:AJ1085,A100)=0,$B$9,""))</f>
        <v/>
      </c>
      <c r="C100" s="2" t="str">
        <f t="shared" ca="1" si="8"/>
        <v/>
      </c>
      <c r="D100" s="41" t="str">
        <f t="shared" ca="1" si="9"/>
        <v/>
      </c>
      <c r="E100" s="78" t="str">
        <f ca="1">IF(COUNTIF($AJ$2:AJ1085,A100)=1,VLOOKUP(A100,AF:AG,2), IF(COUNTIF($AJ$2:AJ1085,A100)=0,$E$9,""))</f>
        <v/>
      </c>
      <c r="F100" s="91" t="str">
        <f ca="1">IF(COUNTIF($AJ$2:AJ1085,A100)=1,VLOOKUP(A100,AF:AG,2), IF(COUNTIF($AJ$2:AJ1085,A100)=0,$E$9,""))</f>
        <v/>
      </c>
      <c r="G100" s="93" t="str">
        <f t="shared" ca="1" si="10"/>
        <v/>
      </c>
      <c r="H100" s="38" t="str">
        <f ca="1">IF(COUNTIF($AJ$2:AJ1085,A100)=1,VLOOKUP(A100,AB:AC,2), IF(COUNTIF($AJ$2:AJ1085,A100)=0,$C$9,""))</f>
        <v/>
      </c>
      <c r="I100" s="2" t="str">
        <f ca="1">IF(ISERROR(B100-2),"",(H100-$H$14)/100*$C$5)</f>
        <v/>
      </c>
      <c r="J100" s="41" t="str">
        <f ca="1">IF(ISERROR(B100-2),"",(INT(A100)-INT($A$14))/360*$C$6*$C$5-(INT(A100)-INT($A$14))/360*$C$7*$C$5*$H$14/100)</f>
        <v/>
      </c>
      <c r="K100" s="38" t="str">
        <f ca="1">IF(COUNTIF($AJ$2:AJ1085,A100)=1,VLOOKUP(A100,AM:AN,2), IF(COUNTIF($AJ$2:AJ1085,A100)=0,$D$10,""))</f>
        <v/>
      </c>
      <c r="L100" s="41" t="str">
        <f ca="1">IF(ISERROR(K100-2),"",(K100/$K$14-1)*$D$5)</f>
        <v/>
      </c>
      <c r="M100" s="41" t="str">
        <f ca="1">IF($A100="","",IF(COUNTIFS(Dividends!$G:$G,"&gt;"&amp;INT($A99),Dividends!$G:$G,"&lt;="&amp;INT($A100))=0,"",$Q$2*SUMIFS(Dividends!$H:$H,Dividends!$G:$G,"&gt;"&amp;INT($A99),Dividends!$G:$G,"&lt;="&amp;INT($A100))))</f>
        <v/>
      </c>
      <c r="N100" s="42" t="str">
        <f ca="1">IF(ISERROR(B100-2),"",C100+D100-I100-J100-L100+SUM($M$14:M100))</f>
        <v/>
      </c>
      <c r="O100" s="80" t="str">
        <f t="shared" ca="1" si="11"/>
        <v/>
      </c>
      <c r="P100" s="80"/>
      <c r="Q100" s="87"/>
      <c r="R100" s="87"/>
      <c r="S100" s="87"/>
      <c r="T100" s="108"/>
      <c r="U100" s="87"/>
      <c r="V100" s="108"/>
      <c r="W100" s="87"/>
      <c r="X100" s="87"/>
      <c r="Z100" s="3">
        <v>46192.625</v>
      </c>
      <c r="AA100" s="4">
        <v>91.05</v>
      </c>
      <c r="AB100" s="3">
        <v>46188.625</v>
      </c>
      <c r="AC100" s="4">
        <v>99.631</v>
      </c>
      <c r="AD100" s="3">
        <v>46189.625</v>
      </c>
      <c r="AE100" s="4">
        <v>249.79400000000001</v>
      </c>
      <c r="AH100" s="3">
        <f>IF(COUNTIF(AB:AB,Z100)*COUNTIF(AD:AD,Z100)*COUNTIF(AF:AF,Z100),Z100,"")</f>
        <v>46192.625</v>
      </c>
      <c r="AI100" s="3">
        <f t="shared" si="6"/>
        <v>46192.625</v>
      </c>
      <c r="AK100" s="3">
        <v>46184</v>
      </c>
      <c r="AL100" s="5">
        <v>268.44299999999998</v>
      </c>
      <c r="AM100" s="3">
        <v>45918</v>
      </c>
      <c r="AN100" s="4">
        <v>244.14340000000001</v>
      </c>
      <c r="AO100" s="74">
        <v>45918</v>
      </c>
      <c r="AP100" s="4">
        <v>247.65700000000001</v>
      </c>
      <c r="AQ100" s="6">
        <f t="shared" si="7"/>
        <v>45918</v>
      </c>
    </row>
    <row r="101" spans="1:43" x14ac:dyDescent="0.25">
      <c r="A101" s="37" t="str">
        <f ca="1">IF(AND(ISBLANK(AJ90), A100 = $AJ$1),NOW(),IF(ISBLANK(AJ90),"",AJ90))</f>
        <v/>
      </c>
      <c r="B101" s="38" t="str">
        <f ca="1">IF(COUNTIF($AJ$2:AJ1086,A101)=1,VLOOKUP(A101,Z:AA,2), IF(COUNTIF($AJ$2:AJ1086,A101)=0,$B$9,""))</f>
        <v/>
      </c>
      <c r="C101" s="2" t="str">
        <f t="shared" ca="1" si="8"/>
        <v/>
      </c>
      <c r="D101" s="41" t="str">
        <f t="shared" ca="1" si="9"/>
        <v/>
      </c>
      <c r="E101" s="78" t="str">
        <f ca="1">IF(COUNTIF($AJ$2:AJ1086,A101)=1,VLOOKUP(A101,AF:AG,2), IF(COUNTIF($AJ$2:AJ1086,A101)=0,$E$9,""))</f>
        <v/>
      </c>
      <c r="F101" s="91" t="str">
        <f ca="1">IF(COUNTIF($AJ$2:AJ1086,A101)=1,VLOOKUP(A101,AF:AG,2), IF(COUNTIF($AJ$2:AJ1086,A101)=0,$E$9,""))</f>
        <v/>
      </c>
      <c r="G101" s="93" t="str">
        <f t="shared" ca="1" si="10"/>
        <v/>
      </c>
      <c r="H101" s="38" t="str">
        <f ca="1">IF(COUNTIF($AJ$2:AJ1086,A101)=1,VLOOKUP(A101,AB:AC,2), IF(COUNTIF($AJ$2:AJ1086,A101)=0,$C$9,""))</f>
        <v/>
      </c>
      <c r="I101" s="2" t="str">
        <f ca="1">IF(ISERROR(B101-2),"",(H101-$H$14)/100*$C$5)</f>
        <v/>
      </c>
      <c r="J101" s="41" t="str">
        <f ca="1">IF(ISERROR(B101-2),"",(INT(A101)-INT($A$14))/360*$C$6*$C$5-(INT(A101)-INT($A$14))/360*$C$7*$C$5*$H$14/100)</f>
        <v/>
      </c>
      <c r="K101" s="38" t="str">
        <f ca="1">IF(COUNTIF($AJ$2:AJ1086,A101)=1,VLOOKUP(A101,AM:AN,2), IF(COUNTIF($AJ$2:AJ1086,A101)=0,$D$10,""))</f>
        <v/>
      </c>
      <c r="L101" s="41" t="str">
        <f ca="1">IF(ISERROR(K101-2),"",(K101/$K$14-1)*$D$5)</f>
        <v/>
      </c>
      <c r="M101" s="41" t="str">
        <f ca="1">IF($A101="","",IF(COUNTIFS(Dividends!$G:$G,"&gt;"&amp;INT($A100),Dividends!$G:$G,"&lt;="&amp;INT($A101))=0,"",$Q$2*SUMIFS(Dividends!$H:$H,Dividends!$G:$G,"&gt;"&amp;INT($A100),Dividends!$G:$G,"&lt;="&amp;INT($A101))))</f>
        <v/>
      </c>
      <c r="N101" s="42" t="str">
        <f ca="1">IF(ISERROR(B101-2),"",C101+D101-I101-J101-L101+SUM($M$14:M101))</f>
        <v/>
      </c>
      <c r="O101" s="80" t="str">
        <f t="shared" ca="1" si="11"/>
        <v/>
      </c>
      <c r="P101" s="80"/>
      <c r="Q101" s="87"/>
      <c r="R101" s="87"/>
      <c r="S101" s="87"/>
      <c r="T101" s="108"/>
      <c r="U101" s="87"/>
      <c r="V101" s="108"/>
      <c r="W101" s="87"/>
      <c r="X101" s="87"/>
      <c r="Z101" s="3">
        <v>46195.625</v>
      </c>
      <c r="AA101" s="4">
        <v>91.17</v>
      </c>
      <c r="AB101" s="3">
        <v>46189.625</v>
      </c>
      <c r="AC101" s="4">
        <v>99.625</v>
      </c>
      <c r="AD101" s="3">
        <v>46190.625</v>
      </c>
      <c r="AE101" s="4">
        <v>252.459</v>
      </c>
      <c r="AH101" s="3" t="str">
        <f>IF(COUNTIF(AB:AB,Z101)*COUNTIF(AD:AD,Z101)*COUNTIF(AF:AF,Z101),Z101,"")</f>
        <v/>
      </c>
      <c r="AI101" s="3" t="str">
        <f t="shared" si="6"/>
        <v/>
      </c>
      <c r="AK101" s="3">
        <v>46185</v>
      </c>
      <c r="AL101" s="5">
        <v>269.7552</v>
      </c>
      <c r="AM101" s="3">
        <v>45919</v>
      </c>
      <c r="AN101" s="4">
        <v>244.01089999999999</v>
      </c>
      <c r="AO101" s="74">
        <v>45919</v>
      </c>
      <c r="AP101" s="4">
        <v>248.416</v>
      </c>
      <c r="AQ101" s="6">
        <f t="shared" si="7"/>
        <v>45919</v>
      </c>
    </row>
    <row r="102" spans="1:43" x14ac:dyDescent="0.25">
      <c r="A102" s="37" t="str">
        <f ca="1">IF(AND(ISBLANK(AJ91), A101 = $AJ$1),NOW(),IF(ISBLANK(AJ91),"",AJ91))</f>
        <v/>
      </c>
      <c r="B102" s="38" t="str">
        <f ca="1">IF(COUNTIF($AJ$2:AJ1087,A102)=1,VLOOKUP(A102,Z:AA,2), IF(COUNTIF($AJ$2:AJ1087,A102)=0,$B$9,""))</f>
        <v/>
      </c>
      <c r="C102" s="2" t="str">
        <f t="shared" ca="1" si="8"/>
        <v/>
      </c>
      <c r="D102" s="41" t="str">
        <f t="shared" ca="1" si="9"/>
        <v/>
      </c>
      <c r="E102" s="78" t="str">
        <f ca="1">IF(COUNTIF($AJ$2:AJ1087,A102)=1,VLOOKUP(A102,AF:AG,2), IF(COUNTIF($AJ$2:AJ1087,A102)=0,$E$9,""))</f>
        <v/>
      </c>
      <c r="F102" s="91" t="str">
        <f ca="1">IF(COUNTIF($AJ$2:AJ1087,A102)=1,VLOOKUP(A102,AF:AG,2), IF(COUNTIF($AJ$2:AJ1087,A102)=0,$E$9,""))</f>
        <v/>
      </c>
      <c r="G102" s="93" t="str">
        <f t="shared" ca="1" si="10"/>
        <v/>
      </c>
      <c r="H102" s="38" t="str">
        <f ca="1">IF(COUNTIF($AJ$2:AJ1087,A102)=1,VLOOKUP(A102,AB:AC,2), IF(COUNTIF($AJ$2:AJ1087,A102)=0,$C$9,""))</f>
        <v/>
      </c>
      <c r="I102" s="2" t="str">
        <f ca="1">IF(ISERROR(B102-2),"",(H102-$H$14)/100*$C$5)</f>
        <v/>
      </c>
      <c r="J102" s="41" t="str">
        <f ca="1">IF(ISERROR(B102-2),"",(INT(A102)-INT($A$14))/360*$C$6*$C$5-(INT(A102)-INT($A$14))/360*$C$7*$C$5*$H$14/100)</f>
        <v/>
      </c>
      <c r="K102" s="38" t="str">
        <f ca="1">IF(COUNTIF($AJ$2:AJ1087,A102)=1,VLOOKUP(A102,AM:AN,2), IF(COUNTIF($AJ$2:AJ1087,A102)=0,$D$10,""))</f>
        <v/>
      </c>
      <c r="L102" s="41" t="str">
        <f ca="1">IF(ISERROR(K102-2),"",(K102/$K$14-1)*$D$5)</f>
        <v/>
      </c>
      <c r="M102" s="41" t="str">
        <f ca="1">IF($A102="","",IF(COUNTIFS(Dividends!$G:$G,"&gt;"&amp;INT($A101),Dividends!$G:$G,"&lt;="&amp;INT($A102))=0,"",$Q$2*SUMIFS(Dividends!$H:$H,Dividends!$G:$G,"&gt;"&amp;INT($A101),Dividends!$G:$G,"&lt;="&amp;INT($A102))))</f>
        <v/>
      </c>
      <c r="N102" s="42" t="str">
        <f ca="1">IF(ISERROR(B102-2),"",C102+D102-I102-J102-L102+SUM($M$14:M102))</f>
        <v/>
      </c>
      <c r="O102" s="80" t="str">
        <f t="shared" ca="1" si="11"/>
        <v/>
      </c>
      <c r="P102" s="80"/>
      <c r="Q102" s="87"/>
      <c r="R102" s="87"/>
      <c r="S102" s="87"/>
      <c r="T102" s="108"/>
      <c r="U102" s="87"/>
      <c r="V102" s="108"/>
      <c r="W102" s="87"/>
      <c r="X102" s="87"/>
      <c r="Z102" s="3">
        <v>46196.625</v>
      </c>
      <c r="AA102" s="4">
        <v>91.08</v>
      </c>
      <c r="AB102" s="3">
        <v>46190.625</v>
      </c>
      <c r="AC102" s="4">
        <v>99.600999999999999</v>
      </c>
      <c r="AD102" s="3">
        <v>46191.625</v>
      </c>
      <c r="AE102" s="4">
        <v>249.42099999999999</v>
      </c>
      <c r="AH102" s="3">
        <f>IF(COUNTIF(AB:AB,Z102)*COUNTIF(AD:AD,Z102)*COUNTIF(AF:AF,Z102),Z102,"")</f>
        <v>46196.625</v>
      </c>
      <c r="AI102" s="3">
        <f t="shared" si="6"/>
        <v>46196.625</v>
      </c>
      <c r="AK102" s="3">
        <v>46188</v>
      </c>
      <c r="AL102" s="5">
        <v>270.47059999999999</v>
      </c>
      <c r="AM102" s="3">
        <v>45922</v>
      </c>
      <c r="AN102" s="4">
        <v>243.60169999999999</v>
      </c>
      <c r="AO102" s="74">
        <v>45922</v>
      </c>
      <c r="AP102" s="4">
        <v>268.25200000000001</v>
      </c>
      <c r="AQ102" s="6">
        <f t="shared" si="7"/>
        <v>45922</v>
      </c>
    </row>
    <row r="103" spans="1:43" x14ac:dyDescent="0.25">
      <c r="A103" s="37" t="str">
        <f ca="1">IF(AND(ISBLANK(AJ92), A102 = $AJ$1),NOW(),IF(ISBLANK(AJ92),"",AJ92))</f>
        <v/>
      </c>
      <c r="B103" s="38" t="str">
        <f ca="1">IF(COUNTIF($AJ$2:AJ1088,A103)=1,VLOOKUP(A103,Z:AA,2), IF(COUNTIF($AJ$2:AJ1088,A103)=0,$B$9,""))</f>
        <v/>
      </c>
      <c r="C103" s="2" t="str">
        <f t="shared" ca="1" si="8"/>
        <v/>
      </c>
      <c r="D103" s="41" t="str">
        <f t="shared" ca="1" si="9"/>
        <v/>
      </c>
      <c r="E103" s="78" t="str">
        <f ca="1">IF(COUNTIF($AJ$2:AJ1088,A103)=1,VLOOKUP(A103,AF:AG,2), IF(COUNTIF($AJ$2:AJ1088,A103)=0,$E$9,""))</f>
        <v/>
      </c>
      <c r="F103" s="91" t="str">
        <f ca="1">IF(COUNTIF($AJ$2:AJ1088,A103)=1,VLOOKUP(A103,AF:AG,2), IF(COUNTIF($AJ$2:AJ1088,A103)=0,$E$9,""))</f>
        <v/>
      </c>
      <c r="G103" s="93" t="str">
        <f t="shared" ca="1" si="10"/>
        <v/>
      </c>
      <c r="H103" s="38" t="str">
        <f ca="1">IF(COUNTIF($AJ$2:AJ1088,A103)=1,VLOOKUP(A103,AB:AC,2), IF(COUNTIF($AJ$2:AJ1088,A103)=0,$C$9,""))</f>
        <v/>
      </c>
      <c r="I103" s="2" t="str">
        <f ca="1">IF(ISERROR(B103-2),"",(H103-$H$14)/100*$C$5)</f>
        <v/>
      </c>
      <c r="J103" s="41" t="str">
        <f ca="1">IF(ISERROR(B103-2),"",(INT(A103)-INT($A$14))/360*$C$6*$C$5-(INT(A103)-INT($A$14))/360*$C$7*$C$5*$H$14/100)</f>
        <v/>
      </c>
      <c r="K103" s="38" t="str">
        <f ca="1">IF(COUNTIF($AJ$2:AJ1088,A103)=1,VLOOKUP(A103,AM:AN,2), IF(COUNTIF($AJ$2:AJ1088,A103)=0,$D$10,""))</f>
        <v/>
      </c>
      <c r="L103" s="41" t="str">
        <f ca="1">IF(ISERROR(K103-2),"",(K103/$K$14-1)*$D$5)</f>
        <v/>
      </c>
      <c r="M103" s="41" t="str">
        <f ca="1">IF($A103="","",IF(COUNTIFS(Dividends!$G:$G,"&gt;"&amp;INT($A102),Dividends!$G:$G,"&lt;="&amp;INT($A103))=0,"",$Q$2*SUMIFS(Dividends!$H:$H,Dividends!$G:$G,"&gt;"&amp;INT($A102),Dividends!$G:$G,"&lt;="&amp;INT($A103))))</f>
        <v/>
      </c>
      <c r="N103" s="42" t="str">
        <f ca="1">IF(ISERROR(B103-2),"",C103+D103-I103-J103-L103+SUM($M$14:M103))</f>
        <v/>
      </c>
      <c r="O103" s="80" t="str">
        <f t="shared" ca="1" si="11"/>
        <v/>
      </c>
      <c r="P103" s="80"/>
      <c r="Q103" s="87"/>
      <c r="R103" s="87"/>
      <c r="S103" s="87"/>
      <c r="T103" s="108"/>
      <c r="U103" s="87"/>
      <c r="V103" s="108"/>
      <c r="W103" s="87"/>
      <c r="X103" s="87"/>
      <c r="Z103" s="3">
        <v>46197.625</v>
      </c>
      <c r="AA103" s="4">
        <v>91.03</v>
      </c>
      <c r="AB103" s="3">
        <v>46191.625</v>
      </c>
      <c r="AC103" s="4">
        <v>99.582999999999998</v>
      </c>
      <c r="AD103" s="3">
        <v>46192.625</v>
      </c>
      <c r="AE103" s="4">
        <v>249.20599999999999</v>
      </c>
      <c r="AH103" s="3">
        <f>IF(COUNTIF(AB:AB,Z103)*COUNTIF(AD:AD,Z103)*COUNTIF(AF:AF,Z103),Z103,"")</f>
        <v>46197.625</v>
      </c>
      <c r="AI103" s="3">
        <f t="shared" si="6"/>
        <v>46197.625</v>
      </c>
      <c r="AK103" s="3">
        <v>46189</v>
      </c>
      <c r="AL103" s="5">
        <v>270.3356</v>
      </c>
      <c r="AM103" s="3">
        <v>45923</v>
      </c>
      <c r="AN103" s="4">
        <v>244.0994</v>
      </c>
      <c r="AO103" s="74">
        <v>45923</v>
      </c>
      <c r="AP103" s="4">
        <v>264.339</v>
      </c>
      <c r="AQ103" s="6">
        <f t="shared" si="7"/>
        <v>45923</v>
      </c>
    </row>
    <row r="104" spans="1:43" x14ac:dyDescent="0.25">
      <c r="A104" s="37" t="str">
        <f ca="1">IF(AND(ISBLANK(AJ93), A103 = $AJ$1),NOW(),IF(ISBLANK(AJ93),"",AJ93))</f>
        <v/>
      </c>
      <c r="B104" s="38" t="str">
        <f ca="1">IF(COUNTIF($AJ$2:AJ1089,A104)=1,VLOOKUP(A104,Z:AA,2), IF(COUNTIF($AJ$2:AJ1089,A104)=0,$B$9,""))</f>
        <v/>
      </c>
      <c r="C104" s="2" t="str">
        <f t="shared" ca="1" si="8"/>
        <v/>
      </c>
      <c r="D104" s="41" t="str">
        <f t="shared" ca="1" si="9"/>
        <v/>
      </c>
      <c r="E104" s="78" t="str">
        <f ca="1">IF(COUNTIF($AJ$2:AJ1089,A104)=1,VLOOKUP(A104,AF:AG,2), IF(COUNTIF($AJ$2:AJ1089,A104)=0,$E$9,""))</f>
        <v/>
      </c>
      <c r="F104" s="91" t="str">
        <f ca="1">IF(COUNTIF($AJ$2:AJ1089,A104)=1,VLOOKUP(A104,AF:AG,2), IF(COUNTIF($AJ$2:AJ1089,A104)=0,$E$9,""))</f>
        <v/>
      </c>
      <c r="G104" s="93" t="str">
        <f t="shared" ca="1" si="10"/>
        <v/>
      </c>
      <c r="H104" s="38" t="str">
        <f ca="1">IF(COUNTIF($AJ$2:AJ1089,A104)=1,VLOOKUP(A104,AB:AC,2), IF(COUNTIF($AJ$2:AJ1089,A104)=0,$C$9,""))</f>
        <v/>
      </c>
      <c r="I104" s="2" t="str">
        <f ca="1">IF(ISERROR(B104-2),"",(H104-$H$14)/100*$C$5)</f>
        <v/>
      </c>
      <c r="J104" s="41" t="str">
        <f ca="1">IF(ISERROR(B104-2),"",(INT(A104)-INT($A$14))/360*$C$6*$C$5-(INT(A104)-INT($A$14))/360*$C$7*$C$5*$H$14/100)</f>
        <v/>
      </c>
      <c r="K104" s="38" t="str">
        <f ca="1">IF(COUNTIF($AJ$2:AJ1089,A104)=1,VLOOKUP(A104,AM:AN,2), IF(COUNTIF($AJ$2:AJ1089,A104)=0,$D$10,""))</f>
        <v/>
      </c>
      <c r="L104" s="41" t="str">
        <f ca="1">IF(ISERROR(K104-2),"",(K104/$K$14-1)*$D$5)</f>
        <v/>
      </c>
      <c r="M104" s="41" t="str">
        <f ca="1">IF($A104="","",IF(COUNTIFS(Dividends!$G:$G,"&gt;"&amp;INT($A103),Dividends!$G:$G,"&lt;="&amp;INT($A104))=0,"",$Q$2*SUMIFS(Dividends!$H:$H,Dividends!$G:$G,"&gt;"&amp;INT($A103),Dividends!$G:$G,"&lt;="&amp;INT($A104))))</f>
        <v/>
      </c>
      <c r="N104" s="42" t="str">
        <f ca="1">IF(ISERROR(B104-2),"",C104+D104-I104-J104-L104+SUM($M$14:M104))</f>
        <v/>
      </c>
      <c r="O104" s="80" t="str">
        <f t="shared" ca="1" si="11"/>
        <v/>
      </c>
      <c r="P104" s="80"/>
      <c r="Q104" s="87"/>
      <c r="R104" s="87"/>
      <c r="S104" s="87"/>
      <c r="T104" s="108"/>
      <c r="U104" s="87"/>
      <c r="V104" s="108"/>
      <c r="W104" s="87"/>
      <c r="X104" s="87"/>
      <c r="Z104" s="3">
        <v>46198.625</v>
      </c>
      <c r="AA104" s="4">
        <v>91.17</v>
      </c>
      <c r="AB104" s="3">
        <v>46192.625</v>
      </c>
      <c r="AC104" s="4">
        <v>99.489000000000004</v>
      </c>
      <c r="AD104" s="3">
        <v>46195.625</v>
      </c>
      <c r="AE104" s="4">
        <v>246.90199999999999</v>
      </c>
      <c r="AH104" s="3" t="str">
        <f>IF(COUNTIF(AB:AB,Z104)*COUNTIF(AD:AD,Z104)*COUNTIF(AF:AF,Z104),Z104,"")</f>
        <v/>
      </c>
      <c r="AI104" s="3" t="str">
        <f t="shared" si="6"/>
        <v/>
      </c>
      <c r="AK104" s="3">
        <v>46190</v>
      </c>
      <c r="AL104" s="5">
        <v>270.1644</v>
      </c>
      <c r="AM104" s="3">
        <v>45924</v>
      </c>
      <c r="AN104" s="4">
        <v>244.1028</v>
      </c>
      <c r="AO104" s="74">
        <v>45924</v>
      </c>
      <c r="AP104" s="4">
        <v>264.625</v>
      </c>
      <c r="AQ104" s="6">
        <f t="shared" si="7"/>
        <v>45924</v>
      </c>
    </row>
    <row r="105" spans="1:43" x14ac:dyDescent="0.25">
      <c r="A105" s="37" t="str">
        <f ca="1">IF(AND(ISBLANK(AJ94), A104 = $AJ$1),NOW(),IF(ISBLANK(AJ94),"",AJ94))</f>
        <v/>
      </c>
      <c r="B105" s="38" t="str">
        <f ca="1">IF(COUNTIF($AJ$2:AJ1090,A105)=1,VLOOKUP(A105,Z:AA,2), IF(COUNTIF($AJ$2:AJ1090,A105)=0,$B$9,""))</f>
        <v/>
      </c>
      <c r="C105" s="2" t="str">
        <f t="shared" ca="1" si="8"/>
        <v/>
      </c>
      <c r="D105" s="41" t="str">
        <f t="shared" ca="1" si="9"/>
        <v/>
      </c>
      <c r="E105" s="78" t="str">
        <f ca="1">IF(COUNTIF($AJ$2:AJ1090,A105)=1,VLOOKUP(A105,AF:AG,2), IF(COUNTIF($AJ$2:AJ1090,A105)=0,$E$9,""))</f>
        <v/>
      </c>
      <c r="F105" s="91" t="str">
        <f ca="1">IF(COUNTIF($AJ$2:AJ1090,A105)=1,VLOOKUP(A105,AF:AG,2), IF(COUNTIF($AJ$2:AJ1090,A105)=0,$E$9,""))</f>
        <v/>
      </c>
      <c r="G105" s="93" t="str">
        <f t="shared" ca="1" si="10"/>
        <v/>
      </c>
      <c r="H105" s="38" t="str">
        <f ca="1">IF(COUNTIF($AJ$2:AJ1090,A105)=1,VLOOKUP(A105,AB:AC,2), IF(COUNTIF($AJ$2:AJ1090,A105)=0,$C$9,""))</f>
        <v/>
      </c>
      <c r="I105" s="2" t="str">
        <f ca="1">IF(ISERROR(B105-2),"",(H105-$H$14)/100*$C$5)</f>
        <v/>
      </c>
      <c r="J105" s="41" t="str">
        <f ca="1">IF(ISERROR(B105-2),"",(INT(A105)-INT($A$14))/360*$C$6*$C$5-(INT(A105)-INT($A$14))/360*$C$7*$C$5*$H$14/100)</f>
        <v/>
      </c>
      <c r="K105" s="38" t="str">
        <f ca="1">IF(COUNTIF($AJ$2:AJ1090,A105)=1,VLOOKUP(A105,AM:AN,2), IF(COUNTIF($AJ$2:AJ1090,A105)=0,$D$10,""))</f>
        <v/>
      </c>
      <c r="L105" s="41" t="str">
        <f ca="1">IF(ISERROR(K105-2),"",(K105/$K$14-1)*$D$5)</f>
        <v/>
      </c>
      <c r="M105" s="41" t="str">
        <f ca="1">IF($A105="","",IF(COUNTIFS(Dividends!$G:$G,"&gt;"&amp;INT($A104),Dividends!$G:$G,"&lt;="&amp;INT($A105))=0,"",$Q$2*SUMIFS(Dividends!$H:$H,Dividends!$G:$G,"&gt;"&amp;INT($A104),Dividends!$G:$G,"&lt;="&amp;INT($A105))))</f>
        <v/>
      </c>
      <c r="N105" s="42" t="str">
        <f ca="1">IF(ISERROR(B105-2),"",C105+D105-I105-J105-L105+SUM($M$14:M105))</f>
        <v/>
      </c>
      <c r="O105" s="80" t="str">
        <f t="shared" ca="1" si="11"/>
        <v/>
      </c>
      <c r="P105" s="80"/>
      <c r="Q105" s="87"/>
      <c r="R105" s="87"/>
      <c r="S105" s="87"/>
      <c r="T105" s="108"/>
      <c r="U105" s="87"/>
      <c r="V105" s="108"/>
      <c r="W105" s="87"/>
      <c r="X105" s="87"/>
      <c r="AB105" s="3">
        <v>46195.625</v>
      </c>
      <c r="AC105" s="4">
        <v>99.591999999999999</v>
      </c>
      <c r="AD105" s="3">
        <v>46196.625</v>
      </c>
      <c r="AE105" s="4">
        <v>248.29</v>
      </c>
      <c r="AH105" s="3" t="str">
        <f>IF(COUNTIF(AB:AB,Z105)*COUNTIF(AD:AD,Z105)*COUNTIF(AF:AF,Z105),Z105,"")</f>
        <v/>
      </c>
      <c r="AI105" s="3" t="str">
        <f t="shared" si="6"/>
        <v/>
      </c>
      <c r="AK105" s="3">
        <v>46191</v>
      </c>
      <c r="AL105" s="5">
        <v>270.5043</v>
      </c>
      <c r="AM105" s="3">
        <v>45925</v>
      </c>
      <c r="AN105" s="4">
        <v>243.57409999999999</v>
      </c>
      <c r="AO105" s="74">
        <v>45925</v>
      </c>
      <c r="AP105" s="4">
        <v>268.18400000000003</v>
      </c>
      <c r="AQ105" s="6">
        <f t="shared" si="7"/>
        <v>45925</v>
      </c>
    </row>
    <row r="106" spans="1:43" x14ac:dyDescent="0.25">
      <c r="A106" s="37" t="str">
        <f ca="1">IF(AND(ISBLANK(AJ95), A105 = $AJ$1),NOW(),IF(ISBLANK(AJ95),"",AJ95))</f>
        <v/>
      </c>
      <c r="B106" s="38" t="str">
        <f ca="1">IF(COUNTIF($AJ$2:AJ1091,A106)=1,VLOOKUP(A106,Z:AA,2), IF(COUNTIF($AJ$2:AJ1091,A106)=0,$B$9,""))</f>
        <v/>
      </c>
      <c r="C106" s="2" t="str">
        <f t="shared" ca="1" si="8"/>
        <v/>
      </c>
      <c r="D106" s="41" t="str">
        <f t="shared" ca="1" si="9"/>
        <v/>
      </c>
      <c r="E106" s="78" t="str">
        <f ca="1">IF(COUNTIF($AJ$2:AJ1091,A106)=1,VLOOKUP(A106,AF:AG,2), IF(COUNTIF($AJ$2:AJ1091,A106)=0,$E$9,""))</f>
        <v/>
      </c>
      <c r="F106" s="91" t="str">
        <f ca="1">IF(COUNTIF($AJ$2:AJ1091,A106)=1,VLOOKUP(A106,AF:AG,2), IF(COUNTIF($AJ$2:AJ1091,A106)=0,$E$9,""))</f>
        <v/>
      </c>
      <c r="G106" s="93" t="str">
        <f t="shared" ca="1" si="10"/>
        <v/>
      </c>
      <c r="H106" s="38" t="str">
        <f ca="1">IF(COUNTIF($AJ$2:AJ1091,A106)=1,VLOOKUP(A106,AB:AC,2), IF(COUNTIF($AJ$2:AJ1091,A106)=0,$C$9,""))</f>
        <v/>
      </c>
      <c r="I106" s="2" t="str">
        <f ca="1">IF(ISERROR(B106-2),"",(H106-$H$14)/100*$C$5)</f>
        <v/>
      </c>
      <c r="J106" s="41" t="str">
        <f ca="1">IF(ISERROR(B106-2),"",(INT(A106)-INT($A$14))/360*$C$6*$C$5-(INT(A106)-INT($A$14))/360*$C$7*$C$5*$H$14/100)</f>
        <v/>
      </c>
      <c r="K106" s="38" t="str">
        <f ca="1">IF(COUNTIF($AJ$2:AJ1091,A106)=1,VLOOKUP(A106,AM:AN,2), IF(COUNTIF($AJ$2:AJ1091,A106)=0,$D$10,""))</f>
        <v/>
      </c>
      <c r="L106" s="41" t="str">
        <f ca="1">IF(ISERROR(K106-2),"",(K106/$K$14-1)*$D$5)</f>
        <v/>
      </c>
      <c r="M106" s="41" t="str">
        <f ca="1">IF($A106="","",IF(COUNTIFS(Dividends!$G:$G,"&gt;"&amp;INT($A105),Dividends!$G:$G,"&lt;="&amp;INT($A106))=0,"",$Q$2*SUMIFS(Dividends!$H:$H,Dividends!$G:$G,"&gt;"&amp;INT($A105),Dividends!$G:$G,"&lt;="&amp;INT($A106))))</f>
        <v/>
      </c>
      <c r="N106" s="42" t="str">
        <f ca="1">IF(ISERROR(B106-2),"",C106+D106-I106-J106-L106+SUM($M$14:M106))</f>
        <v/>
      </c>
      <c r="O106" s="80" t="str">
        <f t="shared" ca="1" si="11"/>
        <v/>
      </c>
      <c r="P106" s="80"/>
      <c r="Q106" s="87"/>
      <c r="R106" s="87"/>
      <c r="S106" s="87"/>
      <c r="T106" s="108"/>
      <c r="U106" s="87"/>
      <c r="V106" s="108"/>
      <c r="W106" s="87"/>
      <c r="X106" s="87"/>
      <c r="AB106" s="3">
        <v>46196.625</v>
      </c>
      <c r="AC106" s="4">
        <v>99.66</v>
      </c>
      <c r="AD106" s="3">
        <v>46197.625</v>
      </c>
      <c r="AE106" s="4">
        <v>247.875</v>
      </c>
      <c r="AH106" s="3" t="str">
        <f>IF(COUNTIF(AB:AB,Z106)*COUNTIF(AD:AD,Z106)*COUNTIF(AF:AF,Z106),Z106,"")</f>
        <v/>
      </c>
      <c r="AI106" s="3" t="str">
        <f t="shared" si="6"/>
        <v/>
      </c>
      <c r="AK106" s="3">
        <v>46192</v>
      </c>
      <c r="AL106" s="5">
        <v>270.44040000000001</v>
      </c>
      <c r="AM106" s="3">
        <v>45926</v>
      </c>
      <c r="AN106" s="4">
        <v>244.00890000000001</v>
      </c>
      <c r="AO106" s="74">
        <v>45926</v>
      </c>
      <c r="AP106" s="4">
        <v>265.48200000000003</v>
      </c>
      <c r="AQ106" s="6">
        <f t="shared" si="7"/>
        <v>45926</v>
      </c>
    </row>
    <row r="107" spans="1:43" x14ac:dyDescent="0.25">
      <c r="A107" s="37" t="str">
        <f ca="1">IF(AND(ISBLANK(AJ96), A106 = $AJ$1),NOW(),IF(ISBLANK(AJ96),"",AJ96))</f>
        <v/>
      </c>
      <c r="B107" s="38" t="str">
        <f ca="1">IF(COUNTIF($AJ$2:AJ1092,A107)=1,VLOOKUP(A107,Z:AA,2), IF(COUNTIF($AJ$2:AJ1092,A107)=0,$B$9,""))</f>
        <v/>
      </c>
      <c r="C107" s="2" t="str">
        <f t="shared" ca="1" si="8"/>
        <v/>
      </c>
      <c r="D107" s="41" t="str">
        <f t="shared" ca="1" si="9"/>
        <v/>
      </c>
      <c r="E107" s="78" t="str">
        <f ca="1">IF(COUNTIF($AJ$2:AJ1092,A107)=1,VLOOKUP(A107,AF:AG,2), IF(COUNTIF($AJ$2:AJ1092,A107)=0,$E$9,""))</f>
        <v/>
      </c>
      <c r="F107" s="91" t="str">
        <f ca="1">IF(COUNTIF($AJ$2:AJ1092,A107)=1,VLOOKUP(A107,AF:AG,2), IF(COUNTIF($AJ$2:AJ1092,A107)=0,$E$9,""))</f>
        <v/>
      </c>
      <c r="G107" s="93" t="str">
        <f t="shared" ca="1" si="10"/>
        <v/>
      </c>
      <c r="H107" s="38" t="str">
        <f ca="1">IF(COUNTIF($AJ$2:AJ1092,A107)=1,VLOOKUP(A107,AB:AC,2), IF(COUNTIF($AJ$2:AJ1092,A107)=0,$C$9,""))</f>
        <v/>
      </c>
      <c r="I107" s="2" t="str">
        <f ca="1">IF(ISERROR(B107-2),"",(H107-$H$14)/100*$C$5)</f>
        <v/>
      </c>
      <c r="J107" s="41" t="str">
        <f ca="1">IF(ISERROR(B107-2),"",(INT(A107)-INT($A$14))/360*$C$6*$C$5-(INT(A107)-INT($A$14))/360*$C$7*$C$5*$H$14/100)</f>
        <v/>
      </c>
      <c r="K107" s="38" t="str">
        <f ca="1">IF(COUNTIF($AJ$2:AJ1092,A107)=1,VLOOKUP(A107,AM:AN,2), IF(COUNTIF($AJ$2:AJ1092,A107)=0,$D$10,""))</f>
        <v/>
      </c>
      <c r="L107" s="41" t="str">
        <f ca="1">IF(ISERROR(K107-2),"",(K107/$K$14-1)*$D$5)</f>
        <v/>
      </c>
      <c r="M107" s="41" t="str">
        <f ca="1">IF($A107="","",IF(COUNTIFS(Dividends!$G:$G,"&gt;"&amp;INT($A106),Dividends!$G:$G,"&lt;="&amp;INT($A107))=0,"",$Q$2*SUMIFS(Dividends!$H:$H,Dividends!$G:$G,"&gt;"&amp;INT($A106),Dividends!$G:$G,"&lt;="&amp;INT($A107))))</f>
        <v/>
      </c>
      <c r="N107" s="42" t="str">
        <f ca="1">IF(ISERROR(B107-2),"",C107+D107-I107-J107-L107+SUM($M$14:M107))</f>
        <v/>
      </c>
      <c r="O107" s="80" t="str">
        <f t="shared" ca="1" si="11"/>
        <v/>
      </c>
      <c r="P107" s="80"/>
      <c r="Q107" s="87"/>
      <c r="R107" s="87"/>
      <c r="S107" s="87"/>
      <c r="T107" s="108"/>
      <c r="U107" s="87"/>
      <c r="V107" s="108"/>
      <c r="W107" s="87"/>
      <c r="X107" s="87"/>
      <c r="AB107" s="3">
        <v>46197.625</v>
      </c>
      <c r="AC107" s="4">
        <v>99.724999999999994</v>
      </c>
      <c r="AD107" s="3">
        <v>46198.625</v>
      </c>
      <c r="AE107" s="4">
        <v>246.71700000000001</v>
      </c>
      <c r="AH107" s="3" t="str">
        <f>IF(COUNTIF(AB:AB,Z107)*COUNTIF(AD:AD,Z107)*COUNTIF(AF:AF,Z107),Z107,"")</f>
        <v/>
      </c>
      <c r="AI107" s="3" t="str">
        <f t="shared" si="6"/>
        <v/>
      </c>
      <c r="AK107" s="3">
        <v>46195</v>
      </c>
      <c r="AL107" s="5">
        <v>270.85840000000002</v>
      </c>
      <c r="AM107" s="3">
        <v>45929</v>
      </c>
      <c r="AN107" s="4">
        <v>244.41050000000001</v>
      </c>
      <c r="AO107" s="74">
        <v>45929</v>
      </c>
      <c r="AP107" s="4">
        <v>262.72199999999998</v>
      </c>
      <c r="AQ107" s="6">
        <f t="shared" si="7"/>
        <v>45929</v>
      </c>
    </row>
    <row r="108" spans="1:43" x14ac:dyDescent="0.25">
      <c r="A108" s="37" t="str">
        <f ca="1">IF(AND(ISBLANK(AJ97), A107 = $AJ$1),NOW(),IF(ISBLANK(AJ97),"",AJ97))</f>
        <v/>
      </c>
      <c r="B108" s="38" t="str">
        <f ca="1">IF(COUNTIF($AJ$2:AJ1093,A108)=1,VLOOKUP(A108,Z:AA,2), IF(COUNTIF($AJ$2:AJ1093,A108)=0,$B$9,""))</f>
        <v/>
      </c>
      <c r="C108" s="2" t="str">
        <f t="shared" ca="1" si="8"/>
        <v/>
      </c>
      <c r="D108" s="41" t="str">
        <f t="shared" ca="1" si="9"/>
        <v/>
      </c>
      <c r="E108" s="78" t="str">
        <f ca="1">IF(COUNTIF($AJ$2:AJ1093,A108)=1,VLOOKUP(A108,AF:AG,2), IF(COUNTIF($AJ$2:AJ1093,A108)=0,$E$9,""))</f>
        <v/>
      </c>
      <c r="F108" s="91" t="str">
        <f ca="1">IF(COUNTIF($AJ$2:AJ1093,A108)=1,VLOOKUP(A108,AF:AG,2), IF(COUNTIF($AJ$2:AJ1093,A108)=0,$E$9,""))</f>
        <v/>
      </c>
      <c r="G108" s="93" t="str">
        <f t="shared" ca="1" si="10"/>
        <v/>
      </c>
      <c r="H108" s="38" t="str">
        <f ca="1">IF(COUNTIF($AJ$2:AJ1093,A108)=1,VLOOKUP(A108,AB:AC,2), IF(COUNTIF($AJ$2:AJ1093,A108)=0,$C$9,""))</f>
        <v/>
      </c>
      <c r="I108" s="2" t="str">
        <f ca="1">IF(ISERROR(B108-2),"",(H108-$H$14)/100*$C$5)</f>
        <v/>
      </c>
      <c r="J108" s="41" t="str">
        <f ca="1">IF(ISERROR(B108-2),"",(INT(A108)-INT($A$14))/360*$C$6*$C$5-(INT(A108)-INT($A$14))/360*$C$7*$C$5*$H$14/100)</f>
        <v/>
      </c>
      <c r="K108" s="38" t="str">
        <f ca="1">IF(COUNTIF($AJ$2:AJ1093,A108)=1,VLOOKUP(A108,AM:AN,2), IF(COUNTIF($AJ$2:AJ1093,A108)=0,$D$10,""))</f>
        <v/>
      </c>
      <c r="L108" s="41" t="str">
        <f ca="1">IF(ISERROR(K108-2),"",(K108/$K$14-1)*$D$5)</f>
        <v/>
      </c>
      <c r="M108" s="41" t="str">
        <f ca="1">IF($A108="","",IF(COUNTIFS(Dividends!$G:$G,"&gt;"&amp;INT($A107),Dividends!$G:$G,"&lt;="&amp;INT($A108))=0,"",$Q$2*SUMIFS(Dividends!$H:$H,Dividends!$G:$G,"&gt;"&amp;INT($A107),Dividends!$G:$G,"&lt;="&amp;INT($A108))))</f>
        <v/>
      </c>
      <c r="N108" s="42" t="str">
        <f ca="1">IF(ISERROR(B108-2),"",C108+D108-I108-J108-L108+SUM($M$14:M108))</f>
        <v/>
      </c>
      <c r="O108" s="80" t="str">
        <f t="shared" ca="1" si="11"/>
        <v/>
      </c>
      <c r="P108" s="80"/>
      <c r="Q108" s="87"/>
      <c r="R108" s="87"/>
      <c r="S108" s="87"/>
      <c r="T108" s="108"/>
      <c r="U108" s="87"/>
      <c r="V108" s="108"/>
      <c r="W108" s="87"/>
      <c r="X108" s="87"/>
      <c r="AB108" s="3">
        <v>46198.625</v>
      </c>
      <c r="AC108" s="4">
        <v>99.748999999999995</v>
      </c>
      <c r="AH108" s="3" t="str">
        <f>IF(COUNTIF(AB:AB,Z108)*COUNTIF(AD:AD,Z108)*COUNTIF(AF:AF,Z108),Z108,"")</f>
        <v/>
      </c>
      <c r="AI108" s="3" t="str">
        <f t="shared" si="6"/>
        <v/>
      </c>
      <c r="AK108" s="3">
        <v>46196</v>
      </c>
      <c r="AL108" s="5">
        <v>270.70330000000001</v>
      </c>
      <c r="AM108" s="3">
        <v>45930</v>
      </c>
      <c r="AN108" s="4">
        <v>244.4126</v>
      </c>
      <c r="AO108" s="74">
        <v>45930</v>
      </c>
      <c r="AP108" s="4">
        <v>262.26600000000002</v>
      </c>
      <c r="AQ108" s="6">
        <f t="shared" si="7"/>
        <v>45930</v>
      </c>
    </row>
    <row r="109" spans="1:43" x14ac:dyDescent="0.25">
      <c r="A109" s="37" t="str">
        <f ca="1">IF(AND(ISBLANK(AJ98), A108 = $AJ$1),NOW(),IF(ISBLANK(AJ98),"",AJ98))</f>
        <v/>
      </c>
      <c r="B109" s="38" t="str">
        <f ca="1">IF(COUNTIF($AJ$2:AJ1094,A109)=1,VLOOKUP(A109,Z:AA,2), IF(COUNTIF($AJ$2:AJ1094,A109)=0,$B$9,""))</f>
        <v/>
      </c>
      <c r="C109" s="2" t="str">
        <f t="shared" ca="1" si="8"/>
        <v/>
      </c>
      <c r="D109" s="41" t="str">
        <f t="shared" ca="1" si="9"/>
        <v/>
      </c>
      <c r="E109" s="78" t="str">
        <f ca="1">IF(COUNTIF($AJ$2:AJ1094,A109)=1,VLOOKUP(A109,AF:AG,2), IF(COUNTIF($AJ$2:AJ1094,A109)=0,$E$9,""))</f>
        <v/>
      </c>
      <c r="F109" s="91" t="str">
        <f ca="1">IF(COUNTIF($AJ$2:AJ1094,A109)=1,VLOOKUP(A109,AF:AG,2), IF(COUNTIF($AJ$2:AJ1094,A109)=0,$E$9,""))</f>
        <v/>
      </c>
      <c r="G109" s="93" t="str">
        <f t="shared" ca="1" si="10"/>
        <v/>
      </c>
      <c r="H109" s="38" t="str">
        <f ca="1">IF(COUNTIF($AJ$2:AJ1094,A109)=1,VLOOKUP(A109,AB:AC,2), IF(COUNTIF($AJ$2:AJ1094,A109)=0,$C$9,""))</f>
        <v/>
      </c>
      <c r="I109" s="2" t="str">
        <f ca="1">IF(ISERROR(B109-2),"",(H109-$H$14)/100*$C$5)</f>
        <v/>
      </c>
      <c r="J109" s="41" t="str">
        <f ca="1">IF(ISERROR(B109-2),"",(INT(A109)-INT($A$14))/360*$C$6*$C$5-(INT(A109)-INT($A$14))/360*$C$7*$C$5*$H$14/100)</f>
        <v/>
      </c>
      <c r="K109" s="38" t="str">
        <f ca="1">IF(COUNTIF($AJ$2:AJ1094,A109)=1,VLOOKUP(A109,AM:AN,2), IF(COUNTIF($AJ$2:AJ1094,A109)=0,$D$10,""))</f>
        <v/>
      </c>
      <c r="L109" s="41" t="str">
        <f ca="1">IF(ISERROR(K109-2),"",(K109/$K$14-1)*$D$5)</f>
        <v/>
      </c>
      <c r="M109" s="41" t="str">
        <f ca="1">IF($A109="","",IF(COUNTIFS(Dividends!$G:$G,"&gt;"&amp;INT($A108),Dividends!$G:$G,"&lt;="&amp;INT($A109))=0,"",$Q$2*SUMIFS(Dividends!$H:$H,Dividends!$G:$G,"&gt;"&amp;INT($A108),Dividends!$G:$G,"&lt;="&amp;INT($A109))))</f>
        <v/>
      </c>
      <c r="N109" s="42" t="str">
        <f ca="1">IF(ISERROR(B109-2),"",C109+D109-I109-J109-L109+SUM($M$14:M109))</f>
        <v/>
      </c>
      <c r="O109" s="80" t="str">
        <f t="shared" ca="1" si="11"/>
        <v/>
      </c>
      <c r="P109" s="80"/>
      <c r="Q109" s="87"/>
      <c r="R109" s="87"/>
      <c r="S109" s="87"/>
      <c r="T109" s="108"/>
      <c r="U109" s="87"/>
      <c r="V109" s="108"/>
      <c r="W109" s="87"/>
      <c r="X109" s="87"/>
      <c r="AH109" s="3" t="str">
        <f>IF(COUNTIF(AB:AB,Z109)*COUNTIF(AD:AD,Z109)*COUNTIF(AF:AF,Z109),Z109,"")</f>
        <v/>
      </c>
      <c r="AI109" s="3" t="str">
        <f t="shared" si="6"/>
        <v/>
      </c>
      <c r="AK109" s="3">
        <v>46197</v>
      </c>
      <c r="AL109" s="5">
        <v>270.80290000000002</v>
      </c>
      <c r="AM109" s="3">
        <v>45931</v>
      </c>
      <c r="AN109" s="4">
        <v>244.68109999999999</v>
      </c>
      <c r="AO109" s="74">
        <v>45931</v>
      </c>
      <c r="AP109" s="4">
        <v>260.63</v>
      </c>
      <c r="AQ109" s="6">
        <f t="shared" si="7"/>
        <v>45931</v>
      </c>
    </row>
    <row r="110" spans="1:43" x14ac:dyDescent="0.25">
      <c r="A110" s="37" t="str">
        <f ca="1">IF(AND(ISBLANK(AJ99), A109 = $AJ$1),NOW(),IF(ISBLANK(AJ99),"",AJ99))</f>
        <v/>
      </c>
      <c r="B110" s="38" t="str">
        <f ca="1">IF(COUNTIF($AJ$2:AJ1095,A110)=1,VLOOKUP(A110,Z:AA,2), IF(COUNTIF($AJ$2:AJ1095,A110)=0,$B$9,""))</f>
        <v/>
      </c>
      <c r="C110" s="2" t="str">
        <f t="shared" ca="1" si="8"/>
        <v/>
      </c>
      <c r="D110" s="41" t="str">
        <f t="shared" ca="1" si="9"/>
        <v/>
      </c>
      <c r="E110" s="78" t="str">
        <f ca="1">IF(COUNTIF($AJ$2:AJ1095,A110)=1,VLOOKUP(A110,AF:AG,2), IF(COUNTIF($AJ$2:AJ1095,A110)=0,$E$9,""))</f>
        <v/>
      </c>
      <c r="F110" s="91" t="str">
        <f ca="1">IF(COUNTIF($AJ$2:AJ1095,A110)=1,VLOOKUP(A110,AF:AG,2), IF(COUNTIF($AJ$2:AJ1095,A110)=0,$E$9,""))</f>
        <v/>
      </c>
      <c r="G110" s="93" t="str">
        <f t="shared" ca="1" si="10"/>
        <v/>
      </c>
      <c r="H110" s="38" t="str">
        <f ca="1">IF(COUNTIF($AJ$2:AJ1095,A110)=1,VLOOKUP(A110,AB:AC,2), IF(COUNTIF($AJ$2:AJ1095,A110)=0,$C$9,""))</f>
        <v/>
      </c>
      <c r="I110" s="2" t="str">
        <f ca="1">IF(ISERROR(B110-2),"",(H110-$H$14)/100*$C$5)</f>
        <v/>
      </c>
      <c r="J110" s="41" t="str">
        <f ca="1">IF(ISERROR(B110-2),"",(INT(A110)-INT($A$14))/360*$C$6*$C$5-(INT(A110)-INT($A$14))/360*$C$7*$C$5*$H$14/100)</f>
        <v/>
      </c>
      <c r="K110" s="38" t="str">
        <f ca="1">IF(COUNTIF($AJ$2:AJ1095,A110)=1,VLOOKUP(A110,AM:AN,2), IF(COUNTIF($AJ$2:AJ1095,A110)=0,$D$10,""))</f>
        <v/>
      </c>
      <c r="L110" s="41" t="str">
        <f ca="1">IF(ISERROR(K110-2),"",(K110/$K$14-1)*$D$5)</f>
        <v/>
      </c>
      <c r="M110" s="41" t="str">
        <f ca="1">IF($A110="","",IF(COUNTIFS(Dividends!$G:$G,"&gt;"&amp;INT($A109),Dividends!$G:$G,"&lt;="&amp;INT($A110))=0,"",$Q$2*SUMIFS(Dividends!$H:$H,Dividends!$G:$G,"&gt;"&amp;INT($A109),Dividends!$G:$G,"&lt;="&amp;INT($A110))))</f>
        <v/>
      </c>
      <c r="N110" s="42" t="str">
        <f ca="1">IF(ISERROR(B110-2),"",C110+D110-I110-J110-L110+SUM($M$14:M110))</f>
        <v/>
      </c>
      <c r="O110" s="80" t="str">
        <f t="shared" ca="1" si="11"/>
        <v/>
      </c>
      <c r="P110" s="80"/>
      <c r="Q110" s="87"/>
      <c r="R110" s="87"/>
      <c r="S110" s="87"/>
      <c r="T110" s="108"/>
      <c r="U110" s="87"/>
      <c r="V110" s="108"/>
      <c r="W110" s="87"/>
      <c r="X110" s="87"/>
      <c r="AH110" s="3" t="str">
        <f>IF(COUNTIF(AB:AB,Z110)*COUNTIF(AD:AD,Z110)*COUNTIF(AF:AF,Z110),Z110,"")</f>
        <v/>
      </c>
      <c r="AI110" s="3" t="str">
        <f t="shared" si="6"/>
        <v/>
      </c>
      <c r="AK110" s="3">
        <v>46198</v>
      </c>
      <c r="AL110" s="5">
        <v>270.97930000000002</v>
      </c>
      <c r="AM110" s="3">
        <v>45932</v>
      </c>
      <c r="AN110" s="4">
        <v>245.01730000000001</v>
      </c>
      <c r="AO110" s="74">
        <v>45932</v>
      </c>
      <c r="AP110" s="4">
        <v>257.88900000000001</v>
      </c>
      <c r="AQ110" s="6">
        <f t="shared" si="7"/>
        <v>45932</v>
      </c>
    </row>
    <row r="111" spans="1:43" x14ac:dyDescent="0.25">
      <c r="A111" s="37" t="str">
        <f ca="1">IF(AND(ISBLANK(AJ100), A110 = $AJ$1),NOW(),IF(ISBLANK(AJ100),"",AJ100))</f>
        <v/>
      </c>
      <c r="B111" s="38" t="str">
        <f ca="1">IF(COUNTIF($AJ$2:AJ1096,A111)=1,VLOOKUP(A111,Z:AA,2), IF(COUNTIF($AJ$2:AJ1096,A111)=0,$B$9,""))</f>
        <v/>
      </c>
      <c r="C111" s="2" t="str">
        <f t="shared" ca="1" si="8"/>
        <v/>
      </c>
      <c r="D111" s="41" t="str">
        <f t="shared" ca="1" si="9"/>
        <v/>
      </c>
      <c r="E111" s="78" t="str">
        <f ca="1">IF(COUNTIF($AJ$2:AJ1096,A111)=1,VLOOKUP(A111,AF:AG,2), IF(COUNTIF($AJ$2:AJ1096,A111)=0,$E$9,""))</f>
        <v/>
      </c>
      <c r="F111" s="91" t="str">
        <f ca="1">IF(COUNTIF($AJ$2:AJ1096,A111)=1,VLOOKUP(A111,AF:AG,2), IF(COUNTIF($AJ$2:AJ1096,A111)=0,$E$9,""))</f>
        <v/>
      </c>
      <c r="G111" s="93" t="str">
        <f t="shared" ca="1" si="10"/>
        <v/>
      </c>
      <c r="H111" s="38" t="str">
        <f ca="1">IF(COUNTIF($AJ$2:AJ1096,A111)=1,VLOOKUP(A111,AB:AC,2), IF(COUNTIF($AJ$2:AJ1096,A111)=0,$C$9,""))</f>
        <v/>
      </c>
      <c r="I111" s="2" t="str">
        <f ca="1">IF(ISERROR(B111-2),"",(H111-$H$14)/100*$C$5)</f>
        <v/>
      </c>
      <c r="J111" s="41" t="str">
        <f ca="1">IF(ISERROR(B111-2),"",(INT(A111)-INT($A$14))/360*$C$6*$C$5-(INT(A111)-INT($A$14))/360*$C$7*$C$5*$H$14/100)</f>
        <v/>
      </c>
      <c r="K111" s="38" t="str">
        <f ca="1">IF(COUNTIF($AJ$2:AJ1096,A111)=1,VLOOKUP(A111,AM:AN,2), IF(COUNTIF($AJ$2:AJ1096,A111)=0,$D$10,""))</f>
        <v/>
      </c>
      <c r="L111" s="41" t="str">
        <f ca="1">IF(ISERROR(K111-2),"",(K111/$K$14-1)*$D$5)</f>
        <v/>
      </c>
      <c r="M111" s="41" t="str">
        <f ca="1">IF($A111="","",IF(COUNTIFS(Dividends!$G:$G,"&gt;"&amp;INT($A110),Dividends!$G:$G,"&lt;="&amp;INT($A111))=0,"",$Q$2*SUMIFS(Dividends!$H:$H,Dividends!$G:$G,"&gt;"&amp;INT($A110),Dividends!$G:$G,"&lt;="&amp;INT($A111))))</f>
        <v/>
      </c>
      <c r="N111" s="42" t="str">
        <f ca="1">IF(ISERROR(B111-2),"",C111+D111-I111-J111-L111+SUM($M$14:M111))</f>
        <v/>
      </c>
      <c r="O111" s="80" t="str">
        <f t="shared" ca="1" si="11"/>
        <v/>
      </c>
      <c r="P111" s="80"/>
      <c r="Q111" s="87"/>
      <c r="R111" s="87"/>
      <c r="S111" s="87"/>
      <c r="T111" s="108"/>
      <c r="U111" s="87"/>
      <c r="V111" s="108"/>
      <c r="W111" s="87"/>
      <c r="X111" s="87"/>
      <c r="AH111" s="3" t="str">
        <f>IF(COUNTIF(AB:AB,Z111)*COUNTIF(AD:AD,Z111)*COUNTIF(AF:AF,Z111),Z111,"")</f>
        <v/>
      </c>
      <c r="AI111" s="3" t="str">
        <f t="shared" si="6"/>
        <v/>
      </c>
      <c r="AM111" s="3">
        <v>45933</v>
      </c>
      <c r="AN111" s="4">
        <v>244.96510000000001</v>
      </c>
      <c r="AO111" s="74">
        <v>45933</v>
      </c>
      <c r="AP111" s="4">
        <v>258.346</v>
      </c>
      <c r="AQ111" s="6">
        <f t="shared" si="7"/>
        <v>45933</v>
      </c>
    </row>
    <row r="112" spans="1:43" x14ac:dyDescent="0.25">
      <c r="A112" s="37" t="str">
        <f ca="1">IF(AND(ISBLANK(AJ101), A111 = $AJ$1),NOW(),IF(ISBLANK(AJ101),"",AJ101))</f>
        <v/>
      </c>
      <c r="B112" s="38" t="str">
        <f ca="1">IF(COUNTIF($AJ$2:AJ1097,A112)=1,VLOOKUP(A112,Z:AA,2), IF(COUNTIF($AJ$2:AJ1097,A112)=0,$B$9,""))</f>
        <v/>
      </c>
      <c r="C112" s="2" t="str">
        <f t="shared" ca="1" si="8"/>
        <v/>
      </c>
      <c r="D112" s="41" t="str">
        <f t="shared" ca="1" si="9"/>
        <v/>
      </c>
      <c r="E112" s="78" t="str">
        <f ca="1">IF(COUNTIF($AJ$2:AJ1097,A112)=1,VLOOKUP(A112,AF:AG,2), IF(COUNTIF($AJ$2:AJ1097,A112)=0,$E$9,""))</f>
        <v/>
      </c>
      <c r="F112" s="91" t="str">
        <f ca="1">IF(COUNTIF($AJ$2:AJ1097,A112)=1,VLOOKUP(A112,AF:AG,2), IF(COUNTIF($AJ$2:AJ1097,A112)=0,$E$9,""))</f>
        <v/>
      </c>
      <c r="G112" s="93" t="str">
        <f t="shared" ca="1" si="10"/>
        <v/>
      </c>
      <c r="H112" s="38" t="str">
        <f ca="1">IF(COUNTIF($AJ$2:AJ1097,A112)=1,VLOOKUP(A112,AB:AC,2), IF(COUNTIF($AJ$2:AJ1097,A112)=0,$C$9,""))</f>
        <v/>
      </c>
      <c r="I112" s="2" t="str">
        <f ca="1">IF(ISERROR(B112-2),"",(H112-$H$14)/100*$C$5)</f>
        <v/>
      </c>
      <c r="J112" s="41" t="str">
        <f ca="1">IF(ISERROR(B112-2),"",(INT(A112)-INT($A$14))/360*$C$6*$C$5-(INT(A112)-INT($A$14))/360*$C$7*$C$5*$H$14/100)</f>
        <v/>
      </c>
      <c r="K112" s="38" t="str">
        <f ca="1">IF(COUNTIF($AJ$2:AJ1097,A112)=1,VLOOKUP(A112,AM:AN,2), IF(COUNTIF($AJ$2:AJ1097,A112)=0,$D$10,""))</f>
        <v/>
      </c>
      <c r="L112" s="41" t="str">
        <f ca="1">IF(ISERROR(K112-2),"",(K112/$K$14-1)*$D$5)</f>
        <v/>
      </c>
      <c r="M112" s="41" t="str">
        <f ca="1">IF($A112="","",IF(COUNTIFS(Dividends!$G:$G,"&gt;"&amp;INT($A111),Dividends!$G:$G,"&lt;="&amp;INT($A112))=0,"",$Q$2*SUMIFS(Dividends!$H:$H,Dividends!$G:$G,"&gt;"&amp;INT($A111),Dividends!$G:$G,"&lt;="&amp;INT($A112))))</f>
        <v/>
      </c>
      <c r="N112" s="42" t="str">
        <f ca="1">IF(ISERROR(B112-2),"",C112+D112-I112-J112-L112+SUM($M$14:M112))</f>
        <v/>
      </c>
      <c r="O112" s="80" t="str">
        <f t="shared" ca="1" si="11"/>
        <v/>
      </c>
      <c r="P112" s="80"/>
      <c r="Q112" s="87"/>
      <c r="R112" s="87"/>
      <c r="S112" s="87"/>
      <c r="T112" s="108"/>
      <c r="U112" s="87"/>
      <c r="V112" s="108"/>
      <c r="W112" s="87"/>
      <c r="X112" s="87"/>
      <c r="AH112" s="3" t="str">
        <f>IF(COUNTIF(AB:AB,Z112)*COUNTIF(AD:AD,Z112)*COUNTIF(AF:AF,Z112),Z112,"")</f>
        <v/>
      </c>
      <c r="AI112" s="3" t="str">
        <f t="shared" si="6"/>
        <v/>
      </c>
      <c r="AM112" s="3">
        <v>45936</v>
      </c>
      <c r="AN112" s="4">
        <v>244.72149999999999</v>
      </c>
      <c r="AO112" s="74">
        <v>45936</v>
      </c>
      <c r="AP112" s="4">
        <v>261.209</v>
      </c>
      <c r="AQ112" s="6">
        <f t="shared" si="7"/>
        <v>45936</v>
      </c>
    </row>
    <row r="113" spans="1:43" x14ac:dyDescent="0.25">
      <c r="A113" s="37" t="str">
        <f ca="1">IF(AND(ISBLANK(AJ102), A112 = $AJ$1),NOW(),IF(ISBLANK(AJ102),"",AJ102))</f>
        <v/>
      </c>
      <c r="B113" s="38" t="str">
        <f ca="1">IF(COUNTIF($AJ$2:AJ1098,A113)=1,VLOOKUP(A113,Z:AA,2), IF(COUNTIF($AJ$2:AJ1098,A113)=0,$B$9,""))</f>
        <v/>
      </c>
      <c r="C113" s="2" t="str">
        <f t="shared" ca="1" si="8"/>
        <v/>
      </c>
      <c r="D113" s="41" t="str">
        <f t="shared" ca="1" si="9"/>
        <v/>
      </c>
      <c r="E113" s="78" t="str">
        <f ca="1">IF(COUNTIF($AJ$2:AJ1098,A113)=1,VLOOKUP(A113,AF:AG,2), IF(COUNTIF($AJ$2:AJ1098,A113)=0,$E$9,""))</f>
        <v/>
      </c>
      <c r="F113" s="91" t="str">
        <f ca="1">IF(COUNTIF($AJ$2:AJ1098,A113)=1,VLOOKUP(A113,AF:AG,2), IF(COUNTIF($AJ$2:AJ1098,A113)=0,$E$9,""))</f>
        <v/>
      </c>
      <c r="G113" s="93" t="str">
        <f t="shared" ca="1" si="10"/>
        <v/>
      </c>
      <c r="H113" s="38" t="str">
        <f ca="1">IF(COUNTIF($AJ$2:AJ1098,A113)=1,VLOOKUP(A113,AB:AC,2), IF(COUNTIF($AJ$2:AJ1098,A113)=0,$C$9,""))</f>
        <v/>
      </c>
      <c r="I113" s="2" t="str">
        <f ca="1">IF(ISERROR(B113-2),"",(H113-$H$14)/100*$C$5)</f>
        <v/>
      </c>
      <c r="J113" s="41" t="str">
        <f ca="1">IF(ISERROR(B113-2),"",(INT(A113)-INT($A$14))/360*$C$6*$C$5-(INT(A113)-INT($A$14))/360*$C$7*$C$5*$H$14/100)</f>
        <v/>
      </c>
      <c r="K113" s="38" t="str">
        <f ca="1">IF(COUNTIF($AJ$2:AJ1098,A113)=1,VLOOKUP(A113,AM:AN,2), IF(COUNTIF($AJ$2:AJ1098,A113)=0,$D$10,""))</f>
        <v/>
      </c>
      <c r="L113" s="41" t="str">
        <f ca="1">IF(ISERROR(K113-2),"",(K113/$K$14-1)*$D$5)</f>
        <v/>
      </c>
      <c r="M113" s="41" t="str">
        <f ca="1">IF($A113="","",IF(COUNTIFS(Dividends!$G:$G,"&gt;"&amp;INT($A112),Dividends!$G:$G,"&lt;="&amp;INT($A113))=0,"",$Q$2*SUMIFS(Dividends!$H:$H,Dividends!$G:$G,"&gt;"&amp;INT($A112),Dividends!$G:$G,"&lt;="&amp;INT($A113))))</f>
        <v/>
      </c>
      <c r="N113" s="42" t="str">
        <f ca="1">IF(ISERROR(B113-2),"",C113+D113-I113-J113-L113+SUM($M$14:M113))</f>
        <v/>
      </c>
      <c r="O113" s="80" t="str">
        <f t="shared" ca="1" si="11"/>
        <v/>
      </c>
      <c r="P113" s="80"/>
      <c r="Q113" s="87"/>
      <c r="R113" s="87"/>
      <c r="S113" s="87"/>
      <c r="T113" s="108"/>
      <c r="U113" s="87"/>
      <c r="V113" s="108"/>
      <c r="W113" s="87"/>
      <c r="X113" s="87"/>
      <c r="AH113" s="3" t="str">
        <f>IF(COUNTIF(AB:AB,Z113)*COUNTIF(AD:AD,Z113)*COUNTIF(AF:AF,Z113),Z113,"")</f>
        <v/>
      </c>
      <c r="AI113" s="3" t="str">
        <f t="shared" si="6"/>
        <v/>
      </c>
      <c r="AM113" s="3">
        <v>45937</v>
      </c>
      <c r="AN113" s="4">
        <v>244.3331</v>
      </c>
      <c r="AO113" s="74">
        <v>45937</v>
      </c>
      <c r="AP113" s="4">
        <v>265.35199999999998</v>
      </c>
      <c r="AQ113" s="6">
        <f t="shared" si="7"/>
        <v>45937</v>
      </c>
    </row>
    <row r="114" spans="1:43" x14ac:dyDescent="0.25">
      <c r="A114" s="37" t="str">
        <f ca="1">IF(AND(ISBLANK(AJ103), A113 = $AJ$1),NOW(),IF(ISBLANK(AJ103),"",AJ103))</f>
        <v/>
      </c>
      <c r="B114" s="38" t="str">
        <f ca="1">IF(COUNTIF($AJ$2:AJ1099,A114)=1,VLOOKUP(A114,Z:AA,2), IF(COUNTIF($AJ$2:AJ1099,A114)=0,$B$9,""))</f>
        <v/>
      </c>
      <c r="C114" s="2" t="str">
        <f t="shared" ca="1" si="8"/>
        <v/>
      </c>
      <c r="D114" s="41" t="str">
        <f t="shared" ca="1" si="9"/>
        <v/>
      </c>
      <c r="E114" s="78" t="str">
        <f ca="1">IF(COUNTIF($AJ$2:AJ1099,A114)=1,VLOOKUP(A114,AF:AG,2), IF(COUNTIF($AJ$2:AJ1099,A114)=0,$E$9,""))</f>
        <v/>
      </c>
      <c r="F114" s="91" t="str">
        <f ca="1">IF(COUNTIF($AJ$2:AJ1099,A114)=1,VLOOKUP(A114,AF:AG,2), IF(COUNTIF($AJ$2:AJ1099,A114)=0,$E$9,""))</f>
        <v/>
      </c>
      <c r="G114" s="93" t="str">
        <f t="shared" ca="1" si="10"/>
        <v/>
      </c>
      <c r="H114" s="38" t="str">
        <f ca="1">IF(COUNTIF($AJ$2:AJ1099,A114)=1,VLOOKUP(A114,AB:AC,2), IF(COUNTIF($AJ$2:AJ1099,A114)=0,$C$9,""))</f>
        <v/>
      </c>
      <c r="I114" s="2" t="str">
        <f ca="1">IF(ISERROR(B114-2),"",(H114-$H$14)/100*$C$5)</f>
        <v/>
      </c>
      <c r="J114" s="41" t="str">
        <f ca="1">IF(ISERROR(B114-2),"",(INT(A114)-INT($A$14))/360*$C$6*$C$5-(INT(A114)-INT($A$14))/360*$C$7*$C$5*$H$14/100)</f>
        <v/>
      </c>
      <c r="K114" s="38" t="str">
        <f ca="1">IF(COUNTIF($AJ$2:AJ1099,A114)=1,VLOOKUP(A114,AM:AN,2), IF(COUNTIF($AJ$2:AJ1099,A114)=0,$D$10,""))</f>
        <v/>
      </c>
      <c r="L114" s="41" t="str">
        <f ca="1">IF(ISERROR(K114-2),"",(K114/$K$14-1)*$D$5)</f>
        <v/>
      </c>
      <c r="M114" s="41" t="str">
        <f ca="1">IF($A114="","",IF(COUNTIFS(Dividends!$G:$G,"&gt;"&amp;INT($A113),Dividends!$G:$G,"&lt;="&amp;INT($A114))=0,"",$Q$2*SUMIFS(Dividends!$H:$H,Dividends!$G:$G,"&gt;"&amp;INT($A113),Dividends!$G:$G,"&lt;="&amp;INT($A114))))</f>
        <v/>
      </c>
      <c r="N114" s="42" t="str">
        <f ca="1">IF(ISERROR(B114-2),"",C114+D114-I114-J114-L114+SUM($M$14:M114))</f>
        <v/>
      </c>
      <c r="O114" s="80" t="str">
        <f t="shared" ca="1" si="11"/>
        <v/>
      </c>
      <c r="P114" s="80"/>
      <c r="Q114" s="87"/>
      <c r="R114" s="87"/>
      <c r="S114" s="87"/>
      <c r="T114" s="108"/>
      <c r="U114" s="87"/>
      <c r="V114" s="108"/>
      <c r="W114" s="87"/>
      <c r="X114" s="87"/>
      <c r="AH114" s="3" t="str">
        <f>IF(COUNTIF(AB:AB,Z114)*COUNTIF(AD:AD,Z114)*COUNTIF(AF:AF,Z114),Z114,"")</f>
        <v/>
      </c>
      <c r="AI114" s="3" t="str">
        <f t="shared" si="6"/>
        <v/>
      </c>
      <c r="AM114" s="3">
        <v>45938</v>
      </c>
      <c r="AN114" s="4">
        <v>244.23560000000001</v>
      </c>
      <c r="AO114" s="74">
        <v>45938</v>
      </c>
      <c r="AP114" s="4">
        <v>265.35300000000001</v>
      </c>
      <c r="AQ114" s="6">
        <f t="shared" si="7"/>
        <v>45938</v>
      </c>
    </row>
    <row r="115" spans="1:43" x14ac:dyDescent="0.25">
      <c r="A115" s="37" t="str">
        <f ca="1">IF(AND(ISBLANK(AJ104), A114 = $AJ$1),NOW(),IF(ISBLANK(AJ104),"",AJ104))</f>
        <v/>
      </c>
      <c r="B115" s="38" t="str">
        <f ca="1">IF(COUNTIF($AJ$2:AJ1100,A115)=1,VLOOKUP(A115,Z:AA,2), IF(COUNTIF($AJ$2:AJ1100,A115)=0,$B$9,""))</f>
        <v/>
      </c>
      <c r="C115" s="2" t="str">
        <f t="shared" ca="1" si="8"/>
        <v/>
      </c>
      <c r="D115" s="41" t="str">
        <f t="shared" ca="1" si="9"/>
        <v/>
      </c>
      <c r="E115" s="78" t="str">
        <f ca="1">IF(COUNTIF($AJ$2:AJ1100,A115)=1,VLOOKUP(A115,AF:AG,2), IF(COUNTIF($AJ$2:AJ1100,A115)=0,$E$9,""))</f>
        <v/>
      </c>
      <c r="F115" s="91" t="str">
        <f ca="1">IF(COUNTIF($AJ$2:AJ1100,A115)=1,VLOOKUP(A115,AF:AG,2), IF(COUNTIF($AJ$2:AJ1100,A115)=0,$E$9,""))</f>
        <v/>
      </c>
      <c r="G115" s="93" t="str">
        <f t="shared" ca="1" si="10"/>
        <v/>
      </c>
      <c r="H115" s="38" t="str">
        <f ca="1">IF(COUNTIF($AJ$2:AJ1100,A115)=1,VLOOKUP(A115,AB:AC,2), IF(COUNTIF($AJ$2:AJ1100,A115)=0,$C$9,""))</f>
        <v/>
      </c>
      <c r="I115" s="2" t="str">
        <f ca="1">IF(ISERROR(B115-2),"",(H115-$H$14)/100*$C$5)</f>
        <v/>
      </c>
      <c r="J115" s="41" t="str">
        <f ca="1">IF(ISERROR(B115-2),"",(INT(A115)-INT($A$14))/360*$C$6*$C$5-(INT(A115)-INT($A$14))/360*$C$7*$C$5*$H$14/100)</f>
        <v/>
      </c>
      <c r="K115" s="38" t="str">
        <f ca="1">IF(COUNTIF($AJ$2:AJ1100,A115)=1,VLOOKUP(A115,AM:AN,2), IF(COUNTIF($AJ$2:AJ1100,A115)=0,$D$10,""))</f>
        <v/>
      </c>
      <c r="L115" s="41" t="str">
        <f ca="1">IF(ISERROR(K115-2),"",(K115/$K$14-1)*$D$5)</f>
        <v/>
      </c>
      <c r="M115" s="41" t="str">
        <f ca="1">IF($A115="","",IF(COUNTIFS(Dividends!$G:$G,"&gt;"&amp;INT($A114),Dividends!$G:$G,"&lt;="&amp;INT($A115))=0,"",$Q$2*SUMIFS(Dividends!$H:$H,Dividends!$G:$G,"&gt;"&amp;INT($A114),Dividends!$G:$G,"&lt;="&amp;INT($A115))))</f>
        <v/>
      </c>
      <c r="N115" s="42" t="str">
        <f ca="1">IF(ISERROR(B115-2),"",C115+D115-I115-J115-L115+SUM($M$14:M115))</f>
        <v/>
      </c>
      <c r="O115" s="80" t="str">
        <f t="shared" ca="1" si="11"/>
        <v/>
      </c>
      <c r="P115" s="80"/>
      <c r="Q115" s="87"/>
      <c r="R115" s="87"/>
      <c r="S115" s="87"/>
      <c r="T115" s="108"/>
      <c r="U115" s="87"/>
      <c r="V115" s="108"/>
      <c r="W115" s="87"/>
      <c r="X115" s="87"/>
      <c r="AH115" s="3" t="str">
        <f>IF(COUNTIF(AB:AB,Z115)*COUNTIF(AD:AD,Z115)*COUNTIF(AF:AF,Z115),Z115,"")</f>
        <v/>
      </c>
      <c r="AI115" s="3" t="str">
        <f t="shared" si="6"/>
        <v/>
      </c>
      <c r="AM115" s="3">
        <v>45939</v>
      </c>
      <c r="AN115" s="4">
        <v>243.46870000000001</v>
      </c>
      <c r="AO115" s="74">
        <v>45939</v>
      </c>
      <c r="AP115" s="4">
        <v>271.95800000000003</v>
      </c>
      <c r="AQ115" s="6">
        <f t="shared" si="7"/>
        <v>45939</v>
      </c>
    </row>
    <row r="116" spans="1:43" x14ac:dyDescent="0.25">
      <c r="A116" s="37" t="str">
        <f ca="1">IF(AND(ISBLANK(AJ105), A115 = $AJ$1),NOW(),IF(ISBLANK(AJ105),"",AJ105))</f>
        <v/>
      </c>
      <c r="B116" s="38" t="str">
        <f ca="1">IF(COUNTIF($AJ$2:AJ1101,A116)=1,VLOOKUP(A116,Z:AA,2), IF(COUNTIF($AJ$2:AJ1101,A116)=0,$B$9,""))</f>
        <v/>
      </c>
      <c r="C116" s="2" t="str">
        <f t="shared" ca="1" si="8"/>
        <v/>
      </c>
      <c r="D116" s="41" t="str">
        <f t="shared" ca="1" si="9"/>
        <v/>
      </c>
      <c r="E116" s="78" t="str">
        <f ca="1">IF(COUNTIF($AJ$2:AJ1101,A116)=1,VLOOKUP(A116,AF:AG,2), IF(COUNTIF($AJ$2:AJ1101,A116)=0,$E$9,""))</f>
        <v/>
      </c>
      <c r="F116" s="91" t="str">
        <f ca="1">IF(COUNTIF($AJ$2:AJ1101,A116)=1,VLOOKUP(A116,AF:AG,2), IF(COUNTIF($AJ$2:AJ1101,A116)=0,$E$9,""))</f>
        <v/>
      </c>
      <c r="G116" s="93" t="str">
        <f t="shared" ca="1" si="10"/>
        <v/>
      </c>
      <c r="H116" s="38" t="str">
        <f ca="1">IF(COUNTIF($AJ$2:AJ1101,A116)=1,VLOOKUP(A116,AB:AC,2), IF(COUNTIF($AJ$2:AJ1101,A116)=0,$C$9,""))</f>
        <v/>
      </c>
      <c r="I116" s="2" t="str">
        <f ca="1">IF(ISERROR(B116-2),"",(H116-$H$14)/100*$C$5)</f>
        <v/>
      </c>
      <c r="J116" s="41" t="str">
        <f ca="1">IF(ISERROR(B116-2),"",(INT(A116)-INT($A$14))/360*$C$6*$C$5-(INT(A116)-INT($A$14))/360*$C$7*$C$5*$H$14/100)</f>
        <v/>
      </c>
      <c r="K116" s="38" t="str">
        <f ca="1">IF(COUNTIF($AJ$2:AJ1101,A116)=1,VLOOKUP(A116,AM:AN,2), IF(COUNTIF($AJ$2:AJ1101,A116)=0,$D$10,""))</f>
        <v/>
      </c>
      <c r="L116" s="41" t="str">
        <f ca="1">IF(ISERROR(K116-2),"",(K116/$K$14-1)*$D$5)</f>
        <v/>
      </c>
      <c r="M116" s="41" t="str">
        <f ca="1">IF($A116="","",IF(COUNTIFS(Dividends!$G:$G,"&gt;"&amp;INT($A115),Dividends!$G:$G,"&lt;="&amp;INT($A116))=0,"",$Q$2*SUMIFS(Dividends!$H:$H,Dividends!$G:$G,"&gt;"&amp;INT($A115),Dividends!$G:$G,"&lt;="&amp;INT($A116))))</f>
        <v/>
      </c>
      <c r="N116" s="42" t="str">
        <f ca="1">IF(ISERROR(B116-2),"",C116+D116-I116-J116-L116+SUM($M$14:M116))</f>
        <v/>
      </c>
      <c r="O116" s="80" t="str">
        <f t="shared" ca="1" si="11"/>
        <v/>
      </c>
      <c r="P116" s="80"/>
      <c r="Q116" s="87"/>
      <c r="R116" s="87"/>
      <c r="S116" s="87"/>
      <c r="T116" s="108"/>
      <c r="U116" s="87"/>
      <c r="V116" s="108"/>
      <c r="W116" s="87"/>
      <c r="X116" s="87"/>
      <c r="AH116" s="3" t="str">
        <f>IF(COUNTIF(AB:AB,Z116)*COUNTIF(AD:AD,Z116)*COUNTIF(AF:AF,Z116),Z116,"")</f>
        <v/>
      </c>
      <c r="AI116" s="3" t="str">
        <f t="shared" si="6"/>
        <v/>
      </c>
      <c r="AM116" s="3">
        <v>45940</v>
      </c>
      <c r="AN116" s="4">
        <v>242.13290000000001</v>
      </c>
      <c r="AO116" s="74">
        <v>45940</v>
      </c>
      <c r="AP116" s="4">
        <v>283.27499999999998</v>
      </c>
      <c r="AQ116" s="6">
        <f t="shared" si="7"/>
        <v>45940</v>
      </c>
    </row>
    <row r="117" spans="1:43" x14ac:dyDescent="0.25">
      <c r="A117" s="37" t="str">
        <f ca="1">IF(AND(ISBLANK(AJ106), A116 = $AJ$1),NOW(),IF(ISBLANK(AJ106),"",AJ106))</f>
        <v/>
      </c>
      <c r="B117" s="38" t="str">
        <f ca="1">IF(COUNTIF($AJ$2:AJ1102,A117)=1,VLOOKUP(A117,Z:AA,2), IF(COUNTIF($AJ$2:AJ1102,A117)=0,$B$9,""))</f>
        <v/>
      </c>
      <c r="C117" s="2" t="str">
        <f t="shared" ca="1" si="8"/>
        <v/>
      </c>
      <c r="D117" s="41" t="str">
        <f t="shared" ca="1" si="9"/>
        <v/>
      </c>
      <c r="E117" s="78" t="str">
        <f ca="1">IF(COUNTIF($AJ$2:AJ1102,A117)=1,VLOOKUP(A117,AF:AG,2), IF(COUNTIF($AJ$2:AJ1102,A117)=0,$E$9,""))</f>
        <v/>
      </c>
      <c r="F117" s="91" t="str">
        <f ca="1">IF(COUNTIF($AJ$2:AJ1102,A117)=1,VLOOKUP(A117,AF:AG,2), IF(COUNTIF($AJ$2:AJ1102,A117)=0,$E$9,""))</f>
        <v/>
      </c>
      <c r="G117" s="93" t="str">
        <f t="shared" ca="1" si="10"/>
        <v/>
      </c>
      <c r="H117" s="38" t="str">
        <f ca="1">IF(COUNTIF($AJ$2:AJ1102,A117)=1,VLOOKUP(A117,AB:AC,2), IF(COUNTIF($AJ$2:AJ1102,A117)=0,$C$9,""))</f>
        <v/>
      </c>
      <c r="I117" s="2" t="str">
        <f ca="1">IF(ISERROR(B117-2),"",(H117-$H$14)/100*$C$5)</f>
        <v/>
      </c>
      <c r="J117" s="41" t="str">
        <f ca="1">IF(ISERROR(B117-2),"",(INT(A117)-INT($A$14))/360*$C$6*$C$5-(INT(A117)-INT($A$14))/360*$C$7*$C$5*$H$14/100)</f>
        <v/>
      </c>
      <c r="K117" s="38" t="str">
        <f ca="1">IF(COUNTIF($AJ$2:AJ1102,A117)=1,VLOOKUP(A117,AM:AN,2), IF(COUNTIF($AJ$2:AJ1102,A117)=0,$D$10,""))</f>
        <v/>
      </c>
      <c r="L117" s="41" t="str">
        <f ca="1">IF(ISERROR(K117-2),"",(K117/$K$14-1)*$D$5)</f>
        <v/>
      </c>
      <c r="M117" s="41" t="str">
        <f ca="1">IF($A117="","",IF(COUNTIFS(Dividends!$G:$G,"&gt;"&amp;INT($A116),Dividends!$G:$G,"&lt;="&amp;INT($A117))=0,"",$Q$2*SUMIFS(Dividends!$H:$H,Dividends!$G:$G,"&gt;"&amp;INT($A116),Dividends!$G:$G,"&lt;="&amp;INT($A117))))</f>
        <v/>
      </c>
      <c r="N117" s="42" t="str">
        <f ca="1">IF(ISERROR(B117-2),"",C117+D117-I117-J117-L117+SUM($M$14:M117))</f>
        <v/>
      </c>
      <c r="O117" s="80" t="str">
        <f t="shared" ca="1" si="11"/>
        <v/>
      </c>
      <c r="P117" s="80"/>
      <c r="Q117" s="87"/>
      <c r="R117" s="87"/>
      <c r="S117" s="87"/>
      <c r="T117" s="108"/>
      <c r="U117" s="87"/>
      <c r="V117" s="108"/>
      <c r="W117" s="87"/>
      <c r="X117" s="87"/>
      <c r="AH117" s="3" t="str">
        <f>IF(COUNTIF(AB:AB,Z117)*COUNTIF(AD:AD,Z117)*COUNTIF(AF:AF,Z117),Z117,"")</f>
        <v/>
      </c>
      <c r="AI117" s="3" t="str">
        <f t="shared" si="6"/>
        <v/>
      </c>
      <c r="AM117" s="3">
        <v>45943</v>
      </c>
      <c r="AN117" s="4">
        <v>242.50720000000001</v>
      </c>
      <c r="AO117" s="74">
        <v>45943</v>
      </c>
      <c r="AP117" s="4">
        <v>280.70100000000002</v>
      </c>
      <c r="AQ117" s="6">
        <f t="shared" si="7"/>
        <v>45943</v>
      </c>
    </row>
    <row r="118" spans="1:43" x14ac:dyDescent="0.25">
      <c r="A118" s="37" t="str">
        <f ca="1">IF(AND(ISBLANK(AJ107), A117 = $AJ$1),NOW(),IF(ISBLANK(AJ107),"",AJ107))</f>
        <v/>
      </c>
      <c r="B118" s="38" t="str">
        <f ca="1">IF(COUNTIF($AJ$2:AJ1103,A118)=1,VLOOKUP(A118,Z:AA,2), IF(COUNTIF($AJ$2:AJ1103,A118)=0,$B$9,""))</f>
        <v/>
      </c>
      <c r="C118" s="2" t="str">
        <f t="shared" ca="1" si="8"/>
        <v/>
      </c>
      <c r="D118" s="41" t="str">
        <f t="shared" ca="1" si="9"/>
        <v/>
      </c>
      <c r="E118" s="78" t="str">
        <f ca="1">IF(COUNTIF($AJ$2:AJ1103,A118)=1,VLOOKUP(A118,AF:AG,2), IF(COUNTIF($AJ$2:AJ1103,A118)=0,$E$9,""))</f>
        <v/>
      </c>
      <c r="F118" s="91" t="str">
        <f ca="1">IF(COUNTIF($AJ$2:AJ1103,A118)=1,VLOOKUP(A118,AF:AG,2), IF(COUNTIF($AJ$2:AJ1103,A118)=0,$E$9,""))</f>
        <v/>
      </c>
      <c r="G118" s="93" t="str">
        <f t="shared" ca="1" si="10"/>
        <v/>
      </c>
      <c r="H118" s="38" t="str">
        <f ca="1">IF(COUNTIF($AJ$2:AJ1103,A118)=1,VLOOKUP(A118,AB:AC,2), IF(COUNTIF($AJ$2:AJ1103,A118)=0,$C$9,""))</f>
        <v/>
      </c>
      <c r="I118" s="2" t="str">
        <f ca="1">IF(ISERROR(B118-2),"",(H118-$H$14)/100*$C$5)</f>
        <v/>
      </c>
      <c r="J118" s="41" t="str">
        <f ca="1">IF(ISERROR(B118-2),"",(INT(A118)-INT($A$14))/360*$C$6*$C$5-(INT(A118)-INT($A$14))/360*$C$7*$C$5*$H$14/100)</f>
        <v/>
      </c>
      <c r="K118" s="38" t="str">
        <f ca="1">IF(COUNTIF($AJ$2:AJ1103,A118)=1,VLOOKUP(A118,AM:AN,2), IF(COUNTIF($AJ$2:AJ1103,A118)=0,$D$10,""))</f>
        <v/>
      </c>
      <c r="L118" s="41" t="str">
        <f ca="1">IF(ISERROR(K118-2),"",(K118/$K$14-1)*$D$5)</f>
        <v/>
      </c>
      <c r="M118" s="41" t="str">
        <f ca="1">IF($A118="","",IF(COUNTIFS(Dividends!$G:$G,"&gt;"&amp;INT($A117),Dividends!$G:$G,"&lt;="&amp;INT($A118))=0,"",$Q$2*SUMIFS(Dividends!$H:$H,Dividends!$G:$G,"&gt;"&amp;INT($A117),Dividends!$G:$G,"&lt;="&amp;INT($A118))))</f>
        <v/>
      </c>
      <c r="N118" s="42" t="str">
        <f ca="1">IF(ISERROR(B118-2),"",C118+D118-I118-J118-L118+SUM($M$14:M118))</f>
        <v/>
      </c>
      <c r="O118" s="80" t="str">
        <f t="shared" ca="1" si="11"/>
        <v/>
      </c>
      <c r="P118" s="80"/>
      <c r="Q118" s="87"/>
      <c r="R118" s="87"/>
      <c r="S118" s="87"/>
      <c r="T118" s="108"/>
      <c r="U118" s="87"/>
      <c r="V118" s="108"/>
      <c r="W118" s="87"/>
      <c r="X118" s="87"/>
      <c r="AH118" s="3" t="str">
        <f>IF(COUNTIF(AB:AB,Z118)*COUNTIF(AD:AD,Z118)*COUNTIF(AF:AF,Z118),Z118,"")</f>
        <v/>
      </c>
      <c r="AI118" s="3" t="str">
        <f t="shared" si="6"/>
        <v/>
      </c>
      <c r="AM118" s="3">
        <v>45944</v>
      </c>
      <c r="AN118" s="4">
        <v>242.9716</v>
      </c>
      <c r="AO118" s="74">
        <v>45944</v>
      </c>
      <c r="AP118" s="4">
        <v>275.89800000000002</v>
      </c>
      <c r="AQ118" s="6">
        <f t="shared" si="7"/>
        <v>45944</v>
      </c>
    </row>
    <row r="119" spans="1:43" x14ac:dyDescent="0.25">
      <c r="A119" s="37" t="str">
        <f ca="1">IF(AND(ISBLANK(AJ108), A118 = $AJ$1),NOW(),IF(ISBLANK(AJ108),"",AJ108))</f>
        <v/>
      </c>
      <c r="B119" s="38" t="str">
        <f ca="1">IF(COUNTIF($AJ$2:AJ1104,A119)=1,VLOOKUP(A119,Z:AA,2), IF(COUNTIF($AJ$2:AJ1104,A119)=0,$B$9,""))</f>
        <v/>
      </c>
      <c r="C119" s="2" t="str">
        <f t="shared" ca="1" si="8"/>
        <v/>
      </c>
      <c r="D119" s="41" t="str">
        <f t="shared" ca="1" si="9"/>
        <v/>
      </c>
      <c r="E119" s="78" t="str">
        <f ca="1">IF(COUNTIF($AJ$2:AJ1104,A119)=1,VLOOKUP(A119,AF:AG,2), IF(COUNTIF($AJ$2:AJ1104,A119)=0,$E$9,""))</f>
        <v/>
      </c>
      <c r="F119" s="91" t="str">
        <f ca="1">IF(COUNTIF($AJ$2:AJ1104,A119)=1,VLOOKUP(A119,AF:AG,2), IF(COUNTIF($AJ$2:AJ1104,A119)=0,$E$9,""))</f>
        <v/>
      </c>
      <c r="G119" s="93" t="str">
        <f t="shared" ca="1" si="10"/>
        <v/>
      </c>
      <c r="H119" s="38" t="str">
        <f ca="1">IF(COUNTIF($AJ$2:AJ1104,A119)=1,VLOOKUP(A119,AB:AC,2), IF(COUNTIF($AJ$2:AJ1104,A119)=0,$C$9,""))</f>
        <v/>
      </c>
      <c r="I119" s="2" t="str">
        <f ca="1">IF(ISERROR(B119-2),"",(H119-$H$14)/100*$C$5)</f>
        <v/>
      </c>
      <c r="J119" s="41" t="str">
        <f ca="1">IF(ISERROR(B119-2),"",(INT(A119)-INT($A$14))/360*$C$6*$C$5-(INT(A119)-INT($A$14))/360*$C$7*$C$5*$H$14/100)</f>
        <v/>
      </c>
      <c r="K119" s="38" t="str">
        <f ca="1">IF(COUNTIF($AJ$2:AJ1104,A119)=1,VLOOKUP(A119,AM:AN,2), IF(COUNTIF($AJ$2:AJ1104,A119)=0,$D$10,""))</f>
        <v/>
      </c>
      <c r="L119" s="41" t="str">
        <f ca="1">IF(ISERROR(K119-2),"",(K119/$K$14-1)*$D$5)</f>
        <v/>
      </c>
      <c r="M119" s="41" t="str">
        <f ca="1">IF($A119="","",IF(COUNTIFS(Dividends!$G:$G,"&gt;"&amp;INT($A118),Dividends!$G:$G,"&lt;="&amp;INT($A119))=0,"",$Q$2*SUMIFS(Dividends!$H:$H,Dividends!$G:$G,"&gt;"&amp;INT($A118),Dividends!$G:$G,"&lt;="&amp;INT($A119))))</f>
        <v/>
      </c>
      <c r="N119" s="42" t="str">
        <f ca="1">IF(ISERROR(B119-2),"",C119+D119-I119-J119-L119+SUM($M$14:M119))</f>
        <v/>
      </c>
      <c r="O119" s="80" t="str">
        <f t="shared" ca="1" si="11"/>
        <v/>
      </c>
      <c r="P119" s="80"/>
      <c r="Q119" s="87"/>
      <c r="R119" s="87"/>
      <c r="S119" s="87"/>
      <c r="T119" s="108"/>
      <c r="U119" s="87"/>
      <c r="V119" s="108"/>
      <c r="W119" s="87"/>
      <c r="X119" s="87"/>
      <c r="AH119" s="3" t="str">
        <f>IF(COUNTIF(AB:AB,Z119)*COUNTIF(AD:AD,Z119)*COUNTIF(AF:AF,Z119),Z119,"")</f>
        <v/>
      </c>
      <c r="AI119" s="3" t="str">
        <f t="shared" si="6"/>
        <v/>
      </c>
      <c r="AM119" s="3">
        <v>45945</v>
      </c>
      <c r="AN119" s="4">
        <v>244.08959999999999</v>
      </c>
      <c r="AO119" s="74">
        <v>45945</v>
      </c>
      <c r="AP119" s="4">
        <v>269.79700000000003</v>
      </c>
      <c r="AQ119" s="6">
        <f t="shared" si="7"/>
        <v>45945</v>
      </c>
    </row>
    <row r="120" spans="1:43" x14ac:dyDescent="0.25">
      <c r="A120" s="37" t="str">
        <f ca="1">IF(AND(ISBLANK(AJ109), A119 = $AJ$1),NOW(),IF(ISBLANK(AJ109),"",AJ109))</f>
        <v/>
      </c>
      <c r="B120" s="38" t="str">
        <f ca="1">IF(COUNTIF($AJ$2:AJ1105,A120)=1,VLOOKUP(A120,Z:AA,2), IF(COUNTIF($AJ$2:AJ1105,A120)=0,$B$9,""))</f>
        <v/>
      </c>
      <c r="C120" s="2" t="str">
        <f t="shared" ca="1" si="8"/>
        <v/>
      </c>
      <c r="D120" s="41" t="str">
        <f t="shared" ca="1" si="9"/>
        <v/>
      </c>
      <c r="E120" s="78" t="str">
        <f ca="1">IF(COUNTIF($AJ$2:AJ1105,A120)=1,VLOOKUP(A120,AF:AG,2), IF(COUNTIF($AJ$2:AJ1105,A120)=0,$E$9,""))</f>
        <v/>
      </c>
      <c r="F120" s="91" t="str">
        <f ca="1">IF(COUNTIF($AJ$2:AJ1105,A120)=1,VLOOKUP(A120,AF:AG,2), IF(COUNTIF($AJ$2:AJ1105,A120)=0,$E$9,""))</f>
        <v/>
      </c>
      <c r="G120" s="93" t="str">
        <f t="shared" ca="1" si="10"/>
        <v/>
      </c>
      <c r="H120" s="38" t="str">
        <f ca="1">IF(COUNTIF($AJ$2:AJ1105,A120)=1,VLOOKUP(A120,AB:AC,2), IF(COUNTIF($AJ$2:AJ1105,A120)=0,$C$9,""))</f>
        <v/>
      </c>
      <c r="I120" s="2" t="str">
        <f ca="1">IF(ISERROR(B120-2),"",(H120-$H$14)/100*$C$5)</f>
        <v/>
      </c>
      <c r="J120" s="41" t="str">
        <f ca="1">IF(ISERROR(B120-2),"",(INT(A120)-INT($A$14))/360*$C$6*$C$5-(INT(A120)-INT($A$14))/360*$C$7*$C$5*$H$14/100)</f>
        <v/>
      </c>
      <c r="K120" s="38" t="str">
        <f ca="1">IF(COUNTIF($AJ$2:AJ1105,A120)=1,VLOOKUP(A120,AM:AN,2), IF(COUNTIF($AJ$2:AJ1105,A120)=0,$D$10,""))</f>
        <v/>
      </c>
      <c r="L120" s="41" t="str">
        <f ca="1">IF(ISERROR(K120-2),"",(K120/$K$14-1)*$D$5)</f>
        <v/>
      </c>
      <c r="M120" s="41" t="str">
        <f ca="1">IF($A120="","",IF(COUNTIFS(Dividends!$G:$G,"&gt;"&amp;INT($A119),Dividends!$G:$G,"&lt;="&amp;INT($A120))=0,"",$Q$2*SUMIFS(Dividends!$H:$H,Dividends!$G:$G,"&gt;"&amp;INT($A119),Dividends!$G:$G,"&lt;="&amp;INT($A120))))</f>
        <v/>
      </c>
      <c r="N120" s="42" t="str">
        <f ca="1">IF(ISERROR(B120-2),"",C120+D120-I120-J120-L120+SUM($M$14:M120))</f>
        <v/>
      </c>
      <c r="O120" s="80" t="str">
        <f t="shared" ca="1" si="11"/>
        <v/>
      </c>
      <c r="P120" s="80"/>
      <c r="Q120" s="87"/>
      <c r="R120" s="87"/>
      <c r="S120" s="87"/>
      <c r="T120" s="108"/>
      <c r="U120" s="87"/>
      <c r="V120" s="108"/>
      <c r="W120" s="87"/>
      <c r="X120" s="87"/>
      <c r="AH120" s="3" t="str">
        <f>IF(COUNTIF(AB:AB,Z120)*COUNTIF(AD:AD,Z120)*COUNTIF(AF:AF,Z120),Z120,"")</f>
        <v/>
      </c>
      <c r="AI120" s="3" t="str">
        <f t="shared" si="6"/>
        <v/>
      </c>
      <c r="AM120" s="3">
        <v>45946</v>
      </c>
      <c r="AN120" s="4">
        <v>243.5917</v>
      </c>
      <c r="AO120" s="74">
        <v>45946</v>
      </c>
      <c r="AP120" s="4">
        <v>273.65499999999997</v>
      </c>
      <c r="AQ120" s="6">
        <f t="shared" si="7"/>
        <v>45946</v>
      </c>
    </row>
    <row r="121" spans="1:43" x14ac:dyDescent="0.25">
      <c r="A121" s="37" t="str">
        <f ca="1">IF(AND(ISBLANK(AJ110), A120 = $AJ$1),NOW(),IF(ISBLANK(AJ110),"",AJ110))</f>
        <v/>
      </c>
      <c r="B121" s="38" t="str">
        <f ca="1">IF(COUNTIF($AJ$2:AJ1106,A121)=1,VLOOKUP(A121,Z:AA,2), IF(COUNTIF($AJ$2:AJ1106,A121)=0,$B$9,""))</f>
        <v/>
      </c>
      <c r="C121" s="2" t="str">
        <f t="shared" ca="1" si="8"/>
        <v/>
      </c>
      <c r="D121" s="41" t="str">
        <f t="shared" ca="1" si="9"/>
        <v/>
      </c>
      <c r="E121" s="78" t="str">
        <f ca="1">IF(COUNTIF($AJ$2:AJ1106,A121)=1,VLOOKUP(A121,AF:AG,2), IF(COUNTIF($AJ$2:AJ1106,A121)=0,$E$9,""))</f>
        <v/>
      </c>
      <c r="F121" s="91" t="str">
        <f ca="1">IF(COUNTIF($AJ$2:AJ1106,A121)=1,VLOOKUP(A121,AF:AG,2), IF(COUNTIF($AJ$2:AJ1106,A121)=0,$E$9,""))</f>
        <v/>
      </c>
      <c r="G121" s="93" t="str">
        <f t="shared" ca="1" si="10"/>
        <v/>
      </c>
      <c r="H121" s="38" t="str">
        <f ca="1">IF(COUNTIF($AJ$2:AJ1106,A121)=1,VLOOKUP(A121,AB:AC,2), IF(COUNTIF($AJ$2:AJ1106,A121)=0,$C$9,""))</f>
        <v/>
      </c>
      <c r="I121" s="2" t="str">
        <f ca="1">IF(ISERROR(B121-2),"",(H121-$H$14)/100*$C$5)</f>
        <v/>
      </c>
      <c r="J121" s="41" t="str">
        <f ca="1">IF(ISERROR(B121-2),"",(INT(A121)-INT($A$14))/360*$C$6*$C$5-(INT(A121)-INT($A$14))/360*$C$7*$C$5*$H$14/100)</f>
        <v/>
      </c>
      <c r="K121" s="38" t="str">
        <f ca="1">IF(COUNTIF($AJ$2:AJ1106,A121)=1,VLOOKUP(A121,AM:AN,2), IF(COUNTIF($AJ$2:AJ1106,A121)=0,$D$10,""))</f>
        <v/>
      </c>
      <c r="L121" s="41" t="str">
        <f ca="1">IF(ISERROR(K121-2),"",(K121/$K$14-1)*$D$5)</f>
        <v/>
      </c>
      <c r="M121" s="41" t="str">
        <f ca="1">IF($A121="","",IF(COUNTIFS(Dividends!$G:$G,"&gt;"&amp;INT($A120),Dividends!$G:$G,"&lt;="&amp;INT($A121))=0,"",$Q$2*SUMIFS(Dividends!$H:$H,Dividends!$G:$G,"&gt;"&amp;INT($A120),Dividends!$G:$G,"&lt;="&amp;INT($A121))))</f>
        <v/>
      </c>
      <c r="N121" s="42" t="str">
        <f ca="1">IF(ISERROR(B121-2),"",C121+D121-I121-J121-L121+SUM($M$14:M121))</f>
        <v/>
      </c>
      <c r="O121" s="80" t="str">
        <f t="shared" ca="1" si="11"/>
        <v/>
      </c>
      <c r="P121" s="80"/>
      <c r="Q121" s="87"/>
      <c r="R121" s="87"/>
      <c r="S121" s="87"/>
      <c r="T121" s="108"/>
      <c r="U121" s="87"/>
      <c r="V121" s="108"/>
      <c r="W121" s="87"/>
      <c r="X121" s="87"/>
      <c r="AH121" s="3" t="str">
        <f>IF(COUNTIF(AB:AB,Z121)*COUNTIF(AD:AD,Z121)*COUNTIF(AF:AF,Z121),Z121,"")</f>
        <v/>
      </c>
      <c r="AI121" s="3" t="str">
        <f t="shared" si="6"/>
        <v/>
      </c>
      <c r="AM121" s="3">
        <v>45947</v>
      </c>
      <c r="AN121" s="4">
        <v>243.0658</v>
      </c>
      <c r="AO121" s="74">
        <v>45947</v>
      </c>
      <c r="AP121" s="4">
        <v>277.44600000000003</v>
      </c>
      <c r="AQ121" s="6">
        <f t="shared" si="7"/>
        <v>45947</v>
      </c>
    </row>
    <row r="122" spans="1:43" x14ac:dyDescent="0.25">
      <c r="A122" s="37" t="str">
        <f ca="1">IF(AND(ISBLANK(AJ111), A121 = $AJ$1),NOW(),IF(ISBLANK(AJ111),"",AJ111))</f>
        <v/>
      </c>
      <c r="B122" s="38" t="str">
        <f ca="1">IF(COUNTIF($AJ$2:AJ1107,A122)=1,VLOOKUP(A122,Z:AA,2), IF(COUNTIF($AJ$2:AJ1107,A122)=0,$B$9,""))</f>
        <v/>
      </c>
      <c r="C122" s="2" t="str">
        <f t="shared" ca="1" si="8"/>
        <v/>
      </c>
      <c r="D122" s="41" t="str">
        <f t="shared" ca="1" si="9"/>
        <v/>
      </c>
      <c r="E122" s="78" t="str">
        <f ca="1">IF(COUNTIF($AJ$2:AJ1107,A122)=1,VLOOKUP(A122,AF:AG,2), IF(COUNTIF($AJ$2:AJ1107,A122)=0,$E$9,""))</f>
        <v/>
      </c>
      <c r="F122" s="91" t="str">
        <f ca="1">IF(COUNTIF($AJ$2:AJ1107,A122)=1,VLOOKUP(A122,AF:AG,2), IF(COUNTIF($AJ$2:AJ1107,A122)=0,$E$9,""))</f>
        <v/>
      </c>
      <c r="G122" s="93" t="str">
        <f t="shared" ca="1" si="10"/>
        <v/>
      </c>
      <c r="H122" s="38" t="str">
        <f ca="1">IF(COUNTIF($AJ$2:AJ1107,A122)=1,VLOOKUP(A122,AB:AC,2), IF(COUNTIF($AJ$2:AJ1107,A122)=0,$C$9,""))</f>
        <v/>
      </c>
      <c r="I122" s="2" t="str">
        <f ca="1">IF(ISERROR(B122-2),"",(H122-$H$14)/100*$C$5)</f>
        <v/>
      </c>
      <c r="J122" s="41" t="str">
        <f ca="1">IF(ISERROR(B122-2),"",(INT(A122)-INT($A$14))/360*$C$6*$C$5-(INT(A122)-INT($A$14))/360*$C$7*$C$5*$H$14/100)</f>
        <v/>
      </c>
      <c r="K122" s="38" t="str">
        <f ca="1">IF(COUNTIF($AJ$2:AJ1107,A122)=1,VLOOKUP(A122,AM:AN,2), IF(COUNTIF($AJ$2:AJ1107,A122)=0,$D$10,""))</f>
        <v/>
      </c>
      <c r="L122" s="41" t="str">
        <f ca="1">IF(ISERROR(K122-2),"",(K122/$K$14-1)*$D$5)</f>
        <v/>
      </c>
      <c r="M122" s="41" t="str">
        <f ca="1">IF($A122="","",IF(COUNTIFS(Dividends!$G:$G,"&gt;"&amp;INT($A121),Dividends!$G:$G,"&lt;="&amp;INT($A122))=0,"",$Q$2*SUMIFS(Dividends!$H:$H,Dividends!$G:$G,"&gt;"&amp;INT($A121),Dividends!$G:$G,"&lt;="&amp;INT($A122))))</f>
        <v/>
      </c>
      <c r="N122" s="42" t="str">
        <f ca="1">IF(ISERROR(B122-2),"",C122+D122-I122-J122-L122+SUM($M$14:M122))</f>
        <v/>
      </c>
      <c r="O122" s="80" t="str">
        <f t="shared" ca="1" si="11"/>
        <v/>
      </c>
      <c r="P122" s="80"/>
      <c r="Q122" s="87"/>
      <c r="R122" s="87"/>
      <c r="S122" s="87"/>
      <c r="T122" s="108"/>
      <c r="U122" s="87"/>
      <c r="V122" s="108"/>
      <c r="W122" s="87"/>
      <c r="X122" s="87"/>
      <c r="AH122" s="3" t="str">
        <f>IF(COUNTIF(AB:AB,Z122)*COUNTIF(AD:AD,Z122)*COUNTIF(AF:AF,Z122),Z122,"")</f>
        <v/>
      </c>
      <c r="AI122" s="3" t="str">
        <f t="shared" si="6"/>
        <v/>
      </c>
      <c r="AM122" s="3">
        <v>45950</v>
      </c>
      <c r="AN122" s="4">
        <v>244.0598</v>
      </c>
      <c r="AO122" s="74">
        <v>45950</v>
      </c>
      <c r="AP122" s="4">
        <v>269.54399999999998</v>
      </c>
      <c r="AQ122" s="6">
        <f t="shared" si="7"/>
        <v>45950</v>
      </c>
    </row>
    <row r="123" spans="1:43" x14ac:dyDescent="0.25">
      <c r="A123" s="37" t="str">
        <f ca="1">IF(AND(ISBLANK(AJ112), A122 = $AJ$1),NOW(),IF(ISBLANK(AJ112),"",AJ112))</f>
        <v/>
      </c>
      <c r="B123" s="38" t="str">
        <f ca="1">IF(COUNTIF($AJ$2:AJ1108,A123)=1,VLOOKUP(A123,Z:AA,2), IF(COUNTIF($AJ$2:AJ1108,A123)=0,$B$9,""))</f>
        <v/>
      </c>
      <c r="C123" s="2" t="str">
        <f t="shared" ca="1" si="8"/>
        <v/>
      </c>
      <c r="D123" s="41" t="str">
        <f t="shared" ca="1" si="9"/>
        <v/>
      </c>
      <c r="E123" s="78" t="str">
        <f ca="1">IF(COUNTIF($AJ$2:AJ1108,A123)=1,VLOOKUP(A123,AF:AG,2), IF(COUNTIF($AJ$2:AJ1108,A123)=0,$E$9,""))</f>
        <v/>
      </c>
      <c r="F123" s="91" t="str">
        <f ca="1">IF(COUNTIF($AJ$2:AJ1108,A123)=1,VLOOKUP(A123,AF:AG,2), IF(COUNTIF($AJ$2:AJ1108,A123)=0,$E$9,""))</f>
        <v/>
      </c>
      <c r="G123" s="93" t="str">
        <f t="shared" ca="1" si="10"/>
        <v/>
      </c>
      <c r="H123" s="38" t="str">
        <f ca="1">IF(COUNTIF($AJ$2:AJ1108,A123)=1,VLOOKUP(A123,AB:AC,2), IF(COUNTIF($AJ$2:AJ1108,A123)=0,$C$9,""))</f>
        <v/>
      </c>
      <c r="I123" s="2" t="str">
        <f ca="1">IF(ISERROR(B123-2),"",(H123-$H$14)/100*$C$5)</f>
        <v/>
      </c>
      <c r="J123" s="41" t="str">
        <f ca="1">IF(ISERROR(B123-2),"",(INT(A123)-INT($A$14))/360*$C$6*$C$5-(INT(A123)-INT($A$14))/360*$C$7*$C$5*$H$14/100)</f>
        <v/>
      </c>
      <c r="K123" s="38" t="str">
        <f ca="1">IF(COUNTIF($AJ$2:AJ1108,A123)=1,VLOOKUP(A123,AM:AN,2), IF(COUNTIF($AJ$2:AJ1108,A123)=0,$D$10,""))</f>
        <v/>
      </c>
      <c r="L123" s="41" t="str">
        <f ca="1">IF(ISERROR(K123-2),"",(K123/$K$14-1)*$D$5)</f>
        <v/>
      </c>
      <c r="M123" s="41" t="str">
        <f ca="1">IF($A123="","",IF(COUNTIFS(Dividends!$G:$G,"&gt;"&amp;INT($A122),Dividends!$G:$G,"&lt;="&amp;INT($A123))=0,"",$Q$2*SUMIFS(Dividends!$H:$H,Dividends!$G:$G,"&gt;"&amp;INT($A122),Dividends!$G:$G,"&lt;="&amp;INT($A123))))</f>
        <v/>
      </c>
      <c r="N123" s="42" t="str">
        <f ca="1">IF(ISERROR(B123-2),"",C123+D123-I123-J123-L123+SUM($M$14:M123))</f>
        <v/>
      </c>
      <c r="O123" s="80" t="str">
        <f t="shared" ca="1" si="11"/>
        <v/>
      </c>
      <c r="P123" s="80"/>
      <c r="Q123" s="87"/>
      <c r="R123" s="87"/>
      <c r="S123" s="87"/>
      <c r="T123" s="108"/>
      <c r="U123" s="87"/>
      <c r="V123" s="108"/>
      <c r="W123" s="87"/>
      <c r="X123" s="87"/>
      <c r="AH123" s="3" t="str">
        <f>IF(COUNTIF(AB:AB,Z123)*COUNTIF(AD:AD,Z123)*COUNTIF(AF:AF,Z123),Z123,"")</f>
        <v/>
      </c>
      <c r="AI123" s="3" t="str">
        <f t="shared" si="6"/>
        <v/>
      </c>
      <c r="AM123" s="3">
        <v>45951</v>
      </c>
      <c r="AN123" s="4">
        <v>244.31870000000001</v>
      </c>
      <c r="AO123" s="74">
        <v>45951</v>
      </c>
      <c r="AP123" s="4">
        <v>267.43400000000003</v>
      </c>
      <c r="AQ123" s="6">
        <f t="shared" si="7"/>
        <v>45951</v>
      </c>
    </row>
    <row r="124" spans="1:43" x14ac:dyDescent="0.25">
      <c r="A124" s="37" t="str">
        <f ca="1">IF(AND(ISBLANK(AJ113), A123 = $AJ$1),NOW(),IF(ISBLANK(AJ113),"",AJ113))</f>
        <v/>
      </c>
      <c r="B124" s="38" t="str">
        <f ca="1">IF(COUNTIF($AJ$2:AJ1109,A124)=1,VLOOKUP(A124,Z:AA,2), IF(COUNTIF($AJ$2:AJ1109,A124)=0,$B$9,""))</f>
        <v/>
      </c>
      <c r="C124" s="2" t="str">
        <f t="shared" ca="1" si="8"/>
        <v/>
      </c>
      <c r="D124" s="41" t="str">
        <f t="shared" ca="1" si="9"/>
        <v/>
      </c>
      <c r="E124" s="78" t="str">
        <f ca="1">IF(COUNTIF($AJ$2:AJ1109,A124)=1,VLOOKUP(A124,AF:AG,2), IF(COUNTIF($AJ$2:AJ1109,A124)=0,$E$9,""))</f>
        <v/>
      </c>
      <c r="F124" s="91" t="str">
        <f ca="1">IF(COUNTIF($AJ$2:AJ1109,A124)=1,VLOOKUP(A124,AF:AG,2), IF(COUNTIF($AJ$2:AJ1109,A124)=0,$E$9,""))</f>
        <v/>
      </c>
      <c r="G124" s="93" t="str">
        <f t="shared" ca="1" si="10"/>
        <v/>
      </c>
      <c r="H124" s="38" t="str">
        <f ca="1">IF(COUNTIF($AJ$2:AJ1109,A124)=1,VLOOKUP(A124,AB:AC,2), IF(COUNTIF($AJ$2:AJ1109,A124)=0,$C$9,""))</f>
        <v/>
      </c>
      <c r="I124" s="2" t="str">
        <f ca="1">IF(ISERROR(B124-2),"",(H124-$H$14)/100*$C$5)</f>
        <v/>
      </c>
      <c r="J124" s="41" t="str">
        <f ca="1">IF(ISERROR(B124-2),"",(INT(A124)-INT($A$14))/360*$C$6*$C$5-(INT(A124)-INT($A$14))/360*$C$7*$C$5*$H$14/100)</f>
        <v/>
      </c>
      <c r="K124" s="38" t="str">
        <f ca="1">IF(COUNTIF($AJ$2:AJ1109,A124)=1,VLOOKUP(A124,AM:AN,2), IF(COUNTIF($AJ$2:AJ1109,A124)=0,$D$10,""))</f>
        <v/>
      </c>
      <c r="L124" s="41" t="str">
        <f ca="1">IF(ISERROR(K124-2),"",(K124/$K$14-1)*$D$5)</f>
        <v/>
      </c>
      <c r="M124" s="41" t="str">
        <f ca="1">IF($A124="","",IF(COUNTIFS(Dividends!$G:$G,"&gt;"&amp;INT($A123),Dividends!$G:$G,"&lt;="&amp;INT($A124))=0,"",$Q$2*SUMIFS(Dividends!$H:$H,Dividends!$G:$G,"&gt;"&amp;INT($A123),Dividends!$G:$G,"&lt;="&amp;INT($A124))))</f>
        <v/>
      </c>
      <c r="N124" s="42" t="str">
        <f ca="1">IF(ISERROR(B124-2),"",C124+D124-I124-J124-L124+SUM($M$14:M124))</f>
        <v/>
      </c>
      <c r="O124" s="80" t="str">
        <f t="shared" ca="1" si="11"/>
        <v/>
      </c>
      <c r="P124" s="80"/>
      <c r="Q124" s="87"/>
      <c r="R124" s="87"/>
      <c r="S124" s="87"/>
      <c r="T124" s="108"/>
      <c r="U124" s="87"/>
      <c r="V124" s="108"/>
      <c r="W124" s="87"/>
      <c r="X124" s="87"/>
      <c r="AH124" s="3" t="str">
        <f>IF(COUNTIF(AB:AB,Z124)*COUNTIF(AD:AD,Z124)*COUNTIF(AF:AF,Z124),Z124,"")</f>
        <v/>
      </c>
      <c r="AI124" s="3" t="str">
        <f t="shared" si="6"/>
        <v/>
      </c>
      <c r="AM124" s="3">
        <v>45952</v>
      </c>
      <c r="AN124" s="4">
        <v>244.07040000000001</v>
      </c>
      <c r="AO124" s="74">
        <v>45952</v>
      </c>
      <c r="AP124" s="4">
        <v>269.74599999999998</v>
      </c>
      <c r="AQ124" s="6">
        <f t="shared" si="7"/>
        <v>45952</v>
      </c>
    </row>
    <row r="125" spans="1:43" x14ac:dyDescent="0.25">
      <c r="A125" s="37" t="str">
        <f ca="1">IF(AND(ISBLANK(AJ114), A124 = $AJ$1),NOW(),IF(ISBLANK(AJ114),"",AJ114))</f>
        <v/>
      </c>
      <c r="B125" s="38" t="str">
        <f ca="1">IF(COUNTIF($AJ$2:AJ1110,A125)=1,VLOOKUP(A125,Z:AA,2), IF(COUNTIF($AJ$2:AJ1110,A125)=0,$B$9,""))</f>
        <v/>
      </c>
      <c r="C125" s="2" t="str">
        <f t="shared" ca="1" si="8"/>
        <v/>
      </c>
      <c r="D125" s="41" t="str">
        <f t="shared" ca="1" si="9"/>
        <v/>
      </c>
      <c r="E125" s="78" t="str">
        <f ca="1">IF(COUNTIF($AJ$2:AJ1110,A125)=1,VLOOKUP(A125,AF:AG,2), IF(COUNTIF($AJ$2:AJ1110,A125)=0,$E$9,""))</f>
        <v/>
      </c>
      <c r="F125" s="91" t="str">
        <f ca="1">IF(COUNTIF($AJ$2:AJ1110,A125)=1,VLOOKUP(A125,AF:AG,2), IF(COUNTIF($AJ$2:AJ1110,A125)=0,$E$9,""))</f>
        <v/>
      </c>
      <c r="G125" s="93" t="str">
        <f t="shared" ca="1" si="10"/>
        <v/>
      </c>
      <c r="H125" s="38" t="str">
        <f ca="1">IF(COUNTIF($AJ$2:AJ1110,A125)=1,VLOOKUP(A125,AB:AC,2), IF(COUNTIF($AJ$2:AJ1110,A125)=0,$C$9,""))</f>
        <v/>
      </c>
      <c r="I125" s="2" t="str">
        <f ca="1">IF(ISERROR(B125-2),"",(H125-$H$14)/100*$C$5)</f>
        <v/>
      </c>
      <c r="J125" s="41" t="str">
        <f ca="1">IF(ISERROR(B125-2),"",(INT(A125)-INT($A$14))/360*$C$6*$C$5-(INT(A125)-INT($A$14))/360*$C$7*$C$5*$H$14/100)</f>
        <v/>
      </c>
      <c r="K125" s="38" t="str">
        <f ca="1">IF(COUNTIF($AJ$2:AJ1110,A125)=1,VLOOKUP(A125,AM:AN,2), IF(COUNTIF($AJ$2:AJ1110,A125)=0,$D$10,""))</f>
        <v/>
      </c>
      <c r="L125" s="41" t="str">
        <f ca="1">IF(ISERROR(K125-2),"",(K125/$K$14-1)*$D$5)</f>
        <v/>
      </c>
      <c r="M125" s="41" t="str">
        <f ca="1">IF($A125="","",IF(COUNTIFS(Dividends!$G:$G,"&gt;"&amp;INT($A124),Dividends!$G:$G,"&lt;="&amp;INT($A125))=0,"",$Q$2*SUMIFS(Dividends!$H:$H,Dividends!$G:$G,"&gt;"&amp;INT($A124),Dividends!$G:$G,"&lt;="&amp;INT($A125))))</f>
        <v/>
      </c>
      <c r="N125" s="42" t="str">
        <f ca="1">IF(ISERROR(B125-2),"",C125+D125-I125-J125-L125+SUM($M$14:M125))</f>
        <v/>
      </c>
      <c r="O125" s="80" t="str">
        <f t="shared" ca="1" si="11"/>
        <v/>
      </c>
      <c r="P125" s="80"/>
      <c r="Q125" s="87"/>
      <c r="R125" s="87"/>
      <c r="S125" s="87"/>
      <c r="T125" s="108"/>
      <c r="U125" s="87"/>
      <c r="V125" s="108"/>
      <c r="W125" s="87"/>
      <c r="X125" s="87"/>
      <c r="AH125" s="3" t="str">
        <f>IF(COUNTIF(AB:AB,Z125)*COUNTIF(AD:AD,Z125)*COUNTIF(AF:AF,Z125),Z125,"")</f>
        <v/>
      </c>
      <c r="AI125" s="3" t="str">
        <f t="shared" si="6"/>
        <v/>
      </c>
      <c r="AM125" s="3">
        <v>45953</v>
      </c>
      <c r="AN125" s="4">
        <v>244.25409999999999</v>
      </c>
      <c r="AO125" s="74">
        <v>45953</v>
      </c>
      <c r="AP125" s="4">
        <v>268.49799999999999</v>
      </c>
      <c r="AQ125" s="6">
        <f t="shared" si="7"/>
        <v>45953</v>
      </c>
    </row>
    <row r="126" spans="1:43" x14ac:dyDescent="0.25">
      <c r="A126" s="37" t="str">
        <f ca="1">IF(AND(ISBLANK(AJ115), A125 = $AJ$1),NOW(),IF(ISBLANK(AJ115),"",AJ115))</f>
        <v/>
      </c>
      <c r="B126" s="38" t="str">
        <f ca="1">IF(COUNTIF($AJ$2:AJ1111,A126)=1,VLOOKUP(A126,Z:AA,2), IF(COUNTIF($AJ$2:AJ1111,A126)=0,$B$9,""))</f>
        <v/>
      </c>
      <c r="C126" s="2" t="str">
        <f t="shared" ca="1" si="8"/>
        <v/>
      </c>
      <c r="D126" s="41" t="str">
        <f t="shared" ca="1" si="9"/>
        <v/>
      </c>
      <c r="E126" s="78" t="str">
        <f ca="1">IF(COUNTIF($AJ$2:AJ1111,A126)=1,VLOOKUP(A126,AF:AG,2), IF(COUNTIF($AJ$2:AJ1111,A126)=0,$E$9,""))</f>
        <v/>
      </c>
      <c r="F126" s="91" t="str">
        <f ca="1">IF(COUNTIF($AJ$2:AJ1111,A126)=1,VLOOKUP(A126,AF:AG,2), IF(COUNTIF($AJ$2:AJ1111,A126)=0,$E$9,""))</f>
        <v/>
      </c>
      <c r="G126" s="93" t="str">
        <f t="shared" ca="1" si="10"/>
        <v/>
      </c>
      <c r="H126" s="38" t="str">
        <f ca="1">IF(COUNTIF($AJ$2:AJ1111,A126)=1,VLOOKUP(A126,AB:AC,2), IF(COUNTIF($AJ$2:AJ1111,A126)=0,$C$9,""))</f>
        <v/>
      </c>
      <c r="I126" s="2" t="str">
        <f ca="1">IF(ISERROR(B126-2),"",(H126-$H$14)/100*$C$5)</f>
        <v/>
      </c>
      <c r="J126" s="41" t="str">
        <f ca="1">IF(ISERROR(B126-2),"",(INT(A126)-INT($A$14))/360*$C$6*$C$5-(INT(A126)-INT($A$14))/360*$C$7*$C$5*$H$14/100)</f>
        <v/>
      </c>
      <c r="K126" s="38" t="str">
        <f ca="1">IF(COUNTIF($AJ$2:AJ1111,A126)=1,VLOOKUP(A126,AM:AN,2), IF(COUNTIF($AJ$2:AJ1111,A126)=0,$D$10,""))</f>
        <v/>
      </c>
      <c r="L126" s="41" t="str">
        <f ca="1">IF(ISERROR(K126-2),"",(K126/$K$14-1)*$D$5)</f>
        <v/>
      </c>
      <c r="M126" s="41" t="str">
        <f ca="1">IF($A126="","",IF(COUNTIFS(Dividends!$G:$G,"&gt;"&amp;INT($A125),Dividends!$G:$G,"&lt;="&amp;INT($A126))=0,"",$Q$2*SUMIFS(Dividends!$H:$H,Dividends!$G:$G,"&gt;"&amp;INT($A125),Dividends!$G:$G,"&lt;="&amp;INT($A126))))</f>
        <v/>
      </c>
      <c r="N126" s="42" t="str">
        <f ca="1">IF(ISERROR(B126-2),"",C126+D126-I126-J126-L126+SUM($M$14:M126))</f>
        <v/>
      </c>
      <c r="O126" s="80" t="str">
        <f t="shared" ca="1" si="11"/>
        <v/>
      </c>
      <c r="P126" s="80"/>
      <c r="Q126" s="87"/>
      <c r="R126" s="87"/>
      <c r="S126" s="87"/>
      <c r="T126" s="108"/>
      <c r="U126" s="87"/>
      <c r="V126" s="108"/>
      <c r="W126" s="87"/>
      <c r="X126" s="87"/>
      <c r="AH126" s="3" t="str">
        <f>IF(COUNTIF(AB:AB,Z126)*COUNTIF(AD:AD,Z126)*COUNTIF(AF:AF,Z126),Z126,"")</f>
        <v/>
      </c>
      <c r="AI126" s="3" t="str">
        <f t="shared" si="6"/>
        <v/>
      </c>
      <c r="AM126" s="3">
        <v>45954</v>
      </c>
      <c r="AN126" s="4">
        <v>244.79400000000001</v>
      </c>
      <c r="AO126" s="74">
        <v>45954</v>
      </c>
      <c r="AP126" s="4">
        <v>265.077</v>
      </c>
      <c r="AQ126" s="6">
        <f t="shared" si="7"/>
        <v>45954</v>
      </c>
    </row>
    <row r="127" spans="1:43" x14ac:dyDescent="0.25">
      <c r="A127" s="37" t="str">
        <f ca="1">IF(AND(ISBLANK(AJ116), A126 = $AJ$1),NOW(),IF(ISBLANK(AJ116),"",AJ116))</f>
        <v/>
      </c>
      <c r="B127" s="38" t="str">
        <f ca="1">IF(COUNTIF($AJ$2:AJ1112,A127)=1,VLOOKUP(A127,Z:AA,2), IF(COUNTIF($AJ$2:AJ1112,A127)=0,$B$9,""))</f>
        <v/>
      </c>
      <c r="C127" s="2" t="str">
        <f t="shared" ca="1" si="8"/>
        <v/>
      </c>
      <c r="D127" s="41" t="str">
        <f t="shared" ca="1" si="9"/>
        <v/>
      </c>
      <c r="E127" s="78" t="str">
        <f ca="1">IF(COUNTIF($AJ$2:AJ1112,A127)=1,VLOOKUP(A127,AF:AG,2), IF(COUNTIF($AJ$2:AJ1112,A127)=0,$E$9,""))</f>
        <v/>
      </c>
      <c r="F127" s="91" t="str">
        <f ca="1">IF(COUNTIF($AJ$2:AJ1112,A127)=1,VLOOKUP(A127,AF:AG,2), IF(COUNTIF($AJ$2:AJ1112,A127)=0,$E$9,""))</f>
        <v/>
      </c>
      <c r="G127" s="93" t="str">
        <f t="shared" ca="1" si="10"/>
        <v/>
      </c>
      <c r="H127" s="38" t="str">
        <f ca="1">IF(COUNTIF($AJ$2:AJ1112,A127)=1,VLOOKUP(A127,AB:AC,2), IF(COUNTIF($AJ$2:AJ1112,A127)=0,$C$9,""))</f>
        <v/>
      </c>
      <c r="I127" s="2" t="str">
        <f ca="1">IF(ISERROR(B127-2),"",(H127-$H$14)/100*$C$5)</f>
        <v/>
      </c>
      <c r="J127" s="41" t="str">
        <f ca="1">IF(ISERROR(B127-2),"",(INT(A127)-INT($A$14))/360*$C$6*$C$5-(INT(A127)-INT($A$14))/360*$C$7*$C$5*$H$14/100)</f>
        <v/>
      </c>
      <c r="K127" s="38" t="str">
        <f ca="1">IF(COUNTIF($AJ$2:AJ1112,A127)=1,VLOOKUP(A127,AM:AN,2), IF(COUNTIF($AJ$2:AJ1112,A127)=0,$D$10,""))</f>
        <v/>
      </c>
      <c r="L127" s="41" t="str">
        <f ca="1">IF(ISERROR(K127-2),"",(K127/$K$14-1)*$D$5)</f>
        <v/>
      </c>
      <c r="M127" s="41" t="str">
        <f ca="1">IF($A127="","",IF(COUNTIFS(Dividends!$G:$G,"&gt;"&amp;INT($A126),Dividends!$G:$G,"&lt;="&amp;INT($A127))=0,"",$Q$2*SUMIFS(Dividends!$H:$H,Dividends!$G:$G,"&gt;"&amp;INT($A126),Dividends!$G:$G,"&lt;="&amp;INT($A127))))</f>
        <v/>
      </c>
      <c r="N127" s="42" t="str">
        <f ca="1">IF(ISERROR(B127-2),"",C127+D127-I127-J127-L127+SUM($M$14:M127))</f>
        <v/>
      </c>
      <c r="O127" s="80" t="str">
        <f t="shared" ca="1" si="11"/>
        <v/>
      </c>
      <c r="P127" s="80"/>
      <c r="Q127" s="87"/>
      <c r="R127" s="87"/>
      <c r="S127" s="87"/>
      <c r="T127" s="108"/>
      <c r="U127" s="87"/>
      <c r="V127" s="108"/>
      <c r="W127" s="87"/>
      <c r="X127" s="87"/>
      <c r="AH127" s="3" t="str">
        <f>IF(COUNTIF(AB:AB,Z127)*COUNTIF(AD:AD,Z127)*COUNTIF(AF:AF,Z127),Z127,"")</f>
        <v/>
      </c>
      <c r="AI127" s="3" t="str">
        <f t="shared" si="6"/>
        <v/>
      </c>
      <c r="AM127" s="3">
        <v>45957</v>
      </c>
      <c r="AN127" s="4">
        <v>245.7517</v>
      </c>
      <c r="AO127" s="74">
        <v>45957</v>
      </c>
      <c r="AP127" s="4">
        <v>256.41899999999998</v>
      </c>
      <c r="AQ127" s="6">
        <f t="shared" si="7"/>
        <v>45957</v>
      </c>
    </row>
    <row r="128" spans="1:43" x14ac:dyDescent="0.25">
      <c r="A128" s="37" t="str">
        <f ca="1">IF(AND(ISBLANK(AJ117), A127 = $AJ$1),NOW(),IF(ISBLANK(AJ117),"",AJ117))</f>
        <v/>
      </c>
      <c r="B128" s="38" t="str">
        <f ca="1">IF(COUNTIF($AJ$2:AJ1113,A128)=1,VLOOKUP(A128,Z:AA,2), IF(COUNTIF($AJ$2:AJ1113,A128)=0,$B$9,""))</f>
        <v/>
      </c>
      <c r="C128" s="2" t="str">
        <f t="shared" ca="1" si="8"/>
        <v/>
      </c>
      <c r="D128" s="41" t="str">
        <f t="shared" ca="1" si="9"/>
        <v/>
      </c>
      <c r="E128" s="78" t="str">
        <f ca="1">IF(COUNTIF($AJ$2:AJ1113,A128)=1,VLOOKUP(A128,AF:AG,2), IF(COUNTIF($AJ$2:AJ1113,A128)=0,$E$9,""))</f>
        <v/>
      </c>
      <c r="F128" s="91" t="str">
        <f ca="1">IF(COUNTIF($AJ$2:AJ1113,A128)=1,VLOOKUP(A128,AF:AG,2), IF(COUNTIF($AJ$2:AJ1113,A128)=0,$E$9,""))</f>
        <v/>
      </c>
      <c r="G128" s="93" t="str">
        <f t="shared" ca="1" si="10"/>
        <v/>
      </c>
      <c r="H128" s="38" t="str">
        <f ca="1">IF(COUNTIF($AJ$2:AJ1113,A128)=1,VLOOKUP(A128,AB:AC,2), IF(COUNTIF($AJ$2:AJ1113,A128)=0,$C$9,""))</f>
        <v/>
      </c>
      <c r="I128" s="2" t="str">
        <f ca="1">IF(ISERROR(B128-2),"",(H128-$H$14)/100*$C$5)</f>
        <v/>
      </c>
      <c r="J128" s="41" t="str">
        <f ca="1">IF(ISERROR(B128-2),"",(INT(A128)-INT($A$14))/360*$C$6*$C$5-(INT(A128)-INT($A$14))/360*$C$7*$C$5*$H$14/100)</f>
        <v/>
      </c>
      <c r="K128" s="38" t="str">
        <f ca="1">IF(COUNTIF($AJ$2:AJ1113,A128)=1,VLOOKUP(A128,AM:AN,2), IF(COUNTIF($AJ$2:AJ1113,A128)=0,$D$10,""))</f>
        <v/>
      </c>
      <c r="L128" s="41" t="str">
        <f ca="1">IF(ISERROR(K128-2),"",(K128/$K$14-1)*$D$5)</f>
        <v/>
      </c>
      <c r="M128" s="41" t="str">
        <f ca="1">IF($A128="","",IF(COUNTIFS(Dividends!$G:$G,"&gt;"&amp;INT($A127),Dividends!$G:$G,"&lt;="&amp;INT($A128))=0,"",$Q$2*SUMIFS(Dividends!$H:$H,Dividends!$G:$G,"&gt;"&amp;INT($A127),Dividends!$G:$G,"&lt;="&amp;INT($A128))))</f>
        <v/>
      </c>
      <c r="N128" s="42" t="str">
        <f ca="1">IF(ISERROR(B128-2),"",C128+D128-I128-J128-L128+SUM($M$14:M128))</f>
        <v/>
      </c>
      <c r="O128" s="80" t="str">
        <f t="shared" ca="1" si="11"/>
        <v/>
      </c>
      <c r="P128" s="80"/>
      <c r="Q128" s="87"/>
      <c r="R128" s="87"/>
      <c r="S128" s="87"/>
      <c r="T128" s="108"/>
      <c r="U128" s="87"/>
      <c r="V128" s="108"/>
      <c r="W128" s="87"/>
      <c r="X128" s="87"/>
      <c r="AH128" s="3" t="str">
        <f>IF(COUNTIF(AB:AB,Z128)*COUNTIF(AD:AD,Z128)*COUNTIF(AF:AF,Z128),Z128,"")</f>
        <v/>
      </c>
      <c r="AI128" s="3" t="str">
        <f t="shared" si="6"/>
        <v/>
      </c>
      <c r="AM128" s="3">
        <v>45958</v>
      </c>
      <c r="AN128" s="4">
        <v>245.49199999999999</v>
      </c>
      <c r="AO128" s="74">
        <v>45958</v>
      </c>
      <c r="AP128" s="4">
        <v>258.21699999999998</v>
      </c>
      <c r="AQ128" s="6">
        <f t="shared" si="7"/>
        <v>45958</v>
      </c>
    </row>
    <row r="129" spans="1:43" x14ac:dyDescent="0.25">
      <c r="A129" s="37" t="str">
        <f ca="1">IF(AND(ISBLANK(AJ118), A128 = $AJ$1),NOW(),IF(ISBLANK(AJ118),"",AJ118))</f>
        <v/>
      </c>
      <c r="B129" s="38" t="str">
        <f ca="1">IF(COUNTIF($AJ$2:AJ1114,A129)=1,VLOOKUP(A129,Z:AA,2), IF(COUNTIF($AJ$2:AJ1114,A129)=0,$B$9,""))</f>
        <v/>
      </c>
      <c r="C129" s="2" t="str">
        <f t="shared" ca="1" si="8"/>
        <v/>
      </c>
      <c r="D129" s="41" t="str">
        <f t="shared" ca="1" si="9"/>
        <v/>
      </c>
      <c r="E129" s="78" t="str">
        <f ca="1">IF(COUNTIF($AJ$2:AJ1114,A129)=1,VLOOKUP(A129,AF:AG,2), IF(COUNTIF($AJ$2:AJ1114,A129)=0,$E$9,""))</f>
        <v/>
      </c>
      <c r="F129" s="91" t="str">
        <f ca="1">IF(COUNTIF($AJ$2:AJ1114,A129)=1,VLOOKUP(A129,AF:AG,2), IF(COUNTIF($AJ$2:AJ1114,A129)=0,$E$9,""))</f>
        <v/>
      </c>
      <c r="G129" s="93" t="str">
        <f t="shared" ca="1" si="10"/>
        <v/>
      </c>
      <c r="H129" s="38" t="str">
        <f ca="1">IF(COUNTIF($AJ$2:AJ1114,A129)=1,VLOOKUP(A129,AB:AC,2), IF(COUNTIF($AJ$2:AJ1114,A129)=0,$C$9,""))</f>
        <v/>
      </c>
      <c r="I129" s="2" t="str">
        <f ca="1">IF(ISERROR(B129-2),"",(H129-$H$14)/100*$C$5)</f>
        <v/>
      </c>
      <c r="J129" s="41" t="str">
        <f ca="1">IF(ISERROR(B129-2),"",(INT(A129)-INT($A$14))/360*$C$6*$C$5-(INT(A129)-INT($A$14))/360*$C$7*$C$5*$H$14/100)</f>
        <v/>
      </c>
      <c r="K129" s="38" t="str">
        <f ca="1">IF(COUNTIF($AJ$2:AJ1114,A129)=1,VLOOKUP(A129,AM:AN,2), IF(COUNTIF($AJ$2:AJ1114,A129)=0,$D$10,""))</f>
        <v/>
      </c>
      <c r="L129" s="41" t="str">
        <f ca="1">IF(ISERROR(K129-2),"",(K129/$K$14-1)*$D$5)</f>
        <v/>
      </c>
      <c r="M129" s="41" t="str">
        <f ca="1">IF($A129="","",IF(COUNTIFS(Dividends!$G:$G,"&gt;"&amp;INT($A128),Dividends!$G:$G,"&lt;="&amp;INT($A129))=0,"",$Q$2*SUMIFS(Dividends!$H:$H,Dividends!$G:$G,"&gt;"&amp;INT($A128),Dividends!$G:$G,"&lt;="&amp;INT($A129))))</f>
        <v/>
      </c>
      <c r="N129" s="42" t="str">
        <f ca="1">IF(ISERROR(B129-2),"",C129+D129-I129-J129-L129+SUM($M$14:M129))</f>
        <v/>
      </c>
      <c r="O129" s="80" t="str">
        <f t="shared" ca="1" si="11"/>
        <v/>
      </c>
      <c r="P129" s="80"/>
      <c r="Q129" s="87"/>
      <c r="R129" s="87"/>
      <c r="S129" s="87"/>
      <c r="T129" s="108"/>
      <c r="U129" s="87"/>
      <c r="V129" s="108"/>
      <c r="W129" s="87"/>
      <c r="X129" s="87"/>
      <c r="AH129" s="3" t="str">
        <f>IF(COUNTIF(AB:AB,Z129)*COUNTIF(AD:AD,Z129)*COUNTIF(AF:AF,Z129),Z129,"")</f>
        <v/>
      </c>
      <c r="AI129" s="3" t="str">
        <f t="shared" si="6"/>
        <v/>
      </c>
      <c r="AM129" s="3">
        <v>45959</v>
      </c>
      <c r="AN129" s="4">
        <v>245.55119999999999</v>
      </c>
      <c r="AO129" s="74">
        <v>45959</v>
      </c>
      <c r="AP129" s="4">
        <v>258.82100000000003</v>
      </c>
      <c r="AQ129" s="6">
        <f t="shared" si="7"/>
        <v>45959</v>
      </c>
    </row>
    <row r="130" spans="1:43" x14ac:dyDescent="0.25">
      <c r="A130" s="37" t="str">
        <f ca="1">IF(AND(ISBLANK(AJ119), A129 = $AJ$1),NOW(),IF(ISBLANK(AJ119),"",AJ119))</f>
        <v/>
      </c>
      <c r="B130" s="38" t="str">
        <f ca="1">IF(COUNTIF($AJ$2:AJ1115,A130)=1,VLOOKUP(A130,Z:AA,2), IF(COUNTIF($AJ$2:AJ1115,A130)=0,$B$9,""))</f>
        <v/>
      </c>
      <c r="C130" s="2" t="str">
        <f t="shared" ca="1" si="8"/>
        <v/>
      </c>
      <c r="D130" s="41" t="str">
        <f t="shared" ca="1" si="9"/>
        <v/>
      </c>
      <c r="E130" s="78" t="str">
        <f ca="1">IF(COUNTIF($AJ$2:AJ1115,A130)=1,VLOOKUP(A130,AF:AG,2), IF(COUNTIF($AJ$2:AJ1115,A130)=0,$E$9,""))</f>
        <v/>
      </c>
      <c r="F130" s="91" t="str">
        <f ca="1">IF(COUNTIF($AJ$2:AJ1115,A130)=1,VLOOKUP(A130,AF:AG,2), IF(COUNTIF($AJ$2:AJ1115,A130)=0,$E$9,""))</f>
        <v/>
      </c>
      <c r="G130" s="93" t="str">
        <f t="shared" ca="1" si="10"/>
        <v/>
      </c>
      <c r="H130" s="38" t="str">
        <f ca="1">IF(COUNTIF($AJ$2:AJ1115,A130)=1,VLOOKUP(A130,AB:AC,2), IF(COUNTIF($AJ$2:AJ1115,A130)=0,$C$9,""))</f>
        <v/>
      </c>
      <c r="I130" s="2" t="str">
        <f ca="1">IF(ISERROR(B130-2),"",(H130-$H$14)/100*$C$5)</f>
        <v/>
      </c>
      <c r="J130" s="41" t="str">
        <f ca="1">IF(ISERROR(B130-2),"",(INT(A130)-INT($A$14))/360*$C$6*$C$5-(INT(A130)-INT($A$14))/360*$C$7*$C$5*$H$14/100)</f>
        <v/>
      </c>
      <c r="K130" s="38" t="str">
        <f ca="1">IF(COUNTIF($AJ$2:AJ1115,A130)=1,VLOOKUP(A130,AM:AN,2), IF(COUNTIF($AJ$2:AJ1115,A130)=0,$D$10,""))</f>
        <v/>
      </c>
      <c r="L130" s="41" t="str">
        <f ca="1">IF(ISERROR(K130-2),"",(K130/$K$14-1)*$D$5)</f>
        <v/>
      </c>
      <c r="M130" s="41" t="str">
        <f ca="1">IF($A130="","",IF(COUNTIFS(Dividends!$G:$G,"&gt;"&amp;INT($A129),Dividends!$G:$G,"&lt;="&amp;INT($A130))=0,"",$Q$2*SUMIFS(Dividends!$H:$H,Dividends!$G:$G,"&gt;"&amp;INT($A129),Dividends!$G:$G,"&lt;="&amp;INT($A130))))</f>
        <v/>
      </c>
      <c r="N130" s="42" t="str">
        <f ca="1">IF(ISERROR(B130-2),"",C130+D130-I130-J130-L130+SUM($M$14:M130))</f>
        <v/>
      </c>
      <c r="O130" s="80" t="str">
        <f t="shared" ca="1" si="11"/>
        <v/>
      </c>
      <c r="P130" s="80"/>
      <c r="Q130" s="87"/>
      <c r="R130" s="87"/>
      <c r="S130" s="87"/>
      <c r="T130" s="108"/>
      <c r="U130" s="87"/>
      <c r="V130" s="108"/>
      <c r="W130" s="87"/>
      <c r="X130" s="87"/>
      <c r="AH130" s="3" t="str">
        <f>IF(COUNTIF(AB:AB,Z130)*COUNTIF(AD:AD,Z130)*COUNTIF(AF:AF,Z130),Z130,"")</f>
        <v/>
      </c>
      <c r="AI130" s="3" t="str">
        <f t="shared" si="6"/>
        <v/>
      </c>
      <c r="AM130" s="3">
        <v>45960</v>
      </c>
      <c r="AN130" s="4">
        <v>245.16900000000001</v>
      </c>
      <c r="AO130" s="74">
        <v>45960</v>
      </c>
      <c r="AP130" s="4">
        <v>262.49700000000001</v>
      </c>
      <c r="AQ130" s="6">
        <f t="shared" si="7"/>
        <v>45960</v>
      </c>
    </row>
    <row r="131" spans="1:43" x14ac:dyDescent="0.25">
      <c r="A131" s="37" t="str">
        <f ca="1">IF(AND(ISBLANK(AJ120), A130 = $AJ$1),NOW(),IF(ISBLANK(AJ120),"",AJ120))</f>
        <v/>
      </c>
      <c r="B131" s="38" t="str">
        <f ca="1">IF(COUNTIF($AJ$2:AJ1116,A131)=1,VLOOKUP(A131,Z:AA,2), IF(COUNTIF($AJ$2:AJ1116,A131)=0,$B$9,""))</f>
        <v/>
      </c>
      <c r="C131" s="2" t="str">
        <f t="shared" ca="1" si="8"/>
        <v/>
      </c>
      <c r="D131" s="41" t="str">
        <f t="shared" ca="1" si="9"/>
        <v/>
      </c>
      <c r="E131" s="78" t="str">
        <f ca="1">IF(COUNTIF($AJ$2:AJ1116,A131)=1,VLOOKUP(A131,AF:AG,2), IF(COUNTIF($AJ$2:AJ1116,A131)=0,$E$9,""))</f>
        <v/>
      </c>
      <c r="F131" s="91" t="str">
        <f ca="1">IF(COUNTIF($AJ$2:AJ1116,A131)=1,VLOOKUP(A131,AF:AG,2), IF(COUNTIF($AJ$2:AJ1116,A131)=0,$E$9,""))</f>
        <v/>
      </c>
      <c r="G131" s="93" t="str">
        <f t="shared" ca="1" si="10"/>
        <v/>
      </c>
      <c r="H131" s="38" t="str">
        <f ca="1">IF(COUNTIF($AJ$2:AJ1116,A131)=1,VLOOKUP(A131,AB:AC,2), IF(COUNTIF($AJ$2:AJ1116,A131)=0,$C$9,""))</f>
        <v/>
      </c>
      <c r="I131" s="2" t="str">
        <f ca="1">IF(ISERROR(B131-2),"",(H131-$H$14)/100*$C$5)</f>
        <v/>
      </c>
      <c r="J131" s="41" t="str">
        <f ca="1">IF(ISERROR(B131-2),"",(INT(A131)-INT($A$14))/360*$C$6*$C$5-(INT(A131)-INT($A$14))/360*$C$7*$C$5*$H$14/100)</f>
        <v/>
      </c>
      <c r="K131" s="38" t="str">
        <f ca="1">IF(COUNTIF($AJ$2:AJ1116,A131)=1,VLOOKUP(A131,AM:AN,2), IF(COUNTIF($AJ$2:AJ1116,A131)=0,$D$10,""))</f>
        <v/>
      </c>
      <c r="L131" s="41" t="str">
        <f ca="1">IF(ISERROR(K131-2),"",(K131/$K$14-1)*$D$5)</f>
        <v/>
      </c>
      <c r="M131" s="41" t="str">
        <f ca="1">IF($A131="","",IF(COUNTIFS(Dividends!$G:$G,"&gt;"&amp;INT($A130),Dividends!$G:$G,"&lt;="&amp;INT($A131))=0,"",$Q$2*SUMIFS(Dividends!$H:$H,Dividends!$G:$G,"&gt;"&amp;INT($A130),Dividends!$G:$G,"&lt;="&amp;INT($A131))))</f>
        <v/>
      </c>
      <c r="N131" s="42" t="str">
        <f ca="1">IF(ISERROR(B131-2),"",C131+D131-I131-J131-L131+SUM($M$14:M131))</f>
        <v/>
      </c>
      <c r="O131" s="80" t="str">
        <f t="shared" ca="1" si="11"/>
        <v/>
      </c>
      <c r="P131" s="80"/>
      <c r="Q131" s="87"/>
      <c r="R131" s="87"/>
      <c r="S131" s="87"/>
      <c r="T131" s="108"/>
      <c r="U131" s="87"/>
      <c r="V131" s="108"/>
      <c r="W131" s="87"/>
      <c r="X131" s="87"/>
      <c r="AH131" s="3" t="str">
        <f>IF(COUNTIF(AB:AB,Z131)*COUNTIF(AD:AD,Z131)*COUNTIF(AF:AF,Z131),Z131,"")</f>
        <v/>
      </c>
      <c r="AI131" s="3" t="str">
        <f t="shared" si="6"/>
        <v/>
      </c>
      <c r="AM131" s="3">
        <v>45961</v>
      </c>
      <c r="AN131" s="4">
        <v>244.8545</v>
      </c>
      <c r="AO131" s="74">
        <v>45961</v>
      </c>
      <c r="AP131" s="4">
        <v>265.971</v>
      </c>
      <c r="AQ131" s="6">
        <f t="shared" si="7"/>
        <v>45961</v>
      </c>
    </row>
    <row r="132" spans="1:43" x14ac:dyDescent="0.25">
      <c r="A132" s="37" t="str">
        <f ca="1">IF(AND(ISBLANK(AJ121), A131 = $AJ$1),NOW(),IF(ISBLANK(AJ121),"",AJ121))</f>
        <v/>
      </c>
      <c r="B132" s="38" t="str">
        <f ca="1">IF(COUNTIF($AJ$2:AJ1117,A132)=1,VLOOKUP(A132,Z:AA,2), IF(COUNTIF($AJ$2:AJ1117,A132)=0,$B$9,""))</f>
        <v/>
      </c>
      <c r="C132" s="2" t="str">
        <f t="shared" ca="1" si="8"/>
        <v/>
      </c>
      <c r="D132" s="41" t="str">
        <f t="shared" ca="1" si="9"/>
        <v/>
      </c>
      <c r="E132" s="78" t="str">
        <f ca="1">IF(COUNTIF($AJ$2:AJ1117,A132)=1,VLOOKUP(A132,AF:AG,2), IF(COUNTIF($AJ$2:AJ1117,A132)=0,$E$9,""))</f>
        <v/>
      </c>
      <c r="F132" s="91" t="str">
        <f ca="1">IF(COUNTIF($AJ$2:AJ1117,A132)=1,VLOOKUP(A132,AF:AG,2), IF(COUNTIF($AJ$2:AJ1117,A132)=0,$E$9,""))</f>
        <v/>
      </c>
      <c r="G132" s="93" t="str">
        <f t="shared" ca="1" si="10"/>
        <v/>
      </c>
      <c r="H132" s="38" t="str">
        <f ca="1">IF(COUNTIF($AJ$2:AJ1117,A132)=1,VLOOKUP(A132,AB:AC,2), IF(COUNTIF($AJ$2:AJ1117,A132)=0,$C$9,""))</f>
        <v/>
      </c>
      <c r="I132" s="2" t="str">
        <f ca="1">IF(ISERROR(B132-2),"",(H132-$H$14)/100*$C$5)</f>
        <v/>
      </c>
      <c r="J132" s="41" t="str">
        <f ca="1">IF(ISERROR(B132-2),"",(INT(A132)-INT($A$14))/360*$C$6*$C$5-(INT(A132)-INT($A$14))/360*$C$7*$C$5*$H$14/100)</f>
        <v/>
      </c>
      <c r="K132" s="38" t="str">
        <f ca="1">IF(COUNTIF($AJ$2:AJ1117,A132)=1,VLOOKUP(A132,AM:AN,2), IF(COUNTIF($AJ$2:AJ1117,A132)=0,$D$10,""))</f>
        <v/>
      </c>
      <c r="L132" s="41" t="str">
        <f ca="1">IF(ISERROR(K132-2),"",(K132/$K$14-1)*$D$5)</f>
        <v/>
      </c>
      <c r="M132" s="41" t="str">
        <f ca="1">IF($A132="","",IF(COUNTIFS(Dividends!$G:$G,"&gt;"&amp;INT($A131),Dividends!$G:$G,"&lt;="&amp;INT($A132))=0,"",$Q$2*SUMIFS(Dividends!$H:$H,Dividends!$G:$G,"&gt;"&amp;INT($A131),Dividends!$G:$G,"&lt;="&amp;INT($A132))))</f>
        <v/>
      </c>
      <c r="N132" s="42" t="str">
        <f ca="1">IF(ISERROR(B132-2),"",C132+D132-I132-J132-L132+SUM($M$14:M132))</f>
        <v/>
      </c>
      <c r="O132" s="80" t="str">
        <f t="shared" ca="1" si="11"/>
        <v/>
      </c>
      <c r="P132" s="80"/>
      <c r="Q132" s="87"/>
      <c r="R132" s="87"/>
      <c r="S132" s="87"/>
      <c r="T132" s="108"/>
      <c r="U132" s="87"/>
      <c r="V132" s="108"/>
      <c r="W132" s="87"/>
      <c r="X132" s="87"/>
      <c r="AH132" s="3" t="str">
        <f>IF(COUNTIF(AB:AB,Z132)*COUNTIF(AD:AD,Z132)*COUNTIF(AF:AF,Z132),Z132,"")</f>
        <v/>
      </c>
      <c r="AI132" s="3" t="str">
        <f t="shared" ref="AI132:AI195" si="12">IF(AH132&gt;=$A$14,AH132,"")</f>
        <v/>
      </c>
      <c r="AM132" s="3">
        <v>45964</v>
      </c>
      <c r="AN132" s="4">
        <v>244.89699999999999</v>
      </c>
      <c r="AO132" s="74">
        <v>45964</v>
      </c>
      <c r="AP132" s="4">
        <v>264.774</v>
      </c>
      <c r="AQ132" s="6">
        <f t="shared" ref="AQ132:AQ195" si="13">IF(COUNTIF(AO:AO,AM132),AM132,"")</f>
        <v>45964</v>
      </c>
    </row>
    <row r="133" spans="1:43" x14ac:dyDescent="0.25">
      <c r="A133" s="37" t="str">
        <f ca="1">IF(AND(ISBLANK(AJ122), A132 = $AJ$1),NOW(),IF(ISBLANK(AJ122),"",AJ122))</f>
        <v/>
      </c>
      <c r="B133" s="38" t="str">
        <f ca="1">IF(COUNTIF($AJ$2:AJ1118,A133)=1,VLOOKUP(A133,Z:AA,2), IF(COUNTIF($AJ$2:AJ1118,A133)=0,$B$9,""))</f>
        <v/>
      </c>
      <c r="C133" s="2" t="str">
        <f t="shared" ca="1" si="8"/>
        <v/>
      </c>
      <c r="D133" s="41" t="str">
        <f t="shared" ca="1" si="9"/>
        <v/>
      </c>
      <c r="E133" s="78" t="str">
        <f ca="1">IF(COUNTIF($AJ$2:AJ1118,A133)=1,VLOOKUP(A133,AF:AG,2), IF(COUNTIF($AJ$2:AJ1118,A133)=0,$E$9,""))</f>
        <v/>
      </c>
      <c r="F133" s="91" t="str">
        <f ca="1">IF(COUNTIF($AJ$2:AJ1118,A133)=1,VLOOKUP(A133,AF:AG,2), IF(COUNTIF($AJ$2:AJ1118,A133)=0,$E$9,""))</f>
        <v/>
      </c>
      <c r="G133" s="93" t="str">
        <f t="shared" ca="1" si="10"/>
        <v/>
      </c>
      <c r="H133" s="38" t="str">
        <f ca="1">IF(COUNTIF($AJ$2:AJ1118,A133)=1,VLOOKUP(A133,AB:AC,2), IF(COUNTIF($AJ$2:AJ1118,A133)=0,$C$9,""))</f>
        <v/>
      </c>
      <c r="I133" s="2" t="str">
        <f ca="1">IF(ISERROR(B133-2),"",(H133-$H$14)/100*$C$5)</f>
        <v/>
      </c>
      <c r="J133" s="41" t="str">
        <f ca="1">IF(ISERROR(B133-2),"",(INT(A133)-INT($A$14))/360*$C$6*$C$5-(INT(A133)-INT($A$14))/360*$C$7*$C$5*$H$14/100)</f>
        <v/>
      </c>
      <c r="K133" s="38" t="str">
        <f ca="1">IF(COUNTIF($AJ$2:AJ1118,A133)=1,VLOOKUP(A133,AM:AN,2), IF(COUNTIF($AJ$2:AJ1118,A133)=0,$D$10,""))</f>
        <v/>
      </c>
      <c r="L133" s="41" t="str">
        <f ca="1">IF(ISERROR(K133-2),"",(K133/$K$14-1)*$D$5)</f>
        <v/>
      </c>
      <c r="M133" s="41" t="str">
        <f ca="1">IF($A133="","",IF(COUNTIFS(Dividends!$G:$G,"&gt;"&amp;INT($A132),Dividends!$G:$G,"&lt;="&amp;INT($A133))=0,"",$Q$2*SUMIFS(Dividends!$H:$H,Dividends!$G:$G,"&gt;"&amp;INT($A132),Dividends!$G:$G,"&lt;="&amp;INT($A133))))</f>
        <v/>
      </c>
      <c r="N133" s="42" t="str">
        <f ca="1">IF(ISERROR(B133-2),"",C133+D133-I133-J133-L133+SUM($M$14:M133))</f>
        <v/>
      </c>
      <c r="O133" s="80" t="str">
        <f t="shared" ca="1" si="11"/>
        <v/>
      </c>
      <c r="P133" s="80"/>
      <c r="Q133" s="87"/>
      <c r="R133" s="87"/>
      <c r="S133" s="87"/>
      <c r="T133" s="108"/>
      <c r="U133" s="87"/>
      <c r="V133" s="108"/>
      <c r="W133" s="87"/>
      <c r="X133" s="87"/>
      <c r="AH133" s="3" t="str">
        <f>IF(COUNTIF(AB:AB,Z133)*COUNTIF(AD:AD,Z133)*COUNTIF(AF:AF,Z133),Z133,"")</f>
        <v/>
      </c>
      <c r="AI133" s="3" t="str">
        <f t="shared" si="12"/>
        <v/>
      </c>
      <c r="AM133" s="3">
        <v>45965</v>
      </c>
      <c r="AN133" s="4">
        <v>244.79839999999999</v>
      </c>
      <c r="AO133" s="74">
        <v>45965</v>
      </c>
      <c r="AP133" s="4">
        <v>265.75200000000001</v>
      </c>
      <c r="AQ133" s="6">
        <f t="shared" si="13"/>
        <v>45965</v>
      </c>
    </row>
    <row r="134" spans="1:43" x14ac:dyDescent="0.25">
      <c r="A134" s="37" t="str">
        <f ca="1">IF(AND(ISBLANK(AJ123), A133 = $AJ$1),NOW(),IF(ISBLANK(AJ123),"",AJ123))</f>
        <v/>
      </c>
      <c r="B134" s="38" t="str">
        <f ca="1">IF(COUNTIF($AJ$2:AJ1119,A134)=1,VLOOKUP(A134,Z:AA,2), IF(COUNTIF($AJ$2:AJ1119,A134)=0,$B$9,""))</f>
        <v/>
      </c>
      <c r="C134" s="2" t="str">
        <f t="shared" ca="1" si="8"/>
        <v/>
      </c>
      <c r="D134" s="41" t="str">
        <f t="shared" ca="1" si="9"/>
        <v/>
      </c>
      <c r="E134" s="78" t="str">
        <f ca="1">IF(COUNTIF($AJ$2:AJ1119,A134)=1,VLOOKUP(A134,AF:AG,2), IF(COUNTIF($AJ$2:AJ1119,A134)=0,$E$9,""))</f>
        <v/>
      </c>
      <c r="F134" s="91" t="str">
        <f ca="1">IF(COUNTIF($AJ$2:AJ1119,A134)=1,VLOOKUP(A134,AF:AG,2), IF(COUNTIF($AJ$2:AJ1119,A134)=0,$E$9,""))</f>
        <v/>
      </c>
      <c r="G134" s="93" t="str">
        <f t="shared" ca="1" si="10"/>
        <v/>
      </c>
      <c r="H134" s="38" t="str">
        <f ca="1">IF(COUNTIF($AJ$2:AJ1119,A134)=1,VLOOKUP(A134,AB:AC,2), IF(COUNTIF($AJ$2:AJ1119,A134)=0,$C$9,""))</f>
        <v/>
      </c>
      <c r="I134" s="2" t="str">
        <f ca="1">IF(ISERROR(B134-2),"",(H134-$H$14)/100*$C$5)</f>
        <v/>
      </c>
      <c r="J134" s="41" t="str">
        <f ca="1">IF(ISERROR(B134-2),"",(INT(A134)-INT($A$14))/360*$C$6*$C$5-(INT(A134)-INT($A$14))/360*$C$7*$C$5*$H$14/100)</f>
        <v/>
      </c>
      <c r="K134" s="38" t="str">
        <f ca="1">IF(COUNTIF($AJ$2:AJ1119,A134)=1,VLOOKUP(A134,AM:AN,2), IF(COUNTIF($AJ$2:AJ1119,A134)=0,$D$10,""))</f>
        <v/>
      </c>
      <c r="L134" s="41" t="str">
        <f ca="1">IF(ISERROR(K134-2),"",(K134/$K$14-1)*$D$5)</f>
        <v/>
      </c>
      <c r="M134" s="41" t="str">
        <f ca="1">IF($A134="","",IF(COUNTIFS(Dividends!$G:$G,"&gt;"&amp;INT($A133),Dividends!$G:$G,"&lt;="&amp;INT($A134))=0,"",$Q$2*SUMIFS(Dividends!$H:$H,Dividends!$G:$G,"&gt;"&amp;INT($A133),Dividends!$G:$G,"&lt;="&amp;INT($A134))))</f>
        <v/>
      </c>
      <c r="N134" s="42" t="str">
        <f ca="1">IF(ISERROR(B134-2),"",C134+D134-I134-J134-L134+SUM($M$14:M134))</f>
        <v/>
      </c>
      <c r="O134" s="80" t="str">
        <f t="shared" ca="1" si="11"/>
        <v/>
      </c>
      <c r="P134" s="80"/>
      <c r="Q134" s="87"/>
      <c r="R134" s="87"/>
      <c r="S134" s="87"/>
      <c r="T134" s="108"/>
      <c r="U134" s="87"/>
      <c r="V134" s="108"/>
      <c r="W134" s="87"/>
      <c r="X134" s="87"/>
      <c r="AH134" s="3" t="str">
        <f>IF(COUNTIF(AB:AB,Z134)*COUNTIF(AD:AD,Z134)*COUNTIF(AF:AF,Z134),Z134,"")</f>
        <v/>
      </c>
      <c r="AI134" s="3" t="str">
        <f t="shared" si="12"/>
        <v/>
      </c>
      <c r="AM134" s="3">
        <v>45966</v>
      </c>
      <c r="AN134" s="4">
        <v>245.10939999999999</v>
      </c>
      <c r="AO134" s="74">
        <v>45966</v>
      </c>
      <c r="AP134" s="4">
        <v>262.87900000000002</v>
      </c>
      <c r="AQ134" s="6">
        <f t="shared" si="13"/>
        <v>45966</v>
      </c>
    </row>
    <row r="135" spans="1:43" x14ac:dyDescent="0.25">
      <c r="A135" s="37" t="str">
        <f ca="1">IF(AND(ISBLANK(AJ124), A134 = $AJ$1),NOW(),IF(ISBLANK(AJ124),"",AJ124))</f>
        <v/>
      </c>
      <c r="B135" s="38" t="str">
        <f ca="1">IF(COUNTIF($AJ$2:AJ1120,A135)=1,VLOOKUP(A135,Z:AA,2), IF(COUNTIF($AJ$2:AJ1120,A135)=0,$B$9,""))</f>
        <v/>
      </c>
      <c r="C135" s="2" t="str">
        <f t="shared" ca="1" si="8"/>
        <v/>
      </c>
      <c r="D135" s="41" t="str">
        <f t="shared" ca="1" si="9"/>
        <v/>
      </c>
      <c r="E135" s="78" t="str">
        <f ca="1">IF(COUNTIF($AJ$2:AJ1120,A135)=1,VLOOKUP(A135,AF:AG,2), IF(COUNTIF($AJ$2:AJ1120,A135)=0,$E$9,""))</f>
        <v/>
      </c>
      <c r="F135" s="91" t="str">
        <f ca="1">IF(COUNTIF($AJ$2:AJ1120,A135)=1,VLOOKUP(A135,AF:AG,2), IF(COUNTIF($AJ$2:AJ1120,A135)=0,$E$9,""))</f>
        <v/>
      </c>
      <c r="G135" s="93" t="str">
        <f t="shared" ca="1" si="10"/>
        <v/>
      </c>
      <c r="H135" s="38" t="str">
        <f ca="1">IF(COUNTIF($AJ$2:AJ1120,A135)=1,VLOOKUP(A135,AB:AC,2), IF(COUNTIF($AJ$2:AJ1120,A135)=0,$C$9,""))</f>
        <v/>
      </c>
      <c r="I135" s="2" t="str">
        <f ca="1">IF(ISERROR(B135-2),"",(H135-$H$14)/100*$C$5)</f>
        <v/>
      </c>
      <c r="J135" s="41" t="str">
        <f ca="1">IF(ISERROR(B135-2),"",(INT(A135)-INT($A$14))/360*$C$6*$C$5-(INT(A135)-INT($A$14))/360*$C$7*$C$5*$H$14/100)</f>
        <v/>
      </c>
      <c r="K135" s="38" t="str">
        <f ca="1">IF(COUNTIF($AJ$2:AJ1120,A135)=1,VLOOKUP(A135,AM:AN,2), IF(COUNTIF($AJ$2:AJ1120,A135)=0,$D$10,""))</f>
        <v/>
      </c>
      <c r="L135" s="41" t="str">
        <f ca="1">IF(ISERROR(K135-2),"",(K135/$K$14-1)*$D$5)</f>
        <v/>
      </c>
      <c r="M135" s="41" t="str">
        <f ca="1">IF($A135="","",IF(COUNTIFS(Dividends!$G:$G,"&gt;"&amp;INT($A134),Dividends!$G:$G,"&lt;="&amp;INT($A135))=0,"",$Q$2*SUMIFS(Dividends!$H:$H,Dividends!$G:$G,"&gt;"&amp;INT($A134),Dividends!$G:$G,"&lt;="&amp;INT($A135))))</f>
        <v/>
      </c>
      <c r="N135" s="42" t="str">
        <f ca="1">IF(ISERROR(B135-2),"",C135+D135-I135-J135-L135+SUM($M$14:M135))</f>
        <v/>
      </c>
      <c r="O135" s="80" t="str">
        <f t="shared" ca="1" si="11"/>
        <v/>
      </c>
      <c r="P135" s="80"/>
      <c r="Q135" s="87"/>
      <c r="R135" s="87"/>
      <c r="S135" s="87"/>
      <c r="T135" s="108"/>
      <c r="U135" s="87"/>
      <c r="V135" s="108"/>
      <c r="W135" s="87"/>
      <c r="X135" s="87"/>
      <c r="AH135" s="3" t="str">
        <f>IF(COUNTIF(AB:AB,Z135)*COUNTIF(AD:AD,Z135)*COUNTIF(AF:AF,Z135),Z135,"")</f>
        <v/>
      </c>
      <c r="AI135" s="3" t="str">
        <f t="shared" si="12"/>
        <v/>
      </c>
      <c r="AM135" s="3">
        <v>45967</v>
      </c>
      <c r="AN135" s="4">
        <v>244.75219999999999</v>
      </c>
      <c r="AO135" s="74">
        <v>45967</v>
      </c>
      <c r="AP135" s="4">
        <v>268.62700000000001</v>
      </c>
      <c r="AQ135" s="6">
        <f t="shared" si="13"/>
        <v>45967</v>
      </c>
    </row>
    <row r="136" spans="1:43" x14ac:dyDescent="0.25">
      <c r="A136" s="37" t="str">
        <f ca="1">IF(AND(ISBLANK(AJ125), A135 = $AJ$1),NOW(),IF(ISBLANK(AJ125),"",AJ125))</f>
        <v/>
      </c>
      <c r="B136" s="38" t="str">
        <f ca="1">IF(COUNTIF($AJ$2:AJ1121,A136)=1,VLOOKUP(A136,Z:AA,2), IF(COUNTIF($AJ$2:AJ1121,A136)=0,$B$9,""))</f>
        <v/>
      </c>
      <c r="C136" s="2" t="str">
        <f t="shared" ca="1" si="8"/>
        <v/>
      </c>
      <c r="D136" s="41" t="str">
        <f t="shared" ca="1" si="9"/>
        <v/>
      </c>
      <c r="E136" s="78" t="str">
        <f ca="1">IF(COUNTIF($AJ$2:AJ1121,A136)=1,VLOOKUP(A136,AF:AG,2), IF(COUNTIF($AJ$2:AJ1121,A136)=0,$E$9,""))</f>
        <v/>
      </c>
      <c r="F136" s="91" t="str">
        <f ca="1">IF(COUNTIF($AJ$2:AJ1121,A136)=1,VLOOKUP(A136,AF:AG,2), IF(COUNTIF($AJ$2:AJ1121,A136)=0,$E$9,""))</f>
        <v/>
      </c>
      <c r="G136" s="93" t="str">
        <f t="shared" ca="1" si="10"/>
        <v/>
      </c>
      <c r="H136" s="38" t="str">
        <f ca="1">IF(COUNTIF($AJ$2:AJ1121,A136)=1,VLOOKUP(A136,AB:AC,2), IF(COUNTIF($AJ$2:AJ1121,A136)=0,$C$9,""))</f>
        <v/>
      </c>
      <c r="I136" s="2" t="str">
        <f ca="1">IF(ISERROR(B136-2),"",(H136-$H$14)/100*$C$5)</f>
        <v/>
      </c>
      <c r="J136" s="41" t="str">
        <f ca="1">IF(ISERROR(B136-2),"",(INT(A136)-INT($A$14))/360*$C$6*$C$5-(INT(A136)-INT($A$14))/360*$C$7*$C$5*$H$14/100)</f>
        <v/>
      </c>
      <c r="K136" s="38" t="str">
        <f ca="1">IF(COUNTIF($AJ$2:AJ1121,A136)=1,VLOOKUP(A136,AM:AN,2), IF(COUNTIF($AJ$2:AJ1121,A136)=0,$D$10,""))</f>
        <v/>
      </c>
      <c r="L136" s="41" t="str">
        <f ca="1">IF(ISERROR(K136-2),"",(K136/$K$14-1)*$D$5)</f>
        <v/>
      </c>
      <c r="M136" s="41" t="str">
        <f ca="1">IF($A136="","",IF(COUNTIFS(Dividends!$G:$G,"&gt;"&amp;INT($A135),Dividends!$G:$G,"&lt;="&amp;INT($A136))=0,"",$Q$2*SUMIFS(Dividends!$H:$H,Dividends!$G:$G,"&gt;"&amp;INT($A135),Dividends!$G:$G,"&lt;="&amp;INT($A136))))</f>
        <v/>
      </c>
      <c r="N136" s="42" t="str">
        <f ca="1">IF(ISERROR(B136-2),"",C136+D136-I136-J136-L136+SUM($M$14:M136))</f>
        <v/>
      </c>
      <c r="O136" s="80" t="str">
        <f t="shared" ca="1" si="11"/>
        <v/>
      </c>
      <c r="P136" s="80"/>
      <c r="Q136" s="87"/>
      <c r="R136" s="87"/>
      <c r="S136" s="87"/>
      <c r="T136" s="108"/>
      <c r="U136" s="87"/>
      <c r="V136" s="108"/>
      <c r="W136" s="87"/>
      <c r="X136" s="87"/>
      <c r="AH136" s="3" t="str">
        <f>IF(COUNTIF(AB:AB,Z136)*COUNTIF(AD:AD,Z136)*COUNTIF(AF:AF,Z136),Z136,"")</f>
        <v/>
      </c>
      <c r="AI136" s="3" t="str">
        <f t="shared" si="12"/>
        <v/>
      </c>
      <c r="AM136" s="3">
        <v>45968</v>
      </c>
      <c r="AN136" s="4">
        <v>244.27430000000001</v>
      </c>
      <c r="AO136" s="74">
        <v>45968</v>
      </c>
      <c r="AP136" s="4">
        <v>272.18799999999999</v>
      </c>
      <c r="AQ136" s="6">
        <f t="shared" si="13"/>
        <v>45968</v>
      </c>
    </row>
    <row r="137" spans="1:43" x14ac:dyDescent="0.25">
      <c r="A137" s="37" t="str">
        <f ca="1">IF(AND(ISBLANK(AJ126), A136 = $AJ$1),NOW(),IF(ISBLANK(AJ126),"",AJ126))</f>
        <v/>
      </c>
      <c r="B137" s="38" t="str">
        <f ca="1">IF(COUNTIF($AJ$2:AJ1122,A137)=1,VLOOKUP(A137,Z:AA,2), IF(COUNTIF($AJ$2:AJ1122,A137)=0,$B$9,""))</f>
        <v/>
      </c>
      <c r="C137" s="2" t="str">
        <f t="shared" ca="1" si="8"/>
        <v/>
      </c>
      <c r="D137" s="41" t="str">
        <f t="shared" ca="1" si="9"/>
        <v/>
      </c>
      <c r="E137" s="78" t="str">
        <f ca="1">IF(COUNTIF($AJ$2:AJ1122,A137)=1,VLOOKUP(A137,AF:AG,2), IF(COUNTIF($AJ$2:AJ1122,A137)=0,$E$9,""))</f>
        <v/>
      </c>
      <c r="F137" s="91" t="str">
        <f ca="1">IF(COUNTIF($AJ$2:AJ1122,A137)=1,VLOOKUP(A137,AF:AG,2), IF(COUNTIF($AJ$2:AJ1122,A137)=0,$E$9,""))</f>
        <v/>
      </c>
      <c r="G137" s="93" t="str">
        <f t="shared" ca="1" si="10"/>
        <v/>
      </c>
      <c r="H137" s="38" t="str">
        <f ca="1">IF(COUNTIF($AJ$2:AJ1122,A137)=1,VLOOKUP(A137,AB:AC,2), IF(COUNTIF($AJ$2:AJ1122,A137)=0,$C$9,""))</f>
        <v/>
      </c>
      <c r="I137" s="2" t="str">
        <f ca="1">IF(ISERROR(B137-2),"",(H137-$H$14)/100*$C$5)</f>
        <v/>
      </c>
      <c r="J137" s="41" t="str">
        <f ca="1">IF(ISERROR(B137-2),"",(INT(A137)-INT($A$14))/360*$C$6*$C$5-(INT(A137)-INT($A$14))/360*$C$7*$C$5*$H$14/100)</f>
        <v/>
      </c>
      <c r="K137" s="38" t="str">
        <f ca="1">IF(COUNTIF($AJ$2:AJ1122,A137)=1,VLOOKUP(A137,AM:AN,2), IF(COUNTIF($AJ$2:AJ1122,A137)=0,$D$10,""))</f>
        <v/>
      </c>
      <c r="L137" s="41" t="str">
        <f ca="1">IF(ISERROR(K137-2),"",(K137/$K$14-1)*$D$5)</f>
        <v/>
      </c>
      <c r="M137" s="41" t="str">
        <f ca="1">IF($A137="","",IF(COUNTIFS(Dividends!$G:$G,"&gt;"&amp;INT($A136),Dividends!$G:$G,"&lt;="&amp;INT($A137))=0,"",$Q$2*SUMIFS(Dividends!$H:$H,Dividends!$G:$G,"&gt;"&amp;INT($A136),Dividends!$G:$G,"&lt;="&amp;INT($A137))))</f>
        <v/>
      </c>
      <c r="N137" s="42" t="str">
        <f ca="1">IF(ISERROR(B137-2),"",C137+D137-I137-J137-L137+SUM($M$14:M137))</f>
        <v/>
      </c>
      <c r="O137" s="80" t="str">
        <f t="shared" ca="1" si="11"/>
        <v/>
      </c>
      <c r="P137" s="80"/>
      <c r="Q137" s="87"/>
      <c r="R137" s="87"/>
      <c r="S137" s="87"/>
      <c r="T137" s="108"/>
      <c r="U137" s="87"/>
      <c r="V137" s="108"/>
      <c r="W137" s="87"/>
      <c r="X137" s="87"/>
      <c r="AH137" s="3" t="str">
        <f>IF(COUNTIF(AB:AB,Z137)*COUNTIF(AD:AD,Z137)*COUNTIF(AF:AF,Z137),Z137,"")</f>
        <v/>
      </c>
      <c r="AI137" s="3" t="str">
        <f t="shared" si="12"/>
        <v/>
      </c>
      <c r="AM137" s="3">
        <v>45971</v>
      </c>
      <c r="AN137" s="4">
        <v>245.4716</v>
      </c>
      <c r="AO137" s="74">
        <v>45971</v>
      </c>
      <c r="AP137" s="4">
        <v>261.46800000000002</v>
      </c>
      <c r="AQ137" s="6">
        <f t="shared" si="13"/>
        <v>45971</v>
      </c>
    </row>
    <row r="138" spans="1:43" x14ac:dyDescent="0.25">
      <c r="A138" s="37" t="str">
        <f ca="1">IF(AND(ISBLANK(AJ127), A137 = $AJ$1),NOW(),IF(ISBLANK(AJ127),"",AJ127))</f>
        <v/>
      </c>
      <c r="B138" s="38" t="str">
        <f ca="1">IF(COUNTIF($AJ$2:AJ1123,A138)=1,VLOOKUP(A138,Z:AA,2), IF(COUNTIF($AJ$2:AJ1123,A138)=0,$B$9,""))</f>
        <v/>
      </c>
      <c r="C138" s="2" t="str">
        <f t="shared" ca="1" si="8"/>
        <v/>
      </c>
      <c r="D138" s="41" t="str">
        <f t="shared" ca="1" si="9"/>
        <v/>
      </c>
      <c r="E138" s="78" t="str">
        <f ca="1">IF(COUNTIF($AJ$2:AJ1123,A138)=1,VLOOKUP(A138,AF:AG,2), IF(COUNTIF($AJ$2:AJ1123,A138)=0,$E$9,""))</f>
        <v/>
      </c>
      <c r="F138" s="91" t="str">
        <f ca="1">IF(COUNTIF($AJ$2:AJ1123,A138)=1,VLOOKUP(A138,AF:AG,2), IF(COUNTIF($AJ$2:AJ1123,A138)=0,$E$9,""))</f>
        <v/>
      </c>
      <c r="G138" s="93" t="str">
        <f t="shared" ca="1" si="10"/>
        <v/>
      </c>
      <c r="H138" s="38" t="str">
        <f ca="1">IF(COUNTIF($AJ$2:AJ1123,A138)=1,VLOOKUP(A138,AB:AC,2), IF(COUNTIF($AJ$2:AJ1123,A138)=0,$C$9,""))</f>
        <v/>
      </c>
      <c r="I138" s="2" t="str">
        <f ca="1">IF(ISERROR(B138-2),"",(H138-$H$14)/100*$C$5)</f>
        <v/>
      </c>
      <c r="J138" s="41" t="str">
        <f ca="1">IF(ISERROR(B138-2),"",(INT(A138)-INT($A$14))/360*$C$6*$C$5-(INT(A138)-INT($A$14))/360*$C$7*$C$5*$H$14/100)</f>
        <v/>
      </c>
      <c r="K138" s="38" t="str">
        <f ca="1">IF(COUNTIF($AJ$2:AJ1123,A138)=1,VLOOKUP(A138,AM:AN,2), IF(COUNTIF($AJ$2:AJ1123,A138)=0,$D$10,""))</f>
        <v/>
      </c>
      <c r="L138" s="41" t="str">
        <f ca="1">IF(ISERROR(K138-2),"",(K138/$K$14-1)*$D$5)</f>
        <v/>
      </c>
      <c r="M138" s="41" t="str">
        <f ca="1">IF($A138="","",IF(COUNTIFS(Dividends!$G:$G,"&gt;"&amp;INT($A137),Dividends!$G:$G,"&lt;="&amp;INT($A138))=0,"",$Q$2*SUMIFS(Dividends!$H:$H,Dividends!$G:$G,"&gt;"&amp;INT($A137),Dividends!$G:$G,"&lt;="&amp;INT($A138))))</f>
        <v/>
      </c>
      <c r="N138" s="42" t="str">
        <f ca="1">IF(ISERROR(B138-2),"",C138+D138-I138-J138-L138+SUM($M$14:M138))</f>
        <v/>
      </c>
      <c r="O138" s="80" t="str">
        <f t="shared" ca="1" si="11"/>
        <v/>
      </c>
      <c r="P138" s="80"/>
      <c r="Q138" s="87"/>
      <c r="R138" s="87"/>
      <c r="S138" s="87"/>
      <c r="T138" s="108"/>
      <c r="U138" s="87"/>
      <c r="V138" s="108"/>
      <c r="W138" s="87"/>
      <c r="X138" s="87"/>
      <c r="AH138" s="3" t="str">
        <f>IF(COUNTIF(AB:AB,Z138)*COUNTIF(AD:AD,Z138)*COUNTIF(AF:AF,Z138),Z138,"")</f>
        <v/>
      </c>
      <c r="AI138" s="3" t="str">
        <f t="shared" si="12"/>
        <v/>
      </c>
      <c r="AM138" s="3">
        <v>45972</v>
      </c>
      <c r="AN138" s="4">
        <v>245.6224</v>
      </c>
      <c r="AO138" s="74">
        <v>45972</v>
      </c>
      <c r="AP138" s="4">
        <v>260.42200000000003</v>
      </c>
      <c r="AQ138" s="6">
        <f t="shared" si="13"/>
        <v>45972</v>
      </c>
    </row>
    <row r="139" spans="1:43" x14ac:dyDescent="0.25">
      <c r="A139" s="37" t="str">
        <f ca="1">IF(AND(ISBLANK(AJ128), A138 = $AJ$1),NOW(),IF(ISBLANK(AJ128),"",AJ128))</f>
        <v/>
      </c>
      <c r="B139" s="38" t="str">
        <f ca="1">IF(COUNTIF($AJ$2:AJ1124,A139)=1,VLOOKUP(A139,Z:AA,2), IF(COUNTIF($AJ$2:AJ1124,A139)=0,$B$9,""))</f>
        <v/>
      </c>
      <c r="C139" s="2" t="str">
        <f t="shared" ca="1" si="8"/>
        <v/>
      </c>
      <c r="D139" s="41" t="str">
        <f t="shared" ca="1" si="9"/>
        <v/>
      </c>
      <c r="E139" s="78" t="str">
        <f ca="1">IF(COUNTIF($AJ$2:AJ1124,A139)=1,VLOOKUP(A139,AF:AG,2), IF(COUNTIF($AJ$2:AJ1124,A139)=0,$E$9,""))</f>
        <v/>
      </c>
      <c r="F139" s="91" t="str">
        <f ca="1">IF(COUNTIF($AJ$2:AJ1124,A139)=1,VLOOKUP(A139,AF:AG,2), IF(COUNTIF($AJ$2:AJ1124,A139)=0,$E$9,""))</f>
        <v/>
      </c>
      <c r="G139" s="93" t="str">
        <f t="shared" ca="1" si="10"/>
        <v/>
      </c>
      <c r="H139" s="38" t="str">
        <f ca="1">IF(COUNTIF($AJ$2:AJ1124,A139)=1,VLOOKUP(A139,AB:AC,2), IF(COUNTIF($AJ$2:AJ1124,A139)=0,$C$9,""))</f>
        <v/>
      </c>
      <c r="I139" s="2" t="str">
        <f ca="1">IF(ISERROR(B139-2),"",(H139-$H$14)/100*$C$5)</f>
        <v/>
      </c>
      <c r="J139" s="41" t="str">
        <f ca="1">IF(ISERROR(B139-2),"",(INT(A139)-INT($A$14))/360*$C$6*$C$5-(INT(A139)-INT($A$14))/360*$C$7*$C$5*$H$14/100)</f>
        <v/>
      </c>
      <c r="K139" s="38" t="str">
        <f ca="1">IF(COUNTIF($AJ$2:AJ1124,A139)=1,VLOOKUP(A139,AM:AN,2), IF(COUNTIF($AJ$2:AJ1124,A139)=0,$D$10,""))</f>
        <v/>
      </c>
      <c r="L139" s="41" t="str">
        <f ca="1">IF(ISERROR(K139-2),"",(K139/$K$14-1)*$D$5)</f>
        <v/>
      </c>
      <c r="M139" s="41" t="str">
        <f ca="1">IF($A139="","",IF(COUNTIFS(Dividends!$G:$G,"&gt;"&amp;INT($A138),Dividends!$G:$G,"&lt;="&amp;INT($A139))=0,"",$Q$2*SUMIFS(Dividends!$H:$H,Dividends!$G:$G,"&gt;"&amp;INT($A138),Dividends!$G:$G,"&lt;="&amp;INT($A139))))</f>
        <v/>
      </c>
      <c r="N139" s="42" t="str">
        <f ca="1">IF(ISERROR(B139-2),"",C139+D139-I139-J139-L139+SUM($M$14:M139))</f>
        <v/>
      </c>
      <c r="O139" s="80" t="str">
        <f t="shared" ca="1" si="11"/>
        <v/>
      </c>
      <c r="P139" s="80"/>
      <c r="Q139" s="87"/>
      <c r="R139" s="87"/>
      <c r="S139" s="87"/>
      <c r="T139" s="108"/>
      <c r="U139" s="87"/>
      <c r="V139" s="108"/>
      <c r="W139" s="87"/>
      <c r="X139" s="87"/>
      <c r="AH139" s="3" t="str">
        <f>IF(COUNTIF(AB:AB,Z139)*COUNTIF(AD:AD,Z139)*COUNTIF(AF:AF,Z139),Z139,"")</f>
        <v/>
      </c>
      <c r="AI139" s="3" t="str">
        <f t="shared" si="12"/>
        <v/>
      </c>
      <c r="AM139" s="3">
        <v>45973</v>
      </c>
      <c r="AN139" s="4">
        <v>245.78739999999999</v>
      </c>
      <c r="AO139" s="74">
        <v>45973</v>
      </c>
      <c r="AP139" s="4">
        <v>259.49700000000001</v>
      </c>
      <c r="AQ139" s="6">
        <f t="shared" si="13"/>
        <v>45973</v>
      </c>
    </row>
    <row r="140" spans="1:43" x14ac:dyDescent="0.25">
      <c r="A140" s="37" t="str">
        <f ca="1">IF(AND(ISBLANK(AJ129), A139 = $AJ$1),NOW(),IF(ISBLANK(AJ129),"",AJ129))</f>
        <v/>
      </c>
      <c r="B140" s="38" t="str">
        <f ca="1">IF(COUNTIF($AJ$2:AJ1125,A140)=1,VLOOKUP(A140,Z:AA,2), IF(COUNTIF($AJ$2:AJ1125,A140)=0,$B$9,""))</f>
        <v/>
      </c>
      <c r="C140" s="2" t="str">
        <f t="shared" ca="1" si="8"/>
        <v/>
      </c>
      <c r="D140" s="41" t="str">
        <f t="shared" ca="1" si="9"/>
        <v/>
      </c>
      <c r="E140" s="78" t="str">
        <f ca="1">IF(COUNTIF($AJ$2:AJ1125,A140)=1,VLOOKUP(A140,AF:AG,2), IF(COUNTIF($AJ$2:AJ1125,A140)=0,$E$9,""))</f>
        <v/>
      </c>
      <c r="F140" s="91" t="str">
        <f ca="1">IF(COUNTIF($AJ$2:AJ1125,A140)=1,VLOOKUP(A140,AF:AG,2), IF(COUNTIF($AJ$2:AJ1125,A140)=0,$E$9,""))</f>
        <v/>
      </c>
      <c r="G140" s="93" t="str">
        <f t="shared" ca="1" si="10"/>
        <v/>
      </c>
      <c r="H140" s="38" t="str">
        <f ca="1">IF(COUNTIF($AJ$2:AJ1125,A140)=1,VLOOKUP(A140,AB:AC,2), IF(COUNTIF($AJ$2:AJ1125,A140)=0,$C$9,""))</f>
        <v/>
      </c>
      <c r="I140" s="2" t="str">
        <f ca="1">IF(ISERROR(B140-2),"",(H140-$H$14)/100*$C$5)</f>
        <v/>
      </c>
      <c r="J140" s="41" t="str">
        <f ca="1">IF(ISERROR(B140-2),"",(INT(A140)-INT($A$14))/360*$C$6*$C$5-(INT(A140)-INT($A$14))/360*$C$7*$C$5*$H$14/100)</f>
        <v/>
      </c>
      <c r="K140" s="38" t="str">
        <f ca="1">IF(COUNTIF($AJ$2:AJ1125,A140)=1,VLOOKUP(A140,AM:AN,2), IF(COUNTIF($AJ$2:AJ1125,A140)=0,$D$10,""))</f>
        <v/>
      </c>
      <c r="L140" s="41" t="str">
        <f ca="1">IF(ISERROR(K140-2),"",(K140/$K$14-1)*$D$5)</f>
        <v/>
      </c>
      <c r="M140" s="41" t="str">
        <f ca="1">IF($A140="","",IF(COUNTIFS(Dividends!$G:$G,"&gt;"&amp;INT($A139),Dividends!$G:$G,"&lt;="&amp;INT($A140))=0,"",$Q$2*SUMIFS(Dividends!$H:$H,Dividends!$G:$G,"&gt;"&amp;INT($A139),Dividends!$G:$G,"&lt;="&amp;INT($A140))))</f>
        <v/>
      </c>
      <c r="N140" s="42" t="str">
        <f ca="1">IF(ISERROR(B140-2),"",C140+D140-I140-J140-L140+SUM($M$14:M140))</f>
        <v/>
      </c>
      <c r="O140" s="80" t="str">
        <f t="shared" ca="1" si="11"/>
        <v/>
      </c>
      <c r="P140" s="80"/>
      <c r="Q140" s="87"/>
      <c r="R140" s="87"/>
      <c r="S140" s="87"/>
      <c r="T140" s="108"/>
      <c r="U140" s="87"/>
      <c r="V140" s="108"/>
      <c r="W140" s="87"/>
      <c r="X140" s="87"/>
      <c r="AH140" s="3" t="str">
        <f>IF(COUNTIF(AB:AB,Z140)*COUNTIF(AD:AD,Z140)*COUNTIF(AF:AF,Z140),Z140,"")</f>
        <v/>
      </c>
      <c r="AI140" s="3" t="str">
        <f t="shared" si="12"/>
        <v/>
      </c>
      <c r="AM140" s="3">
        <v>45974</v>
      </c>
      <c r="AN140" s="4">
        <v>245.34219999999999</v>
      </c>
      <c r="AO140" s="74">
        <v>45974</v>
      </c>
      <c r="AP140" s="4">
        <v>263.71800000000002</v>
      </c>
      <c r="AQ140" s="6">
        <f t="shared" si="13"/>
        <v>45974</v>
      </c>
    </row>
    <row r="141" spans="1:43" x14ac:dyDescent="0.25">
      <c r="A141" s="37" t="str">
        <f ca="1">IF(AND(ISBLANK(AJ130), A140 = $AJ$1),NOW(),IF(ISBLANK(AJ130),"",AJ130))</f>
        <v/>
      </c>
      <c r="B141" s="38" t="str">
        <f ca="1">IF(COUNTIF($AJ$2:AJ1126,A141)=1,VLOOKUP(A141,Z:AA,2), IF(COUNTIF($AJ$2:AJ1126,A141)=0,$B$9,""))</f>
        <v/>
      </c>
      <c r="C141" s="2" t="str">
        <f t="shared" ca="1" si="8"/>
        <v/>
      </c>
      <c r="D141" s="41" t="str">
        <f t="shared" ca="1" si="9"/>
        <v/>
      </c>
      <c r="E141" s="78" t="str">
        <f ca="1">IF(COUNTIF($AJ$2:AJ1126,A141)=1,VLOOKUP(A141,AF:AG,2), IF(COUNTIF($AJ$2:AJ1126,A141)=0,$E$9,""))</f>
        <v/>
      </c>
      <c r="F141" s="91" t="str">
        <f ca="1">IF(COUNTIF($AJ$2:AJ1126,A141)=1,VLOOKUP(A141,AF:AG,2), IF(COUNTIF($AJ$2:AJ1126,A141)=0,$E$9,""))</f>
        <v/>
      </c>
      <c r="G141" s="93" t="str">
        <f t="shared" ca="1" si="10"/>
        <v/>
      </c>
      <c r="H141" s="38" t="str">
        <f ca="1">IF(COUNTIF($AJ$2:AJ1126,A141)=1,VLOOKUP(A141,AB:AC,2), IF(COUNTIF($AJ$2:AJ1126,A141)=0,$C$9,""))</f>
        <v/>
      </c>
      <c r="I141" s="2" t="str">
        <f ca="1">IF(ISERROR(B141-2),"",(H141-$H$14)/100*$C$5)</f>
        <v/>
      </c>
      <c r="J141" s="41" t="str">
        <f ca="1">IF(ISERROR(B141-2),"",(INT(A141)-INT($A$14))/360*$C$6*$C$5-(INT(A141)-INT($A$14))/360*$C$7*$C$5*$H$14/100)</f>
        <v/>
      </c>
      <c r="K141" s="38" t="str">
        <f ca="1">IF(COUNTIF($AJ$2:AJ1126,A141)=1,VLOOKUP(A141,AM:AN,2), IF(COUNTIF($AJ$2:AJ1126,A141)=0,$D$10,""))</f>
        <v/>
      </c>
      <c r="L141" s="41" t="str">
        <f ca="1">IF(ISERROR(K141-2),"",(K141/$K$14-1)*$D$5)</f>
        <v/>
      </c>
      <c r="M141" s="41" t="str">
        <f ca="1">IF($A141="","",IF(COUNTIFS(Dividends!$G:$G,"&gt;"&amp;INT($A140),Dividends!$G:$G,"&lt;="&amp;INT($A141))=0,"",$Q$2*SUMIFS(Dividends!$H:$H,Dividends!$G:$G,"&gt;"&amp;INT($A140),Dividends!$G:$G,"&lt;="&amp;INT($A141))))</f>
        <v/>
      </c>
      <c r="N141" s="42" t="str">
        <f ca="1">IF(ISERROR(B141-2),"",C141+D141-I141-J141-L141+SUM($M$14:M141))</f>
        <v/>
      </c>
      <c r="O141" s="80" t="str">
        <f t="shared" ca="1" si="11"/>
        <v/>
      </c>
      <c r="P141" s="80"/>
      <c r="Q141" s="87"/>
      <c r="R141" s="87"/>
      <c r="S141" s="87"/>
      <c r="T141" s="108"/>
      <c r="U141" s="87"/>
      <c r="V141" s="108"/>
      <c r="W141" s="87"/>
      <c r="X141" s="87"/>
      <c r="AH141" s="3" t="str">
        <f>IF(COUNTIF(AB:AB,Z141)*COUNTIF(AD:AD,Z141)*COUNTIF(AF:AF,Z141),Z141,"")</f>
        <v/>
      </c>
      <c r="AI141" s="3" t="str">
        <f t="shared" si="12"/>
        <v/>
      </c>
      <c r="AM141" s="3">
        <v>45975</v>
      </c>
      <c r="AN141" s="4">
        <v>245.24520000000001</v>
      </c>
      <c r="AO141" s="74">
        <v>45975</v>
      </c>
      <c r="AP141" s="4">
        <v>263.74200000000002</v>
      </c>
      <c r="AQ141" s="6">
        <f t="shared" si="13"/>
        <v>45975</v>
      </c>
    </row>
    <row r="142" spans="1:43" x14ac:dyDescent="0.25">
      <c r="A142" s="37" t="str">
        <f ca="1">IF(AND(ISBLANK(AJ131), A141 = $AJ$1),NOW(),IF(ISBLANK(AJ131),"",AJ131))</f>
        <v/>
      </c>
      <c r="B142" s="38" t="str">
        <f ca="1">IF(COUNTIF($AJ$2:AJ1127,A142)=1,VLOOKUP(A142,Z:AA,2), IF(COUNTIF($AJ$2:AJ1127,A142)=0,$B$9,""))</f>
        <v/>
      </c>
      <c r="C142" s="2" t="str">
        <f t="shared" ca="1" si="8"/>
        <v/>
      </c>
      <c r="D142" s="41" t="str">
        <f t="shared" ca="1" si="9"/>
        <v/>
      </c>
      <c r="E142" s="78" t="str">
        <f ca="1">IF(COUNTIF($AJ$2:AJ1127,A142)=1,VLOOKUP(A142,AF:AG,2), IF(COUNTIF($AJ$2:AJ1127,A142)=0,$E$9,""))</f>
        <v/>
      </c>
      <c r="F142" s="91" t="str">
        <f ca="1">IF(COUNTIF($AJ$2:AJ1127,A142)=1,VLOOKUP(A142,AF:AG,2), IF(COUNTIF($AJ$2:AJ1127,A142)=0,$E$9,""))</f>
        <v/>
      </c>
      <c r="G142" s="93" t="str">
        <f t="shared" ca="1" si="10"/>
        <v/>
      </c>
      <c r="H142" s="38" t="str">
        <f ca="1">IF(COUNTIF($AJ$2:AJ1127,A142)=1,VLOOKUP(A142,AB:AC,2), IF(COUNTIF($AJ$2:AJ1127,A142)=0,$C$9,""))</f>
        <v/>
      </c>
      <c r="I142" s="2" t="str">
        <f ca="1">IF(ISERROR(B142-2),"",(H142-$H$14)/100*$C$5)</f>
        <v/>
      </c>
      <c r="J142" s="41" t="str">
        <f ca="1">IF(ISERROR(B142-2),"",(INT(A142)-INT($A$14))/360*$C$6*$C$5-(INT(A142)-INT($A$14))/360*$C$7*$C$5*$H$14/100)</f>
        <v/>
      </c>
      <c r="K142" s="38" t="str">
        <f ca="1">IF(COUNTIF($AJ$2:AJ1127,A142)=1,VLOOKUP(A142,AM:AN,2), IF(COUNTIF($AJ$2:AJ1127,A142)=0,$D$10,""))</f>
        <v/>
      </c>
      <c r="L142" s="41" t="str">
        <f ca="1">IF(ISERROR(K142-2),"",(K142/$K$14-1)*$D$5)</f>
        <v/>
      </c>
      <c r="M142" s="41" t="str">
        <f ca="1">IF($A142="","",IF(COUNTIFS(Dividends!$G:$G,"&gt;"&amp;INT($A141),Dividends!$G:$G,"&lt;="&amp;INT($A142))=0,"",$Q$2*SUMIFS(Dividends!$H:$H,Dividends!$G:$G,"&gt;"&amp;INT($A141),Dividends!$G:$G,"&lt;="&amp;INT($A142))))</f>
        <v/>
      </c>
      <c r="N142" s="42" t="str">
        <f ca="1">IF(ISERROR(B142-2),"",C142+D142-I142-J142-L142+SUM($M$14:M142))</f>
        <v/>
      </c>
      <c r="O142" s="80" t="str">
        <f t="shared" ca="1" si="11"/>
        <v/>
      </c>
      <c r="P142" s="80"/>
      <c r="Q142" s="87"/>
      <c r="R142" s="87"/>
      <c r="S142" s="87"/>
      <c r="T142" s="108"/>
      <c r="U142" s="87"/>
      <c r="V142" s="108"/>
      <c r="W142" s="87"/>
      <c r="X142" s="87"/>
      <c r="AH142" s="3" t="str">
        <f>IF(COUNTIF(AB:AB,Z142)*COUNTIF(AD:AD,Z142)*COUNTIF(AF:AF,Z142),Z142,"")</f>
        <v/>
      </c>
      <c r="AI142" s="3" t="str">
        <f t="shared" si="12"/>
        <v/>
      </c>
      <c r="AM142" s="3">
        <v>45978</v>
      </c>
      <c r="AN142" s="4">
        <v>244.98150000000001</v>
      </c>
      <c r="AO142" s="74">
        <v>45978</v>
      </c>
      <c r="AP142" s="4">
        <v>266.43900000000002</v>
      </c>
      <c r="AQ142" s="6">
        <f t="shared" si="13"/>
        <v>45978</v>
      </c>
    </row>
    <row r="143" spans="1:43" x14ac:dyDescent="0.25">
      <c r="A143" s="37" t="str">
        <f ca="1">IF(AND(ISBLANK(AJ132), A142 = $AJ$1),NOW(),IF(ISBLANK(AJ132),"",AJ132))</f>
        <v/>
      </c>
      <c r="B143" s="38" t="str">
        <f ca="1">IF(COUNTIF($AJ$2:AJ1128,A143)=1,VLOOKUP(A143,Z:AA,2), IF(COUNTIF($AJ$2:AJ1128,A143)=0,$B$9,""))</f>
        <v/>
      </c>
      <c r="C143" s="2" t="str">
        <f t="shared" ca="1" si="8"/>
        <v/>
      </c>
      <c r="D143" s="41" t="str">
        <f t="shared" ca="1" si="9"/>
        <v/>
      </c>
      <c r="E143" s="78" t="str">
        <f ca="1">IF(COUNTIF($AJ$2:AJ1128,A143)=1,VLOOKUP(A143,AF:AG,2), IF(COUNTIF($AJ$2:AJ1128,A143)=0,$E$9,""))</f>
        <v/>
      </c>
      <c r="F143" s="91" t="str">
        <f ca="1">IF(COUNTIF($AJ$2:AJ1128,A143)=1,VLOOKUP(A143,AF:AG,2), IF(COUNTIF($AJ$2:AJ1128,A143)=0,$E$9,""))</f>
        <v/>
      </c>
      <c r="G143" s="93" t="str">
        <f t="shared" ca="1" si="10"/>
        <v/>
      </c>
      <c r="H143" s="38" t="str">
        <f ca="1">IF(COUNTIF($AJ$2:AJ1128,A143)=1,VLOOKUP(A143,AB:AC,2), IF(COUNTIF($AJ$2:AJ1128,A143)=0,$C$9,""))</f>
        <v/>
      </c>
      <c r="I143" s="2" t="str">
        <f ca="1">IF(ISERROR(B143-2),"",(H143-$H$14)/100*$C$5)</f>
        <v/>
      </c>
      <c r="J143" s="41" t="str">
        <f ca="1">IF(ISERROR(B143-2),"",(INT(A143)-INT($A$14))/360*$C$6*$C$5-(INT(A143)-INT($A$14))/360*$C$7*$C$5*$H$14/100)</f>
        <v/>
      </c>
      <c r="K143" s="38" t="str">
        <f ca="1">IF(COUNTIF($AJ$2:AJ1128,A143)=1,VLOOKUP(A143,AM:AN,2), IF(COUNTIF($AJ$2:AJ1128,A143)=0,$D$10,""))</f>
        <v/>
      </c>
      <c r="L143" s="41" t="str">
        <f ca="1">IF(ISERROR(K143-2),"",(K143/$K$14-1)*$D$5)</f>
        <v/>
      </c>
      <c r="M143" s="41" t="str">
        <f ca="1">IF($A143="","",IF(COUNTIFS(Dividends!$G:$G,"&gt;"&amp;INT($A142),Dividends!$G:$G,"&lt;="&amp;INT($A143))=0,"",$Q$2*SUMIFS(Dividends!$H:$H,Dividends!$G:$G,"&gt;"&amp;INT($A142),Dividends!$G:$G,"&lt;="&amp;INT($A143))))</f>
        <v/>
      </c>
      <c r="N143" s="42" t="str">
        <f ca="1">IF(ISERROR(B143-2),"",C143+D143-I143-J143-L143+SUM($M$14:M143))</f>
        <v/>
      </c>
      <c r="O143" s="80" t="str">
        <f t="shared" ca="1" si="11"/>
        <v/>
      </c>
      <c r="P143" s="80"/>
      <c r="Q143" s="87"/>
      <c r="R143" s="87"/>
      <c r="S143" s="87"/>
      <c r="T143" s="108"/>
      <c r="U143" s="87"/>
      <c r="V143" s="108"/>
      <c r="W143" s="87"/>
      <c r="X143" s="87"/>
      <c r="AH143" s="3" t="str">
        <f>IF(COUNTIF(AB:AB,Z143)*COUNTIF(AD:AD,Z143)*COUNTIF(AF:AF,Z143),Z143,"")</f>
        <v/>
      </c>
      <c r="AI143" s="3" t="str">
        <f t="shared" si="12"/>
        <v/>
      </c>
      <c r="AM143" s="3">
        <v>45979</v>
      </c>
      <c r="AN143" s="4">
        <v>244.39429999999999</v>
      </c>
      <c r="AO143" s="74">
        <v>45979</v>
      </c>
      <c r="AP143" s="4">
        <v>272.28399999999999</v>
      </c>
      <c r="AQ143" s="6">
        <f t="shared" si="13"/>
        <v>45979</v>
      </c>
    </row>
    <row r="144" spans="1:43" x14ac:dyDescent="0.25">
      <c r="A144" s="37" t="str">
        <f ca="1">IF(AND(ISBLANK(AJ133), A143 = $AJ$1),NOW(),IF(ISBLANK(AJ133),"",AJ133))</f>
        <v/>
      </c>
      <c r="B144" s="38" t="str">
        <f ca="1">IF(COUNTIF($AJ$2:AJ1129,A144)=1,VLOOKUP(A144,Z:AA,2), IF(COUNTIF($AJ$2:AJ1129,A144)=0,$B$9,""))</f>
        <v/>
      </c>
      <c r="C144" s="2" t="str">
        <f t="shared" ref="C144:C204" ca="1" si="14">IF(ISERROR(B144-2),"",(B144/$B$14-1)*$B$5)</f>
        <v/>
      </c>
      <c r="D144" s="41" t="str">
        <f t="shared" ref="D144:D204" ca="1" si="15">IF(ISERROR(B144-2),"",-1*(INT(A144)-INT($A$14))/360*$B$7*$B$5)</f>
        <v/>
      </c>
      <c r="E144" s="78" t="str">
        <f ca="1">IF(COUNTIF($AJ$2:AJ1129,A144)=1,VLOOKUP(A144,AF:AG,2), IF(COUNTIF($AJ$2:AJ1129,A144)=0,$E$9,""))</f>
        <v/>
      </c>
      <c r="F144" s="91" t="str">
        <f ca="1">IF(COUNTIF($AJ$2:AJ1129,A144)=1,VLOOKUP(A144,AF:AG,2), IF(COUNTIF($AJ$2:AJ1129,A144)=0,$E$9,""))</f>
        <v/>
      </c>
      <c r="G144" s="93" t="str">
        <f t="shared" ref="G144:G204" ca="1" si="16">IF(ISERROR(B144-2),"",(E144-$E$14)*$H$3*$J$3)</f>
        <v/>
      </c>
      <c r="H144" s="38" t="str">
        <f ca="1">IF(COUNTIF($AJ$2:AJ1129,A144)=1,VLOOKUP(A144,AB:AC,2), IF(COUNTIF($AJ$2:AJ1129,A144)=0,$C$9,""))</f>
        <v/>
      </c>
      <c r="I144" s="2" t="str">
        <f ca="1">IF(ISERROR(B144-2),"",(H144-$H$14)/100*$C$5)</f>
        <v/>
      </c>
      <c r="J144" s="41" t="str">
        <f ca="1">IF(ISERROR(B144-2),"",(INT(A144)-INT($A$14))/360*$C$6*$C$5-(INT(A144)-INT($A$14))/360*$C$7*$C$5*$H$14/100)</f>
        <v/>
      </c>
      <c r="K144" s="38" t="str">
        <f ca="1">IF(COUNTIF($AJ$2:AJ1129,A144)=1,VLOOKUP(A144,AM:AN,2), IF(COUNTIF($AJ$2:AJ1129,A144)=0,$D$10,""))</f>
        <v/>
      </c>
      <c r="L144" s="41" t="str">
        <f ca="1">IF(ISERROR(K144-2),"",(K144/$K$14-1)*$D$5)</f>
        <v/>
      </c>
      <c r="M144" s="41" t="str">
        <f ca="1">IF($A144="","",IF(COUNTIFS(Dividends!$G:$G,"&gt;"&amp;INT($A143),Dividends!$G:$G,"&lt;="&amp;INT($A144))=0,"",$Q$2*SUMIFS(Dividends!$H:$H,Dividends!$G:$G,"&gt;"&amp;INT($A143),Dividends!$G:$G,"&lt;="&amp;INT($A144))))</f>
        <v/>
      </c>
      <c r="N144" s="42" t="str">
        <f ca="1">IF(ISERROR(B144-2),"",C144+D144-I144-J144-L144+SUM($M$14:M144))</f>
        <v/>
      </c>
      <c r="O144" s="80" t="str">
        <f t="shared" ref="O144:O204" ca="1" si="17">IF(ISERROR(B144-2),"",G144-I144-J144-L144)</f>
        <v/>
      </c>
      <c r="P144" s="80"/>
      <c r="Q144" s="87"/>
      <c r="R144" s="87"/>
      <c r="S144" s="87"/>
      <c r="T144" s="108"/>
      <c r="U144" s="87"/>
      <c r="V144" s="108"/>
      <c r="W144" s="87"/>
      <c r="X144" s="87"/>
      <c r="AH144" s="3" t="str">
        <f>IF(COUNTIF(AB:AB,Z144)*COUNTIF(AD:AD,Z144)*COUNTIF(AF:AF,Z144),Z144,"")</f>
        <v/>
      </c>
      <c r="AI144" s="3" t="str">
        <f t="shared" si="12"/>
        <v/>
      </c>
      <c r="AM144" s="3">
        <v>45980</v>
      </c>
      <c r="AN144" s="4">
        <v>244.95580000000001</v>
      </c>
      <c r="AO144" s="74">
        <v>45980</v>
      </c>
      <c r="AP144" s="4">
        <v>267.14499999999998</v>
      </c>
      <c r="AQ144" s="6">
        <f t="shared" si="13"/>
        <v>45980</v>
      </c>
    </row>
    <row r="145" spans="1:43" x14ac:dyDescent="0.25">
      <c r="A145" s="37" t="str">
        <f ca="1">IF(AND(ISBLANK(AJ134), A144 = $AJ$1),NOW(),IF(ISBLANK(AJ134),"",AJ134))</f>
        <v/>
      </c>
      <c r="B145" s="38" t="str">
        <f ca="1">IF(COUNTIF($AJ$2:AJ1130,A145)=1,VLOOKUP(A145,Z:AA,2), IF(COUNTIF($AJ$2:AJ1130,A145)=0,$B$9,""))</f>
        <v/>
      </c>
      <c r="C145" s="2" t="str">
        <f t="shared" ca="1" si="14"/>
        <v/>
      </c>
      <c r="D145" s="41" t="str">
        <f t="shared" ca="1" si="15"/>
        <v/>
      </c>
      <c r="E145" s="78" t="str">
        <f ca="1">IF(COUNTIF($AJ$2:AJ1130,A145)=1,VLOOKUP(A145,AF:AG,2), IF(COUNTIF($AJ$2:AJ1130,A145)=0,$E$9,""))</f>
        <v/>
      </c>
      <c r="F145" s="91" t="str">
        <f ca="1">IF(COUNTIF($AJ$2:AJ1130,A145)=1,VLOOKUP(A145,AF:AG,2), IF(COUNTIF($AJ$2:AJ1130,A145)=0,$E$9,""))</f>
        <v/>
      </c>
      <c r="G145" s="93" t="str">
        <f t="shared" ca="1" si="16"/>
        <v/>
      </c>
      <c r="H145" s="38" t="str">
        <f ca="1">IF(COUNTIF($AJ$2:AJ1130,A145)=1,VLOOKUP(A145,AB:AC,2), IF(COUNTIF($AJ$2:AJ1130,A145)=0,$C$9,""))</f>
        <v/>
      </c>
      <c r="I145" s="2" t="str">
        <f ca="1">IF(ISERROR(B145-2),"",(H145-$H$14)/100*$C$5)</f>
        <v/>
      </c>
      <c r="J145" s="41" t="str">
        <f ca="1">IF(ISERROR(B145-2),"",(INT(A145)-INT($A$14))/360*$C$6*$C$5-(INT(A145)-INT($A$14))/360*$C$7*$C$5*$H$14/100)</f>
        <v/>
      </c>
      <c r="K145" s="38" t="str">
        <f ca="1">IF(COUNTIF($AJ$2:AJ1130,A145)=1,VLOOKUP(A145,AM:AN,2), IF(COUNTIF($AJ$2:AJ1130,A145)=0,$D$10,""))</f>
        <v/>
      </c>
      <c r="L145" s="41" t="str">
        <f ca="1">IF(ISERROR(K145-2),"",(K145/$K$14-1)*$D$5)</f>
        <v/>
      </c>
      <c r="M145" s="41" t="str">
        <f ca="1">IF($A145="","",IF(COUNTIFS(Dividends!$G:$G,"&gt;"&amp;INT($A144),Dividends!$G:$G,"&lt;="&amp;INT($A145))=0,"",$Q$2*SUMIFS(Dividends!$H:$H,Dividends!$G:$G,"&gt;"&amp;INT($A144),Dividends!$G:$G,"&lt;="&amp;INT($A145))))</f>
        <v/>
      </c>
      <c r="N145" s="42" t="str">
        <f ca="1">IF(ISERROR(B145-2),"",C145+D145-I145-J145-L145+SUM($M$14:M145))</f>
        <v/>
      </c>
      <c r="O145" s="80" t="str">
        <f t="shared" ca="1" si="17"/>
        <v/>
      </c>
      <c r="P145" s="80"/>
      <c r="Q145" s="87"/>
      <c r="R145" s="87"/>
      <c r="S145" s="87"/>
      <c r="T145" s="108"/>
      <c r="U145" s="87"/>
      <c r="V145" s="108"/>
      <c r="W145" s="87"/>
      <c r="X145" s="87"/>
      <c r="AH145" s="3" t="str">
        <f>IF(COUNTIF(AB:AB,Z145)*COUNTIF(AD:AD,Z145)*COUNTIF(AF:AF,Z145),Z145,"")</f>
        <v/>
      </c>
      <c r="AI145" s="3" t="str">
        <f t="shared" si="12"/>
        <v/>
      </c>
      <c r="AM145" s="3">
        <v>45981</v>
      </c>
      <c r="AN145" s="4">
        <v>245.47790000000001</v>
      </c>
      <c r="AO145" s="74">
        <v>45981</v>
      </c>
      <c r="AP145" s="4">
        <v>265.76900000000001</v>
      </c>
      <c r="AQ145" s="6">
        <f t="shared" si="13"/>
        <v>45981</v>
      </c>
    </row>
    <row r="146" spans="1:43" x14ac:dyDescent="0.25">
      <c r="A146" s="37" t="str">
        <f ca="1">IF(AND(ISBLANK(AJ135), A145 = $AJ$1),NOW(),IF(ISBLANK(AJ135),"",AJ135))</f>
        <v/>
      </c>
      <c r="B146" s="38" t="str">
        <f ca="1">IF(COUNTIF($AJ$2:AJ1131,A146)=1,VLOOKUP(A146,Z:AA,2), IF(COUNTIF($AJ$2:AJ1131,A146)=0,$B$9,""))</f>
        <v/>
      </c>
      <c r="C146" s="2" t="str">
        <f t="shared" ca="1" si="14"/>
        <v/>
      </c>
      <c r="D146" s="41" t="str">
        <f t="shared" ca="1" si="15"/>
        <v/>
      </c>
      <c r="E146" s="78" t="str">
        <f ca="1">IF(COUNTIF($AJ$2:AJ1131,A146)=1,VLOOKUP(A146,AF:AG,2), IF(COUNTIF($AJ$2:AJ1131,A146)=0,$E$9,""))</f>
        <v/>
      </c>
      <c r="F146" s="91" t="str">
        <f ca="1">IF(COUNTIF($AJ$2:AJ1131,A146)=1,VLOOKUP(A146,AF:AG,2), IF(COUNTIF($AJ$2:AJ1131,A146)=0,$E$9,""))</f>
        <v/>
      </c>
      <c r="G146" s="93" t="str">
        <f t="shared" ca="1" si="16"/>
        <v/>
      </c>
      <c r="H146" s="38" t="str">
        <f ca="1">IF(COUNTIF($AJ$2:AJ1131,A146)=1,VLOOKUP(A146,AB:AC,2), IF(COUNTIF($AJ$2:AJ1131,A146)=0,$C$9,""))</f>
        <v/>
      </c>
      <c r="I146" s="2" t="str">
        <f ca="1">IF(ISERROR(B146-2),"",(H146-$H$14)/100*$C$5)</f>
        <v/>
      </c>
      <c r="J146" s="41" t="str">
        <f ca="1">IF(ISERROR(B146-2),"",(INT(A146)-INT($A$14))/360*$C$6*$C$5-(INT(A146)-INT($A$14))/360*$C$7*$C$5*$H$14/100)</f>
        <v/>
      </c>
      <c r="K146" s="38" t="str">
        <f ca="1">IF(COUNTIF($AJ$2:AJ1131,A146)=1,VLOOKUP(A146,AM:AN,2), IF(COUNTIF($AJ$2:AJ1131,A146)=0,$D$10,""))</f>
        <v/>
      </c>
      <c r="L146" s="41" t="str">
        <f ca="1">IF(ISERROR(K146-2),"",(K146/$K$14-1)*$D$5)</f>
        <v/>
      </c>
      <c r="M146" s="41" t="str">
        <f ca="1">IF($A146="","",IF(COUNTIFS(Dividends!$G:$G,"&gt;"&amp;INT($A145),Dividends!$G:$G,"&lt;="&amp;INT($A146))=0,"",$Q$2*SUMIFS(Dividends!$H:$H,Dividends!$G:$G,"&gt;"&amp;INT($A145),Dividends!$G:$G,"&lt;="&amp;INT($A146))))</f>
        <v/>
      </c>
      <c r="N146" s="42" t="str">
        <f ca="1">IF(ISERROR(B146-2),"",C146+D146-I146-J146-L146+SUM($M$14:M146))</f>
        <v/>
      </c>
      <c r="O146" s="80" t="str">
        <f t="shared" ca="1" si="17"/>
        <v/>
      </c>
      <c r="P146" s="80"/>
      <c r="Q146" s="87"/>
      <c r="R146" s="87"/>
      <c r="S146" s="87"/>
      <c r="T146" s="108"/>
      <c r="U146" s="87"/>
      <c r="V146" s="108"/>
      <c r="W146" s="87"/>
      <c r="X146" s="87"/>
      <c r="AH146" s="3" t="str">
        <f>IF(COUNTIF(AB:AB,Z146)*COUNTIF(AD:AD,Z146)*COUNTIF(AF:AF,Z146),Z146,"")</f>
        <v/>
      </c>
      <c r="AI146" s="3" t="str">
        <f t="shared" si="12"/>
        <v/>
      </c>
      <c r="AM146" s="3">
        <v>45982</v>
      </c>
      <c r="AN146" s="4">
        <v>244.55760000000001</v>
      </c>
      <c r="AO146" s="74">
        <v>45982</v>
      </c>
      <c r="AP146" s="4">
        <v>267.34800000000001</v>
      </c>
      <c r="AQ146" s="6">
        <f t="shared" si="13"/>
        <v>45982</v>
      </c>
    </row>
    <row r="147" spans="1:43" x14ac:dyDescent="0.25">
      <c r="A147" s="37" t="str">
        <f ca="1">IF(AND(ISBLANK(AJ136), A146 = $AJ$1),NOW(),IF(ISBLANK(AJ136),"",AJ136))</f>
        <v/>
      </c>
      <c r="B147" s="38" t="str">
        <f ca="1">IF(COUNTIF($AJ$2:AJ1132,A147)=1,VLOOKUP(A147,Z:AA,2), IF(COUNTIF($AJ$2:AJ1132,A147)=0,$B$9,""))</f>
        <v/>
      </c>
      <c r="C147" s="2" t="str">
        <f t="shared" ca="1" si="14"/>
        <v/>
      </c>
      <c r="D147" s="41" t="str">
        <f t="shared" ca="1" si="15"/>
        <v/>
      </c>
      <c r="E147" s="78" t="str">
        <f ca="1">IF(COUNTIF($AJ$2:AJ1132,A147)=1,VLOOKUP(A147,AF:AG,2), IF(COUNTIF($AJ$2:AJ1132,A147)=0,$E$9,""))</f>
        <v/>
      </c>
      <c r="F147" s="91" t="str">
        <f ca="1">IF(COUNTIF($AJ$2:AJ1132,A147)=1,VLOOKUP(A147,AF:AG,2), IF(COUNTIF($AJ$2:AJ1132,A147)=0,$E$9,""))</f>
        <v/>
      </c>
      <c r="G147" s="93" t="str">
        <f t="shared" ca="1" si="16"/>
        <v/>
      </c>
      <c r="H147" s="38" t="str">
        <f ca="1">IF(COUNTIF($AJ$2:AJ1132,A147)=1,VLOOKUP(A147,AB:AC,2), IF(COUNTIF($AJ$2:AJ1132,A147)=0,$C$9,""))</f>
        <v/>
      </c>
      <c r="I147" s="2" t="str">
        <f ca="1">IF(ISERROR(B147-2),"",(H147-$H$14)/100*$C$5)</f>
        <v/>
      </c>
      <c r="J147" s="41" t="str">
        <f ca="1">IF(ISERROR(B147-2),"",(INT(A147)-INT($A$14))/360*$C$6*$C$5-(INT(A147)-INT($A$14))/360*$C$7*$C$5*$H$14/100)</f>
        <v/>
      </c>
      <c r="K147" s="38" t="str">
        <f ca="1">IF(COUNTIF($AJ$2:AJ1132,A147)=1,VLOOKUP(A147,AM:AN,2), IF(COUNTIF($AJ$2:AJ1132,A147)=0,$D$10,""))</f>
        <v/>
      </c>
      <c r="L147" s="41" t="str">
        <f ca="1">IF(ISERROR(K147-2),"",(K147/$K$14-1)*$D$5)</f>
        <v/>
      </c>
      <c r="M147" s="41" t="str">
        <f ca="1">IF($A147="","",IF(COUNTIFS(Dividends!$G:$G,"&gt;"&amp;INT($A146),Dividends!$G:$G,"&lt;="&amp;INT($A147))=0,"",$Q$2*SUMIFS(Dividends!$H:$H,Dividends!$G:$G,"&gt;"&amp;INT($A146),Dividends!$G:$G,"&lt;="&amp;INT($A147))))</f>
        <v/>
      </c>
      <c r="N147" s="42" t="str">
        <f ca="1">IF(ISERROR(B147-2),"",C147+D147-I147-J147-L147+SUM($M$14:M147))</f>
        <v/>
      </c>
      <c r="O147" s="80" t="str">
        <f t="shared" ca="1" si="17"/>
        <v/>
      </c>
      <c r="P147" s="80"/>
      <c r="Q147" s="87"/>
      <c r="R147" s="87"/>
      <c r="S147" s="87"/>
      <c r="T147" s="108"/>
      <c r="U147" s="87"/>
      <c r="V147" s="108"/>
      <c r="W147" s="87"/>
      <c r="X147" s="87"/>
      <c r="AH147" s="3" t="str">
        <f>IF(COUNTIF(AB:AB,Z147)*COUNTIF(AD:AD,Z147)*COUNTIF(AF:AF,Z147),Z147,"")</f>
        <v/>
      </c>
      <c r="AI147" s="3" t="str">
        <f t="shared" si="12"/>
        <v/>
      </c>
      <c r="AM147" s="3">
        <v>45985</v>
      </c>
      <c r="AN147" s="4">
        <v>245.57339999999999</v>
      </c>
      <c r="AO147" s="74">
        <v>45985</v>
      </c>
      <c r="AP147" s="4">
        <v>264.28199999999998</v>
      </c>
      <c r="AQ147" s="6">
        <f t="shared" si="13"/>
        <v>45985</v>
      </c>
    </row>
    <row r="148" spans="1:43" x14ac:dyDescent="0.25">
      <c r="A148" s="37" t="str">
        <f ca="1">IF(AND(ISBLANK(AJ137), A147 = $AJ$1),NOW(),IF(ISBLANK(AJ137),"",AJ137))</f>
        <v/>
      </c>
      <c r="B148" s="38" t="str">
        <f ca="1">IF(COUNTIF($AJ$2:AJ1133,A148)=1,VLOOKUP(A148,Z:AA,2), IF(COUNTIF($AJ$2:AJ1133,A148)=0,$B$9,""))</f>
        <v/>
      </c>
      <c r="C148" s="2" t="str">
        <f t="shared" ca="1" si="14"/>
        <v/>
      </c>
      <c r="D148" s="41" t="str">
        <f t="shared" ca="1" si="15"/>
        <v/>
      </c>
      <c r="E148" s="78" t="str">
        <f ca="1">IF(COUNTIF($AJ$2:AJ1133,A148)=1,VLOOKUP(A148,AF:AG,2), IF(COUNTIF($AJ$2:AJ1133,A148)=0,$E$9,""))</f>
        <v/>
      </c>
      <c r="F148" s="91" t="str">
        <f ca="1">IF(COUNTIF($AJ$2:AJ1133,A148)=1,VLOOKUP(A148,AF:AG,2), IF(COUNTIF($AJ$2:AJ1133,A148)=0,$E$9,""))</f>
        <v/>
      </c>
      <c r="G148" s="93" t="str">
        <f t="shared" ca="1" si="16"/>
        <v/>
      </c>
      <c r="H148" s="38" t="str">
        <f ca="1">IF(COUNTIF($AJ$2:AJ1133,A148)=1,VLOOKUP(A148,AB:AC,2), IF(COUNTIF($AJ$2:AJ1133,A148)=0,$C$9,""))</f>
        <v/>
      </c>
      <c r="I148" s="2" t="str">
        <f ca="1">IF(ISERROR(B148-2),"",(H148-$H$14)/100*$C$5)</f>
        <v/>
      </c>
      <c r="J148" s="41" t="str">
        <f ca="1">IF(ISERROR(B148-2),"",(INT(A148)-INT($A$14))/360*$C$6*$C$5-(INT(A148)-INT($A$14))/360*$C$7*$C$5*$H$14/100)</f>
        <v/>
      </c>
      <c r="K148" s="38" t="str">
        <f ca="1">IF(COUNTIF($AJ$2:AJ1133,A148)=1,VLOOKUP(A148,AM:AN,2), IF(COUNTIF($AJ$2:AJ1133,A148)=0,$D$10,""))</f>
        <v/>
      </c>
      <c r="L148" s="41" t="str">
        <f ca="1">IF(ISERROR(K148-2),"",(K148/$K$14-1)*$D$5)</f>
        <v/>
      </c>
      <c r="M148" s="41" t="str">
        <f ca="1">IF($A148="","",IF(COUNTIFS(Dividends!$G:$G,"&gt;"&amp;INT($A147),Dividends!$G:$G,"&lt;="&amp;INT($A148))=0,"",$Q$2*SUMIFS(Dividends!$H:$H,Dividends!$G:$G,"&gt;"&amp;INT($A147),Dividends!$G:$G,"&lt;="&amp;INT($A148))))</f>
        <v/>
      </c>
      <c r="N148" s="42" t="str">
        <f ca="1">IF(ISERROR(B148-2),"",C148+D148-I148-J148-L148+SUM($M$14:M148))</f>
        <v/>
      </c>
      <c r="O148" s="80" t="str">
        <f t="shared" ca="1" si="17"/>
        <v/>
      </c>
      <c r="P148" s="80"/>
      <c r="Q148" s="87"/>
      <c r="R148" s="87"/>
      <c r="S148" s="87"/>
      <c r="T148" s="108"/>
      <c r="U148" s="87"/>
      <c r="V148" s="108"/>
      <c r="W148" s="87"/>
      <c r="X148" s="87"/>
      <c r="AH148" s="3" t="str">
        <f>IF(COUNTIF(AB:AB,Z148)*COUNTIF(AD:AD,Z148)*COUNTIF(AF:AF,Z148),Z148,"")</f>
        <v/>
      </c>
      <c r="AI148" s="3" t="str">
        <f t="shared" si="12"/>
        <v/>
      </c>
      <c r="AM148" s="3">
        <v>45986</v>
      </c>
      <c r="AN148" s="4">
        <v>245.78149999999999</v>
      </c>
      <c r="AO148" s="74">
        <v>45986</v>
      </c>
      <c r="AP148" s="4">
        <v>260.93599999999998</v>
      </c>
      <c r="AQ148" s="6">
        <f t="shared" si="13"/>
        <v>45986</v>
      </c>
    </row>
    <row r="149" spans="1:43" x14ac:dyDescent="0.25">
      <c r="A149" s="37" t="str">
        <f ca="1">IF(AND(ISBLANK(AJ138), A148 = $AJ$1),NOW(),IF(ISBLANK(AJ138),"",AJ138))</f>
        <v/>
      </c>
      <c r="B149" s="38" t="str">
        <f ca="1">IF(COUNTIF($AJ$2:AJ1134,A149)=1,VLOOKUP(A149,Z:AA,2), IF(COUNTIF($AJ$2:AJ1134,A149)=0,$B$9,""))</f>
        <v/>
      </c>
      <c r="C149" s="2" t="str">
        <f t="shared" ca="1" si="14"/>
        <v/>
      </c>
      <c r="D149" s="41" t="str">
        <f t="shared" ca="1" si="15"/>
        <v/>
      </c>
      <c r="E149" s="78" t="str">
        <f ca="1">IF(COUNTIF($AJ$2:AJ1134,A149)=1,VLOOKUP(A149,AF:AG,2), IF(COUNTIF($AJ$2:AJ1134,A149)=0,$E$9,""))</f>
        <v/>
      </c>
      <c r="F149" s="91" t="str">
        <f ca="1">IF(COUNTIF($AJ$2:AJ1134,A149)=1,VLOOKUP(A149,AF:AG,2), IF(COUNTIF($AJ$2:AJ1134,A149)=0,$E$9,""))</f>
        <v/>
      </c>
      <c r="G149" s="93" t="str">
        <f t="shared" ca="1" si="16"/>
        <v/>
      </c>
      <c r="H149" s="38" t="str">
        <f ca="1">IF(COUNTIF($AJ$2:AJ1134,A149)=1,VLOOKUP(A149,AB:AC,2), IF(COUNTIF($AJ$2:AJ1134,A149)=0,$C$9,""))</f>
        <v/>
      </c>
      <c r="I149" s="2" t="str">
        <f ca="1">IF(ISERROR(B149-2),"",(H149-$H$14)/100*$C$5)</f>
        <v/>
      </c>
      <c r="J149" s="41" t="str">
        <f ca="1">IF(ISERROR(B149-2),"",(INT(A149)-INT($A$14))/360*$C$6*$C$5-(INT(A149)-INT($A$14))/360*$C$7*$C$5*$H$14/100)</f>
        <v/>
      </c>
      <c r="K149" s="38" t="str">
        <f ca="1">IF(COUNTIF($AJ$2:AJ1134,A149)=1,VLOOKUP(A149,AM:AN,2), IF(COUNTIF($AJ$2:AJ1134,A149)=0,$D$10,""))</f>
        <v/>
      </c>
      <c r="L149" s="41" t="str">
        <f ca="1">IF(ISERROR(K149-2),"",(K149/$K$14-1)*$D$5)</f>
        <v/>
      </c>
      <c r="M149" s="41" t="str">
        <f ca="1">IF($A149="","",IF(COUNTIFS(Dividends!$G:$G,"&gt;"&amp;INT($A148),Dividends!$G:$G,"&lt;="&amp;INT($A149))=0,"",$Q$2*SUMIFS(Dividends!$H:$H,Dividends!$G:$G,"&gt;"&amp;INT($A148),Dividends!$G:$G,"&lt;="&amp;INT($A149))))</f>
        <v/>
      </c>
      <c r="N149" s="42" t="str">
        <f ca="1">IF(ISERROR(B149-2),"",C149+D149-I149-J149-L149+SUM($M$14:M149))</f>
        <v/>
      </c>
      <c r="O149" s="80" t="str">
        <f t="shared" ca="1" si="17"/>
        <v/>
      </c>
      <c r="P149" s="80"/>
      <c r="Q149" s="87"/>
      <c r="R149" s="87"/>
      <c r="S149" s="87"/>
      <c r="T149" s="108"/>
      <c r="U149" s="87"/>
      <c r="V149" s="108"/>
      <c r="W149" s="87"/>
      <c r="X149" s="87"/>
      <c r="AH149" s="3" t="str">
        <f>IF(COUNTIF(AB:AB,Z149)*COUNTIF(AD:AD,Z149)*COUNTIF(AF:AF,Z149),Z149,"")</f>
        <v/>
      </c>
      <c r="AI149" s="3" t="str">
        <f t="shared" si="12"/>
        <v/>
      </c>
      <c r="AM149" s="3">
        <v>45987</v>
      </c>
      <c r="AN149" s="4">
        <v>246.1097</v>
      </c>
      <c r="AO149" s="74">
        <v>45987</v>
      </c>
      <c r="AP149" s="4">
        <v>258.24200000000002</v>
      </c>
      <c r="AQ149" s="6">
        <f t="shared" si="13"/>
        <v>45987</v>
      </c>
    </row>
    <row r="150" spans="1:43" x14ac:dyDescent="0.25">
      <c r="A150" s="37" t="str">
        <f ca="1">IF(AND(ISBLANK(AJ139), A149 = $AJ$1),NOW(),IF(ISBLANK(AJ139),"",AJ139))</f>
        <v/>
      </c>
      <c r="B150" s="38" t="str">
        <f ca="1">IF(COUNTIF($AJ$2:AJ1135,A150)=1,VLOOKUP(A150,Z:AA,2), IF(COUNTIF($AJ$2:AJ1135,A150)=0,$B$9,""))</f>
        <v/>
      </c>
      <c r="C150" s="2" t="str">
        <f t="shared" ca="1" si="14"/>
        <v/>
      </c>
      <c r="D150" s="41" t="str">
        <f t="shared" ca="1" si="15"/>
        <v/>
      </c>
      <c r="E150" s="78" t="str">
        <f ca="1">IF(COUNTIF($AJ$2:AJ1135,A150)=1,VLOOKUP(A150,AF:AG,2), IF(COUNTIF($AJ$2:AJ1135,A150)=0,$E$9,""))</f>
        <v/>
      </c>
      <c r="F150" s="91" t="str">
        <f ca="1">IF(COUNTIF($AJ$2:AJ1135,A150)=1,VLOOKUP(A150,AF:AG,2), IF(COUNTIF($AJ$2:AJ1135,A150)=0,$E$9,""))</f>
        <v/>
      </c>
      <c r="G150" s="93" t="str">
        <f t="shared" ca="1" si="16"/>
        <v/>
      </c>
      <c r="H150" s="38" t="str">
        <f ca="1">IF(COUNTIF($AJ$2:AJ1135,A150)=1,VLOOKUP(A150,AB:AC,2), IF(COUNTIF($AJ$2:AJ1135,A150)=0,$C$9,""))</f>
        <v/>
      </c>
      <c r="I150" s="2" t="str">
        <f ca="1">IF(ISERROR(B150-2),"",(H150-$H$14)/100*$C$5)</f>
        <v/>
      </c>
      <c r="J150" s="41" t="str">
        <f ca="1">IF(ISERROR(B150-2),"",(INT(A150)-INT($A$14))/360*$C$6*$C$5-(INT(A150)-INT($A$14))/360*$C$7*$C$5*$H$14/100)</f>
        <v/>
      </c>
      <c r="K150" s="38" t="str">
        <f ca="1">IF(COUNTIF($AJ$2:AJ1135,A150)=1,VLOOKUP(A150,AM:AN,2), IF(COUNTIF($AJ$2:AJ1135,A150)=0,$D$10,""))</f>
        <v/>
      </c>
      <c r="L150" s="41" t="str">
        <f ca="1">IF(ISERROR(K150-2),"",(K150/$K$14-1)*$D$5)</f>
        <v/>
      </c>
      <c r="M150" s="41" t="str">
        <f ca="1">IF($A150="","",IF(COUNTIFS(Dividends!$G:$G,"&gt;"&amp;INT($A149),Dividends!$G:$G,"&lt;="&amp;INT($A150))=0,"",$Q$2*SUMIFS(Dividends!$H:$H,Dividends!$G:$G,"&gt;"&amp;INT($A149),Dividends!$G:$G,"&lt;="&amp;INT($A150))))</f>
        <v/>
      </c>
      <c r="N150" s="42" t="str">
        <f ca="1">IF(ISERROR(B150-2),"",C150+D150-I150-J150-L150+SUM($M$14:M150))</f>
        <v/>
      </c>
      <c r="O150" s="80" t="str">
        <f t="shared" ca="1" si="17"/>
        <v/>
      </c>
      <c r="P150" s="80"/>
      <c r="Q150" s="87"/>
      <c r="R150" s="87"/>
      <c r="S150" s="87"/>
      <c r="T150" s="108"/>
      <c r="U150" s="87"/>
      <c r="V150" s="108"/>
      <c r="W150" s="87"/>
      <c r="X150" s="87"/>
      <c r="AH150" s="3" t="str">
        <f>IF(COUNTIF(AB:AB,Z150)*COUNTIF(AD:AD,Z150)*COUNTIF(AF:AF,Z150),Z150,"")</f>
        <v/>
      </c>
      <c r="AI150" s="3" t="str">
        <f t="shared" si="12"/>
        <v/>
      </c>
      <c r="AM150" s="3">
        <v>45988</v>
      </c>
      <c r="AN150" s="4">
        <v>246.30340000000001</v>
      </c>
      <c r="AO150" s="74">
        <v>45988</v>
      </c>
      <c r="AP150" s="4">
        <v>257.72500000000002</v>
      </c>
      <c r="AQ150" s="6">
        <f t="shared" si="13"/>
        <v>45988</v>
      </c>
    </row>
    <row r="151" spans="1:43" x14ac:dyDescent="0.25">
      <c r="A151" s="37" t="str">
        <f ca="1">IF(AND(ISBLANK(AJ140), A150 = $AJ$1),NOW(),IF(ISBLANK(AJ140),"",AJ140))</f>
        <v/>
      </c>
      <c r="B151" s="38" t="str">
        <f ca="1">IF(COUNTIF($AJ$2:AJ1136,A151)=1,VLOOKUP(A151,Z:AA,2), IF(COUNTIF($AJ$2:AJ1136,A151)=0,$B$9,""))</f>
        <v/>
      </c>
      <c r="C151" s="2" t="str">
        <f t="shared" ca="1" si="14"/>
        <v/>
      </c>
      <c r="D151" s="41" t="str">
        <f t="shared" ca="1" si="15"/>
        <v/>
      </c>
      <c r="E151" s="78" t="str">
        <f ca="1">IF(COUNTIF($AJ$2:AJ1136,A151)=1,VLOOKUP(A151,AF:AG,2), IF(COUNTIF($AJ$2:AJ1136,A151)=0,$E$9,""))</f>
        <v/>
      </c>
      <c r="F151" s="91" t="str">
        <f ca="1">IF(COUNTIF($AJ$2:AJ1136,A151)=1,VLOOKUP(A151,AF:AG,2), IF(COUNTIF($AJ$2:AJ1136,A151)=0,$E$9,""))</f>
        <v/>
      </c>
      <c r="G151" s="93" t="str">
        <f t="shared" ca="1" si="16"/>
        <v/>
      </c>
      <c r="H151" s="38" t="str">
        <f ca="1">IF(COUNTIF($AJ$2:AJ1136,A151)=1,VLOOKUP(A151,AB:AC,2), IF(COUNTIF($AJ$2:AJ1136,A151)=0,$C$9,""))</f>
        <v/>
      </c>
      <c r="I151" s="2" t="str">
        <f ca="1">IF(ISERROR(B151-2),"",(H151-$H$14)/100*$C$5)</f>
        <v/>
      </c>
      <c r="J151" s="41" t="str">
        <f ca="1">IF(ISERROR(B151-2),"",(INT(A151)-INT($A$14))/360*$C$6*$C$5-(INT(A151)-INT($A$14))/360*$C$7*$C$5*$H$14/100)</f>
        <v/>
      </c>
      <c r="K151" s="38" t="str">
        <f ca="1">IF(COUNTIF($AJ$2:AJ1136,A151)=1,VLOOKUP(A151,AM:AN,2), IF(COUNTIF($AJ$2:AJ1136,A151)=0,$D$10,""))</f>
        <v/>
      </c>
      <c r="L151" s="41" t="str">
        <f ca="1">IF(ISERROR(K151-2),"",(K151/$K$14-1)*$D$5)</f>
        <v/>
      </c>
      <c r="M151" s="41" t="str">
        <f ca="1">IF($A151="","",IF(COUNTIFS(Dividends!$G:$G,"&gt;"&amp;INT($A150),Dividends!$G:$G,"&lt;="&amp;INT($A151))=0,"",$Q$2*SUMIFS(Dividends!$H:$H,Dividends!$G:$G,"&gt;"&amp;INT($A150),Dividends!$G:$G,"&lt;="&amp;INT($A151))))</f>
        <v/>
      </c>
      <c r="N151" s="42" t="str">
        <f ca="1">IF(ISERROR(B151-2),"",C151+D151-I151-J151-L151+SUM($M$14:M151))</f>
        <v/>
      </c>
      <c r="O151" s="80" t="str">
        <f t="shared" ca="1" si="17"/>
        <v/>
      </c>
      <c r="P151" s="80"/>
      <c r="Q151" s="87"/>
      <c r="R151" s="87"/>
      <c r="S151" s="87"/>
      <c r="T151" s="108"/>
      <c r="U151" s="87"/>
      <c r="V151" s="108"/>
      <c r="W151" s="87"/>
      <c r="X151" s="87"/>
      <c r="AH151" s="3" t="str">
        <f>IF(COUNTIF(AB:AB,Z151)*COUNTIF(AD:AD,Z151)*COUNTIF(AF:AF,Z151),Z151,"")</f>
        <v/>
      </c>
      <c r="AI151" s="3" t="str">
        <f t="shared" si="12"/>
        <v/>
      </c>
      <c r="AM151" s="3">
        <v>45989</v>
      </c>
      <c r="AN151" s="4">
        <v>246.51609999999999</v>
      </c>
      <c r="AO151" s="74">
        <v>45989</v>
      </c>
      <c r="AP151" s="4">
        <v>255.52199999999999</v>
      </c>
      <c r="AQ151" s="6">
        <f t="shared" si="13"/>
        <v>45989</v>
      </c>
    </row>
    <row r="152" spans="1:43" x14ac:dyDescent="0.25">
      <c r="A152" s="37" t="str">
        <f ca="1">IF(AND(ISBLANK(AJ141), A151 = $AJ$1),NOW(),IF(ISBLANK(AJ141),"",AJ141))</f>
        <v/>
      </c>
      <c r="B152" s="38" t="str">
        <f ca="1">IF(COUNTIF($AJ$2:AJ1137,A152)=1,VLOOKUP(A152,Z:AA,2), IF(COUNTIF($AJ$2:AJ1137,A152)=0,$B$9,""))</f>
        <v/>
      </c>
      <c r="C152" s="2" t="str">
        <f t="shared" ca="1" si="14"/>
        <v/>
      </c>
      <c r="D152" s="41" t="str">
        <f t="shared" ca="1" si="15"/>
        <v/>
      </c>
      <c r="E152" s="78" t="str">
        <f ca="1">IF(COUNTIF($AJ$2:AJ1137,A152)=1,VLOOKUP(A152,AF:AG,2), IF(COUNTIF($AJ$2:AJ1137,A152)=0,$E$9,""))</f>
        <v/>
      </c>
      <c r="F152" s="91" t="str">
        <f ca="1">IF(COUNTIF($AJ$2:AJ1137,A152)=1,VLOOKUP(A152,AF:AG,2), IF(COUNTIF($AJ$2:AJ1137,A152)=0,$E$9,""))</f>
        <v/>
      </c>
      <c r="G152" s="93" t="str">
        <f t="shared" ca="1" si="16"/>
        <v/>
      </c>
      <c r="H152" s="38" t="str">
        <f ca="1">IF(COUNTIF($AJ$2:AJ1137,A152)=1,VLOOKUP(A152,AB:AC,2), IF(COUNTIF($AJ$2:AJ1137,A152)=0,$C$9,""))</f>
        <v/>
      </c>
      <c r="I152" s="2" t="str">
        <f ca="1">IF(ISERROR(B152-2),"",(H152-$H$14)/100*$C$5)</f>
        <v/>
      </c>
      <c r="J152" s="41" t="str">
        <f ca="1">IF(ISERROR(B152-2),"",(INT(A152)-INT($A$14))/360*$C$6*$C$5-(INT(A152)-INT($A$14))/360*$C$7*$C$5*$H$14/100)</f>
        <v/>
      </c>
      <c r="K152" s="38" t="str">
        <f ca="1">IF(COUNTIF($AJ$2:AJ1137,A152)=1,VLOOKUP(A152,AM:AN,2), IF(COUNTIF($AJ$2:AJ1137,A152)=0,$D$10,""))</f>
        <v/>
      </c>
      <c r="L152" s="41" t="str">
        <f ca="1">IF(ISERROR(K152-2),"",(K152/$K$14-1)*$D$5)</f>
        <v/>
      </c>
      <c r="M152" s="41" t="str">
        <f ca="1">IF($A152="","",IF(COUNTIFS(Dividends!$G:$G,"&gt;"&amp;INT($A151),Dividends!$G:$G,"&lt;="&amp;INT($A152))=0,"",$Q$2*SUMIFS(Dividends!$H:$H,Dividends!$G:$G,"&gt;"&amp;INT($A151),Dividends!$G:$G,"&lt;="&amp;INT($A152))))</f>
        <v/>
      </c>
      <c r="N152" s="42" t="str">
        <f ca="1">IF(ISERROR(B152-2),"",C152+D152-I152-J152-L152+SUM($M$14:M152))</f>
        <v/>
      </c>
      <c r="O152" s="80" t="str">
        <f t="shared" ca="1" si="17"/>
        <v/>
      </c>
      <c r="P152" s="80"/>
      <c r="Q152" s="87"/>
      <c r="R152" s="87"/>
      <c r="S152" s="87"/>
      <c r="T152" s="108"/>
      <c r="U152" s="87"/>
      <c r="V152" s="108"/>
      <c r="W152" s="87"/>
      <c r="X152" s="87"/>
      <c r="AH152" s="3" t="str">
        <f>IF(COUNTIF(AB:AB,Z152)*COUNTIF(AD:AD,Z152)*COUNTIF(AF:AF,Z152),Z152,"")</f>
        <v/>
      </c>
      <c r="AI152" s="3" t="str">
        <f t="shared" si="12"/>
        <v/>
      </c>
      <c r="AM152" s="3">
        <v>45992</v>
      </c>
      <c r="AN152" s="4">
        <v>246.52199999999999</v>
      </c>
      <c r="AO152" s="74">
        <v>45992</v>
      </c>
      <c r="AP152" s="4">
        <v>256.12799999999999</v>
      </c>
      <c r="AQ152" s="6">
        <f t="shared" si="13"/>
        <v>45992</v>
      </c>
    </row>
    <row r="153" spans="1:43" x14ac:dyDescent="0.25">
      <c r="A153" s="37" t="str">
        <f ca="1">IF(AND(ISBLANK(AJ142), A152 = $AJ$1),NOW(),IF(ISBLANK(AJ142),"",AJ142))</f>
        <v/>
      </c>
      <c r="B153" s="38" t="str">
        <f ca="1">IF(COUNTIF($AJ$2:AJ1138,A153)=1,VLOOKUP(A153,Z:AA,2), IF(COUNTIF($AJ$2:AJ1138,A153)=0,$B$9,""))</f>
        <v/>
      </c>
      <c r="C153" s="2" t="str">
        <f t="shared" ca="1" si="14"/>
        <v/>
      </c>
      <c r="D153" s="41" t="str">
        <f t="shared" ca="1" si="15"/>
        <v/>
      </c>
      <c r="E153" s="78" t="str">
        <f ca="1">IF(COUNTIF($AJ$2:AJ1138,A153)=1,VLOOKUP(A153,AF:AG,2), IF(COUNTIF($AJ$2:AJ1138,A153)=0,$E$9,""))</f>
        <v/>
      </c>
      <c r="F153" s="91" t="str">
        <f ca="1">IF(COUNTIF($AJ$2:AJ1138,A153)=1,VLOOKUP(A153,AF:AG,2), IF(COUNTIF($AJ$2:AJ1138,A153)=0,$E$9,""))</f>
        <v/>
      </c>
      <c r="G153" s="93" t="str">
        <f t="shared" ca="1" si="16"/>
        <v/>
      </c>
      <c r="H153" s="38" t="str">
        <f ca="1">IF(COUNTIF($AJ$2:AJ1138,A153)=1,VLOOKUP(A153,AB:AC,2), IF(COUNTIF($AJ$2:AJ1138,A153)=0,$C$9,""))</f>
        <v/>
      </c>
      <c r="I153" s="2" t="str">
        <f ca="1">IF(ISERROR(B153-2),"",(H153-$H$14)/100*$C$5)</f>
        <v/>
      </c>
      <c r="J153" s="41" t="str">
        <f ca="1">IF(ISERROR(B153-2),"",(INT(A153)-INT($A$14))/360*$C$6*$C$5-(INT(A153)-INT($A$14))/360*$C$7*$C$5*$H$14/100)</f>
        <v/>
      </c>
      <c r="K153" s="38" t="str">
        <f ca="1">IF(COUNTIF($AJ$2:AJ1138,A153)=1,VLOOKUP(A153,AM:AN,2), IF(COUNTIF($AJ$2:AJ1138,A153)=0,$D$10,""))</f>
        <v/>
      </c>
      <c r="L153" s="41" t="str">
        <f ca="1">IF(ISERROR(K153-2),"",(K153/$K$14-1)*$D$5)</f>
        <v/>
      </c>
      <c r="M153" s="41" t="str">
        <f ca="1">IF($A153="","",IF(COUNTIFS(Dividends!$G:$G,"&gt;"&amp;INT($A152),Dividends!$G:$G,"&lt;="&amp;INT($A153))=0,"",$Q$2*SUMIFS(Dividends!$H:$H,Dividends!$G:$G,"&gt;"&amp;INT($A152),Dividends!$G:$G,"&lt;="&amp;INT($A153))))</f>
        <v/>
      </c>
      <c r="N153" s="42" t="str">
        <f ca="1">IF(ISERROR(B153-2),"",C153+D153-I153-J153-L153+SUM($M$14:M153))</f>
        <v/>
      </c>
      <c r="O153" s="80" t="str">
        <f t="shared" ca="1" si="17"/>
        <v/>
      </c>
      <c r="P153" s="80"/>
      <c r="Q153" s="87"/>
      <c r="R153" s="87"/>
      <c r="S153" s="87"/>
      <c r="T153" s="108"/>
      <c r="U153" s="87"/>
      <c r="V153" s="108"/>
      <c r="W153" s="87"/>
      <c r="X153" s="87"/>
      <c r="AH153" s="3" t="str">
        <f>IF(COUNTIF(AB:AB,Z153)*COUNTIF(AD:AD,Z153)*COUNTIF(AF:AF,Z153),Z153,"")</f>
        <v/>
      </c>
      <c r="AI153" s="3" t="str">
        <f t="shared" si="12"/>
        <v/>
      </c>
      <c r="AM153" s="3">
        <v>45993</v>
      </c>
      <c r="AN153" s="4">
        <v>246.64009999999999</v>
      </c>
      <c r="AO153" s="74">
        <v>45993</v>
      </c>
      <c r="AP153" s="4">
        <v>255.16499999999999</v>
      </c>
      <c r="AQ153" s="6">
        <f t="shared" si="13"/>
        <v>45993</v>
      </c>
    </row>
    <row r="154" spans="1:43" x14ac:dyDescent="0.25">
      <c r="A154" s="37" t="str">
        <f ca="1">IF(AND(ISBLANK(AJ143), A153 = $AJ$1),NOW(),IF(ISBLANK(AJ143),"",AJ143))</f>
        <v/>
      </c>
      <c r="B154" s="38" t="str">
        <f ca="1">IF(COUNTIF($AJ$2:AJ1139,A154)=1,VLOOKUP(A154,Z:AA,2), IF(COUNTIF($AJ$2:AJ1139,A154)=0,$B$9,""))</f>
        <v/>
      </c>
      <c r="C154" s="2" t="str">
        <f t="shared" ca="1" si="14"/>
        <v/>
      </c>
      <c r="D154" s="41" t="str">
        <f t="shared" ca="1" si="15"/>
        <v/>
      </c>
      <c r="E154" s="78" t="str">
        <f ca="1">IF(COUNTIF($AJ$2:AJ1139,A154)=1,VLOOKUP(A154,AF:AG,2), IF(COUNTIF($AJ$2:AJ1139,A154)=0,$E$9,""))</f>
        <v/>
      </c>
      <c r="F154" s="91" t="str">
        <f ca="1">IF(COUNTIF($AJ$2:AJ1139,A154)=1,VLOOKUP(A154,AF:AG,2), IF(COUNTIF($AJ$2:AJ1139,A154)=0,$E$9,""))</f>
        <v/>
      </c>
      <c r="G154" s="93" t="str">
        <f t="shared" ca="1" si="16"/>
        <v/>
      </c>
      <c r="H154" s="38" t="str">
        <f ca="1">IF(COUNTIF($AJ$2:AJ1139,A154)=1,VLOOKUP(A154,AB:AC,2), IF(COUNTIF($AJ$2:AJ1139,A154)=0,$C$9,""))</f>
        <v/>
      </c>
      <c r="I154" s="2" t="str">
        <f ca="1">IF(ISERROR(B154-2),"",(H154-$H$14)/100*$C$5)</f>
        <v/>
      </c>
      <c r="J154" s="41" t="str">
        <f ca="1">IF(ISERROR(B154-2),"",(INT(A154)-INT($A$14))/360*$C$6*$C$5-(INT(A154)-INT($A$14))/360*$C$7*$C$5*$H$14/100)</f>
        <v/>
      </c>
      <c r="K154" s="38" t="str">
        <f ca="1">IF(COUNTIF($AJ$2:AJ1139,A154)=1,VLOOKUP(A154,AM:AN,2), IF(COUNTIF($AJ$2:AJ1139,A154)=0,$D$10,""))</f>
        <v/>
      </c>
      <c r="L154" s="41" t="str">
        <f ca="1">IF(ISERROR(K154-2),"",(K154/$K$14-1)*$D$5)</f>
        <v/>
      </c>
      <c r="M154" s="41" t="str">
        <f ca="1">IF($A154="","",IF(COUNTIFS(Dividends!$G:$G,"&gt;"&amp;INT($A153),Dividends!$G:$G,"&lt;="&amp;INT($A154))=0,"",$Q$2*SUMIFS(Dividends!$H:$H,Dividends!$G:$G,"&gt;"&amp;INT($A153),Dividends!$G:$G,"&lt;="&amp;INT($A154))))</f>
        <v/>
      </c>
      <c r="N154" s="42" t="str">
        <f ca="1">IF(ISERROR(B154-2),"",C154+D154-I154-J154-L154+SUM($M$14:M154))</f>
        <v/>
      </c>
      <c r="O154" s="80" t="str">
        <f t="shared" ca="1" si="17"/>
        <v/>
      </c>
      <c r="P154" s="80"/>
      <c r="Q154" s="87"/>
      <c r="R154" s="87"/>
      <c r="S154" s="87"/>
      <c r="T154" s="108"/>
      <c r="U154" s="87"/>
      <c r="V154" s="108"/>
      <c r="W154" s="87"/>
      <c r="X154" s="87"/>
      <c r="AH154" s="3" t="str">
        <f>IF(COUNTIF(AB:AB,Z154)*COUNTIF(AD:AD,Z154)*COUNTIF(AF:AF,Z154),Z154,"")</f>
        <v/>
      </c>
      <c r="AI154" s="3" t="str">
        <f t="shared" si="12"/>
        <v/>
      </c>
      <c r="AM154" s="3">
        <v>45994</v>
      </c>
      <c r="AN154" s="4">
        <v>246.69659999999999</v>
      </c>
      <c r="AO154" s="74">
        <v>45994</v>
      </c>
      <c r="AP154" s="4">
        <v>254.90700000000001</v>
      </c>
      <c r="AQ154" s="6">
        <f t="shared" si="13"/>
        <v>45994</v>
      </c>
    </row>
    <row r="155" spans="1:43" x14ac:dyDescent="0.25">
      <c r="A155" s="37" t="str">
        <f ca="1">IF(AND(ISBLANK(AJ144), A154 = $AJ$1),NOW(),IF(ISBLANK(AJ144),"",AJ144))</f>
        <v/>
      </c>
      <c r="B155" s="38" t="str">
        <f ca="1">IF(COUNTIF($AJ$2:AJ1140,A155)=1,VLOOKUP(A155,Z:AA,2), IF(COUNTIF($AJ$2:AJ1140,A155)=0,$B$9,""))</f>
        <v/>
      </c>
      <c r="C155" s="2" t="str">
        <f t="shared" ca="1" si="14"/>
        <v/>
      </c>
      <c r="D155" s="41" t="str">
        <f t="shared" ca="1" si="15"/>
        <v/>
      </c>
      <c r="E155" s="78" t="str">
        <f ca="1">IF(COUNTIF($AJ$2:AJ1140,A155)=1,VLOOKUP(A155,AF:AG,2), IF(COUNTIF($AJ$2:AJ1140,A155)=0,$E$9,""))</f>
        <v/>
      </c>
      <c r="F155" s="91" t="str">
        <f ca="1">IF(COUNTIF($AJ$2:AJ1140,A155)=1,VLOOKUP(A155,AF:AG,2), IF(COUNTIF($AJ$2:AJ1140,A155)=0,$E$9,""))</f>
        <v/>
      </c>
      <c r="G155" s="93" t="str">
        <f t="shared" ca="1" si="16"/>
        <v/>
      </c>
      <c r="H155" s="38" t="str">
        <f ca="1">IF(COUNTIF($AJ$2:AJ1140,A155)=1,VLOOKUP(A155,AB:AC,2), IF(COUNTIF($AJ$2:AJ1140,A155)=0,$C$9,""))</f>
        <v/>
      </c>
      <c r="I155" s="2" t="str">
        <f ca="1">IF(ISERROR(B155-2),"",(H155-$H$14)/100*$C$5)</f>
        <v/>
      </c>
      <c r="J155" s="41" t="str">
        <f ca="1">IF(ISERROR(B155-2),"",(INT(A155)-INT($A$14))/360*$C$6*$C$5-(INT(A155)-INT($A$14))/360*$C$7*$C$5*$H$14/100)</f>
        <v/>
      </c>
      <c r="K155" s="38" t="str">
        <f ca="1">IF(COUNTIF($AJ$2:AJ1140,A155)=1,VLOOKUP(A155,AM:AN,2), IF(COUNTIF($AJ$2:AJ1140,A155)=0,$D$10,""))</f>
        <v/>
      </c>
      <c r="L155" s="41" t="str">
        <f ca="1">IF(ISERROR(K155-2),"",(K155/$K$14-1)*$D$5)</f>
        <v/>
      </c>
      <c r="M155" s="41" t="str">
        <f ca="1">IF($A155="","",IF(COUNTIFS(Dividends!$G:$G,"&gt;"&amp;INT($A154),Dividends!$G:$G,"&lt;="&amp;INT($A155))=0,"",$Q$2*SUMIFS(Dividends!$H:$H,Dividends!$G:$G,"&gt;"&amp;INT($A154),Dividends!$G:$G,"&lt;="&amp;INT($A155))))</f>
        <v/>
      </c>
      <c r="N155" s="42" t="str">
        <f ca="1">IF(ISERROR(B155-2),"",C155+D155-I155-J155-L155+SUM($M$14:M155))</f>
        <v/>
      </c>
      <c r="O155" s="80" t="str">
        <f t="shared" ca="1" si="17"/>
        <v/>
      </c>
      <c r="P155" s="80"/>
      <c r="Q155" s="87"/>
      <c r="R155" s="87"/>
      <c r="S155" s="87"/>
      <c r="T155" s="108"/>
      <c r="U155" s="87"/>
      <c r="V155" s="108"/>
      <c r="W155" s="87"/>
      <c r="X155" s="87"/>
      <c r="AH155" s="3" t="str">
        <f>IF(COUNTIF(AB:AB,Z155)*COUNTIF(AD:AD,Z155)*COUNTIF(AF:AF,Z155),Z155,"")</f>
        <v/>
      </c>
      <c r="AI155" s="3" t="str">
        <f t="shared" si="12"/>
        <v/>
      </c>
      <c r="AM155" s="3">
        <v>45995</v>
      </c>
      <c r="AN155" s="4">
        <v>246.7276</v>
      </c>
      <c r="AO155" s="74">
        <v>45995</v>
      </c>
      <c r="AP155" s="4">
        <v>254.619</v>
      </c>
      <c r="AQ155" s="6">
        <f t="shared" si="13"/>
        <v>45995</v>
      </c>
    </row>
    <row r="156" spans="1:43" x14ac:dyDescent="0.25">
      <c r="A156" s="37" t="str">
        <f ca="1">IF(AND(ISBLANK(AJ145), A155 = $AJ$1),NOW(),IF(ISBLANK(AJ145),"",AJ145))</f>
        <v/>
      </c>
      <c r="B156" s="38" t="str">
        <f ca="1">IF(COUNTIF($AJ$2:AJ1141,A156)=1,VLOOKUP(A156,Z:AA,2), IF(COUNTIF($AJ$2:AJ1141,A156)=0,$B$9,""))</f>
        <v/>
      </c>
      <c r="C156" s="2" t="str">
        <f t="shared" ca="1" si="14"/>
        <v/>
      </c>
      <c r="D156" s="41" t="str">
        <f t="shared" ca="1" si="15"/>
        <v/>
      </c>
      <c r="E156" s="78" t="str">
        <f ca="1">IF(COUNTIF($AJ$2:AJ1141,A156)=1,VLOOKUP(A156,AF:AG,2), IF(COUNTIF($AJ$2:AJ1141,A156)=0,$E$9,""))</f>
        <v/>
      </c>
      <c r="F156" s="91" t="str">
        <f ca="1">IF(COUNTIF($AJ$2:AJ1141,A156)=1,VLOOKUP(A156,AF:AG,2), IF(COUNTIF($AJ$2:AJ1141,A156)=0,$E$9,""))</f>
        <v/>
      </c>
      <c r="G156" s="93" t="str">
        <f t="shared" ca="1" si="16"/>
        <v/>
      </c>
      <c r="H156" s="38" t="str">
        <f ca="1">IF(COUNTIF($AJ$2:AJ1141,A156)=1,VLOOKUP(A156,AB:AC,2), IF(COUNTIF($AJ$2:AJ1141,A156)=0,$C$9,""))</f>
        <v/>
      </c>
      <c r="I156" s="2" t="str">
        <f ca="1">IF(ISERROR(B156-2),"",(H156-$H$14)/100*$C$5)</f>
        <v/>
      </c>
      <c r="J156" s="41" t="str">
        <f ca="1">IF(ISERROR(B156-2),"",(INT(A156)-INT($A$14))/360*$C$6*$C$5-(INT(A156)-INT($A$14))/360*$C$7*$C$5*$H$14/100)</f>
        <v/>
      </c>
      <c r="K156" s="38" t="str">
        <f ca="1">IF(COUNTIF($AJ$2:AJ1141,A156)=1,VLOOKUP(A156,AM:AN,2), IF(COUNTIF($AJ$2:AJ1141,A156)=0,$D$10,""))</f>
        <v/>
      </c>
      <c r="L156" s="41" t="str">
        <f ca="1">IF(ISERROR(K156-2),"",(K156/$K$14-1)*$D$5)</f>
        <v/>
      </c>
      <c r="M156" s="41" t="str">
        <f ca="1">IF($A156="","",IF(COUNTIFS(Dividends!$G:$G,"&gt;"&amp;INT($A155),Dividends!$G:$G,"&lt;="&amp;INT($A156))=0,"",$Q$2*SUMIFS(Dividends!$H:$H,Dividends!$G:$G,"&gt;"&amp;INT($A155),Dividends!$G:$G,"&lt;="&amp;INT($A156))))</f>
        <v/>
      </c>
      <c r="N156" s="42" t="str">
        <f ca="1">IF(ISERROR(B156-2),"",C156+D156-I156-J156-L156+SUM($M$14:M156))</f>
        <v/>
      </c>
      <c r="O156" s="80" t="str">
        <f t="shared" ca="1" si="17"/>
        <v/>
      </c>
      <c r="P156" s="80"/>
      <c r="Q156" s="87"/>
      <c r="R156" s="87"/>
      <c r="S156" s="87"/>
      <c r="T156" s="108"/>
      <c r="U156" s="87"/>
      <c r="V156" s="108"/>
      <c r="W156" s="87"/>
      <c r="X156" s="87"/>
      <c r="AH156" s="3" t="str">
        <f>IF(COUNTIF(AB:AB,Z156)*COUNTIF(AD:AD,Z156)*COUNTIF(AF:AF,Z156),Z156,"")</f>
        <v/>
      </c>
      <c r="AI156" s="3" t="str">
        <f t="shared" si="12"/>
        <v/>
      </c>
      <c r="AM156" s="3">
        <v>45996</v>
      </c>
      <c r="AN156" s="4">
        <v>246.92910000000001</v>
      </c>
      <c r="AO156" s="74">
        <v>45996</v>
      </c>
      <c r="AP156" s="4">
        <v>252.95500000000001</v>
      </c>
      <c r="AQ156" s="6">
        <f t="shared" si="13"/>
        <v>45996</v>
      </c>
    </row>
    <row r="157" spans="1:43" x14ac:dyDescent="0.25">
      <c r="A157" s="37" t="str">
        <f ca="1">IF(AND(ISBLANK(AJ146), A156 = $AJ$1),NOW(),IF(ISBLANK(AJ146),"",AJ146))</f>
        <v/>
      </c>
      <c r="B157" s="38" t="str">
        <f ca="1">IF(COUNTIF($AJ$2:AJ1142,A157)=1,VLOOKUP(A157,Z:AA,2), IF(COUNTIF($AJ$2:AJ1142,A157)=0,$B$9,""))</f>
        <v/>
      </c>
      <c r="C157" s="2" t="str">
        <f t="shared" ca="1" si="14"/>
        <v/>
      </c>
      <c r="D157" s="41" t="str">
        <f t="shared" ca="1" si="15"/>
        <v/>
      </c>
      <c r="E157" s="78" t="str">
        <f ca="1">IF(COUNTIF($AJ$2:AJ1142,A157)=1,VLOOKUP(A157,AF:AG,2), IF(COUNTIF($AJ$2:AJ1142,A157)=0,$E$9,""))</f>
        <v/>
      </c>
      <c r="F157" s="91" t="str">
        <f ca="1">IF(COUNTIF($AJ$2:AJ1142,A157)=1,VLOOKUP(A157,AF:AG,2), IF(COUNTIF($AJ$2:AJ1142,A157)=0,$E$9,""))</f>
        <v/>
      </c>
      <c r="G157" s="93" t="str">
        <f t="shared" ca="1" si="16"/>
        <v/>
      </c>
      <c r="H157" s="38" t="str">
        <f ca="1">IF(COUNTIF($AJ$2:AJ1142,A157)=1,VLOOKUP(A157,AB:AC,2), IF(COUNTIF($AJ$2:AJ1142,A157)=0,$C$9,""))</f>
        <v/>
      </c>
      <c r="I157" s="2" t="str">
        <f ca="1">IF(ISERROR(B157-2),"",(H157-$H$14)/100*$C$5)</f>
        <v/>
      </c>
      <c r="J157" s="41" t="str">
        <f ca="1">IF(ISERROR(B157-2),"",(INT(A157)-INT($A$14))/360*$C$6*$C$5-(INT(A157)-INT($A$14))/360*$C$7*$C$5*$H$14/100)</f>
        <v/>
      </c>
      <c r="K157" s="38" t="str">
        <f ca="1">IF(COUNTIF($AJ$2:AJ1142,A157)=1,VLOOKUP(A157,AM:AN,2), IF(COUNTIF($AJ$2:AJ1142,A157)=0,$D$10,""))</f>
        <v/>
      </c>
      <c r="L157" s="41" t="str">
        <f ca="1">IF(ISERROR(K157-2),"",(K157/$K$14-1)*$D$5)</f>
        <v/>
      </c>
      <c r="M157" s="41" t="str">
        <f ca="1">IF($A157="","",IF(COUNTIFS(Dividends!$G:$G,"&gt;"&amp;INT($A156),Dividends!$G:$G,"&lt;="&amp;INT($A157))=0,"",$Q$2*SUMIFS(Dividends!$H:$H,Dividends!$G:$G,"&gt;"&amp;INT($A156),Dividends!$G:$G,"&lt;="&amp;INT($A157))))</f>
        <v/>
      </c>
      <c r="N157" s="42" t="str">
        <f ca="1">IF(ISERROR(B157-2),"",C157+D157-I157-J157-L157+SUM($M$14:M157))</f>
        <v/>
      </c>
      <c r="O157" s="80" t="str">
        <f t="shared" ca="1" si="17"/>
        <v/>
      </c>
      <c r="P157" s="80"/>
      <c r="Q157" s="87"/>
      <c r="R157" s="87"/>
      <c r="S157" s="87"/>
      <c r="T157" s="108"/>
      <c r="U157" s="87"/>
      <c r="V157" s="108"/>
      <c r="W157" s="87"/>
      <c r="X157" s="87"/>
      <c r="AH157" s="3" t="str">
        <f>IF(COUNTIF(AB:AB,Z157)*COUNTIF(AD:AD,Z157)*COUNTIF(AF:AF,Z157),Z157,"")</f>
        <v/>
      </c>
      <c r="AI157" s="3" t="str">
        <f t="shared" si="12"/>
        <v/>
      </c>
      <c r="AM157" s="3">
        <v>45999</v>
      </c>
      <c r="AN157" s="4">
        <v>246.71809999999999</v>
      </c>
      <c r="AO157" s="74">
        <v>45999</v>
      </c>
      <c r="AP157" s="4">
        <v>256.38</v>
      </c>
      <c r="AQ157" s="6">
        <f t="shared" si="13"/>
        <v>45999</v>
      </c>
    </row>
    <row r="158" spans="1:43" x14ac:dyDescent="0.25">
      <c r="A158" s="37" t="str">
        <f ca="1">IF(AND(ISBLANK(AJ147), A157 = $AJ$1),NOW(),IF(ISBLANK(AJ147),"",AJ147))</f>
        <v/>
      </c>
      <c r="B158" s="38" t="str">
        <f ca="1">IF(COUNTIF($AJ$2:AJ1143,A158)=1,VLOOKUP(A158,Z:AA,2), IF(COUNTIF($AJ$2:AJ1143,A158)=0,$B$9,""))</f>
        <v/>
      </c>
      <c r="C158" s="2" t="str">
        <f t="shared" ca="1" si="14"/>
        <v/>
      </c>
      <c r="D158" s="41" t="str">
        <f t="shared" ca="1" si="15"/>
        <v/>
      </c>
      <c r="E158" s="78" t="str">
        <f ca="1">IF(COUNTIF($AJ$2:AJ1143,A158)=1,VLOOKUP(A158,AF:AG,2), IF(COUNTIF($AJ$2:AJ1143,A158)=0,$E$9,""))</f>
        <v/>
      </c>
      <c r="F158" s="91" t="str">
        <f ca="1">IF(COUNTIF($AJ$2:AJ1143,A158)=1,VLOOKUP(A158,AF:AG,2), IF(COUNTIF($AJ$2:AJ1143,A158)=0,$E$9,""))</f>
        <v/>
      </c>
      <c r="G158" s="93" t="str">
        <f t="shared" ca="1" si="16"/>
        <v/>
      </c>
      <c r="H158" s="38" t="str">
        <f ca="1">IF(COUNTIF($AJ$2:AJ1143,A158)=1,VLOOKUP(A158,AB:AC,2), IF(COUNTIF($AJ$2:AJ1143,A158)=0,$C$9,""))</f>
        <v/>
      </c>
      <c r="I158" s="2" t="str">
        <f ca="1">IF(ISERROR(B158-2),"",(H158-$H$14)/100*$C$5)</f>
        <v/>
      </c>
      <c r="J158" s="41" t="str">
        <f ca="1">IF(ISERROR(B158-2),"",(INT(A158)-INT($A$14))/360*$C$6*$C$5-(INT(A158)-INT($A$14))/360*$C$7*$C$5*$H$14/100)</f>
        <v/>
      </c>
      <c r="K158" s="38" t="str">
        <f ca="1">IF(COUNTIF($AJ$2:AJ1143,A158)=1,VLOOKUP(A158,AM:AN,2), IF(COUNTIF($AJ$2:AJ1143,A158)=0,$D$10,""))</f>
        <v/>
      </c>
      <c r="L158" s="41" t="str">
        <f ca="1">IF(ISERROR(K158-2),"",(K158/$K$14-1)*$D$5)</f>
        <v/>
      </c>
      <c r="M158" s="41" t="str">
        <f ca="1">IF($A158="","",IF(COUNTIFS(Dividends!$G:$G,"&gt;"&amp;INT($A157),Dividends!$G:$G,"&lt;="&amp;INT($A158))=0,"",$Q$2*SUMIFS(Dividends!$H:$H,Dividends!$G:$G,"&gt;"&amp;INT($A157),Dividends!$G:$G,"&lt;="&amp;INT($A158))))</f>
        <v/>
      </c>
      <c r="N158" s="42" t="str">
        <f ca="1">IF(ISERROR(B158-2),"",C158+D158-I158-J158-L158+SUM($M$14:M158))</f>
        <v/>
      </c>
      <c r="O158" s="80" t="str">
        <f t="shared" ca="1" si="17"/>
        <v/>
      </c>
      <c r="P158" s="80"/>
      <c r="Q158" s="87"/>
      <c r="R158" s="87"/>
      <c r="S158" s="87"/>
      <c r="T158" s="108"/>
      <c r="U158" s="87"/>
      <c r="V158" s="108"/>
      <c r="W158" s="87"/>
      <c r="X158" s="87"/>
      <c r="AH158" s="3" t="str">
        <f>IF(COUNTIF(AB:AB,Z158)*COUNTIF(AD:AD,Z158)*COUNTIF(AF:AF,Z158),Z158,"")</f>
        <v/>
      </c>
      <c r="AI158" s="3" t="str">
        <f t="shared" si="12"/>
        <v/>
      </c>
      <c r="AM158" s="3">
        <v>46000</v>
      </c>
      <c r="AN158" s="4">
        <v>246.76429999999999</v>
      </c>
      <c r="AO158" s="74">
        <v>46000</v>
      </c>
      <c r="AP158" s="4">
        <v>254.755</v>
      </c>
      <c r="AQ158" s="6">
        <f t="shared" si="13"/>
        <v>46000</v>
      </c>
    </row>
    <row r="159" spans="1:43" x14ac:dyDescent="0.25">
      <c r="A159" s="37" t="str">
        <f ca="1">IF(AND(ISBLANK(AJ148), A158 = $AJ$1),NOW(),IF(ISBLANK(AJ148),"",AJ148))</f>
        <v/>
      </c>
      <c r="B159" s="38" t="str">
        <f ca="1">IF(COUNTIF($AJ$2:AJ1144,A159)=1,VLOOKUP(A159,Z:AA,2), IF(COUNTIF($AJ$2:AJ1144,A159)=0,$B$9,""))</f>
        <v/>
      </c>
      <c r="C159" s="2" t="str">
        <f t="shared" ca="1" si="14"/>
        <v/>
      </c>
      <c r="D159" s="41" t="str">
        <f t="shared" ca="1" si="15"/>
        <v/>
      </c>
      <c r="E159" s="78" t="str">
        <f ca="1">IF(COUNTIF($AJ$2:AJ1144,A159)=1,VLOOKUP(A159,AF:AG,2), IF(COUNTIF($AJ$2:AJ1144,A159)=0,$E$9,""))</f>
        <v/>
      </c>
      <c r="F159" s="91" t="str">
        <f ca="1">IF(COUNTIF($AJ$2:AJ1144,A159)=1,VLOOKUP(A159,AF:AG,2), IF(COUNTIF($AJ$2:AJ1144,A159)=0,$E$9,""))</f>
        <v/>
      </c>
      <c r="G159" s="93" t="str">
        <f t="shared" ca="1" si="16"/>
        <v/>
      </c>
      <c r="H159" s="38" t="str">
        <f ca="1">IF(COUNTIF($AJ$2:AJ1144,A159)=1,VLOOKUP(A159,AB:AC,2), IF(COUNTIF($AJ$2:AJ1144,A159)=0,$C$9,""))</f>
        <v/>
      </c>
      <c r="I159" s="2" t="str">
        <f ca="1">IF(ISERROR(B159-2),"",(H159-$H$14)/100*$C$5)</f>
        <v/>
      </c>
      <c r="J159" s="41" t="str">
        <f ca="1">IF(ISERROR(B159-2),"",(INT(A159)-INT($A$14))/360*$C$6*$C$5-(INT(A159)-INT($A$14))/360*$C$7*$C$5*$H$14/100)</f>
        <v/>
      </c>
      <c r="K159" s="38" t="str">
        <f ca="1">IF(COUNTIF($AJ$2:AJ1144,A159)=1,VLOOKUP(A159,AM:AN,2), IF(COUNTIF($AJ$2:AJ1144,A159)=0,$D$10,""))</f>
        <v/>
      </c>
      <c r="L159" s="41" t="str">
        <f ca="1">IF(ISERROR(K159-2),"",(K159/$K$14-1)*$D$5)</f>
        <v/>
      </c>
      <c r="M159" s="41" t="str">
        <f ca="1">IF($A159="","",IF(COUNTIFS(Dividends!$G:$G,"&gt;"&amp;INT($A158),Dividends!$G:$G,"&lt;="&amp;INT($A159))=0,"",$Q$2*SUMIFS(Dividends!$H:$H,Dividends!$G:$G,"&gt;"&amp;INT($A158),Dividends!$G:$G,"&lt;="&amp;INT($A159))))</f>
        <v/>
      </c>
      <c r="N159" s="42" t="str">
        <f ca="1">IF(ISERROR(B159-2),"",C159+D159-I159-J159-L159+SUM($M$14:M159))</f>
        <v/>
      </c>
      <c r="O159" s="80" t="str">
        <f t="shared" ca="1" si="17"/>
        <v/>
      </c>
      <c r="P159" s="80"/>
      <c r="Q159" s="87"/>
      <c r="R159" s="87"/>
      <c r="S159" s="87"/>
      <c r="T159" s="108"/>
      <c r="U159" s="87"/>
      <c r="V159" s="108"/>
      <c r="W159" s="87"/>
      <c r="X159" s="87"/>
      <c r="AH159" s="3" t="str">
        <f>IF(COUNTIF(AB:AB,Z159)*COUNTIF(AD:AD,Z159)*COUNTIF(AF:AF,Z159),Z159,"")</f>
        <v/>
      </c>
      <c r="AI159" s="3" t="str">
        <f t="shared" si="12"/>
        <v/>
      </c>
      <c r="AM159" s="3">
        <v>46001</v>
      </c>
      <c r="AN159" s="4">
        <v>246.89660000000001</v>
      </c>
      <c r="AO159" s="74">
        <v>46001</v>
      </c>
      <c r="AP159" s="4">
        <v>253.602</v>
      </c>
      <c r="AQ159" s="6">
        <f t="shared" si="13"/>
        <v>46001</v>
      </c>
    </row>
    <row r="160" spans="1:43" x14ac:dyDescent="0.25">
      <c r="A160" s="37" t="str">
        <f ca="1">IF(AND(ISBLANK(AJ149), A159 = $AJ$1),NOW(),IF(ISBLANK(AJ149),"",AJ149))</f>
        <v/>
      </c>
      <c r="B160" s="38" t="str">
        <f ca="1">IF(COUNTIF($AJ$2:AJ1145,A160)=1,VLOOKUP(A160,Z:AA,2), IF(COUNTIF($AJ$2:AJ1145,A160)=0,$B$9,""))</f>
        <v/>
      </c>
      <c r="C160" s="2" t="str">
        <f t="shared" ca="1" si="14"/>
        <v/>
      </c>
      <c r="D160" s="41" t="str">
        <f t="shared" ca="1" si="15"/>
        <v/>
      </c>
      <c r="E160" s="78" t="str">
        <f ca="1">IF(COUNTIF($AJ$2:AJ1145,A160)=1,VLOOKUP(A160,AF:AG,2), IF(COUNTIF($AJ$2:AJ1145,A160)=0,$E$9,""))</f>
        <v/>
      </c>
      <c r="F160" s="91" t="str">
        <f ca="1">IF(COUNTIF($AJ$2:AJ1145,A160)=1,VLOOKUP(A160,AF:AG,2), IF(COUNTIF($AJ$2:AJ1145,A160)=0,$E$9,""))</f>
        <v/>
      </c>
      <c r="G160" s="93" t="str">
        <f t="shared" ca="1" si="16"/>
        <v/>
      </c>
      <c r="H160" s="38" t="str">
        <f ca="1">IF(COUNTIF($AJ$2:AJ1145,A160)=1,VLOOKUP(A160,AB:AC,2), IF(COUNTIF($AJ$2:AJ1145,A160)=0,$C$9,""))</f>
        <v/>
      </c>
      <c r="I160" s="2" t="str">
        <f ca="1">IF(ISERROR(B160-2),"",(H160-$H$14)/100*$C$5)</f>
        <v/>
      </c>
      <c r="J160" s="41" t="str">
        <f ca="1">IF(ISERROR(B160-2),"",(INT(A160)-INT($A$14))/360*$C$6*$C$5-(INT(A160)-INT($A$14))/360*$C$7*$C$5*$H$14/100)</f>
        <v/>
      </c>
      <c r="K160" s="38" t="str">
        <f ca="1">IF(COUNTIF($AJ$2:AJ1145,A160)=1,VLOOKUP(A160,AM:AN,2), IF(COUNTIF($AJ$2:AJ1145,A160)=0,$D$10,""))</f>
        <v/>
      </c>
      <c r="L160" s="41" t="str">
        <f ca="1">IF(ISERROR(K160-2),"",(K160/$K$14-1)*$D$5)</f>
        <v/>
      </c>
      <c r="M160" s="41" t="str">
        <f ca="1">IF($A160="","",IF(COUNTIFS(Dividends!$G:$G,"&gt;"&amp;INT($A159),Dividends!$G:$G,"&lt;="&amp;INT($A160))=0,"",$Q$2*SUMIFS(Dividends!$H:$H,Dividends!$G:$G,"&gt;"&amp;INT($A159),Dividends!$G:$G,"&lt;="&amp;INT($A160))))</f>
        <v/>
      </c>
      <c r="N160" s="42" t="str">
        <f ca="1">IF(ISERROR(B160-2),"",C160+D160-I160-J160-L160+SUM($M$14:M160))</f>
        <v/>
      </c>
      <c r="O160" s="80" t="str">
        <f t="shared" ca="1" si="17"/>
        <v/>
      </c>
      <c r="P160" s="80"/>
      <c r="Q160" s="87"/>
      <c r="R160" s="87"/>
      <c r="S160" s="87"/>
      <c r="T160" s="108"/>
      <c r="U160" s="87"/>
      <c r="V160" s="108"/>
      <c r="W160" s="87"/>
      <c r="X160" s="87"/>
      <c r="AH160" s="3" t="str">
        <f>IF(COUNTIF(AB:AB,Z160)*COUNTIF(AD:AD,Z160)*COUNTIF(AF:AF,Z160),Z160,"")</f>
        <v/>
      </c>
      <c r="AI160" s="3" t="str">
        <f t="shared" si="12"/>
        <v/>
      </c>
      <c r="AM160" s="3">
        <v>46002</v>
      </c>
      <c r="AN160" s="4">
        <v>247.6378</v>
      </c>
      <c r="AO160" s="74">
        <v>46002</v>
      </c>
      <c r="AP160" s="4">
        <v>247.48400000000001</v>
      </c>
      <c r="AQ160" s="6">
        <f t="shared" si="13"/>
        <v>46002</v>
      </c>
    </row>
    <row r="161" spans="1:43" x14ac:dyDescent="0.25">
      <c r="A161" s="37" t="str">
        <f ca="1">IF(AND(ISBLANK(AJ150), A160 = $AJ$1),NOW(),IF(ISBLANK(AJ150),"",AJ150))</f>
        <v/>
      </c>
      <c r="B161" s="38" t="str">
        <f ca="1">IF(COUNTIF($AJ$2:AJ1146,A161)=1,VLOOKUP(A161,Z:AA,2), IF(COUNTIF($AJ$2:AJ1146,A161)=0,$B$9,""))</f>
        <v/>
      </c>
      <c r="C161" s="2" t="str">
        <f t="shared" ca="1" si="14"/>
        <v/>
      </c>
      <c r="D161" s="41" t="str">
        <f t="shared" ca="1" si="15"/>
        <v/>
      </c>
      <c r="E161" s="78" t="str">
        <f ca="1">IF(COUNTIF($AJ$2:AJ1146,A161)=1,VLOOKUP(A161,AF:AG,2), IF(COUNTIF($AJ$2:AJ1146,A161)=0,$E$9,""))</f>
        <v/>
      </c>
      <c r="F161" s="91" t="str">
        <f ca="1">IF(COUNTIF($AJ$2:AJ1146,A161)=1,VLOOKUP(A161,AF:AG,2), IF(COUNTIF($AJ$2:AJ1146,A161)=0,$E$9,""))</f>
        <v/>
      </c>
      <c r="G161" s="93" t="str">
        <f t="shared" ca="1" si="16"/>
        <v/>
      </c>
      <c r="H161" s="38" t="str">
        <f ca="1">IF(COUNTIF($AJ$2:AJ1146,A161)=1,VLOOKUP(A161,AB:AC,2), IF(COUNTIF($AJ$2:AJ1146,A161)=0,$C$9,""))</f>
        <v/>
      </c>
      <c r="I161" s="2" t="str">
        <f ca="1">IF(ISERROR(B161-2),"",(H161-$H$14)/100*$C$5)</f>
        <v/>
      </c>
      <c r="J161" s="41" t="str">
        <f ca="1">IF(ISERROR(B161-2),"",(INT(A161)-INT($A$14))/360*$C$6*$C$5-(INT(A161)-INT($A$14))/360*$C$7*$C$5*$H$14/100)</f>
        <v/>
      </c>
      <c r="K161" s="38" t="str">
        <f ca="1">IF(COUNTIF($AJ$2:AJ1146,A161)=1,VLOOKUP(A161,AM:AN,2), IF(COUNTIF($AJ$2:AJ1146,A161)=0,$D$10,""))</f>
        <v/>
      </c>
      <c r="L161" s="41" t="str">
        <f ca="1">IF(ISERROR(K161-2),"",(K161/$K$14-1)*$D$5)</f>
        <v/>
      </c>
      <c r="M161" s="41" t="str">
        <f ca="1">IF($A161="","",IF(COUNTIFS(Dividends!$G:$G,"&gt;"&amp;INT($A160),Dividends!$G:$G,"&lt;="&amp;INT($A161))=0,"",$Q$2*SUMIFS(Dividends!$H:$H,Dividends!$G:$G,"&gt;"&amp;INT($A160),Dividends!$G:$G,"&lt;="&amp;INT($A161))))</f>
        <v/>
      </c>
      <c r="N161" s="42" t="str">
        <f ca="1">IF(ISERROR(B161-2),"",C161+D161-I161-J161-L161+SUM($M$14:M161))</f>
        <v/>
      </c>
      <c r="O161" s="80" t="str">
        <f t="shared" ca="1" si="17"/>
        <v/>
      </c>
      <c r="P161" s="80"/>
      <c r="Q161" s="87"/>
      <c r="R161" s="87"/>
      <c r="S161" s="87"/>
      <c r="T161" s="108"/>
      <c r="U161" s="87"/>
      <c r="V161" s="108"/>
      <c r="W161" s="87"/>
      <c r="X161" s="87"/>
      <c r="AH161" s="3" t="str">
        <f>IF(COUNTIF(AB:AB,Z161)*COUNTIF(AD:AD,Z161)*COUNTIF(AF:AF,Z161),Z161,"")</f>
        <v/>
      </c>
      <c r="AI161" s="3" t="str">
        <f t="shared" si="12"/>
        <v/>
      </c>
      <c r="AM161" s="3">
        <v>46003</v>
      </c>
      <c r="AN161" s="4">
        <v>247.29140000000001</v>
      </c>
      <c r="AO161" s="74">
        <v>46003</v>
      </c>
      <c r="AP161" s="4">
        <v>251.251</v>
      </c>
      <c r="AQ161" s="6">
        <f t="shared" si="13"/>
        <v>46003</v>
      </c>
    </row>
    <row r="162" spans="1:43" x14ac:dyDescent="0.25">
      <c r="A162" s="37" t="str">
        <f ca="1">IF(AND(ISBLANK(AJ151), A161 = $AJ$1),NOW(),IF(ISBLANK(AJ151),"",AJ151))</f>
        <v/>
      </c>
      <c r="B162" s="38" t="str">
        <f ca="1">IF(COUNTIF($AJ$2:AJ1147,A162)=1,VLOOKUP(A162,Z:AA,2), IF(COUNTIF($AJ$2:AJ1147,A162)=0,$B$9,""))</f>
        <v/>
      </c>
      <c r="C162" s="2" t="str">
        <f t="shared" ca="1" si="14"/>
        <v/>
      </c>
      <c r="D162" s="41" t="str">
        <f t="shared" ca="1" si="15"/>
        <v/>
      </c>
      <c r="E162" s="78" t="str">
        <f ca="1">IF(COUNTIF($AJ$2:AJ1147,A162)=1,VLOOKUP(A162,AF:AG,2), IF(COUNTIF($AJ$2:AJ1147,A162)=0,$E$9,""))</f>
        <v/>
      </c>
      <c r="F162" s="91" t="str">
        <f ca="1">IF(COUNTIF($AJ$2:AJ1147,A162)=1,VLOOKUP(A162,AF:AG,2), IF(COUNTIF($AJ$2:AJ1147,A162)=0,$E$9,""))</f>
        <v/>
      </c>
      <c r="G162" s="93" t="str">
        <f t="shared" ca="1" si="16"/>
        <v/>
      </c>
      <c r="H162" s="38" t="str">
        <f ca="1">IF(COUNTIF($AJ$2:AJ1147,A162)=1,VLOOKUP(A162,AB:AC,2), IF(COUNTIF($AJ$2:AJ1147,A162)=0,$C$9,""))</f>
        <v/>
      </c>
      <c r="I162" s="2" t="str">
        <f ca="1">IF(ISERROR(B162-2),"",(H162-$H$14)/100*$C$5)</f>
        <v/>
      </c>
      <c r="J162" s="41" t="str">
        <f ca="1">IF(ISERROR(B162-2),"",(INT(A162)-INT($A$14))/360*$C$6*$C$5-(INT(A162)-INT($A$14))/360*$C$7*$C$5*$H$14/100)</f>
        <v/>
      </c>
      <c r="K162" s="38" t="str">
        <f ca="1">IF(COUNTIF($AJ$2:AJ1147,A162)=1,VLOOKUP(A162,AM:AN,2), IF(COUNTIF($AJ$2:AJ1147,A162)=0,$D$10,""))</f>
        <v/>
      </c>
      <c r="L162" s="41" t="str">
        <f ca="1">IF(ISERROR(K162-2),"",(K162/$K$14-1)*$D$5)</f>
        <v/>
      </c>
      <c r="M162" s="41" t="str">
        <f ca="1">IF($A162="","",IF(COUNTIFS(Dividends!$G:$G,"&gt;"&amp;INT($A161),Dividends!$G:$G,"&lt;="&amp;INT($A162))=0,"",$Q$2*SUMIFS(Dividends!$H:$H,Dividends!$G:$G,"&gt;"&amp;INT($A161),Dividends!$G:$G,"&lt;="&amp;INT($A162))))</f>
        <v/>
      </c>
      <c r="N162" s="42" t="str">
        <f ca="1">IF(ISERROR(B162-2),"",C162+D162-I162-J162-L162+SUM($M$14:M162))</f>
        <v/>
      </c>
      <c r="O162" s="80" t="str">
        <f t="shared" ca="1" si="17"/>
        <v/>
      </c>
      <c r="P162" s="80"/>
      <c r="Q162" s="87"/>
      <c r="R162" s="87"/>
      <c r="S162" s="87"/>
      <c r="T162" s="108"/>
      <c r="U162" s="87"/>
      <c r="V162" s="108"/>
      <c r="W162" s="87"/>
      <c r="X162" s="87"/>
      <c r="AH162" s="3" t="str">
        <f>IF(COUNTIF(AB:AB,Z162)*COUNTIF(AD:AD,Z162)*COUNTIF(AF:AF,Z162),Z162,"")</f>
        <v/>
      </c>
      <c r="AI162" s="3" t="str">
        <f t="shared" si="12"/>
        <v/>
      </c>
      <c r="AM162" s="3">
        <v>46006</v>
      </c>
      <c r="AN162" s="4">
        <v>247.6292</v>
      </c>
      <c r="AO162" s="74">
        <v>46006</v>
      </c>
      <c r="AP162" s="4">
        <v>248.71100000000001</v>
      </c>
      <c r="AQ162" s="6">
        <f t="shared" si="13"/>
        <v>46006</v>
      </c>
    </row>
    <row r="163" spans="1:43" x14ac:dyDescent="0.25">
      <c r="A163" s="37" t="str">
        <f ca="1">IF(AND(ISBLANK(AJ152), A162 = $AJ$1),NOW(),IF(ISBLANK(AJ152),"",AJ152))</f>
        <v/>
      </c>
      <c r="B163" s="38" t="str">
        <f ca="1">IF(COUNTIF($AJ$2:AJ1148,A163)=1,VLOOKUP(A163,Z:AA,2), IF(COUNTIF($AJ$2:AJ1148,A163)=0,$B$9,""))</f>
        <v/>
      </c>
      <c r="C163" s="2" t="str">
        <f t="shared" ca="1" si="14"/>
        <v/>
      </c>
      <c r="D163" s="41" t="str">
        <f t="shared" ca="1" si="15"/>
        <v/>
      </c>
      <c r="E163" s="78" t="str">
        <f ca="1">IF(COUNTIF($AJ$2:AJ1148,A163)=1,VLOOKUP(A163,AF:AG,2), IF(COUNTIF($AJ$2:AJ1148,A163)=0,$E$9,""))</f>
        <v/>
      </c>
      <c r="F163" s="91" t="str">
        <f ca="1">IF(COUNTIF($AJ$2:AJ1148,A163)=1,VLOOKUP(A163,AF:AG,2), IF(COUNTIF($AJ$2:AJ1148,A163)=0,$E$9,""))</f>
        <v/>
      </c>
      <c r="G163" s="93" t="str">
        <f t="shared" ca="1" si="16"/>
        <v/>
      </c>
      <c r="H163" s="38" t="str">
        <f ca="1">IF(COUNTIF($AJ$2:AJ1148,A163)=1,VLOOKUP(A163,AB:AC,2), IF(COUNTIF($AJ$2:AJ1148,A163)=0,$C$9,""))</f>
        <v/>
      </c>
      <c r="I163" s="2" t="str">
        <f ca="1">IF(ISERROR(B163-2),"",(H163-$H$14)/100*$C$5)</f>
        <v/>
      </c>
      <c r="J163" s="41" t="str">
        <f ca="1">IF(ISERROR(B163-2),"",(INT(A163)-INT($A$14))/360*$C$6*$C$5-(INT(A163)-INT($A$14))/360*$C$7*$C$5*$H$14/100)</f>
        <v/>
      </c>
      <c r="K163" s="38" t="str">
        <f ca="1">IF(COUNTIF($AJ$2:AJ1148,A163)=1,VLOOKUP(A163,AM:AN,2), IF(COUNTIF($AJ$2:AJ1148,A163)=0,$D$10,""))</f>
        <v/>
      </c>
      <c r="L163" s="41" t="str">
        <f ca="1">IF(ISERROR(K163-2),"",(K163/$K$14-1)*$D$5)</f>
        <v/>
      </c>
      <c r="M163" s="41" t="str">
        <f ca="1">IF($A163="","",IF(COUNTIFS(Dividends!$G:$G,"&gt;"&amp;INT($A162),Dividends!$G:$G,"&lt;="&amp;INT($A163))=0,"",$Q$2*SUMIFS(Dividends!$H:$H,Dividends!$G:$G,"&gt;"&amp;INT($A162),Dividends!$G:$G,"&lt;="&amp;INT($A163))))</f>
        <v/>
      </c>
      <c r="N163" s="42" t="str">
        <f ca="1">IF(ISERROR(B163-2),"",C163+D163-I163-J163-L163+SUM($M$14:M163))</f>
        <v/>
      </c>
      <c r="O163" s="80" t="str">
        <f t="shared" ca="1" si="17"/>
        <v/>
      </c>
      <c r="P163" s="80"/>
      <c r="Q163" s="87"/>
      <c r="R163" s="87"/>
      <c r="S163" s="87"/>
      <c r="T163" s="108"/>
      <c r="U163" s="87"/>
      <c r="V163" s="108"/>
      <c r="W163" s="87"/>
      <c r="X163" s="87"/>
      <c r="AH163" s="3" t="str">
        <f>IF(COUNTIF(AB:AB,Z163)*COUNTIF(AD:AD,Z163)*COUNTIF(AF:AF,Z163),Z163,"")</f>
        <v/>
      </c>
      <c r="AI163" s="3" t="str">
        <f t="shared" si="12"/>
        <v/>
      </c>
      <c r="AM163" s="3">
        <v>46007</v>
      </c>
      <c r="AN163" s="4">
        <v>247.4761</v>
      </c>
      <c r="AO163" s="74">
        <v>46007</v>
      </c>
      <c r="AP163" s="4">
        <v>250.40600000000001</v>
      </c>
      <c r="AQ163" s="6">
        <f t="shared" si="13"/>
        <v>46007</v>
      </c>
    </row>
    <row r="164" spans="1:43" x14ac:dyDescent="0.25">
      <c r="A164" s="37" t="str">
        <f ca="1">IF(AND(ISBLANK(AJ153), A163 = $AJ$1),NOW(),IF(ISBLANK(AJ153),"",AJ153))</f>
        <v/>
      </c>
      <c r="B164" s="38" t="str">
        <f ca="1">IF(COUNTIF($AJ$2:AJ1149,A164)=1,VLOOKUP(A164,Z:AA,2), IF(COUNTIF($AJ$2:AJ1149,A164)=0,$B$9,""))</f>
        <v/>
      </c>
      <c r="C164" s="2" t="str">
        <f t="shared" ca="1" si="14"/>
        <v/>
      </c>
      <c r="D164" s="41" t="str">
        <f t="shared" ca="1" si="15"/>
        <v/>
      </c>
      <c r="E164" s="78" t="str">
        <f ca="1">IF(COUNTIF($AJ$2:AJ1149,A164)=1,VLOOKUP(A164,AF:AG,2), IF(COUNTIF($AJ$2:AJ1149,A164)=0,$E$9,""))</f>
        <v/>
      </c>
      <c r="F164" s="91" t="str">
        <f ca="1">IF(COUNTIF($AJ$2:AJ1149,A164)=1,VLOOKUP(A164,AF:AG,2), IF(COUNTIF($AJ$2:AJ1149,A164)=0,$E$9,""))</f>
        <v/>
      </c>
      <c r="G164" s="93" t="str">
        <f t="shared" ca="1" si="16"/>
        <v/>
      </c>
      <c r="H164" s="38" t="str">
        <f ca="1">IF(COUNTIF($AJ$2:AJ1149,A164)=1,VLOOKUP(A164,AB:AC,2), IF(COUNTIF($AJ$2:AJ1149,A164)=0,$C$9,""))</f>
        <v/>
      </c>
      <c r="I164" s="2" t="str">
        <f ca="1">IF(ISERROR(B164-2),"",(H164-$H$14)/100*$C$5)</f>
        <v/>
      </c>
      <c r="J164" s="41" t="str">
        <f ca="1">IF(ISERROR(B164-2),"",(INT(A164)-INT($A$14))/360*$C$6*$C$5-(INT(A164)-INT($A$14))/360*$C$7*$C$5*$H$14/100)</f>
        <v/>
      </c>
      <c r="K164" s="38" t="str">
        <f ca="1">IF(COUNTIF($AJ$2:AJ1149,A164)=1,VLOOKUP(A164,AM:AN,2), IF(COUNTIF($AJ$2:AJ1149,A164)=0,$D$10,""))</f>
        <v/>
      </c>
      <c r="L164" s="41" t="str">
        <f ca="1">IF(ISERROR(K164-2),"",(K164/$K$14-1)*$D$5)</f>
        <v/>
      </c>
      <c r="M164" s="41" t="str">
        <f ca="1">IF($A164="","",IF(COUNTIFS(Dividends!$G:$G,"&gt;"&amp;INT($A163),Dividends!$G:$G,"&lt;="&amp;INT($A164))=0,"",$Q$2*SUMIFS(Dividends!$H:$H,Dividends!$G:$G,"&gt;"&amp;INT($A163),Dividends!$G:$G,"&lt;="&amp;INT($A164))))</f>
        <v/>
      </c>
      <c r="N164" s="42" t="str">
        <f ca="1">IF(ISERROR(B164-2),"",C164+D164-I164-J164-L164+SUM($M$14:M164))</f>
        <v/>
      </c>
      <c r="O164" s="80" t="str">
        <f t="shared" ca="1" si="17"/>
        <v/>
      </c>
      <c r="P164" s="80"/>
      <c r="Q164" s="87"/>
      <c r="R164" s="87"/>
      <c r="S164" s="87"/>
      <c r="T164" s="108"/>
      <c r="U164" s="87"/>
      <c r="V164" s="108"/>
      <c r="W164" s="87"/>
      <c r="X164" s="87"/>
      <c r="AH164" s="3" t="str">
        <f>IF(COUNTIF(AB:AB,Z164)*COUNTIF(AD:AD,Z164)*COUNTIF(AF:AF,Z164),Z164,"")</f>
        <v/>
      </c>
      <c r="AI164" s="3" t="str">
        <f t="shared" si="12"/>
        <v/>
      </c>
      <c r="AM164" s="3">
        <v>46008</v>
      </c>
      <c r="AN164" s="4">
        <v>247.34719999999999</v>
      </c>
      <c r="AO164" s="74">
        <v>46008</v>
      </c>
      <c r="AP164" s="4">
        <v>251.99100000000001</v>
      </c>
      <c r="AQ164" s="6">
        <f t="shared" si="13"/>
        <v>46008</v>
      </c>
    </row>
    <row r="165" spans="1:43" x14ac:dyDescent="0.25">
      <c r="A165" s="37" t="str">
        <f ca="1">IF(AND(ISBLANK(AJ154), A164 = $AJ$1),NOW(),IF(ISBLANK(AJ154),"",AJ154))</f>
        <v/>
      </c>
      <c r="B165" s="38" t="str">
        <f ca="1">IF(COUNTIF($AJ$2:AJ1150,A165)=1,VLOOKUP(A165,Z:AA,2), IF(COUNTIF($AJ$2:AJ1150,A165)=0,$B$9,""))</f>
        <v/>
      </c>
      <c r="C165" s="2" t="str">
        <f t="shared" ca="1" si="14"/>
        <v/>
      </c>
      <c r="D165" s="41" t="str">
        <f t="shared" ca="1" si="15"/>
        <v/>
      </c>
      <c r="E165" s="78" t="str">
        <f ca="1">IF(COUNTIF($AJ$2:AJ1150,A165)=1,VLOOKUP(A165,AF:AG,2), IF(COUNTIF($AJ$2:AJ1150,A165)=0,$E$9,""))</f>
        <v/>
      </c>
      <c r="F165" s="91" t="str">
        <f ca="1">IF(COUNTIF($AJ$2:AJ1150,A165)=1,VLOOKUP(A165,AF:AG,2), IF(COUNTIF($AJ$2:AJ1150,A165)=0,$E$9,""))</f>
        <v/>
      </c>
      <c r="G165" s="93" t="str">
        <f t="shared" ca="1" si="16"/>
        <v/>
      </c>
      <c r="H165" s="38" t="str">
        <f ca="1">IF(COUNTIF($AJ$2:AJ1150,A165)=1,VLOOKUP(A165,AB:AC,2), IF(COUNTIF($AJ$2:AJ1150,A165)=0,$C$9,""))</f>
        <v/>
      </c>
      <c r="I165" s="2" t="str">
        <f ca="1">IF(ISERROR(B165-2),"",(H165-$H$14)/100*$C$5)</f>
        <v/>
      </c>
      <c r="J165" s="41" t="str">
        <f ca="1">IF(ISERROR(B165-2),"",(INT(A165)-INT($A$14))/360*$C$6*$C$5-(INT(A165)-INT($A$14))/360*$C$7*$C$5*$H$14/100)</f>
        <v/>
      </c>
      <c r="K165" s="38" t="str">
        <f ca="1">IF(COUNTIF($AJ$2:AJ1150,A165)=1,VLOOKUP(A165,AM:AN,2), IF(COUNTIF($AJ$2:AJ1150,A165)=0,$D$10,""))</f>
        <v/>
      </c>
      <c r="L165" s="41" t="str">
        <f ca="1">IF(ISERROR(K165-2),"",(K165/$K$14-1)*$D$5)</f>
        <v/>
      </c>
      <c r="M165" s="41" t="str">
        <f ca="1">IF($A165="","",IF(COUNTIFS(Dividends!$G:$G,"&gt;"&amp;INT($A164),Dividends!$G:$G,"&lt;="&amp;INT($A165))=0,"",$Q$2*SUMIFS(Dividends!$H:$H,Dividends!$G:$G,"&gt;"&amp;INT($A164),Dividends!$G:$G,"&lt;="&amp;INT($A165))))</f>
        <v/>
      </c>
      <c r="N165" s="42" t="str">
        <f ca="1">IF(ISERROR(B165-2),"",C165+D165-I165-J165-L165+SUM($M$14:M165))</f>
        <v/>
      </c>
      <c r="O165" s="80" t="str">
        <f t="shared" ca="1" si="17"/>
        <v/>
      </c>
      <c r="P165" s="80"/>
      <c r="Q165" s="87"/>
      <c r="R165" s="87"/>
      <c r="S165" s="87"/>
      <c r="T165" s="108"/>
      <c r="U165" s="87"/>
      <c r="V165" s="108"/>
      <c r="W165" s="87"/>
      <c r="X165" s="87"/>
      <c r="AH165" s="3" t="str">
        <f>IF(COUNTIF(AB:AB,Z165)*COUNTIF(AD:AD,Z165)*COUNTIF(AF:AF,Z165),Z165,"")</f>
        <v/>
      </c>
      <c r="AI165" s="3" t="str">
        <f t="shared" si="12"/>
        <v/>
      </c>
      <c r="AM165" s="3">
        <v>46009</v>
      </c>
      <c r="AN165" s="4">
        <v>248.1044</v>
      </c>
      <c r="AO165" s="74">
        <v>46009</v>
      </c>
      <c r="AP165" s="4">
        <v>245.59399999999999</v>
      </c>
      <c r="AQ165" s="6">
        <f t="shared" si="13"/>
        <v>46009</v>
      </c>
    </row>
    <row r="166" spans="1:43" x14ac:dyDescent="0.25">
      <c r="A166" s="37" t="str">
        <f ca="1">IF(AND(ISBLANK(AJ155), A165 = $AJ$1),NOW(),IF(ISBLANK(AJ155),"",AJ155))</f>
        <v/>
      </c>
      <c r="B166" s="38" t="str">
        <f ca="1">IF(COUNTIF($AJ$2:AJ1151,A166)=1,VLOOKUP(A166,Z:AA,2), IF(COUNTIF($AJ$2:AJ1151,A166)=0,$B$9,""))</f>
        <v/>
      </c>
      <c r="C166" s="2" t="str">
        <f t="shared" ca="1" si="14"/>
        <v/>
      </c>
      <c r="D166" s="41" t="str">
        <f t="shared" ca="1" si="15"/>
        <v/>
      </c>
      <c r="E166" s="78" t="str">
        <f ca="1">IF(COUNTIF($AJ$2:AJ1151,A166)=1,VLOOKUP(A166,AF:AG,2), IF(COUNTIF($AJ$2:AJ1151,A166)=0,$E$9,""))</f>
        <v/>
      </c>
      <c r="F166" s="91" t="str">
        <f ca="1">IF(COUNTIF($AJ$2:AJ1151,A166)=1,VLOOKUP(A166,AF:AG,2), IF(COUNTIF($AJ$2:AJ1151,A166)=0,$E$9,""))</f>
        <v/>
      </c>
      <c r="G166" s="93" t="str">
        <f t="shared" ca="1" si="16"/>
        <v/>
      </c>
      <c r="H166" s="38" t="str">
        <f ca="1">IF(COUNTIF($AJ$2:AJ1151,A166)=1,VLOOKUP(A166,AB:AC,2), IF(COUNTIF($AJ$2:AJ1151,A166)=0,$C$9,""))</f>
        <v/>
      </c>
      <c r="I166" s="2" t="str">
        <f ca="1">IF(ISERROR(B166-2),"",(H166-$H$14)/100*$C$5)</f>
        <v/>
      </c>
      <c r="J166" s="41" t="str">
        <f ca="1">IF(ISERROR(B166-2),"",(INT(A166)-INT($A$14))/360*$C$6*$C$5-(INT(A166)-INT($A$14))/360*$C$7*$C$5*$H$14/100)</f>
        <v/>
      </c>
      <c r="K166" s="38" t="str">
        <f ca="1">IF(COUNTIF($AJ$2:AJ1151,A166)=1,VLOOKUP(A166,AM:AN,2), IF(COUNTIF($AJ$2:AJ1151,A166)=0,$D$10,""))</f>
        <v/>
      </c>
      <c r="L166" s="41" t="str">
        <f ca="1">IF(ISERROR(K166-2),"",(K166/$K$14-1)*$D$5)</f>
        <v/>
      </c>
      <c r="M166" s="41" t="str">
        <f ca="1">IF($A166="","",IF(COUNTIFS(Dividends!$G:$G,"&gt;"&amp;INT($A165),Dividends!$G:$G,"&lt;="&amp;INT($A166))=0,"",$Q$2*SUMIFS(Dividends!$H:$H,Dividends!$G:$G,"&gt;"&amp;INT($A165),Dividends!$G:$G,"&lt;="&amp;INT($A166))))</f>
        <v/>
      </c>
      <c r="N166" s="42" t="str">
        <f ca="1">IF(ISERROR(B166-2),"",C166+D166-I166-J166-L166+SUM($M$14:M166))</f>
        <v/>
      </c>
      <c r="O166" s="80" t="str">
        <f t="shared" ca="1" si="17"/>
        <v/>
      </c>
      <c r="P166" s="80"/>
      <c r="Q166" s="87"/>
      <c r="R166" s="87"/>
      <c r="S166" s="87"/>
      <c r="T166" s="108"/>
      <c r="U166" s="87"/>
      <c r="V166" s="108"/>
      <c r="W166" s="87"/>
      <c r="X166" s="87"/>
      <c r="AH166" s="3" t="str">
        <f>IF(COUNTIF(AB:AB,Z166)*COUNTIF(AD:AD,Z166)*COUNTIF(AF:AF,Z166),Z166,"")</f>
        <v/>
      </c>
      <c r="AI166" s="3" t="str">
        <f t="shared" si="12"/>
        <v/>
      </c>
      <c r="AM166" s="3">
        <v>46010</v>
      </c>
      <c r="AN166" s="4">
        <v>248.1113</v>
      </c>
      <c r="AO166" s="74">
        <v>46010</v>
      </c>
      <c r="AP166" s="4">
        <v>245.69</v>
      </c>
      <c r="AQ166" s="6">
        <f t="shared" si="13"/>
        <v>46010</v>
      </c>
    </row>
    <row r="167" spans="1:43" x14ac:dyDescent="0.25">
      <c r="A167" s="37" t="str">
        <f ca="1">IF(AND(ISBLANK(AJ156), A166 = $AJ$1),NOW(),IF(ISBLANK(AJ156),"",AJ156))</f>
        <v/>
      </c>
      <c r="B167" s="38" t="str">
        <f ca="1">IF(COUNTIF($AJ$2:AJ1152,A167)=1,VLOOKUP(A167,Z:AA,2), IF(COUNTIF($AJ$2:AJ1152,A167)=0,$B$9,""))</f>
        <v/>
      </c>
      <c r="C167" s="2" t="str">
        <f t="shared" ca="1" si="14"/>
        <v/>
      </c>
      <c r="D167" s="41" t="str">
        <f t="shared" ca="1" si="15"/>
        <v/>
      </c>
      <c r="E167" s="78" t="str">
        <f ca="1">IF(COUNTIF($AJ$2:AJ1152,A167)=1,VLOOKUP(A167,AF:AG,2), IF(COUNTIF($AJ$2:AJ1152,A167)=0,$E$9,""))</f>
        <v/>
      </c>
      <c r="F167" s="91" t="str">
        <f ca="1">IF(COUNTIF($AJ$2:AJ1152,A167)=1,VLOOKUP(A167,AF:AG,2), IF(COUNTIF($AJ$2:AJ1152,A167)=0,$E$9,""))</f>
        <v/>
      </c>
      <c r="G167" s="93" t="str">
        <f t="shared" ca="1" si="16"/>
        <v/>
      </c>
      <c r="H167" s="38" t="str">
        <f ca="1">IF(COUNTIF($AJ$2:AJ1152,A167)=1,VLOOKUP(A167,AB:AC,2), IF(COUNTIF($AJ$2:AJ1152,A167)=0,$C$9,""))</f>
        <v/>
      </c>
      <c r="I167" s="2" t="str">
        <f ca="1">IF(ISERROR(B167-2),"",(H167-$H$14)/100*$C$5)</f>
        <v/>
      </c>
      <c r="J167" s="41" t="str">
        <f ca="1">IF(ISERROR(B167-2),"",(INT(A167)-INT($A$14))/360*$C$6*$C$5-(INT(A167)-INT($A$14))/360*$C$7*$C$5*$H$14/100)</f>
        <v/>
      </c>
      <c r="K167" s="38" t="str">
        <f ca="1">IF(COUNTIF($AJ$2:AJ1152,A167)=1,VLOOKUP(A167,AM:AN,2), IF(COUNTIF($AJ$2:AJ1152,A167)=0,$D$10,""))</f>
        <v/>
      </c>
      <c r="L167" s="41" t="str">
        <f ca="1">IF(ISERROR(K167-2),"",(K167/$K$14-1)*$D$5)</f>
        <v/>
      </c>
      <c r="M167" s="41" t="str">
        <f ca="1">IF($A167="","",IF(COUNTIFS(Dividends!$G:$G,"&gt;"&amp;INT($A166),Dividends!$G:$G,"&lt;="&amp;INT($A167))=0,"",$Q$2*SUMIFS(Dividends!$H:$H,Dividends!$G:$G,"&gt;"&amp;INT($A166),Dividends!$G:$G,"&lt;="&amp;INT($A167))))</f>
        <v/>
      </c>
      <c r="N167" s="42" t="str">
        <f ca="1">IF(ISERROR(B167-2),"",C167+D167-I167-J167-L167+SUM($M$14:M167))</f>
        <v/>
      </c>
      <c r="O167" s="80" t="str">
        <f t="shared" ca="1" si="17"/>
        <v/>
      </c>
      <c r="P167" s="80"/>
      <c r="Q167" s="87"/>
      <c r="R167" s="87"/>
      <c r="S167" s="87"/>
      <c r="T167" s="108"/>
      <c r="U167" s="87"/>
      <c r="V167" s="108"/>
      <c r="W167" s="87"/>
      <c r="X167" s="87"/>
      <c r="AH167" s="3" t="str">
        <f>IF(COUNTIF(AB:AB,Z167)*COUNTIF(AD:AD,Z167)*COUNTIF(AF:AF,Z167),Z167,"")</f>
        <v/>
      </c>
      <c r="AI167" s="3" t="str">
        <f t="shared" si="12"/>
        <v/>
      </c>
      <c r="AM167" s="3">
        <v>46013</v>
      </c>
      <c r="AN167" s="4">
        <v>248.3845</v>
      </c>
      <c r="AO167" s="74">
        <v>46013</v>
      </c>
      <c r="AP167" s="4">
        <v>244.00800000000001</v>
      </c>
      <c r="AQ167" s="6">
        <f t="shared" si="13"/>
        <v>46013</v>
      </c>
    </row>
    <row r="168" spans="1:43" x14ac:dyDescent="0.25">
      <c r="A168" s="37" t="str">
        <f ca="1">IF(AND(ISBLANK(AJ157), A167 = $AJ$1),NOW(),IF(ISBLANK(AJ157),"",AJ157))</f>
        <v/>
      </c>
      <c r="B168" s="38" t="str">
        <f ca="1">IF(COUNTIF($AJ$2:AJ1153,A168)=1,VLOOKUP(A168,Z:AA,2), IF(COUNTIF($AJ$2:AJ1153,A168)=0,$B$9,""))</f>
        <v/>
      </c>
      <c r="C168" s="2" t="str">
        <f t="shared" ca="1" si="14"/>
        <v/>
      </c>
      <c r="D168" s="41" t="str">
        <f t="shared" ca="1" si="15"/>
        <v/>
      </c>
      <c r="E168" s="78" t="str">
        <f ca="1">IF(COUNTIF($AJ$2:AJ1153,A168)=1,VLOOKUP(A168,AF:AG,2), IF(COUNTIF($AJ$2:AJ1153,A168)=0,$E$9,""))</f>
        <v/>
      </c>
      <c r="F168" s="91" t="str">
        <f ca="1">IF(COUNTIF($AJ$2:AJ1153,A168)=1,VLOOKUP(A168,AF:AG,2), IF(COUNTIF($AJ$2:AJ1153,A168)=0,$E$9,""))</f>
        <v/>
      </c>
      <c r="G168" s="93" t="str">
        <f t="shared" ca="1" si="16"/>
        <v/>
      </c>
      <c r="H168" s="38" t="str">
        <f ca="1">IF(COUNTIF($AJ$2:AJ1153,A168)=1,VLOOKUP(A168,AB:AC,2), IF(COUNTIF($AJ$2:AJ1153,A168)=0,$C$9,""))</f>
        <v/>
      </c>
      <c r="I168" s="2" t="str">
        <f ca="1">IF(ISERROR(B168-2),"",(H168-$H$14)/100*$C$5)</f>
        <v/>
      </c>
      <c r="J168" s="41" t="str">
        <f ca="1">IF(ISERROR(B168-2),"",(INT(A168)-INT($A$14))/360*$C$6*$C$5-(INT(A168)-INT($A$14))/360*$C$7*$C$5*$H$14/100)</f>
        <v/>
      </c>
      <c r="K168" s="38" t="str">
        <f ca="1">IF(COUNTIF($AJ$2:AJ1153,A168)=1,VLOOKUP(A168,AM:AN,2), IF(COUNTIF($AJ$2:AJ1153,A168)=0,$D$10,""))</f>
        <v/>
      </c>
      <c r="L168" s="41" t="str">
        <f ca="1">IF(ISERROR(K168-2),"",(K168/$K$14-1)*$D$5)</f>
        <v/>
      </c>
      <c r="M168" s="41" t="str">
        <f ca="1">IF($A168="","",IF(COUNTIFS(Dividends!$G:$G,"&gt;"&amp;INT($A167),Dividends!$G:$G,"&lt;="&amp;INT($A168))=0,"",$Q$2*SUMIFS(Dividends!$H:$H,Dividends!$G:$G,"&gt;"&amp;INT($A167),Dividends!$G:$G,"&lt;="&amp;INT($A168))))</f>
        <v/>
      </c>
      <c r="N168" s="42" t="str">
        <f ca="1">IF(ISERROR(B168-2),"",C168+D168-I168-J168-L168+SUM($M$14:M168))</f>
        <v/>
      </c>
      <c r="O168" s="80" t="str">
        <f t="shared" ca="1" si="17"/>
        <v/>
      </c>
      <c r="P168" s="80"/>
      <c r="Q168" s="87"/>
      <c r="R168" s="87"/>
      <c r="S168" s="87"/>
      <c r="T168" s="108"/>
      <c r="U168" s="87"/>
      <c r="V168" s="108"/>
      <c r="W168" s="87"/>
      <c r="X168" s="87"/>
      <c r="AH168" s="3" t="str">
        <f>IF(COUNTIF(AB:AB,Z168)*COUNTIF(AD:AD,Z168)*COUNTIF(AF:AF,Z168),Z168,"")</f>
        <v/>
      </c>
      <c r="AI168" s="3" t="str">
        <f t="shared" si="12"/>
        <v/>
      </c>
      <c r="AM168" s="3">
        <v>46014</v>
      </c>
      <c r="AN168" s="4">
        <v>248.27979999999999</v>
      </c>
      <c r="AO168" s="74">
        <v>46014</v>
      </c>
      <c r="AP168" s="4">
        <v>244.649</v>
      </c>
      <c r="AQ168" s="6">
        <f t="shared" si="13"/>
        <v>46014</v>
      </c>
    </row>
    <row r="169" spans="1:43" x14ac:dyDescent="0.25">
      <c r="A169" s="37" t="str">
        <f ca="1">IF(AND(ISBLANK(AJ158), A168 = $AJ$1),NOW(),IF(ISBLANK(AJ158),"",AJ158))</f>
        <v/>
      </c>
      <c r="B169" s="38" t="str">
        <f ca="1">IF(COUNTIF($AJ$2:AJ1154,A169)=1,VLOOKUP(A169,Z:AA,2), IF(COUNTIF($AJ$2:AJ1154,A169)=0,$B$9,""))</f>
        <v/>
      </c>
      <c r="C169" s="2" t="str">
        <f t="shared" ca="1" si="14"/>
        <v/>
      </c>
      <c r="D169" s="41" t="str">
        <f t="shared" ca="1" si="15"/>
        <v/>
      </c>
      <c r="E169" s="78" t="str">
        <f ca="1">IF(COUNTIF($AJ$2:AJ1154,A169)=1,VLOOKUP(A169,AF:AG,2), IF(COUNTIF($AJ$2:AJ1154,A169)=0,$E$9,""))</f>
        <v/>
      </c>
      <c r="F169" s="91" t="str">
        <f ca="1">IF(COUNTIF($AJ$2:AJ1154,A169)=1,VLOOKUP(A169,AF:AG,2), IF(COUNTIF($AJ$2:AJ1154,A169)=0,$E$9,""))</f>
        <v/>
      </c>
      <c r="G169" s="93" t="str">
        <f t="shared" ca="1" si="16"/>
        <v/>
      </c>
      <c r="H169" s="38" t="str">
        <f ca="1">IF(COUNTIF($AJ$2:AJ1154,A169)=1,VLOOKUP(A169,AB:AC,2), IF(COUNTIF($AJ$2:AJ1154,A169)=0,$C$9,""))</f>
        <v/>
      </c>
      <c r="I169" s="2" t="str">
        <f ca="1">IF(ISERROR(B169-2),"",(H169-$H$14)/100*$C$5)</f>
        <v/>
      </c>
      <c r="J169" s="41" t="str">
        <f ca="1">IF(ISERROR(B169-2),"",(INT(A169)-INT($A$14))/360*$C$6*$C$5-(INT(A169)-INT($A$14))/360*$C$7*$C$5*$H$14/100)</f>
        <v/>
      </c>
      <c r="K169" s="38" t="str">
        <f ca="1">IF(COUNTIF($AJ$2:AJ1154,A169)=1,VLOOKUP(A169,AM:AN,2), IF(COUNTIF($AJ$2:AJ1154,A169)=0,$D$10,""))</f>
        <v/>
      </c>
      <c r="L169" s="41" t="str">
        <f ca="1">IF(ISERROR(K169-2),"",(K169/$K$14-1)*$D$5)</f>
        <v/>
      </c>
      <c r="M169" s="41" t="str">
        <f ca="1">IF($A169="","",IF(COUNTIFS(Dividends!$G:$G,"&gt;"&amp;INT($A168),Dividends!$G:$G,"&lt;="&amp;INT($A169))=0,"",$Q$2*SUMIFS(Dividends!$H:$H,Dividends!$G:$G,"&gt;"&amp;INT($A168),Dividends!$G:$G,"&lt;="&amp;INT($A169))))</f>
        <v/>
      </c>
      <c r="N169" s="42" t="str">
        <f ca="1">IF(ISERROR(B169-2),"",C169+D169-I169-J169-L169+SUM($M$14:M169))</f>
        <v/>
      </c>
      <c r="O169" s="80" t="str">
        <f t="shared" ca="1" si="17"/>
        <v/>
      </c>
      <c r="P169" s="80"/>
      <c r="Q169" s="87"/>
      <c r="R169" s="87"/>
      <c r="S169" s="87"/>
      <c r="T169" s="108"/>
      <c r="U169" s="87"/>
      <c r="V169" s="108"/>
      <c r="W169" s="87"/>
      <c r="X169" s="87"/>
      <c r="AH169" s="3" t="str">
        <f>IF(COUNTIF(AB:AB,Z169)*COUNTIF(AD:AD,Z169)*COUNTIF(AF:AF,Z169),Z169,"")</f>
        <v/>
      </c>
      <c r="AI169" s="3" t="str">
        <f t="shared" si="12"/>
        <v/>
      </c>
      <c r="AM169" s="3">
        <v>46015</v>
      </c>
      <c r="AN169" s="4">
        <v>248.3295</v>
      </c>
      <c r="AO169" s="74">
        <v>46015</v>
      </c>
      <c r="AP169" s="4">
        <v>244.44200000000001</v>
      </c>
      <c r="AQ169" s="6">
        <f t="shared" si="13"/>
        <v>46015</v>
      </c>
    </row>
    <row r="170" spans="1:43" x14ac:dyDescent="0.25">
      <c r="A170" s="37" t="str">
        <f ca="1">IF(AND(ISBLANK(AJ159), A169 = $AJ$1),NOW(),IF(ISBLANK(AJ159),"",AJ159))</f>
        <v/>
      </c>
      <c r="B170" s="38" t="str">
        <f ca="1">IF(COUNTIF($AJ$2:AJ1155,A170)=1,VLOOKUP(A170,Z:AA,2), IF(COUNTIF($AJ$2:AJ1155,A170)=0,$B$9,""))</f>
        <v/>
      </c>
      <c r="C170" s="2" t="str">
        <f t="shared" ca="1" si="14"/>
        <v/>
      </c>
      <c r="D170" s="41" t="str">
        <f t="shared" ca="1" si="15"/>
        <v/>
      </c>
      <c r="E170" s="78" t="str">
        <f ca="1">IF(COUNTIF($AJ$2:AJ1155,A170)=1,VLOOKUP(A170,AF:AG,2), IF(COUNTIF($AJ$2:AJ1155,A170)=0,$E$9,""))</f>
        <v/>
      </c>
      <c r="F170" s="91" t="str">
        <f ca="1">IF(COUNTIF($AJ$2:AJ1155,A170)=1,VLOOKUP(A170,AF:AG,2), IF(COUNTIF($AJ$2:AJ1155,A170)=0,$E$9,""))</f>
        <v/>
      </c>
      <c r="G170" s="93" t="str">
        <f t="shared" ca="1" si="16"/>
        <v/>
      </c>
      <c r="H170" s="38" t="str">
        <f ca="1">IF(COUNTIF($AJ$2:AJ1155,A170)=1,VLOOKUP(A170,AB:AC,2), IF(COUNTIF($AJ$2:AJ1155,A170)=0,$C$9,""))</f>
        <v/>
      </c>
      <c r="I170" s="2" t="str">
        <f ca="1">IF(ISERROR(B170-2),"",(H170-$H$14)/100*$C$5)</f>
        <v/>
      </c>
      <c r="J170" s="41" t="str">
        <f ca="1">IF(ISERROR(B170-2),"",(INT(A170)-INT($A$14))/360*$C$6*$C$5-(INT(A170)-INT($A$14))/360*$C$7*$C$5*$H$14/100)</f>
        <v/>
      </c>
      <c r="K170" s="38" t="str">
        <f ca="1">IF(COUNTIF($AJ$2:AJ1155,A170)=1,VLOOKUP(A170,AM:AN,2), IF(COUNTIF($AJ$2:AJ1155,A170)=0,$D$10,""))</f>
        <v/>
      </c>
      <c r="L170" s="41" t="str">
        <f ca="1">IF(ISERROR(K170-2),"",(K170/$K$14-1)*$D$5)</f>
        <v/>
      </c>
      <c r="M170" s="41" t="str">
        <f ca="1">IF($A170="","",IF(COUNTIFS(Dividends!$G:$G,"&gt;"&amp;INT($A169),Dividends!$G:$G,"&lt;="&amp;INT($A170))=0,"",$Q$2*SUMIFS(Dividends!$H:$H,Dividends!$G:$G,"&gt;"&amp;INT($A169),Dividends!$G:$G,"&lt;="&amp;INT($A170))))</f>
        <v/>
      </c>
      <c r="N170" s="42" t="str">
        <f ca="1">IF(ISERROR(B170-2),"",C170+D170-I170-J170-L170+SUM($M$14:M170))</f>
        <v/>
      </c>
      <c r="O170" s="80" t="str">
        <f t="shared" ca="1" si="17"/>
        <v/>
      </c>
      <c r="P170" s="80"/>
      <c r="Q170" s="87"/>
      <c r="R170" s="87"/>
      <c r="S170" s="87"/>
      <c r="T170" s="108"/>
      <c r="U170" s="87"/>
      <c r="V170" s="108"/>
      <c r="W170" s="87"/>
      <c r="X170" s="87"/>
      <c r="AH170" s="3" t="str">
        <f>IF(COUNTIF(AB:AB,Z170)*COUNTIF(AD:AD,Z170)*COUNTIF(AF:AF,Z170),Z170,"")</f>
        <v/>
      </c>
      <c r="AI170" s="3" t="str">
        <f t="shared" si="12"/>
        <v/>
      </c>
      <c r="AM170" s="3">
        <v>46020</v>
      </c>
      <c r="AN170" s="4">
        <v>248.321</v>
      </c>
      <c r="AO170" s="74">
        <v>46020</v>
      </c>
      <c r="AP170" s="4">
        <v>245.09</v>
      </c>
      <c r="AQ170" s="6">
        <f t="shared" si="13"/>
        <v>46020</v>
      </c>
    </row>
    <row r="171" spans="1:43" x14ac:dyDescent="0.25">
      <c r="A171" s="37" t="str">
        <f ca="1">IF(AND(ISBLANK(AJ160), A170 = $AJ$1),NOW(),IF(ISBLANK(AJ160),"",AJ160))</f>
        <v/>
      </c>
      <c r="B171" s="38" t="str">
        <f ca="1">IF(COUNTIF($AJ$2:AJ1156,A171)=1,VLOOKUP(A171,Z:AA,2), IF(COUNTIF($AJ$2:AJ1156,A171)=0,$B$9,""))</f>
        <v/>
      </c>
      <c r="C171" s="2" t="str">
        <f t="shared" ca="1" si="14"/>
        <v/>
      </c>
      <c r="D171" s="41" t="str">
        <f t="shared" ca="1" si="15"/>
        <v/>
      </c>
      <c r="E171" s="78" t="str">
        <f ca="1">IF(COUNTIF($AJ$2:AJ1156,A171)=1,VLOOKUP(A171,AF:AG,2), IF(COUNTIF($AJ$2:AJ1156,A171)=0,$E$9,""))</f>
        <v/>
      </c>
      <c r="F171" s="91" t="str">
        <f ca="1">IF(COUNTIF($AJ$2:AJ1156,A171)=1,VLOOKUP(A171,AF:AG,2), IF(COUNTIF($AJ$2:AJ1156,A171)=0,$E$9,""))</f>
        <v/>
      </c>
      <c r="G171" s="93" t="str">
        <f t="shared" ca="1" si="16"/>
        <v/>
      </c>
      <c r="H171" s="38" t="str">
        <f ca="1">IF(COUNTIF($AJ$2:AJ1156,A171)=1,VLOOKUP(A171,AB:AC,2), IF(COUNTIF($AJ$2:AJ1156,A171)=0,$C$9,""))</f>
        <v/>
      </c>
      <c r="I171" s="2" t="str">
        <f ca="1">IF(ISERROR(B171-2),"",(H171-$H$14)/100*$C$5)</f>
        <v/>
      </c>
      <c r="J171" s="41" t="str">
        <f ca="1">IF(ISERROR(B171-2),"",(INT(A171)-INT($A$14))/360*$C$6*$C$5-(INT(A171)-INT($A$14))/360*$C$7*$C$5*$H$14/100)</f>
        <v/>
      </c>
      <c r="K171" s="38" t="str">
        <f ca="1">IF(COUNTIF($AJ$2:AJ1156,A171)=1,VLOOKUP(A171,AM:AN,2), IF(COUNTIF($AJ$2:AJ1156,A171)=0,$D$10,""))</f>
        <v/>
      </c>
      <c r="L171" s="41" t="str">
        <f ca="1">IF(ISERROR(K171-2),"",(K171/$K$14-1)*$D$5)</f>
        <v/>
      </c>
      <c r="M171" s="41" t="str">
        <f ca="1">IF($A171="","",IF(COUNTIFS(Dividends!$G:$G,"&gt;"&amp;INT($A170),Dividends!$G:$G,"&lt;="&amp;INT($A171))=0,"",$Q$2*SUMIFS(Dividends!$H:$H,Dividends!$G:$G,"&gt;"&amp;INT($A170),Dividends!$G:$G,"&lt;="&amp;INT($A171))))</f>
        <v/>
      </c>
      <c r="N171" s="42" t="str">
        <f ca="1">IF(ISERROR(B171-2),"",C171+D171-I171-J171-L171+SUM($M$14:M171))</f>
        <v/>
      </c>
      <c r="O171" s="80" t="str">
        <f t="shared" ca="1" si="17"/>
        <v/>
      </c>
      <c r="P171" s="80"/>
      <c r="Q171" s="87"/>
      <c r="R171" s="87"/>
      <c r="S171" s="87"/>
      <c r="T171" s="108"/>
      <c r="U171" s="87"/>
      <c r="V171" s="108"/>
      <c r="W171" s="87"/>
      <c r="X171" s="87"/>
      <c r="AH171" s="3" t="str">
        <f>IF(COUNTIF(AB:AB,Z171)*COUNTIF(AD:AD,Z171)*COUNTIF(AF:AF,Z171),Z171,"")</f>
        <v/>
      </c>
      <c r="AI171" s="3" t="str">
        <f t="shared" si="12"/>
        <v/>
      </c>
      <c r="AM171" s="3">
        <v>46021</v>
      </c>
      <c r="AN171" s="4">
        <v>248.6404</v>
      </c>
      <c r="AO171" s="74">
        <v>46021</v>
      </c>
      <c r="AP171" s="4">
        <v>244.19900000000001</v>
      </c>
      <c r="AQ171" s="6">
        <f t="shared" si="13"/>
        <v>46021</v>
      </c>
    </row>
    <row r="172" spans="1:43" x14ac:dyDescent="0.25">
      <c r="A172" s="37" t="str">
        <f ca="1">IF(AND(ISBLANK(AJ161), A171 = $AJ$1),NOW(),IF(ISBLANK(AJ161),"",AJ161))</f>
        <v/>
      </c>
      <c r="B172" s="38" t="str">
        <f ca="1">IF(COUNTIF($AJ$2:AJ1157,A172)=1,VLOOKUP(A172,Z:AA,2), IF(COUNTIF($AJ$2:AJ1157,A172)=0,$B$9,""))</f>
        <v/>
      </c>
      <c r="C172" s="2" t="str">
        <f t="shared" ca="1" si="14"/>
        <v/>
      </c>
      <c r="D172" s="41" t="str">
        <f t="shared" ca="1" si="15"/>
        <v/>
      </c>
      <c r="E172" s="78" t="str">
        <f ca="1">IF(COUNTIF($AJ$2:AJ1157,A172)=1,VLOOKUP(A172,AF:AG,2), IF(COUNTIF($AJ$2:AJ1157,A172)=0,$E$9,""))</f>
        <v/>
      </c>
      <c r="F172" s="91" t="str">
        <f ca="1">IF(COUNTIF($AJ$2:AJ1157,A172)=1,VLOOKUP(A172,AF:AG,2), IF(COUNTIF($AJ$2:AJ1157,A172)=0,$E$9,""))</f>
        <v/>
      </c>
      <c r="G172" s="93" t="str">
        <f t="shared" ca="1" si="16"/>
        <v/>
      </c>
      <c r="H172" s="38" t="str">
        <f ca="1">IF(COUNTIF($AJ$2:AJ1157,A172)=1,VLOOKUP(A172,AB:AC,2), IF(COUNTIF($AJ$2:AJ1157,A172)=0,$C$9,""))</f>
        <v/>
      </c>
      <c r="I172" s="2" t="str">
        <f ca="1">IF(ISERROR(B172-2),"",(H172-$H$14)/100*$C$5)</f>
        <v/>
      </c>
      <c r="J172" s="41" t="str">
        <f ca="1">IF(ISERROR(B172-2),"",(INT(A172)-INT($A$14))/360*$C$6*$C$5-(INT(A172)-INT($A$14))/360*$C$7*$C$5*$H$14/100)</f>
        <v/>
      </c>
      <c r="K172" s="38" t="str">
        <f ca="1">IF(COUNTIF($AJ$2:AJ1157,A172)=1,VLOOKUP(A172,AM:AN,2), IF(COUNTIF($AJ$2:AJ1157,A172)=0,$D$10,""))</f>
        <v/>
      </c>
      <c r="L172" s="41" t="str">
        <f ca="1">IF(ISERROR(K172-2),"",(K172/$K$14-1)*$D$5)</f>
        <v/>
      </c>
      <c r="M172" s="41" t="str">
        <f ca="1">IF($A172="","",IF(COUNTIFS(Dividends!$G:$G,"&gt;"&amp;INT($A171),Dividends!$G:$G,"&lt;="&amp;INT($A172))=0,"",$Q$2*SUMIFS(Dividends!$H:$H,Dividends!$G:$G,"&gt;"&amp;INT($A171),Dividends!$G:$G,"&lt;="&amp;INT($A172))))</f>
        <v/>
      </c>
      <c r="N172" s="42" t="str">
        <f ca="1">IF(ISERROR(B172-2),"",C172+D172-I172-J172-L172+SUM($M$14:M172))</f>
        <v/>
      </c>
      <c r="O172" s="80" t="str">
        <f t="shared" ca="1" si="17"/>
        <v/>
      </c>
      <c r="P172" s="80"/>
      <c r="Q172" s="87"/>
      <c r="R172" s="87"/>
      <c r="S172" s="87"/>
      <c r="T172" s="108"/>
      <c r="U172" s="87"/>
      <c r="V172" s="108"/>
      <c r="W172" s="87"/>
      <c r="X172" s="87"/>
      <c r="AH172" s="3" t="str">
        <f>IF(COUNTIF(AB:AB,Z172)*COUNTIF(AD:AD,Z172)*COUNTIF(AF:AF,Z172),Z172,"")</f>
        <v/>
      </c>
      <c r="AI172" s="3" t="str">
        <f t="shared" si="12"/>
        <v/>
      </c>
      <c r="AM172" s="3">
        <v>46022</v>
      </c>
      <c r="AN172" s="4">
        <v>248.5951</v>
      </c>
      <c r="AO172" s="74">
        <v>46022</v>
      </c>
      <c r="AP172" s="4">
        <v>244.239</v>
      </c>
      <c r="AQ172" s="6">
        <f t="shared" si="13"/>
        <v>46022</v>
      </c>
    </row>
    <row r="173" spans="1:43" x14ac:dyDescent="0.25">
      <c r="A173" s="37" t="str">
        <f ca="1">IF(AND(ISBLANK(AJ162), A172 = $AJ$1),NOW(),IF(ISBLANK(AJ162),"",AJ162))</f>
        <v/>
      </c>
      <c r="B173" s="38" t="str">
        <f ca="1">IF(COUNTIF($AJ$2:AJ1158,A173)=1,VLOOKUP(A173,Z:AA,2), IF(COUNTIF($AJ$2:AJ1158,A173)=0,$B$9,""))</f>
        <v/>
      </c>
      <c r="C173" s="2" t="str">
        <f t="shared" ca="1" si="14"/>
        <v/>
      </c>
      <c r="D173" s="41" t="str">
        <f t="shared" ca="1" si="15"/>
        <v/>
      </c>
      <c r="E173" s="78" t="str">
        <f ca="1">IF(COUNTIF($AJ$2:AJ1158,A173)=1,VLOOKUP(A173,AF:AG,2), IF(COUNTIF($AJ$2:AJ1158,A173)=0,$E$9,""))</f>
        <v/>
      </c>
      <c r="F173" s="91" t="str">
        <f ca="1">IF(COUNTIF($AJ$2:AJ1158,A173)=1,VLOOKUP(A173,AF:AG,2), IF(COUNTIF($AJ$2:AJ1158,A173)=0,$E$9,""))</f>
        <v/>
      </c>
      <c r="G173" s="93" t="str">
        <f t="shared" ca="1" si="16"/>
        <v/>
      </c>
      <c r="H173" s="38" t="str">
        <f ca="1">IF(COUNTIF($AJ$2:AJ1158,A173)=1,VLOOKUP(A173,AB:AC,2), IF(COUNTIF($AJ$2:AJ1158,A173)=0,$C$9,""))</f>
        <v/>
      </c>
      <c r="I173" s="2" t="str">
        <f ca="1">IF(ISERROR(B173-2),"",(H173-$H$14)/100*$C$5)</f>
        <v/>
      </c>
      <c r="J173" s="41" t="str">
        <f ca="1">IF(ISERROR(B173-2),"",(INT(A173)-INT($A$14))/360*$C$6*$C$5-(INT(A173)-INT($A$14))/360*$C$7*$C$5*$H$14/100)</f>
        <v/>
      </c>
      <c r="K173" s="38" t="str">
        <f ca="1">IF(COUNTIF($AJ$2:AJ1158,A173)=1,VLOOKUP(A173,AM:AN,2), IF(COUNTIF($AJ$2:AJ1158,A173)=0,$D$10,""))</f>
        <v/>
      </c>
      <c r="L173" s="41" t="str">
        <f ca="1">IF(ISERROR(K173-2),"",(K173/$K$14-1)*$D$5)</f>
        <v/>
      </c>
      <c r="M173" s="41" t="str">
        <f ca="1">IF($A173="","",IF(COUNTIFS(Dividends!$G:$G,"&gt;"&amp;INT($A172),Dividends!$G:$G,"&lt;="&amp;INT($A173))=0,"",$Q$2*SUMIFS(Dividends!$H:$H,Dividends!$G:$G,"&gt;"&amp;INT($A172),Dividends!$G:$G,"&lt;="&amp;INT($A173))))</f>
        <v/>
      </c>
      <c r="N173" s="42" t="str">
        <f ca="1">IF(ISERROR(B173-2),"",C173+D173-I173-J173-L173+SUM($M$14:M173))</f>
        <v/>
      </c>
      <c r="O173" s="80" t="str">
        <f t="shared" ca="1" si="17"/>
        <v/>
      </c>
      <c r="P173" s="80"/>
      <c r="Q173" s="87"/>
      <c r="R173" s="87"/>
      <c r="S173" s="87"/>
      <c r="T173" s="108"/>
      <c r="U173" s="87"/>
      <c r="V173" s="108"/>
      <c r="W173" s="87"/>
      <c r="X173" s="87"/>
      <c r="AH173" s="3" t="str">
        <f>IF(COUNTIF(AB:AB,Z173)*COUNTIF(AD:AD,Z173)*COUNTIF(AF:AF,Z173),Z173,"")</f>
        <v/>
      </c>
      <c r="AI173" s="3" t="str">
        <f t="shared" si="12"/>
        <v/>
      </c>
      <c r="AM173" s="3">
        <v>46024</v>
      </c>
      <c r="AN173" s="4">
        <v>248.6541</v>
      </c>
      <c r="AO173" s="74">
        <v>46024</v>
      </c>
      <c r="AP173" s="4">
        <v>243.732</v>
      </c>
      <c r="AQ173" s="6">
        <f t="shared" si="13"/>
        <v>46024</v>
      </c>
    </row>
    <row r="174" spans="1:43" x14ac:dyDescent="0.25">
      <c r="A174" s="37" t="str">
        <f ca="1">IF(AND(ISBLANK(AJ163), A173 = $AJ$1),NOW(),IF(ISBLANK(AJ163),"",AJ163))</f>
        <v/>
      </c>
      <c r="B174" s="38" t="str">
        <f ca="1">IF(COUNTIF($AJ$2:AJ1159,A174)=1,VLOOKUP(A174,Z:AA,2), IF(COUNTIF($AJ$2:AJ1159,A174)=0,$B$9,""))</f>
        <v/>
      </c>
      <c r="C174" s="2" t="str">
        <f t="shared" ca="1" si="14"/>
        <v/>
      </c>
      <c r="D174" s="41" t="str">
        <f t="shared" ca="1" si="15"/>
        <v/>
      </c>
      <c r="E174" s="78" t="str">
        <f ca="1">IF(COUNTIF($AJ$2:AJ1159,A174)=1,VLOOKUP(A174,AF:AG,2), IF(COUNTIF($AJ$2:AJ1159,A174)=0,$E$9,""))</f>
        <v/>
      </c>
      <c r="F174" s="91" t="str">
        <f ca="1">IF(COUNTIF($AJ$2:AJ1159,A174)=1,VLOOKUP(A174,AF:AG,2), IF(COUNTIF($AJ$2:AJ1159,A174)=0,$E$9,""))</f>
        <v/>
      </c>
      <c r="G174" s="93" t="str">
        <f t="shared" ca="1" si="16"/>
        <v/>
      </c>
      <c r="H174" s="38" t="str">
        <f ca="1">IF(COUNTIF($AJ$2:AJ1159,A174)=1,VLOOKUP(A174,AB:AC,2), IF(COUNTIF($AJ$2:AJ1159,A174)=0,$C$9,""))</f>
        <v/>
      </c>
      <c r="I174" s="2" t="str">
        <f ca="1">IF(ISERROR(B174-2),"",(H174-$H$14)/100*$C$5)</f>
        <v/>
      </c>
      <c r="J174" s="41" t="str">
        <f ca="1">IF(ISERROR(B174-2),"",(INT(A174)-INT($A$14))/360*$C$6*$C$5-(INT(A174)-INT($A$14))/360*$C$7*$C$5*$H$14/100)</f>
        <v/>
      </c>
      <c r="K174" s="38" t="str">
        <f ca="1">IF(COUNTIF($AJ$2:AJ1159,A174)=1,VLOOKUP(A174,AM:AN,2), IF(COUNTIF($AJ$2:AJ1159,A174)=0,$D$10,""))</f>
        <v/>
      </c>
      <c r="L174" s="41" t="str">
        <f ca="1">IF(ISERROR(K174-2),"",(K174/$K$14-1)*$D$5)</f>
        <v/>
      </c>
      <c r="M174" s="41" t="str">
        <f ca="1">IF($A174="","",IF(COUNTIFS(Dividends!$G:$G,"&gt;"&amp;INT($A173),Dividends!$G:$G,"&lt;="&amp;INT($A174))=0,"",$Q$2*SUMIFS(Dividends!$H:$H,Dividends!$G:$G,"&gt;"&amp;INT($A173),Dividends!$G:$G,"&lt;="&amp;INT($A174))))</f>
        <v/>
      </c>
      <c r="N174" s="42" t="str">
        <f ca="1">IF(ISERROR(B174-2),"",C174+D174-I174-J174-L174+SUM($M$14:M174))</f>
        <v/>
      </c>
      <c r="O174" s="80" t="str">
        <f t="shared" ca="1" si="17"/>
        <v/>
      </c>
      <c r="P174" s="80"/>
      <c r="Q174" s="87"/>
      <c r="R174" s="87"/>
      <c r="S174" s="87"/>
      <c r="T174" s="108"/>
      <c r="U174" s="87"/>
      <c r="V174" s="108"/>
      <c r="W174" s="87"/>
      <c r="X174" s="87"/>
      <c r="AH174" s="3" t="str">
        <f>IF(COUNTIF(AB:AB,Z174)*COUNTIF(AD:AD,Z174)*COUNTIF(AF:AF,Z174),Z174,"")</f>
        <v/>
      </c>
      <c r="AI174" s="3" t="str">
        <f t="shared" si="12"/>
        <v/>
      </c>
      <c r="AM174" s="3">
        <v>46027</v>
      </c>
      <c r="AN174" s="4">
        <v>248.83519999999999</v>
      </c>
      <c r="AO174" s="74">
        <v>46027</v>
      </c>
      <c r="AP174" s="4">
        <v>242.14599999999999</v>
      </c>
      <c r="AQ174" s="6">
        <f t="shared" si="13"/>
        <v>46027</v>
      </c>
    </row>
    <row r="175" spans="1:43" x14ac:dyDescent="0.25">
      <c r="A175" s="37" t="str">
        <f ca="1">IF(AND(ISBLANK(AJ164), A174 = $AJ$1),NOW(),IF(ISBLANK(AJ164),"",AJ164))</f>
        <v/>
      </c>
      <c r="B175" s="38" t="str">
        <f ca="1">IF(COUNTIF($AJ$2:AJ1160,A175)=1,VLOOKUP(A175,Z:AA,2), IF(COUNTIF($AJ$2:AJ1160,A175)=0,$B$9,""))</f>
        <v/>
      </c>
      <c r="C175" s="2" t="str">
        <f t="shared" ca="1" si="14"/>
        <v/>
      </c>
      <c r="D175" s="41" t="str">
        <f t="shared" ca="1" si="15"/>
        <v/>
      </c>
      <c r="E175" s="78" t="str">
        <f ca="1">IF(COUNTIF($AJ$2:AJ1160,A175)=1,VLOOKUP(A175,AF:AG,2), IF(COUNTIF($AJ$2:AJ1160,A175)=0,$E$9,""))</f>
        <v/>
      </c>
      <c r="F175" s="91" t="str">
        <f ca="1">IF(COUNTIF($AJ$2:AJ1160,A175)=1,VLOOKUP(A175,AF:AG,2), IF(COUNTIF($AJ$2:AJ1160,A175)=0,$E$9,""))</f>
        <v/>
      </c>
      <c r="G175" s="93" t="str">
        <f t="shared" ca="1" si="16"/>
        <v/>
      </c>
      <c r="H175" s="38" t="str">
        <f ca="1">IF(COUNTIF($AJ$2:AJ1160,A175)=1,VLOOKUP(A175,AB:AC,2), IF(COUNTIF($AJ$2:AJ1160,A175)=0,$C$9,""))</f>
        <v/>
      </c>
      <c r="I175" s="2" t="str">
        <f ca="1">IF(ISERROR(B175-2),"",(H175-$H$14)/100*$C$5)</f>
        <v/>
      </c>
      <c r="J175" s="41" t="str">
        <f ca="1">IF(ISERROR(B175-2),"",(INT(A175)-INT($A$14))/360*$C$6*$C$5-(INT(A175)-INT($A$14))/360*$C$7*$C$5*$H$14/100)</f>
        <v/>
      </c>
      <c r="K175" s="38" t="str">
        <f ca="1">IF(COUNTIF($AJ$2:AJ1160,A175)=1,VLOOKUP(A175,AM:AN,2), IF(COUNTIF($AJ$2:AJ1160,A175)=0,$D$10,""))</f>
        <v/>
      </c>
      <c r="L175" s="41" t="str">
        <f ca="1">IF(ISERROR(K175-2),"",(K175/$K$14-1)*$D$5)</f>
        <v/>
      </c>
      <c r="M175" s="41" t="str">
        <f ca="1">IF($A175="","",IF(COUNTIFS(Dividends!$G:$G,"&gt;"&amp;INT($A174),Dividends!$G:$G,"&lt;="&amp;INT($A175))=0,"",$Q$2*SUMIFS(Dividends!$H:$H,Dividends!$G:$G,"&gt;"&amp;INT($A174),Dividends!$G:$G,"&lt;="&amp;INT($A175))))</f>
        <v/>
      </c>
      <c r="N175" s="42" t="str">
        <f ca="1">IF(ISERROR(B175-2),"",C175+D175-I175-J175-L175+SUM($M$14:M175))</f>
        <v/>
      </c>
      <c r="O175" s="80" t="str">
        <f t="shared" ca="1" si="17"/>
        <v/>
      </c>
      <c r="P175" s="80"/>
      <c r="Q175" s="87"/>
      <c r="R175" s="87"/>
      <c r="S175" s="87"/>
      <c r="T175" s="108"/>
      <c r="U175" s="87"/>
      <c r="V175" s="108"/>
      <c r="W175" s="87"/>
      <c r="X175" s="87"/>
      <c r="AH175" s="3" t="str">
        <f>IF(COUNTIF(AB:AB,Z175)*COUNTIF(AD:AD,Z175)*COUNTIF(AF:AF,Z175),Z175,"")</f>
        <v/>
      </c>
      <c r="AI175" s="3" t="str">
        <f t="shared" si="12"/>
        <v/>
      </c>
      <c r="AM175" s="3">
        <v>46028</v>
      </c>
      <c r="AN175" s="4">
        <v>248.91249999999999</v>
      </c>
      <c r="AO175" s="74">
        <v>46028</v>
      </c>
      <c r="AP175" s="4">
        <v>242.20400000000001</v>
      </c>
      <c r="AQ175" s="6">
        <f t="shared" si="13"/>
        <v>46028</v>
      </c>
    </row>
    <row r="176" spans="1:43" x14ac:dyDescent="0.25">
      <c r="A176" s="37" t="str">
        <f ca="1">IF(AND(ISBLANK(AJ165), A175 = $AJ$1),NOW(),IF(ISBLANK(AJ165),"",AJ165))</f>
        <v/>
      </c>
      <c r="B176" s="38" t="str">
        <f ca="1">IF(COUNTIF($AJ$2:AJ1161,A176)=1,VLOOKUP(A176,Z:AA,2), IF(COUNTIF($AJ$2:AJ1161,A176)=0,$B$9,""))</f>
        <v/>
      </c>
      <c r="C176" s="2" t="str">
        <f t="shared" ca="1" si="14"/>
        <v/>
      </c>
      <c r="D176" s="41" t="str">
        <f t="shared" ca="1" si="15"/>
        <v/>
      </c>
      <c r="E176" s="78" t="str">
        <f ca="1">IF(COUNTIF($AJ$2:AJ1161,A176)=1,VLOOKUP(A176,AF:AG,2), IF(COUNTIF($AJ$2:AJ1161,A176)=0,$E$9,""))</f>
        <v/>
      </c>
      <c r="F176" s="91" t="str">
        <f ca="1">IF(COUNTIF($AJ$2:AJ1161,A176)=1,VLOOKUP(A176,AF:AG,2), IF(COUNTIF($AJ$2:AJ1161,A176)=0,$E$9,""))</f>
        <v/>
      </c>
      <c r="G176" s="93" t="str">
        <f t="shared" ca="1" si="16"/>
        <v/>
      </c>
      <c r="H176" s="38" t="str">
        <f ca="1">IF(COUNTIF($AJ$2:AJ1161,A176)=1,VLOOKUP(A176,AB:AC,2), IF(COUNTIF($AJ$2:AJ1161,A176)=0,$C$9,""))</f>
        <v/>
      </c>
      <c r="I176" s="2" t="str">
        <f ca="1">IF(ISERROR(B176-2),"",(H176-$H$14)/100*$C$5)</f>
        <v/>
      </c>
      <c r="J176" s="41" t="str">
        <f ca="1">IF(ISERROR(B176-2),"",(INT(A176)-INT($A$14))/360*$C$6*$C$5-(INT(A176)-INT($A$14))/360*$C$7*$C$5*$H$14/100)</f>
        <v/>
      </c>
      <c r="K176" s="38" t="str">
        <f ca="1">IF(COUNTIF($AJ$2:AJ1161,A176)=1,VLOOKUP(A176,AM:AN,2), IF(COUNTIF($AJ$2:AJ1161,A176)=0,$D$10,""))</f>
        <v/>
      </c>
      <c r="L176" s="41" t="str">
        <f ca="1">IF(ISERROR(K176-2),"",(K176/$K$14-1)*$D$5)</f>
        <v/>
      </c>
      <c r="M176" s="41" t="str">
        <f ca="1">IF($A176="","",IF(COUNTIFS(Dividends!$G:$G,"&gt;"&amp;INT($A175),Dividends!$G:$G,"&lt;="&amp;INT($A176))=0,"",$Q$2*SUMIFS(Dividends!$H:$H,Dividends!$G:$G,"&gt;"&amp;INT($A175),Dividends!$G:$G,"&lt;="&amp;INT($A176))))</f>
        <v/>
      </c>
      <c r="N176" s="42" t="str">
        <f ca="1">IF(ISERROR(B176-2),"",C176+D176-I176-J176-L176+SUM($M$14:M176))</f>
        <v/>
      </c>
      <c r="O176" s="80" t="str">
        <f t="shared" ca="1" si="17"/>
        <v/>
      </c>
      <c r="P176" s="80"/>
      <c r="Q176" s="87"/>
      <c r="R176" s="87"/>
      <c r="S176" s="87"/>
      <c r="T176" s="108"/>
      <c r="U176" s="87"/>
      <c r="V176" s="108"/>
      <c r="W176" s="87"/>
      <c r="X176" s="87"/>
      <c r="AH176" s="3" t="str">
        <f>IF(COUNTIF(AB:AB,Z176)*COUNTIF(AD:AD,Z176)*COUNTIF(AF:AF,Z176),Z176,"")</f>
        <v/>
      </c>
      <c r="AI176" s="3" t="str">
        <f t="shared" si="12"/>
        <v/>
      </c>
      <c r="AM176" s="3">
        <v>46029</v>
      </c>
      <c r="AN176" s="4">
        <v>248.8612</v>
      </c>
      <c r="AO176" s="74">
        <v>46029</v>
      </c>
      <c r="AP176" s="4">
        <v>242.517</v>
      </c>
      <c r="AQ176" s="6">
        <f t="shared" si="13"/>
        <v>46029</v>
      </c>
    </row>
    <row r="177" spans="1:43" x14ac:dyDescent="0.25">
      <c r="A177" s="37" t="str">
        <f ca="1">IF(AND(ISBLANK(AJ166), A176 = $AJ$1),NOW(),IF(ISBLANK(AJ166),"",AJ166))</f>
        <v/>
      </c>
      <c r="B177" s="38" t="str">
        <f ca="1">IF(COUNTIF($AJ$2:AJ1162,A177)=1,VLOOKUP(A177,Z:AA,2), IF(COUNTIF($AJ$2:AJ1162,A177)=0,$B$9,""))</f>
        <v/>
      </c>
      <c r="C177" s="2" t="str">
        <f t="shared" ca="1" si="14"/>
        <v/>
      </c>
      <c r="D177" s="41" t="str">
        <f t="shared" ca="1" si="15"/>
        <v/>
      </c>
      <c r="E177" s="78" t="str">
        <f ca="1">IF(COUNTIF($AJ$2:AJ1162,A177)=1,VLOOKUP(A177,AF:AG,2), IF(COUNTIF($AJ$2:AJ1162,A177)=0,$E$9,""))</f>
        <v/>
      </c>
      <c r="F177" s="91" t="str">
        <f ca="1">IF(COUNTIF($AJ$2:AJ1162,A177)=1,VLOOKUP(A177,AF:AG,2), IF(COUNTIF($AJ$2:AJ1162,A177)=0,$E$9,""))</f>
        <v/>
      </c>
      <c r="G177" s="93" t="str">
        <f t="shared" ca="1" si="16"/>
        <v/>
      </c>
      <c r="H177" s="38" t="str">
        <f ca="1">IF(COUNTIF($AJ$2:AJ1162,A177)=1,VLOOKUP(A177,AB:AC,2), IF(COUNTIF($AJ$2:AJ1162,A177)=0,$C$9,""))</f>
        <v/>
      </c>
      <c r="I177" s="2" t="str">
        <f ca="1">IF(ISERROR(B177-2),"",(H177-$H$14)/100*$C$5)</f>
        <v/>
      </c>
      <c r="J177" s="41" t="str">
        <f ca="1">IF(ISERROR(B177-2),"",(INT(A177)-INT($A$14))/360*$C$6*$C$5-(INT(A177)-INT($A$14))/360*$C$7*$C$5*$H$14/100)</f>
        <v/>
      </c>
      <c r="K177" s="38" t="str">
        <f ca="1">IF(COUNTIF($AJ$2:AJ1162,A177)=1,VLOOKUP(A177,AM:AN,2), IF(COUNTIF($AJ$2:AJ1162,A177)=0,$D$10,""))</f>
        <v/>
      </c>
      <c r="L177" s="41" t="str">
        <f ca="1">IF(ISERROR(K177-2),"",(K177/$K$14-1)*$D$5)</f>
        <v/>
      </c>
      <c r="M177" s="41" t="str">
        <f ca="1">IF($A177="","",IF(COUNTIFS(Dividends!$G:$G,"&gt;"&amp;INT($A176),Dividends!$G:$G,"&lt;="&amp;INT($A177))=0,"",$Q$2*SUMIFS(Dividends!$H:$H,Dividends!$G:$G,"&gt;"&amp;INT($A176),Dividends!$G:$G,"&lt;="&amp;INT($A177))))</f>
        <v/>
      </c>
      <c r="N177" s="42" t="str">
        <f ca="1">IF(ISERROR(B177-2),"",C177+D177-I177-J177-L177+SUM($M$14:M177))</f>
        <v/>
      </c>
      <c r="O177" s="80" t="str">
        <f t="shared" ca="1" si="17"/>
        <v/>
      </c>
      <c r="P177" s="80"/>
      <c r="Q177" s="87"/>
      <c r="R177" s="87"/>
      <c r="S177" s="87"/>
      <c r="T177" s="108"/>
      <c r="U177" s="87"/>
      <c r="V177" s="108"/>
      <c r="W177" s="87"/>
      <c r="X177" s="87"/>
      <c r="AH177" s="3" t="str">
        <f>IF(COUNTIF(AB:AB,Z177)*COUNTIF(AD:AD,Z177)*COUNTIF(AF:AF,Z177),Z177,"")</f>
        <v/>
      </c>
      <c r="AI177" s="3" t="str">
        <f t="shared" si="12"/>
        <v/>
      </c>
      <c r="AM177" s="3">
        <v>46030</v>
      </c>
      <c r="AN177" s="4">
        <v>248.84979999999999</v>
      </c>
      <c r="AO177" s="74">
        <v>46030</v>
      </c>
      <c r="AP177" s="4">
        <v>242.678</v>
      </c>
      <c r="AQ177" s="6">
        <f t="shared" si="13"/>
        <v>46030</v>
      </c>
    </row>
    <row r="178" spans="1:43" x14ac:dyDescent="0.25">
      <c r="A178" s="37" t="str">
        <f ca="1">IF(AND(ISBLANK(AJ167), A177 = $AJ$1),NOW(),IF(ISBLANK(AJ167),"",AJ167))</f>
        <v/>
      </c>
      <c r="B178" s="38" t="str">
        <f ca="1">IF(COUNTIF($AJ$2:AJ1163,A178)=1,VLOOKUP(A178,Z:AA,2), IF(COUNTIF($AJ$2:AJ1163,A178)=0,$B$9,""))</f>
        <v/>
      </c>
      <c r="C178" s="2" t="str">
        <f t="shared" ca="1" si="14"/>
        <v/>
      </c>
      <c r="D178" s="41" t="str">
        <f t="shared" ca="1" si="15"/>
        <v/>
      </c>
      <c r="E178" s="78" t="str">
        <f ca="1">IF(COUNTIF($AJ$2:AJ1163,A178)=1,VLOOKUP(A178,AF:AG,2), IF(COUNTIF($AJ$2:AJ1163,A178)=0,$E$9,""))</f>
        <v/>
      </c>
      <c r="F178" s="91" t="str">
        <f ca="1">IF(COUNTIF($AJ$2:AJ1163,A178)=1,VLOOKUP(A178,AF:AG,2), IF(COUNTIF($AJ$2:AJ1163,A178)=0,$E$9,""))</f>
        <v/>
      </c>
      <c r="G178" s="93" t="str">
        <f t="shared" ca="1" si="16"/>
        <v/>
      </c>
      <c r="H178" s="38" t="str">
        <f ca="1">IF(COUNTIF($AJ$2:AJ1163,A178)=1,VLOOKUP(A178,AB:AC,2), IF(COUNTIF($AJ$2:AJ1163,A178)=0,$C$9,""))</f>
        <v/>
      </c>
      <c r="I178" s="2" t="str">
        <f ca="1">IF(ISERROR(B178-2),"",(H178-$H$14)/100*$C$5)</f>
        <v/>
      </c>
      <c r="J178" s="41" t="str">
        <f ca="1">IF(ISERROR(B178-2),"",(INT(A178)-INT($A$14))/360*$C$6*$C$5-(INT(A178)-INT($A$14))/360*$C$7*$C$5*$H$14/100)</f>
        <v/>
      </c>
      <c r="K178" s="38" t="str">
        <f ca="1">IF(COUNTIF($AJ$2:AJ1163,A178)=1,VLOOKUP(A178,AM:AN,2), IF(COUNTIF($AJ$2:AJ1163,A178)=0,$D$10,""))</f>
        <v/>
      </c>
      <c r="L178" s="41" t="str">
        <f ca="1">IF(ISERROR(K178-2),"",(K178/$K$14-1)*$D$5)</f>
        <v/>
      </c>
      <c r="M178" s="41" t="str">
        <f ca="1">IF($A178="","",IF(COUNTIFS(Dividends!$G:$G,"&gt;"&amp;INT($A177),Dividends!$G:$G,"&lt;="&amp;INT($A178))=0,"",$Q$2*SUMIFS(Dividends!$H:$H,Dividends!$G:$G,"&gt;"&amp;INT($A177),Dividends!$G:$G,"&lt;="&amp;INT($A178))))</f>
        <v/>
      </c>
      <c r="N178" s="42" t="str">
        <f ca="1">IF(ISERROR(B178-2),"",C178+D178-I178-J178-L178+SUM($M$14:M178))</f>
        <v/>
      </c>
      <c r="O178" s="80" t="str">
        <f t="shared" ca="1" si="17"/>
        <v/>
      </c>
      <c r="P178" s="80"/>
      <c r="Q178" s="87"/>
      <c r="R178" s="87"/>
      <c r="S178" s="87"/>
      <c r="T178" s="108"/>
      <c r="U178" s="87"/>
      <c r="V178" s="108"/>
      <c r="W178" s="87"/>
      <c r="X178" s="87"/>
      <c r="AH178" s="3" t="str">
        <f>IF(COUNTIF(AB:AB,Z178)*COUNTIF(AD:AD,Z178)*COUNTIF(AF:AF,Z178),Z178,"")</f>
        <v/>
      </c>
      <c r="AI178" s="3" t="str">
        <f t="shared" si="12"/>
        <v/>
      </c>
      <c r="AM178" s="3">
        <v>46031</v>
      </c>
      <c r="AN178" s="4">
        <v>249.13050000000001</v>
      </c>
      <c r="AO178" s="74">
        <v>46031</v>
      </c>
      <c r="AP178" s="4">
        <v>240.93600000000001</v>
      </c>
      <c r="AQ178" s="6">
        <f t="shared" si="13"/>
        <v>46031</v>
      </c>
    </row>
    <row r="179" spans="1:43" x14ac:dyDescent="0.25">
      <c r="A179" s="37" t="str">
        <f ca="1">IF(AND(ISBLANK(AJ168), A178 = $AJ$1),NOW(),IF(ISBLANK(AJ168),"",AJ168))</f>
        <v/>
      </c>
      <c r="B179" s="38" t="str">
        <f ca="1">IF(COUNTIF($AJ$2:AJ1164,A179)=1,VLOOKUP(A179,Z:AA,2), IF(COUNTIF($AJ$2:AJ1164,A179)=0,$B$9,""))</f>
        <v/>
      </c>
      <c r="C179" s="2" t="str">
        <f t="shared" ca="1" si="14"/>
        <v/>
      </c>
      <c r="D179" s="41" t="str">
        <f t="shared" ca="1" si="15"/>
        <v/>
      </c>
      <c r="E179" s="78" t="str">
        <f ca="1">IF(COUNTIF($AJ$2:AJ1164,A179)=1,VLOOKUP(A179,AF:AG,2), IF(COUNTIF($AJ$2:AJ1164,A179)=0,$E$9,""))</f>
        <v/>
      </c>
      <c r="F179" s="91" t="str">
        <f ca="1">IF(COUNTIF($AJ$2:AJ1164,A179)=1,VLOOKUP(A179,AF:AG,2), IF(COUNTIF($AJ$2:AJ1164,A179)=0,$E$9,""))</f>
        <v/>
      </c>
      <c r="G179" s="93" t="str">
        <f t="shared" ca="1" si="16"/>
        <v/>
      </c>
      <c r="H179" s="38" t="str">
        <f ca="1">IF(COUNTIF($AJ$2:AJ1164,A179)=1,VLOOKUP(A179,AB:AC,2), IF(COUNTIF($AJ$2:AJ1164,A179)=0,$C$9,""))</f>
        <v/>
      </c>
      <c r="I179" s="2" t="str">
        <f ca="1">IF(ISERROR(B179-2),"",(H179-$H$14)/100*$C$5)</f>
        <v/>
      </c>
      <c r="J179" s="41" t="str">
        <f ca="1">IF(ISERROR(B179-2),"",(INT(A179)-INT($A$14))/360*$C$6*$C$5-(INT(A179)-INT($A$14))/360*$C$7*$C$5*$H$14/100)</f>
        <v/>
      </c>
      <c r="K179" s="38" t="str">
        <f ca="1">IF(COUNTIF($AJ$2:AJ1164,A179)=1,VLOOKUP(A179,AM:AN,2), IF(COUNTIF($AJ$2:AJ1164,A179)=0,$D$10,""))</f>
        <v/>
      </c>
      <c r="L179" s="41" t="str">
        <f ca="1">IF(ISERROR(K179-2),"",(K179/$K$14-1)*$D$5)</f>
        <v/>
      </c>
      <c r="M179" s="41" t="str">
        <f ca="1">IF($A179="","",IF(COUNTIFS(Dividends!$G:$G,"&gt;"&amp;INT($A178),Dividends!$G:$G,"&lt;="&amp;INT($A179))=0,"",$Q$2*SUMIFS(Dividends!$H:$H,Dividends!$G:$G,"&gt;"&amp;INT($A178),Dividends!$G:$G,"&lt;="&amp;INT($A179))))</f>
        <v/>
      </c>
      <c r="N179" s="42" t="str">
        <f ca="1">IF(ISERROR(B179-2),"",C179+D179-I179-J179-L179+SUM($M$14:M179))</f>
        <v/>
      </c>
      <c r="O179" s="80" t="str">
        <f t="shared" ca="1" si="17"/>
        <v/>
      </c>
      <c r="P179" s="80"/>
      <c r="Q179" s="87"/>
      <c r="R179" s="87"/>
      <c r="S179" s="87"/>
      <c r="T179" s="108"/>
      <c r="U179" s="87"/>
      <c r="V179" s="108"/>
      <c r="W179" s="87"/>
      <c r="X179" s="87"/>
      <c r="AH179" s="3" t="str">
        <f>IF(COUNTIF(AB:AB,Z179)*COUNTIF(AD:AD,Z179)*COUNTIF(AF:AF,Z179),Z179,"")</f>
        <v/>
      </c>
      <c r="AI179" s="3" t="str">
        <f t="shared" si="12"/>
        <v/>
      </c>
      <c r="AM179" s="3">
        <v>46034</v>
      </c>
      <c r="AN179" s="4">
        <v>249.25470000000001</v>
      </c>
      <c r="AO179" s="74">
        <v>46034</v>
      </c>
      <c r="AP179" s="4">
        <v>240.25800000000001</v>
      </c>
      <c r="AQ179" s="6">
        <f t="shared" si="13"/>
        <v>46034</v>
      </c>
    </row>
    <row r="180" spans="1:43" x14ac:dyDescent="0.25">
      <c r="A180" s="37" t="str">
        <f ca="1">IF(AND(ISBLANK(AJ169), A179 = $AJ$1),NOW(),IF(ISBLANK(AJ169),"",AJ169))</f>
        <v/>
      </c>
      <c r="B180" s="38" t="str">
        <f ca="1">IF(COUNTIF($AJ$2:AJ1165,A180)=1,VLOOKUP(A180,Z:AA,2), IF(COUNTIF($AJ$2:AJ1165,A180)=0,$B$9,""))</f>
        <v/>
      </c>
      <c r="C180" s="2" t="str">
        <f t="shared" ca="1" si="14"/>
        <v/>
      </c>
      <c r="D180" s="41" t="str">
        <f t="shared" ca="1" si="15"/>
        <v/>
      </c>
      <c r="E180" s="78" t="str">
        <f ca="1">IF(COUNTIF($AJ$2:AJ1165,A180)=1,VLOOKUP(A180,AF:AG,2), IF(COUNTIF($AJ$2:AJ1165,A180)=0,$E$9,""))</f>
        <v/>
      </c>
      <c r="F180" s="91" t="str">
        <f ca="1">IF(COUNTIF($AJ$2:AJ1165,A180)=1,VLOOKUP(A180,AF:AG,2), IF(COUNTIF($AJ$2:AJ1165,A180)=0,$E$9,""))</f>
        <v/>
      </c>
      <c r="G180" s="93" t="str">
        <f t="shared" ca="1" si="16"/>
        <v/>
      </c>
      <c r="H180" s="38" t="str">
        <f ca="1">IF(COUNTIF($AJ$2:AJ1165,A180)=1,VLOOKUP(A180,AB:AC,2), IF(COUNTIF($AJ$2:AJ1165,A180)=0,$C$9,""))</f>
        <v/>
      </c>
      <c r="I180" s="2" t="str">
        <f ca="1">IF(ISERROR(B180-2),"",(H180-$H$14)/100*$C$5)</f>
        <v/>
      </c>
      <c r="J180" s="41" t="str">
        <f ca="1">IF(ISERROR(B180-2),"",(INT(A180)-INT($A$14))/360*$C$6*$C$5-(INT(A180)-INT($A$14))/360*$C$7*$C$5*$H$14/100)</f>
        <v/>
      </c>
      <c r="K180" s="38" t="str">
        <f ca="1">IF(COUNTIF($AJ$2:AJ1165,A180)=1,VLOOKUP(A180,AM:AN,2), IF(COUNTIF($AJ$2:AJ1165,A180)=0,$D$10,""))</f>
        <v/>
      </c>
      <c r="L180" s="41" t="str">
        <f ca="1">IF(ISERROR(K180-2),"",(K180/$K$14-1)*$D$5)</f>
        <v/>
      </c>
      <c r="M180" s="41" t="str">
        <f ca="1">IF($A180="","",IF(COUNTIFS(Dividends!$G:$G,"&gt;"&amp;INT($A179),Dividends!$G:$G,"&lt;="&amp;INT($A180))=0,"",$Q$2*SUMIFS(Dividends!$H:$H,Dividends!$G:$G,"&gt;"&amp;INT($A179),Dividends!$G:$G,"&lt;="&amp;INT($A180))))</f>
        <v/>
      </c>
      <c r="N180" s="42" t="str">
        <f ca="1">IF(ISERROR(B180-2),"",C180+D180-I180-J180-L180+SUM($M$14:M180))</f>
        <v/>
      </c>
      <c r="O180" s="80" t="str">
        <f t="shared" ca="1" si="17"/>
        <v/>
      </c>
      <c r="P180" s="80"/>
      <c r="Q180" s="87"/>
      <c r="R180" s="87"/>
      <c r="S180" s="87"/>
      <c r="T180" s="108"/>
      <c r="U180" s="87"/>
      <c r="V180" s="108"/>
      <c r="W180" s="87"/>
      <c r="X180" s="87"/>
      <c r="AH180" s="3" t="str">
        <f>IF(COUNTIF(AB:AB,Z180)*COUNTIF(AD:AD,Z180)*COUNTIF(AF:AF,Z180),Z180,"")</f>
        <v/>
      </c>
      <c r="AI180" s="3" t="str">
        <f t="shared" si="12"/>
        <v/>
      </c>
      <c r="AM180" s="3">
        <v>46035</v>
      </c>
      <c r="AN180" s="4">
        <v>249.17660000000001</v>
      </c>
      <c r="AO180" s="74">
        <v>46035</v>
      </c>
      <c r="AP180" s="4">
        <v>240.88900000000001</v>
      </c>
      <c r="AQ180" s="6">
        <f t="shared" si="13"/>
        <v>46035</v>
      </c>
    </row>
    <row r="181" spans="1:43" x14ac:dyDescent="0.25">
      <c r="A181" s="37" t="str">
        <f ca="1">IF(AND(ISBLANK(AJ170), A180 = $AJ$1),NOW(),IF(ISBLANK(AJ170),"",AJ170))</f>
        <v/>
      </c>
      <c r="B181" s="38" t="str">
        <f ca="1">IF(COUNTIF($AJ$2:AJ1166,A181)=1,VLOOKUP(A181,Z:AA,2), IF(COUNTIF($AJ$2:AJ1166,A181)=0,$B$9,""))</f>
        <v/>
      </c>
      <c r="C181" s="2" t="str">
        <f t="shared" ca="1" si="14"/>
        <v/>
      </c>
      <c r="D181" s="41" t="str">
        <f t="shared" ca="1" si="15"/>
        <v/>
      </c>
      <c r="E181" s="78" t="str">
        <f ca="1">IF(COUNTIF($AJ$2:AJ1166,A181)=1,VLOOKUP(A181,AF:AG,2), IF(COUNTIF($AJ$2:AJ1166,A181)=0,$E$9,""))</f>
        <v/>
      </c>
      <c r="F181" s="91" t="str">
        <f ca="1">IF(COUNTIF($AJ$2:AJ1166,A181)=1,VLOOKUP(A181,AF:AG,2), IF(COUNTIF($AJ$2:AJ1166,A181)=0,$E$9,""))</f>
        <v/>
      </c>
      <c r="G181" s="93" t="str">
        <f t="shared" ca="1" si="16"/>
        <v/>
      </c>
      <c r="H181" s="38" t="str">
        <f ca="1">IF(COUNTIF($AJ$2:AJ1166,A181)=1,VLOOKUP(A181,AB:AC,2), IF(COUNTIF($AJ$2:AJ1166,A181)=0,$C$9,""))</f>
        <v/>
      </c>
      <c r="I181" s="2" t="str">
        <f ca="1">IF(ISERROR(B181-2),"",(H181-$H$14)/100*$C$5)</f>
        <v/>
      </c>
      <c r="J181" s="41" t="str">
        <f ca="1">IF(ISERROR(B181-2),"",(INT(A181)-INT($A$14))/360*$C$6*$C$5-(INT(A181)-INT($A$14))/360*$C$7*$C$5*$H$14/100)</f>
        <v/>
      </c>
      <c r="K181" s="38" t="str">
        <f ca="1">IF(COUNTIF($AJ$2:AJ1166,A181)=1,VLOOKUP(A181,AM:AN,2), IF(COUNTIF($AJ$2:AJ1166,A181)=0,$D$10,""))</f>
        <v/>
      </c>
      <c r="L181" s="41" t="str">
        <f ca="1">IF(ISERROR(K181-2),"",(K181/$K$14-1)*$D$5)</f>
        <v/>
      </c>
      <c r="M181" s="41" t="str">
        <f ca="1">IF($A181="","",IF(COUNTIFS(Dividends!$G:$G,"&gt;"&amp;INT($A180),Dividends!$G:$G,"&lt;="&amp;INT($A181))=0,"",$Q$2*SUMIFS(Dividends!$H:$H,Dividends!$G:$G,"&gt;"&amp;INT($A180),Dividends!$G:$G,"&lt;="&amp;INT($A181))))</f>
        <v/>
      </c>
      <c r="N181" s="42" t="str">
        <f ca="1">IF(ISERROR(B181-2),"",C181+D181-I181-J181-L181+SUM($M$14:M181))</f>
        <v/>
      </c>
      <c r="O181" s="80" t="str">
        <f t="shared" ca="1" si="17"/>
        <v/>
      </c>
      <c r="P181" s="80"/>
      <c r="Q181" s="87"/>
      <c r="R181" s="87"/>
      <c r="S181" s="87"/>
      <c r="T181" s="108"/>
      <c r="U181" s="87"/>
      <c r="V181" s="108"/>
      <c r="W181" s="87"/>
      <c r="X181" s="87"/>
      <c r="AH181" s="3" t="str">
        <f>IF(COUNTIF(AB:AB,Z181)*COUNTIF(AD:AD,Z181)*COUNTIF(AF:AF,Z181),Z181,"")</f>
        <v/>
      </c>
      <c r="AI181" s="3" t="str">
        <f t="shared" si="12"/>
        <v/>
      </c>
      <c r="AM181" s="3">
        <v>46036</v>
      </c>
      <c r="AN181" s="4">
        <v>248.81209999999999</v>
      </c>
      <c r="AO181" s="74">
        <v>46036</v>
      </c>
      <c r="AP181" s="4">
        <v>244.88200000000001</v>
      </c>
      <c r="AQ181" s="6">
        <f t="shared" si="13"/>
        <v>46036</v>
      </c>
    </row>
    <row r="182" spans="1:43" x14ac:dyDescent="0.25">
      <c r="A182" s="37" t="str">
        <f ca="1">IF(AND(ISBLANK(AJ171), A181 = $AJ$1),NOW(),IF(ISBLANK(AJ171),"",AJ171))</f>
        <v/>
      </c>
      <c r="B182" s="38" t="str">
        <f ca="1">IF(COUNTIF($AJ$2:AJ1167,A182)=1,VLOOKUP(A182,Z:AA,2), IF(COUNTIF($AJ$2:AJ1167,A182)=0,$B$9,""))</f>
        <v/>
      </c>
      <c r="C182" s="2" t="str">
        <f t="shared" ca="1" si="14"/>
        <v/>
      </c>
      <c r="D182" s="41" t="str">
        <f t="shared" ca="1" si="15"/>
        <v/>
      </c>
      <c r="E182" s="78" t="str">
        <f ca="1">IF(COUNTIF($AJ$2:AJ1167,A182)=1,VLOOKUP(A182,AF:AG,2), IF(COUNTIF($AJ$2:AJ1167,A182)=0,$E$9,""))</f>
        <v/>
      </c>
      <c r="F182" s="91" t="str">
        <f ca="1">IF(COUNTIF($AJ$2:AJ1167,A182)=1,VLOOKUP(A182,AF:AG,2), IF(COUNTIF($AJ$2:AJ1167,A182)=0,$E$9,""))</f>
        <v/>
      </c>
      <c r="G182" s="93" t="str">
        <f t="shared" ca="1" si="16"/>
        <v/>
      </c>
      <c r="H182" s="38" t="str">
        <f ca="1">IF(COUNTIF($AJ$2:AJ1167,A182)=1,VLOOKUP(A182,AB:AC,2), IF(COUNTIF($AJ$2:AJ1167,A182)=0,$C$9,""))</f>
        <v/>
      </c>
      <c r="I182" s="2" t="str">
        <f ca="1">IF(ISERROR(B182-2),"",(H182-$H$14)/100*$C$5)</f>
        <v/>
      </c>
      <c r="J182" s="41" t="str">
        <f ca="1">IF(ISERROR(B182-2),"",(INT(A182)-INT($A$14))/360*$C$6*$C$5-(INT(A182)-INT($A$14))/360*$C$7*$C$5*$H$14/100)</f>
        <v/>
      </c>
      <c r="K182" s="38" t="str">
        <f ca="1">IF(COUNTIF($AJ$2:AJ1167,A182)=1,VLOOKUP(A182,AM:AN,2), IF(COUNTIF($AJ$2:AJ1167,A182)=0,$D$10,""))</f>
        <v/>
      </c>
      <c r="L182" s="41" t="str">
        <f ca="1">IF(ISERROR(K182-2),"",(K182/$K$14-1)*$D$5)</f>
        <v/>
      </c>
      <c r="M182" s="41" t="str">
        <f ca="1">IF($A182="","",IF(COUNTIFS(Dividends!$G:$G,"&gt;"&amp;INT($A181),Dividends!$G:$G,"&lt;="&amp;INT($A182))=0,"",$Q$2*SUMIFS(Dividends!$H:$H,Dividends!$G:$G,"&gt;"&amp;INT($A181),Dividends!$G:$G,"&lt;="&amp;INT($A182))))</f>
        <v/>
      </c>
      <c r="N182" s="42" t="str">
        <f ca="1">IF(ISERROR(B182-2),"",C182+D182-I182-J182-L182+SUM($M$14:M182))</f>
        <v/>
      </c>
      <c r="O182" s="80" t="str">
        <f t="shared" ca="1" si="17"/>
        <v/>
      </c>
      <c r="P182" s="80"/>
      <c r="Q182" s="87"/>
      <c r="R182" s="87"/>
      <c r="S182" s="87"/>
      <c r="T182" s="108"/>
      <c r="U182" s="87"/>
      <c r="V182" s="108"/>
      <c r="W182" s="87"/>
      <c r="X182" s="87"/>
      <c r="AH182" s="3" t="str">
        <f>IF(COUNTIF(AB:AB,Z182)*COUNTIF(AD:AD,Z182)*COUNTIF(AF:AF,Z182),Z182,"")</f>
        <v/>
      </c>
      <c r="AI182" s="3" t="str">
        <f t="shared" si="12"/>
        <v/>
      </c>
      <c r="AM182" s="3">
        <v>46037</v>
      </c>
      <c r="AN182" s="4">
        <v>249.15880000000001</v>
      </c>
      <c r="AO182" s="74">
        <v>46037</v>
      </c>
      <c r="AP182" s="4">
        <v>241.666</v>
      </c>
      <c r="AQ182" s="6">
        <f t="shared" si="13"/>
        <v>46037</v>
      </c>
    </row>
    <row r="183" spans="1:43" x14ac:dyDescent="0.25">
      <c r="A183" s="37" t="str">
        <f ca="1">IF(AND(ISBLANK(AJ172), A182 = $AJ$1),NOW(),IF(ISBLANK(AJ172),"",AJ172))</f>
        <v/>
      </c>
      <c r="B183" s="38" t="str">
        <f ca="1">IF(COUNTIF($AJ$2:AJ1168,A183)=1,VLOOKUP(A183,Z:AA,2), IF(COUNTIF($AJ$2:AJ1168,A183)=0,$B$9,""))</f>
        <v/>
      </c>
      <c r="C183" s="2" t="str">
        <f t="shared" ca="1" si="14"/>
        <v/>
      </c>
      <c r="D183" s="41" t="str">
        <f t="shared" ca="1" si="15"/>
        <v/>
      </c>
      <c r="E183" s="78" t="str">
        <f ca="1">IF(COUNTIF($AJ$2:AJ1168,A183)=1,VLOOKUP(A183,AF:AG,2), IF(COUNTIF($AJ$2:AJ1168,A183)=0,$E$9,""))</f>
        <v/>
      </c>
      <c r="F183" s="91" t="str">
        <f ca="1">IF(COUNTIF($AJ$2:AJ1168,A183)=1,VLOOKUP(A183,AF:AG,2), IF(COUNTIF($AJ$2:AJ1168,A183)=0,$E$9,""))</f>
        <v/>
      </c>
      <c r="G183" s="93" t="str">
        <f t="shared" ca="1" si="16"/>
        <v/>
      </c>
      <c r="H183" s="38" t="str">
        <f ca="1">IF(COUNTIF($AJ$2:AJ1168,A183)=1,VLOOKUP(A183,AB:AC,2), IF(COUNTIF($AJ$2:AJ1168,A183)=0,$C$9,""))</f>
        <v/>
      </c>
      <c r="I183" s="2" t="str">
        <f ca="1">IF(ISERROR(B183-2),"",(H183-$H$14)/100*$C$5)</f>
        <v/>
      </c>
      <c r="J183" s="41" t="str">
        <f ca="1">IF(ISERROR(B183-2),"",(INT(A183)-INT($A$14))/360*$C$6*$C$5-(INT(A183)-INT($A$14))/360*$C$7*$C$5*$H$14/100)</f>
        <v/>
      </c>
      <c r="K183" s="38" t="str">
        <f ca="1">IF(COUNTIF($AJ$2:AJ1168,A183)=1,VLOOKUP(A183,AM:AN,2), IF(COUNTIF($AJ$2:AJ1168,A183)=0,$D$10,""))</f>
        <v/>
      </c>
      <c r="L183" s="41" t="str">
        <f ca="1">IF(ISERROR(K183-2),"",(K183/$K$14-1)*$D$5)</f>
        <v/>
      </c>
      <c r="M183" s="41" t="str">
        <f ca="1">IF($A183="","",IF(COUNTIFS(Dividends!$G:$G,"&gt;"&amp;INT($A182),Dividends!$G:$G,"&lt;="&amp;INT($A183))=0,"",$Q$2*SUMIFS(Dividends!$H:$H,Dividends!$G:$G,"&gt;"&amp;INT($A182),Dividends!$G:$G,"&lt;="&amp;INT($A183))))</f>
        <v/>
      </c>
      <c r="N183" s="42" t="str">
        <f ca="1">IF(ISERROR(B183-2),"",C183+D183-I183-J183-L183+SUM($M$14:M183))</f>
        <v/>
      </c>
      <c r="O183" s="80" t="str">
        <f t="shared" ca="1" si="17"/>
        <v/>
      </c>
      <c r="P183" s="80"/>
      <c r="Q183" s="87"/>
      <c r="R183" s="87"/>
      <c r="S183" s="87"/>
      <c r="T183" s="108"/>
      <c r="U183" s="87"/>
      <c r="V183" s="108"/>
      <c r="W183" s="87"/>
      <c r="X183" s="87"/>
      <c r="AH183" s="3" t="str">
        <f>IF(COUNTIF(AB:AB,Z183)*COUNTIF(AD:AD,Z183)*COUNTIF(AF:AF,Z183),Z183,"")</f>
        <v/>
      </c>
      <c r="AI183" s="3" t="str">
        <f t="shared" si="12"/>
        <v/>
      </c>
      <c r="AM183" s="3">
        <v>46038</v>
      </c>
      <c r="AN183" s="4">
        <v>249.01169999999999</v>
      </c>
      <c r="AO183" s="74">
        <v>46038</v>
      </c>
      <c r="AP183" s="4">
        <v>243.13399999999999</v>
      </c>
      <c r="AQ183" s="6">
        <f t="shared" si="13"/>
        <v>46038</v>
      </c>
    </row>
    <row r="184" spans="1:43" x14ac:dyDescent="0.25">
      <c r="A184" s="37" t="str">
        <f ca="1">IF(AND(ISBLANK(AJ173), A183 = $AJ$1),NOW(),IF(ISBLANK(AJ173),"",AJ173))</f>
        <v/>
      </c>
      <c r="B184" s="38" t="str">
        <f ca="1">IF(COUNTIF($AJ$2:AJ1169,A184)=1,VLOOKUP(A184,Z:AA,2), IF(COUNTIF($AJ$2:AJ1169,A184)=0,$B$9,""))</f>
        <v/>
      </c>
      <c r="C184" s="2" t="str">
        <f t="shared" ca="1" si="14"/>
        <v/>
      </c>
      <c r="D184" s="41" t="str">
        <f t="shared" ca="1" si="15"/>
        <v/>
      </c>
      <c r="E184" s="78" t="str">
        <f ca="1">IF(COUNTIF($AJ$2:AJ1169,A184)=1,VLOOKUP(A184,AF:AG,2), IF(COUNTIF($AJ$2:AJ1169,A184)=0,$E$9,""))</f>
        <v/>
      </c>
      <c r="F184" s="91" t="str">
        <f ca="1">IF(COUNTIF($AJ$2:AJ1169,A184)=1,VLOOKUP(A184,AF:AG,2), IF(COUNTIF($AJ$2:AJ1169,A184)=0,$E$9,""))</f>
        <v/>
      </c>
      <c r="G184" s="93" t="str">
        <f t="shared" ca="1" si="16"/>
        <v/>
      </c>
      <c r="H184" s="38" t="str">
        <f ca="1">IF(COUNTIF($AJ$2:AJ1169,A184)=1,VLOOKUP(A184,AB:AC,2), IF(COUNTIF($AJ$2:AJ1169,A184)=0,$C$9,""))</f>
        <v/>
      </c>
      <c r="I184" s="2" t="str">
        <f ca="1">IF(ISERROR(B184-2),"",(H184-$H$14)/100*$C$5)</f>
        <v/>
      </c>
      <c r="J184" s="41" t="str">
        <f ca="1">IF(ISERROR(B184-2),"",(INT(A184)-INT($A$14))/360*$C$6*$C$5-(INT(A184)-INT($A$14))/360*$C$7*$C$5*$H$14/100)</f>
        <v/>
      </c>
      <c r="K184" s="38" t="str">
        <f ca="1">IF(COUNTIF($AJ$2:AJ1169,A184)=1,VLOOKUP(A184,AM:AN,2), IF(COUNTIF($AJ$2:AJ1169,A184)=0,$D$10,""))</f>
        <v/>
      </c>
      <c r="L184" s="41" t="str">
        <f ca="1">IF(ISERROR(K184-2),"",(K184/$K$14-1)*$D$5)</f>
        <v/>
      </c>
      <c r="M184" s="41" t="str">
        <f ca="1">IF($A184="","",IF(COUNTIFS(Dividends!$G:$G,"&gt;"&amp;INT($A183),Dividends!$G:$G,"&lt;="&amp;INT($A184))=0,"",$Q$2*SUMIFS(Dividends!$H:$H,Dividends!$G:$G,"&gt;"&amp;INT($A183),Dividends!$G:$G,"&lt;="&amp;INT($A184))))</f>
        <v/>
      </c>
      <c r="N184" s="42" t="str">
        <f ca="1">IF(ISERROR(B184-2),"",C184+D184-I184-J184-L184+SUM($M$14:M184))</f>
        <v/>
      </c>
      <c r="O184" s="80" t="str">
        <f t="shared" ca="1" si="17"/>
        <v/>
      </c>
      <c r="P184" s="80"/>
      <c r="Q184" s="87"/>
      <c r="R184" s="87"/>
      <c r="S184" s="87"/>
      <c r="T184" s="108"/>
      <c r="U184" s="87"/>
      <c r="V184" s="108"/>
      <c r="W184" s="87"/>
      <c r="X184" s="87"/>
      <c r="AH184" s="3" t="str">
        <f>IF(COUNTIF(AB:AB,Z184)*COUNTIF(AD:AD,Z184)*COUNTIF(AF:AF,Z184),Z184,"")</f>
        <v/>
      </c>
      <c r="AI184" s="3" t="str">
        <f t="shared" si="12"/>
        <v/>
      </c>
      <c r="AM184" s="3">
        <v>46041</v>
      </c>
      <c r="AN184" s="4">
        <v>248.35810000000001</v>
      </c>
      <c r="AO184" s="74">
        <v>46041</v>
      </c>
      <c r="AP184" s="4">
        <v>250.24199999999999</v>
      </c>
      <c r="AQ184" s="6">
        <f t="shared" si="13"/>
        <v>46041</v>
      </c>
    </row>
    <row r="185" spans="1:43" x14ac:dyDescent="0.25">
      <c r="A185" s="37" t="str">
        <f ca="1">IF(AND(ISBLANK(AJ174), A184 = $AJ$1),NOW(),IF(ISBLANK(AJ174),"",AJ174))</f>
        <v/>
      </c>
      <c r="B185" s="38" t="str">
        <f ca="1">IF(COUNTIF($AJ$2:AJ1170,A185)=1,VLOOKUP(A185,Z:AA,2), IF(COUNTIF($AJ$2:AJ1170,A185)=0,$B$9,""))</f>
        <v/>
      </c>
      <c r="C185" s="2" t="str">
        <f t="shared" ca="1" si="14"/>
        <v/>
      </c>
      <c r="D185" s="41" t="str">
        <f t="shared" ca="1" si="15"/>
        <v/>
      </c>
      <c r="E185" s="78" t="str">
        <f ca="1">IF(COUNTIF($AJ$2:AJ1170,A185)=1,VLOOKUP(A185,AF:AG,2), IF(COUNTIF($AJ$2:AJ1170,A185)=0,$E$9,""))</f>
        <v/>
      </c>
      <c r="F185" s="91" t="str">
        <f ca="1">IF(COUNTIF($AJ$2:AJ1170,A185)=1,VLOOKUP(A185,AF:AG,2), IF(COUNTIF($AJ$2:AJ1170,A185)=0,$E$9,""))</f>
        <v/>
      </c>
      <c r="G185" s="93" t="str">
        <f t="shared" ca="1" si="16"/>
        <v/>
      </c>
      <c r="H185" s="38" t="str">
        <f ca="1">IF(COUNTIF($AJ$2:AJ1170,A185)=1,VLOOKUP(A185,AB:AC,2), IF(COUNTIF($AJ$2:AJ1170,A185)=0,$C$9,""))</f>
        <v/>
      </c>
      <c r="I185" s="2" t="str">
        <f ca="1">IF(ISERROR(B185-2),"",(H185-$H$14)/100*$C$5)</f>
        <v/>
      </c>
      <c r="J185" s="41" t="str">
        <f ca="1">IF(ISERROR(B185-2),"",(INT(A185)-INT($A$14))/360*$C$6*$C$5-(INT(A185)-INT($A$14))/360*$C$7*$C$5*$H$14/100)</f>
        <v/>
      </c>
      <c r="K185" s="38" t="str">
        <f ca="1">IF(COUNTIF($AJ$2:AJ1170,A185)=1,VLOOKUP(A185,AM:AN,2), IF(COUNTIF($AJ$2:AJ1170,A185)=0,$D$10,""))</f>
        <v/>
      </c>
      <c r="L185" s="41" t="str">
        <f ca="1">IF(ISERROR(K185-2),"",(K185/$K$14-1)*$D$5)</f>
        <v/>
      </c>
      <c r="M185" s="41" t="str">
        <f ca="1">IF($A185="","",IF(COUNTIFS(Dividends!$G:$G,"&gt;"&amp;INT($A184),Dividends!$G:$G,"&lt;="&amp;INT($A185))=0,"",$Q$2*SUMIFS(Dividends!$H:$H,Dividends!$G:$G,"&gt;"&amp;INT($A184),Dividends!$G:$G,"&lt;="&amp;INT($A185))))</f>
        <v/>
      </c>
      <c r="N185" s="42" t="str">
        <f ca="1">IF(ISERROR(B185-2),"",C185+D185-I185-J185-L185+SUM($M$14:M185))</f>
        <v/>
      </c>
      <c r="O185" s="80" t="str">
        <f t="shared" ca="1" si="17"/>
        <v/>
      </c>
      <c r="P185" s="80"/>
      <c r="Q185" s="87"/>
      <c r="R185" s="87"/>
      <c r="S185" s="87"/>
      <c r="T185" s="108"/>
      <c r="U185" s="87"/>
      <c r="V185" s="108"/>
      <c r="W185" s="87"/>
      <c r="X185" s="87"/>
      <c r="AH185" s="3" t="str">
        <f>IF(COUNTIF(AB:AB,Z185)*COUNTIF(AD:AD,Z185)*COUNTIF(AF:AF,Z185),Z185,"")</f>
        <v/>
      </c>
      <c r="AI185" s="3" t="str">
        <f t="shared" si="12"/>
        <v/>
      </c>
      <c r="AM185" s="3">
        <v>46042</v>
      </c>
      <c r="AN185" s="4">
        <v>248.08500000000001</v>
      </c>
      <c r="AO185" s="74">
        <v>46042</v>
      </c>
      <c r="AP185" s="4">
        <v>252.017</v>
      </c>
      <c r="AQ185" s="6">
        <f t="shared" si="13"/>
        <v>46042</v>
      </c>
    </row>
    <row r="186" spans="1:43" x14ac:dyDescent="0.25">
      <c r="A186" s="37" t="str">
        <f ca="1">IF(AND(ISBLANK(AJ175), A185 = $AJ$1),NOW(),IF(ISBLANK(AJ175),"",AJ175))</f>
        <v/>
      </c>
      <c r="B186" s="38" t="str">
        <f ca="1">IF(COUNTIF($AJ$2:AJ1171,A186)=1,VLOOKUP(A186,Z:AA,2), IF(COUNTIF($AJ$2:AJ1171,A186)=0,$B$9,""))</f>
        <v/>
      </c>
      <c r="C186" s="2" t="str">
        <f t="shared" ca="1" si="14"/>
        <v/>
      </c>
      <c r="D186" s="41" t="str">
        <f t="shared" ca="1" si="15"/>
        <v/>
      </c>
      <c r="E186" s="78" t="str">
        <f ca="1">IF(COUNTIF($AJ$2:AJ1171,A186)=1,VLOOKUP(A186,AF:AG,2), IF(COUNTIF($AJ$2:AJ1171,A186)=0,$E$9,""))</f>
        <v/>
      </c>
      <c r="F186" s="91" t="str">
        <f ca="1">IF(COUNTIF($AJ$2:AJ1171,A186)=1,VLOOKUP(A186,AF:AG,2), IF(COUNTIF($AJ$2:AJ1171,A186)=0,$E$9,""))</f>
        <v/>
      </c>
      <c r="G186" s="93" t="str">
        <f t="shared" ca="1" si="16"/>
        <v/>
      </c>
      <c r="H186" s="38" t="str">
        <f ca="1">IF(COUNTIF($AJ$2:AJ1171,A186)=1,VLOOKUP(A186,AB:AC,2), IF(COUNTIF($AJ$2:AJ1171,A186)=0,$C$9,""))</f>
        <v/>
      </c>
      <c r="I186" s="2" t="str">
        <f ca="1">IF(ISERROR(B186-2),"",(H186-$H$14)/100*$C$5)</f>
        <v/>
      </c>
      <c r="J186" s="41" t="str">
        <f ca="1">IF(ISERROR(B186-2),"",(INT(A186)-INT($A$14))/360*$C$6*$C$5-(INT(A186)-INT($A$14))/360*$C$7*$C$5*$H$14/100)</f>
        <v/>
      </c>
      <c r="K186" s="38" t="str">
        <f ca="1">IF(COUNTIF($AJ$2:AJ1171,A186)=1,VLOOKUP(A186,AM:AN,2), IF(COUNTIF($AJ$2:AJ1171,A186)=0,$D$10,""))</f>
        <v/>
      </c>
      <c r="L186" s="41" t="str">
        <f ca="1">IF(ISERROR(K186-2),"",(K186/$K$14-1)*$D$5)</f>
        <v/>
      </c>
      <c r="M186" s="41" t="str">
        <f ca="1">IF($A186="","",IF(COUNTIFS(Dividends!$G:$G,"&gt;"&amp;INT($A185),Dividends!$G:$G,"&lt;="&amp;INT($A186))=0,"",$Q$2*SUMIFS(Dividends!$H:$H,Dividends!$G:$G,"&gt;"&amp;INT($A185),Dividends!$G:$G,"&lt;="&amp;INT($A186))))</f>
        <v/>
      </c>
      <c r="N186" s="42" t="str">
        <f ca="1">IF(ISERROR(B186-2),"",C186+D186-I186-J186-L186+SUM($M$14:M186))</f>
        <v/>
      </c>
      <c r="O186" s="80" t="str">
        <f t="shared" ca="1" si="17"/>
        <v/>
      </c>
      <c r="P186" s="80"/>
      <c r="Q186" s="87"/>
      <c r="R186" s="87"/>
      <c r="S186" s="87"/>
      <c r="T186" s="108"/>
      <c r="U186" s="87"/>
      <c r="V186" s="108"/>
      <c r="W186" s="87"/>
      <c r="X186" s="87"/>
      <c r="AH186" s="3" t="str">
        <f>IF(COUNTIF(AB:AB,Z186)*COUNTIF(AD:AD,Z186)*COUNTIF(AF:AF,Z186),Z186,"")</f>
        <v/>
      </c>
      <c r="AI186" s="3" t="str">
        <f t="shared" si="12"/>
        <v/>
      </c>
      <c r="AM186" s="3">
        <v>46043</v>
      </c>
      <c r="AN186" s="4">
        <v>248.64510000000001</v>
      </c>
      <c r="AO186" s="74">
        <v>46043</v>
      </c>
      <c r="AP186" s="4">
        <v>248.50399999999999</v>
      </c>
      <c r="AQ186" s="6">
        <f t="shared" si="13"/>
        <v>46043</v>
      </c>
    </row>
    <row r="187" spans="1:43" x14ac:dyDescent="0.25">
      <c r="A187" s="37" t="str">
        <f ca="1">IF(AND(ISBLANK(AJ176), A186 = $AJ$1),NOW(),IF(ISBLANK(AJ176),"",AJ176))</f>
        <v/>
      </c>
      <c r="B187" s="38" t="str">
        <f ca="1">IF(COUNTIF($AJ$2:AJ1172,A187)=1,VLOOKUP(A187,Z:AA,2), IF(COUNTIF($AJ$2:AJ1172,A187)=0,$B$9,""))</f>
        <v/>
      </c>
      <c r="C187" s="2" t="str">
        <f t="shared" ca="1" si="14"/>
        <v/>
      </c>
      <c r="D187" s="41" t="str">
        <f t="shared" ca="1" si="15"/>
        <v/>
      </c>
      <c r="E187" s="78" t="str">
        <f ca="1">IF(COUNTIF($AJ$2:AJ1172,A187)=1,VLOOKUP(A187,AF:AG,2), IF(COUNTIF($AJ$2:AJ1172,A187)=0,$E$9,""))</f>
        <v/>
      </c>
      <c r="F187" s="91" t="str">
        <f ca="1">IF(COUNTIF($AJ$2:AJ1172,A187)=1,VLOOKUP(A187,AF:AG,2), IF(COUNTIF($AJ$2:AJ1172,A187)=0,$E$9,""))</f>
        <v/>
      </c>
      <c r="G187" s="93" t="str">
        <f t="shared" ca="1" si="16"/>
        <v/>
      </c>
      <c r="H187" s="38" t="str">
        <f ca="1">IF(COUNTIF($AJ$2:AJ1172,A187)=1,VLOOKUP(A187,AB:AC,2), IF(COUNTIF($AJ$2:AJ1172,A187)=0,$C$9,""))</f>
        <v/>
      </c>
      <c r="I187" s="2" t="str">
        <f ca="1">IF(ISERROR(B187-2),"",(H187-$H$14)/100*$C$5)</f>
        <v/>
      </c>
      <c r="J187" s="41" t="str">
        <f ca="1">IF(ISERROR(B187-2),"",(INT(A187)-INT($A$14))/360*$C$6*$C$5-(INT(A187)-INT($A$14))/360*$C$7*$C$5*$H$14/100)</f>
        <v/>
      </c>
      <c r="K187" s="38" t="str">
        <f ca="1">IF(COUNTIF($AJ$2:AJ1172,A187)=1,VLOOKUP(A187,AM:AN,2), IF(COUNTIF($AJ$2:AJ1172,A187)=0,$D$10,""))</f>
        <v/>
      </c>
      <c r="L187" s="41" t="str">
        <f ca="1">IF(ISERROR(K187-2),"",(K187/$K$14-1)*$D$5)</f>
        <v/>
      </c>
      <c r="M187" s="41" t="str">
        <f ca="1">IF($A187="","",IF(COUNTIFS(Dividends!$G:$G,"&gt;"&amp;INT($A186),Dividends!$G:$G,"&lt;="&amp;INT($A187))=0,"",$Q$2*SUMIFS(Dividends!$H:$H,Dividends!$G:$G,"&gt;"&amp;INT($A186),Dividends!$G:$G,"&lt;="&amp;INT($A187))))</f>
        <v/>
      </c>
      <c r="N187" s="42" t="str">
        <f ca="1">IF(ISERROR(B187-2),"",C187+D187-I187-J187-L187+SUM($M$14:M187))</f>
        <v/>
      </c>
      <c r="O187" s="80" t="str">
        <f t="shared" ca="1" si="17"/>
        <v/>
      </c>
      <c r="P187" s="80"/>
      <c r="Q187" s="87"/>
      <c r="R187" s="87"/>
      <c r="S187" s="87"/>
      <c r="T187" s="108"/>
      <c r="U187" s="87"/>
      <c r="V187" s="108"/>
      <c r="W187" s="87"/>
      <c r="X187" s="87"/>
      <c r="AH187" s="3" t="str">
        <f>IF(COUNTIF(AB:AB,Z187)*COUNTIF(AD:AD,Z187)*COUNTIF(AF:AF,Z187),Z187,"")</f>
        <v/>
      </c>
      <c r="AI187" s="3" t="str">
        <f t="shared" si="12"/>
        <v/>
      </c>
      <c r="AM187" s="3">
        <v>46044</v>
      </c>
      <c r="AN187" s="4">
        <v>249.4425</v>
      </c>
      <c r="AO187" s="74">
        <v>46044</v>
      </c>
      <c r="AP187" s="4">
        <v>240.483</v>
      </c>
      <c r="AQ187" s="6">
        <f t="shared" si="13"/>
        <v>46044</v>
      </c>
    </row>
    <row r="188" spans="1:43" x14ac:dyDescent="0.25">
      <c r="A188" s="37" t="str">
        <f ca="1">IF(AND(ISBLANK(AJ177), A187 = $AJ$1),NOW(),IF(ISBLANK(AJ177),"",AJ177))</f>
        <v/>
      </c>
      <c r="B188" s="38" t="str">
        <f ca="1">IF(COUNTIF($AJ$2:AJ1173,A188)=1,VLOOKUP(A188,Z:AA,2), IF(COUNTIF($AJ$2:AJ1173,A188)=0,$B$9,""))</f>
        <v/>
      </c>
      <c r="C188" s="2" t="str">
        <f t="shared" ca="1" si="14"/>
        <v/>
      </c>
      <c r="D188" s="41" t="str">
        <f t="shared" ca="1" si="15"/>
        <v/>
      </c>
      <c r="E188" s="78" t="str">
        <f ca="1">IF(COUNTIF($AJ$2:AJ1173,A188)=1,VLOOKUP(A188,AF:AG,2), IF(COUNTIF($AJ$2:AJ1173,A188)=0,$E$9,""))</f>
        <v/>
      </c>
      <c r="F188" s="91" t="str">
        <f ca="1">IF(COUNTIF($AJ$2:AJ1173,A188)=1,VLOOKUP(A188,AF:AG,2), IF(COUNTIF($AJ$2:AJ1173,A188)=0,$E$9,""))</f>
        <v/>
      </c>
      <c r="G188" s="93" t="str">
        <f t="shared" ca="1" si="16"/>
        <v/>
      </c>
      <c r="H188" s="38" t="str">
        <f ca="1">IF(COUNTIF($AJ$2:AJ1173,A188)=1,VLOOKUP(A188,AB:AC,2), IF(COUNTIF($AJ$2:AJ1173,A188)=0,$C$9,""))</f>
        <v/>
      </c>
      <c r="I188" s="2" t="str">
        <f ca="1">IF(ISERROR(B188-2),"",(H188-$H$14)/100*$C$5)</f>
        <v/>
      </c>
      <c r="J188" s="41" t="str">
        <f ca="1">IF(ISERROR(B188-2),"",(INT(A188)-INT($A$14))/360*$C$6*$C$5-(INT(A188)-INT($A$14))/360*$C$7*$C$5*$H$14/100)</f>
        <v/>
      </c>
      <c r="K188" s="38" t="str">
        <f ca="1">IF(COUNTIF($AJ$2:AJ1173,A188)=1,VLOOKUP(A188,AM:AN,2), IF(COUNTIF($AJ$2:AJ1173,A188)=0,$D$10,""))</f>
        <v/>
      </c>
      <c r="L188" s="41" t="str">
        <f ca="1">IF(ISERROR(K188-2),"",(K188/$K$14-1)*$D$5)</f>
        <v/>
      </c>
      <c r="M188" s="41" t="str">
        <f ca="1">IF($A188="","",IF(COUNTIFS(Dividends!$G:$G,"&gt;"&amp;INT($A187),Dividends!$G:$G,"&lt;="&amp;INT($A188))=0,"",$Q$2*SUMIFS(Dividends!$H:$H,Dividends!$G:$G,"&gt;"&amp;INT($A187),Dividends!$G:$G,"&lt;="&amp;INT($A188))))</f>
        <v/>
      </c>
      <c r="N188" s="42" t="str">
        <f ca="1">IF(ISERROR(B188-2),"",C188+D188-I188-J188-L188+SUM($M$14:M188))</f>
        <v/>
      </c>
      <c r="O188" s="80" t="str">
        <f t="shared" ca="1" si="17"/>
        <v/>
      </c>
      <c r="P188" s="80"/>
      <c r="Q188" s="87"/>
      <c r="R188" s="87"/>
      <c r="S188" s="87"/>
      <c r="T188" s="108"/>
      <c r="U188" s="87"/>
      <c r="V188" s="108"/>
      <c r="W188" s="87"/>
      <c r="X188" s="87"/>
      <c r="AH188" s="3" t="str">
        <f>IF(COUNTIF(AB:AB,Z188)*COUNTIF(AD:AD,Z188)*COUNTIF(AF:AF,Z188),Z188,"")</f>
        <v/>
      </c>
      <c r="AI188" s="3" t="str">
        <f t="shared" si="12"/>
        <v/>
      </c>
      <c r="AM188" s="3">
        <v>46045</v>
      </c>
      <c r="AN188" s="4">
        <v>249.2397</v>
      </c>
      <c r="AO188" s="74">
        <v>46045</v>
      </c>
      <c r="AP188" s="4">
        <v>242.67099999999999</v>
      </c>
      <c r="AQ188" s="6">
        <f t="shared" si="13"/>
        <v>46045</v>
      </c>
    </row>
    <row r="189" spans="1:43" x14ac:dyDescent="0.25">
      <c r="A189" s="37" t="str">
        <f ca="1">IF(AND(ISBLANK(AJ178), A188 = $AJ$1),NOW(),IF(ISBLANK(AJ178),"",AJ178))</f>
        <v/>
      </c>
      <c r="B189" s="38" t="str">
        <f ca="1">IF(COUNTIF($AJ$2:AJ1174,A189)=1,VLOOKUP(A189,Z:AA,2), IF(COUNTIF($AJ$2:AJ1174,A189)=0,$B$9,""))</f>
        <v/>
      </c>
      <c r="C189" s="2" t="str">
        <f t="shared" ca="1" si="14"/>
        <v/>
      </c>
      <c r="D189" s="41" t="str">
        <f t="shared" ca="1" si="15"/>
        <v/>
      </c>
      <c r="E189" s="78" t="str">
        <f ca="1">IF(COUNTIF($AJ$2:AJ1174,A189)=1,VLOOKUP(A189,AF:AG,2), IF(COUNTIF($AJ$2:AJ1174,A189)=0,$E$9,""))</f>
        <v/>
      </c>
      <c r="F189" s="91" t="str">
        <f ca="1">IF(COUNTIF($AJ$2:AJ1174,A189)=1,VLOOKUP(A189,AF:AG,2), IF(COUNTIF($AJ$2:AJ1174,A189)=0,$E$9,""))</f>
        <v/>
      </c>
      <c r="G189" s="93" t="str">
        <f t="shared" ca="1" si="16"/>
        <v/>
      </c>
      <c r="H189" s="38" t="str">
        <f ca="1">IF(COUNTIF($AJ$2:AJ1174,A189)=1,VLOOKUP(A189,AB:AC,2), IF(COUNTIF($AJ$2:AJ1174,A189)=0,$C$9,""))</f>
        <v/>
      </c>
      <c r="I189" s="2" t="str">
        <f ca="1">IF(ISERROR(B189-2),"",(H189-$H$14)/100*$C$5)</f>
        <v/>
      </c>
      <c r="J189" s="41" t="str">
        <f ca="1">IF(ISERROR(B189-2),"",(INT(A189)-INT($A$14))/360*$C$6*$C$5-(INT(A189)-INT($A$14))/360*$C$7*$C$5*$H$14/100)</f>
        <v/>
      </c>
      <c r="K189" s="38" t="str">
        <f ca="1">IF(COUNTIF($AJ$2:AJ1174,A189)=1,VLOOKUP(A189,AM:AN,2), IF(COUNTIF($AJ$2:AJ1174,A189)=0,$D$10,""))</f>
        <v/>
      </c>
      <c r="L189" s="41" t="str">
        <f ca="1">IF(ISERROR(K189-2),"",(K189/$K$14-1)*$D$5)</f>
        <v/>
      </c>
      <c r="M189" s="41" t="str">
        <f ca="1">IF($A189="","",IF(COUNTIFS(Dividends!$G:$G,"&gt;"&amp;INT($A188),Dividends!$G:$G,"&lt;="&amp;INT($A189))=0,"",$Q$2*SUMIFS(Dividends!$H:$H,Dividends!$G:$G,"&gt;"&amp;INT($A188),Dividends!$G:$G,"&lt;="&amp;INT($A189))))</f>
        <v/>
      </c>
      <c r="N189" s="42" t="str">
        <f ca="1">IF(ISERROR(B189-2),"",C189+D189-I189-J189-L189+SUM($M$14:M189))</f>
        <v/>
      </c>
      <c r="O189" s="80" t="str">
        <f t="shared" ca="1" si="17"/>
        <v/>
      </c>
      <c r="P189" s="80"/>
      <c r="Q189" s="87"/>
      <c r="R189" s="87"/>
      <c r="S189" s="87"/>
      <c r="T189" s="108"/>
      <c r="U189" s="87"/>
      <c r="V189" s="108"/>
      <c r="W189" s="87"/>
      <c r="X189" s="87"/>
      <c r="AH189" s="3" t="str">
        <f>IF(COUNTIF(AB:AB,Z189)*COUNTIF(AD:AD,Z189)*COUNTIF(AF:AF,Z189),Z189,"")</f>
        <v/>
      </c>
      <c r="AI189" s="3" t="str">
        <f t="shared" si="12"/>
        <v/>
      </c>
      <c r="AM189" s="3">
        <v>46048</v>
      </c>
      <c r="AN189" s="4">
        <v>249.3184</v>
      </c>
      <c r="AO189" s="74">
        <v>46048</v>
      </c>
      <c r="AP189" s="4">
        <v>242.38300000000001</v>
      </c>
      <c r="AQ189" s="6">
        <f t="shared" si="13"/>
        <v>46048</v>
      </c>
    </row>
    <row r="190" spans="1:43" x14ac:dyDescent="0.25">
      <c r="A190" s="37" t="str">
        <f ca="1">IF(AND(ISBLANK(AJ179), A189 = $AJ$1),NOW(),IF(ISBLANK(AJ179),"",AJ179))</f>
        <v/>
      </c>
      <c r="B190" s="38" t="str">
        <f ca="1">IF(COUNTIF($AJ$2:AJ1175,A190)=1,VLOOKUP(A190,Z:AA,2), IF(COUNTIF($AJ$2:AJ1175,A190)=0,$B$9,""))</f>
        <v/>
      </c>
      <c r="C190" s="2" t="str">
        <f t="shared" ca="1" si="14"/>
        <v/>
      </c>
      <c r="D190" s="41" t="str">
        <f t="shared" ca="1" si="15"/>
        <v/>
      </c>
      <c r="E190" s="78" t="str">
        <f ca="1">IF(COUNTIF($AJ$2:AJ1175,A190)=1,VLOOKUP(A190,AF:AG,2), IF(COUNTIF($AJ$2:AJ1175,A190)=0,$E$9,""))</f>
        <v/>
      </c>
      <c r="F190" s="91" t="str">
        <f ca="1">IF(COUNTIF($AJ$2:AJ1175,A190)=1,VLOOKUP(A190,AF:AG,2), IF(COUNTIF($AJ$2:AJ1175,A190)=0,$E$9,""))</f>
        <v/>
      </c>
      <c r="G190" s="93" t="str">
        <f t="shared" ca="1" si="16"/>
        <v/>
      </c>
      <c r="H190" s="38" t="str">
        <f ca="1">IF(COUNTIF($AJ$2:AJ1175,A190)=1,VLOOKUP(A190,AB:AC,2), IF(COUNTIF($AJ$2:AJ1175,A190)=0,$C$9,""))</f>
        <v/>
      </c>
      <c r="I190" s="2" t="str">
        <f ca="1">IF(ISERROR(B190-2),"",(H190-$H$14)/100*$C$5)</f>
        <v/>
      </c>
      <c r="J190" s="41" t="str">
        <f ca="1">IF(ISERROR(B190-2),"",(INT(A190)-INT($A$14))/360*$C$6*$C$5-(INT(A190)-INT($A$14))/360*$C$7*$C$5*$H$14/100)</f>
        <v/>
      </c>
      <c r="K190" s="38" t="str">
        <f ca="1">IF(COUNTIF($AJ$2:AJ1175,A190)=1,VLOOKUP(A190,AM:AN,2), IF(COUNTIF($AJ$2:AJ1175,A190)=0,$D$10,""))</f>
        <v/>
      </c>
      <c r="L190" s="41" t="str">
        <f ca="1">IF(ISERROR(K190-2),"",(K190/$K$14-1)*$D$5)</f>
        <v/>
      </c>
      <c r="M190" s="41" t="str">
        <f ca="1">IF($A190="","",IF(COUNTIFS(Dividends!$G:$G,"&gt;"&amp;INT($A189),Dividends!$G:$G,"&lt;="&amp;INT($A190))=0,"",$Q$2*SUMIFS(Dividends!$H:$H,Dividends!$G:$G,"&gt;"&amp;INT($A189),Dividends!$G:$G,"&lt;="&amp;INT($A190))))</f>
        <v/>
      </c>
      <c r="N190" s="42" t="str">
        <f ca="1">IF(ISERROR(B190-2),"",C190+D190-I190-J190-L190+SUM($M$14:M190))</f>
        <v/>
      </c>
      <c r="O190" s="80" t="str">
        <f t="shared" ca="1" si="17"/>
        <v/>
      </c>
      <c r="P190" s="80"/>
      <c r="Q190" s="87"/>
      <c r="R190" s="87"/>
      <c r="S190" s="87"/>
      <c r="T190" s="108"/>
      <c r="U190" s="87"/>
      <c r="V190" s="108"/>
      <c r="W190" s="87"/>
      <c r="X190" s="87"/>
      <c r="AH190" s="3" t="str">
        <f>IF(COUNTIF(AB:AB,Z190)*COUNTIF(AD:AD,Z190)*COUNTIF(AF:AF,Z190),Z190,"")</f>
        <v/>
      </c>
      <c r="AI190" s="3" t="str">
        <f t="shared" si="12"/>
        <v/>
      </c>
      <c r="AM190" s="3">
        <v>46049</v>
      </c>
      <c r="AN190" s="4">
        <v>249.45769999999999</v>
      </c>
      <c r="AO190" s="74">
        <v>46049</v>
      </c>
      <c r="AP190" s="4">
        <v>241.536</v>
      </c>
      <c r="AQ190" s="6">
        <f t="shared" si="13"/>
        <v>46049</v>
      </c>
    </row>
    <row r="191" spans="1:43" x14ac:dyDescent="0.25">
      <c r="A191" s="37" t="str">
        <f ca="1">IF(AND(ISBLANK(AJ180), A190 = $AJ$1),NOW(),IF(ISBLANK(AJ180),"",AJ180))</f>
        <v/>
      </c>
      <c r="B191" s="38" t="str">
        <f ca="1">IF(COUNTIF($AJ$2:AJ1176,A191)=1,VLOOKUP(A191,Z:AA,2), IF(COUNTIF($AJ$2:AJ1176,A191)=0,$B$9,""))</f>
        <v/>
      </c>
      <c r="C191" s="2" t="str">
        <f t="shared" ca="1" si="14"/>
        <v/>
      </c>
      <c r="D191" s="41" t="str">
        <f t="shared" ca="1" si="15"/>
        <v/>
      </c>
      <c r="E191" s="78" t="str">
        <f ca="1">IF(COUNTIF($AJ$2:AJ1176,A191)=1,VLOOKUP(A191,AF:AG,2), IF(COUNTIF($AJ$2:AJ1176,A191)=0,$E$9,""))</f>
        <v/>
      </c>
      <c r="F191" s="91" t="str">
        <f ca="1">IF(COUNTIF($AJ$2:AJ1176,A191)=1,VLOOKUP(A191,AF:AG,2), IF(COUNTIF($AJ$2:AJ1176,A191)=0,$E$9,""))</f>
        <v/>
      </c>
      <c r="G191" s="93" t="str">
        <f t="shared" ca="1" si="16"/>
        <v/>
      </c>
      <c r="H191" s="38" t="str">
        <f ca="1">IF(COUNTIF($AJ$2:AJ1176,A191)=1,VLOOKUP(A191,AB:AC,2), IF(COUNTIF($AJ$2:AJ1176,A191)=0,$C$9,""))</f>
        <v/>
      </c>
      <c r="I191" s="2" t="str">
        <f ca="1">IF(ISERROR(B191-2),"",(H191-$H$14)/100*$C$5)</f>
        <v/>
      </c>
      <c r="J191" s="41" t="str">
        <f ca="1">IF(ISERROR(B191-2),"",(INT(A191)-INT($A$14))/360*$C$6*$C$5-(INT(A191)-INT($A$14))/360*$C$7*$C$5*$H$14/100)</f>
        <v/>
      </c>
      <c r="K191" s="38" t="str">
        <f ca="1">IF(COUNTIF($AJ$2:AJ1176,A191)=1,VLOOKUP(A191,AM:AN,2), IF(COUNTIF($AJ$2:AJ1176,A191)=0,$D$10,""))</f>
        <v/>
      </c>
      <c r="L191" s="41" t="str">
        <f ca="1">IF(ISERROR(K191-2),"",(K191/$K$14-1)*$D$5)</f>
        <v/>
      </c>
      <c r="M191" s="41" t="str">
        <f ca="1">IF($A191="","",IF(COUNTIFS(Dividends!$G:$G,"&gt;"&amp;INT($A190),Dividends!$G:$G,"&lt;="&amp;INT($A191))=0,"",$Q$2*SUMIFS(Dividends!$H:$H,Dividends!$G:$G,"&gt;"&amp;INT($A190),Dividends!$G:$G,"&lt;="&amp;INT($A191))))</f>
        <v/>
      </c>
      <c r="N191" s="42" t="str">
        <f ca="1">IF(ISERROR(B191-2),"",C191+D191-I191-J191-L191+SUM($M$14:M191))</f>
        <v/>
      </c>
      <c r="O191" s="80" t="str">
        <f t="shared" ca="1" si="17"/>
        <v/>
      </c>
      <c r="P191" s="80"/>
      <c r="Q191" s="87"/>
      <c r="R191" s="87"/>
      <c r="S191" s="87"/>
      <c r="T191" s="108"/>
      <c r="U191" s="87"/>
      <c r="V191" s="108"/>
      <c r="W191" s="87"/>
      <c r="X191" s="87"/>
      <c r="AH191" s="3" t="str">
        <f>IF(COUNTIF(AB:AB,Z191)*COUNTIF(AD:AD,Z191)*COUNTIF(AF:AF,Z191),Z191,"")</f>
        <v/>
      </c>
      <c r="AI191" s="3" t="str">
        <f t="shared" si="12"/>
        <v/>
      </c>
      <c r="AM191" s="3">
        <v>46050</v>
      </c>
      <c r="AN191" s="4">
        <v>249.07820000000001</v>
      </c>
      <c r="AO191" s="74">
        <v>46050</v>
      </c>
      <c r="AP191" s="4">
        <v>245.107</v>
      </c>
      <c r="AQ191" s="6">
        <f t="shared" si="13"/>
        <v>46050</v>
      </c>
    </row>
    <row r="192" spans="1:43" x14ac:dyDescent="0.25">
      <c r="A192" s="37" t="str">
        <f ca="1">IF(AND(ISBLANK(AJ181), A191 = $AJ$1),NOW(),IF(ISBLANK(AJ181),"",AJ181))</f>
        <v/>
      </c>
      <c r="B192" s="38" t="str">
        <f ca="1">IF(COUNTIF($AJ$2:AJ1177,A192)=1,VLOOKUP(A192,Z:AA,2), IF(COUNTIF($AJ$2:AJ1177,A192)=0,$B$9,""))</f>
        <v/>
      </c>
      <c r="C192" s="2" t="str">
        <f t="shared" ca="1" si="14"/>
        <v/>
      </c>
      <c r="D192" s="41" t="str">
        <f t="shared" ca="1" si="15"/>
        <v/>
      </c>
      <c r="E192" s="78" t="str">
        <f ca="1">IF(COUNTIF($AJ$2:AJ1177,A192)=1,VLOOKUP(A192,AF:AG,2), IF(COUNTIF($AJ$2:AJ1177,A192)=0,$E$9,""))</f>
        <v/>
      </c>
      <c r="F192" s="91" t="str">
        <f ca="1">IF(COUNTIF($AJ$2:AJ1177,A192)=1,VLOOKUP(A192,AF:AG,2), IF(COUNTIF($AJ$2:AJ1177,A192)=0,$E$9,""))</f>
        <v/>
      </c>
      <c r="G192" s="93" t="str">
        <f t="shared" ca="1" si="16"/>
        <v/>
      </c>
      <c r="H192" s="38" t="str">
        <f ca="1">IF(COUNTIF($AJ$2:AJ1177,A192)=1,VLOOKUP(A192,AB:AC,2), IF(COUNTIF($AJ$2:AJ1177,A192)=0,$C$9,""))</f>
        <v/>
      </c>
      <c r="I192" s="2" t="str">
        <f ca="1">IF(ISERROR(B192-2),"",(H192-$H$14)/100*$C$5)</f>
        <v/>
      </c>
      <c r="J192" s="41" t="str">
        <f ca="1">IF(ISERROR(B192-2),"",(INT(A192)-INT($A$14))/360*$C$6*$C$5-(INT(A192)-INT($A$14))/360*$C$7*$C$5*$H$14/100)</f>
        <v/>
      </c>
      <c r="K192" s="38" t="str">
        <f ca="1">IF(COUNTIF($AJ$2:AJ1177,A192)=1,VLOOKUP(A192,AM:AN,2), IF(COUNTIF($AJ$2:AJ1177,A192)=0,$D$10,""))</f>
        <v/>
      </c>
      <c r="L192" s="41" t="str">
        <f ca="1">IF(ISERROR(K192-2),"",(K192/$K$14-1)*$D$5)</f>
        <v/>
      </c>
      <c r="M192" s="41" t="str">
        <f ca="1">IF($A192="","",IF(COUNTIFS(Dividends!$G:$G,"&gt;"&amp;INT($A191),Dividends!$G:$G,"&lt;="&amp;INT($A192))=0,"",$Q$2*SUMIFS(Dividends!$H:$H,Dividends!$G:$G,"&gt;"&amp;INT($A191),Dividends!$G:$G,"&lt;="&amp;INT($A192))))</f>
        <v/>
      </c>
      <c r="N192" s="42" t="str">
        <f ca="1">IF(ISERROR(B192-2),"",C192+D192-I192-J192-L192+SUM($M$14:M192))</f>
        <v/>
      </c>
      <c r="O192" s="80" t="str">
        <f t="shared" ca="1" si="17"/>
        <v/>
      </c>
      <c r="P192" s="80"/>
      <c r="Q192" s="87"/>
      <c r="R192" s="87"/>
      <c r="S192" s="87"/>
      <c r="T192" s="108"/>
      <c r="U192" s="87"/>
      <c r="V192" s="108"/>
      <c r="W192" s="87"/>
      <c r="X192" s="87"/>
      <c r="AH192" s="3" t="str">
        <f>IF(COUNTIF(AB:AB,Z192)*COUNTIF(AD:AD,Z192)*COUNTIF(AF:AF,Z192),Z192,"")</f>
        <v/>
      </c>
      <c r="AI192" s="3" t="str">
        <f t="shared" si="12"/>
        <v/>
      </c>
      <c r="AM192" s="3">
        <v>46051</v>
      </c>
      <c r="AN192" s="4">
        <v>248.7859</v>
      </c>
      <c r="AO192" s="74">
        <v>46051</v>
      </c>
      <c r="AP192" s="4">
        <v>247.57400000000001</v>
      </c>
      <c r="AQ192" s="6">
        <f t="shared" si="13"/>
        <v>46051</v>
      </c>
    </row>
    <row r="193" spans="1:43" x14ac:dyDescent="0.25">
      <c r="A193" s="37" t="str">
        <f ca="1">IF(AND(ISBLANK(AJ182), A192 = $AJ$1),NOW(),IF(ISBLANK(AJ182),"",AJ182))</f>
        <v/>
      </c>
      <c r="B193" s="38" t="str">
        <f ca="1">IF(COUNTIF($AJ$2:AJ1178,A193)=1,VLOOKUP(A193,Z:AA,2), IF(COUNTIF($AJ$2:AJ1178,A193)=0,$B$9,""))</f>
        <v/>
      </c>
      <c r="C193" s="2" t="str">
        <f t="shared" ca="1" si="14"/>
        <v/>
      </c>
      <c r="D193" s="41" t="str">
        <f t="shared" ca="1" si="15"/>
        <v/>
      </c>
      <c r="E193" s="78" t="str">
        <f ca="1">IF(COUNTIF($AJ$2:AJ1178,A193)=1,VLOOKUP(A193,AF:AG,2), IF(COUNTIF($AJ$2:AJ1178,A193)=0,$E$9,""))</f>
        <v/>
      </c>
      <c r="F193" s="91" t="str">
        <f ca="1">IF(COUNTIF($AJ$2:AJ1178,A193)=1,VLOOKUP(A193,AF:AG,2), IF(COUNTIF($AJ$2:AJ1178,A193)=0,$E$9,""))</f>
        <v/>
      </c>
      <c r="G193" s="93" t="str">
        <f t="shared" ca="1" si="16"/>
        <v/>
      </c>
      <c r="H193" s="38" t="str">
        <f ca="1">IF(COUNTIF($AJ$2:AJ1178,A193)=1,VLOOKUP(A193,AB:AC,2), IF(COUNTIF($AJ$2:AJ1178,A193)=0,$C$9,""))</f>
        <v/>
      </c>
      <c r="I193" s="2" t="str">
        <f ca="1">IF(ISERROR(B193-2),"",(H193-$H$14)/100*$C$5)</f>
        <v/>
      </c>
      <c r="J193" s="41" t="str">
        <f ca="1">IF(ISERROR(B193-2),"",(INT(A193)-INT($A$14))/360*$C$6*$C$5-(INT(A193)-INT($A$14))/360*$C$7*$C$5*$H$14/100)</f>
        <v/>
      </c>
      <c r="K193" s="38" t="str">
        <f ca="1">IF(COUNTIF($AJ$2:AJ1178,A193)=1,VLOOKUP(A193,AM:AN,2), IF(COUNTIF($AJ$2:AJ1178,A193)=0,$D$10,""))</f>
        <v/>
      </c>
      <c r="L193" s="41" t="str">
        <f ca="1">IF(ISERROR(K193-2),"",(K193/$K$14-1)*$D$5)</f>
        <v/>
      </c>
      <c r="M193" s="41" t="str">
        <f ca="1">IF($A193="","",IF(COUNTIFS(Dividends!$G:$G,"&gt;"&amp;INT($A192),Dividends!$G:$G,"&lt;="&amp;INT($A193))=0,"",$Q$2*SUMIFS(Dividends!$H:$H,Dividends!$G:$G,"&gt;"&amp;INT($A192),Dividends!$G:$G,"&lt;="&amp;INT($A193))))</f>
        <v/>
      </c>
      <c r="N193" s="42" t="str">
        <f ca="1">IF(ISERROR(B193-2),"",C193+D193-I193-J193-L193+SUM($M$14:M193))</f>
        <v/>
      </c>
      <c r="O193" s="80" t="str">
        <f t="shared" ca="1" si="17"/>
        <v/>
      </c>
      <c r="P193" s="80"/>
      <c r="Q193" s="87"/>
      <c r="R193" s="87"/>
      <c r="S193" s="87"/>
      <c r="T193" s="108"/>
      <c r="U193" s="87"/>
      <c r="V193" s="108"/>
      <c r="W193" s="87"/>
      <c r="X193" s="87"/>
      <c r="AH193" s="3" t="str">
        <f>IF(COUNTIF(AB:AB,Z193)*COUNTIF(AD:AD,Z193)*COUNTIF(AF:AF,Z193),Z193,"")</f>
        <v/>
      </c>
      <c r="AI193" s="3" t="str">
        <f t="shared" si="12"/>
        <v/>
      </c>
      <c r="AM193" s="3">
        <v>46052</v>
      </c>
      <c r="AN193" s="4">
        <v>248.92789999999999</v>
      </c>
      <c r="AO193" s="74">
        <v>46052</v>
      </c>
      <c r="AP193" s="4">
        <v>247.31899999999999</v>
      </c>
      <c r="AQ193" s="6">
        <f t="shared" si="13"/>
        <v>46052</v>
      </c>
    </row>
    <row r="194" spans="1:43" x14ac:dyDescent="0.25">
      <c r="A194" s="37" t="str">
        <f ca="1">IF(AND(ISBLANK(AJ183), A193 = $AJ$1),NOW(),IF(ISBLANK(AJ183),"",AJ183))</f>
        <v/>
      </c>
      <c r="B194" s="38" t="str">
        <f ca="1">IF(COUNTIF($AJ$2:AJ1179,A194)=1,VLOOKUP(A194,Z:AA,2), IF(COUNTIF($AJ$2:AJ1179,A194)=0,$B$9,""))</f>
        <v/>
      </c>
      <c r="C194" s="2" t="str">
        <f t="shared" ca="1" si="14"/>
        <v/>
      </c>
      <c r="D194" s="41" t="str">
        <f t="shared" ca="1" si="15"/>
        <v/>
      </c>
      <c r="E194" s="78" t="str">
        <f ca="1">IF(COUNTIF($AJ$2:AJ1179,A194)=1,VLOOKUP(A194,AF:AG,2), IF(COUNTIF($AJ$2:AJ1179,A194)=0,$E$9,""))</f>
        <v/>
      </c>
      <c r="F194" s="91" t="str">
        <f ca="1">IF(COUNTIF($AJ$2:AJ1179,A194)=1,VLOOKUP(A194,AF:AG,2), IF(COUNTIF($AJ$2:AJ1179,A194)=0,$E$9,""))</f>
        <v/>
      </c>
      <c r="G194" s="93" t="str">
        <f t="shared" ca="1" si="16"/>
        <v/>
      </c>
      <c r="H194" s="38" t="str">
        <f ca="1">IF(COUNTIF($AJ$2:AJ1179,A194)=1,VLOOKUP(A194,AB:AC,2), IF(COUNTIF($AJ$2:AJ1179,A194)=0,$C$9,""))</f>
        <v/>
      </c>
      <c r="I194" s="2" t="str">
        <f ca="1">IF(ISERROR(B194-2),"",(H194-$H$14)/100*$C$5)</f>
        <v/>
      </c>
      <c r="J194" s="41" t="str">
        <f ca="1">IF(ISERROR(B194-2),"",(INT(A194)-INT($A$14))/360*$C$6*$C$5-(INT(A194)-INT($A$14))/360*$C$7*$C$5*$H$14/100)</f>
        <v/>
      </c>
      <c r="K194" s="38" t="str">
        <f ca="1">IF(COUNTIF($AJ$2:AJ1179,A194)=1,VLOOKUP(A194,AM:AN,2), IF(COUNTIF($AJ$2:AJ1179,A194)=0,$D$10,""))</f>
        <v/>
      </c>
      <c r="L194" s="41" t="str">
        <f ca="1">IF(ISERROR(K194-2),"",(K194/$K$14-1)*$D$5)</f>
        <v/>
      </c>
      <c r="M194" s="41" t="str">
        <f ca="1">IF($A194="","",IF(COUNTIFS(Dividends!$G:$G,"&gt;"&amp;INT($A193),Dividends!$G:$G,"&lt;="&amp;INT($A194))=0,"",$Q$2*SUMIFS(Dividends!$H:$H,Dividends!$G:$G,"&gt;"&amp;INT($A193),Dividends!$G:$G,"&lt;="&amp;INT($A194))))</f>
        <v/>
      </c>
      <c r="N194" s="42" t="str">
        <f ca="1">IF(ISERROR(B194-2),"",C194+D194-I194-J194-L194+SUM($M$14:M194))</f>
        <v/>
      </c>
      <c r="O194" s="80" t="str">
        <f t="shared" ca="1" si="17"/>
        <v/>
      </c>
      <c r="P194" s="80"/>
      <c r="Q194" s="87"/>
      <c r="R194" s="87"/>
      <c r="S194" s="87"/>
      <c r="T194" s="108"/>
      <c r="U194" s="87"/>
      <c r="V194" s="108"/>
      <c r="W194" s="87"/>
      <c r="X194" s="87"/>
      <c r="AH194" s="3" t="str">
        <f>IF(COUNTIF(AB:AB,Z194)*COUNTIF(AD:AD,Z194)*COUNTIF(AF:AF,Z194),Z194,"")</f>
        <v/>
      </c>
      <c r="AI194" s="3" t="str">
        <f t="shared" si="12"/>
        <v/>
      </c>
      <c r="AM194" s="3">
        <v>46055</v>
      </c>
      <c r="AN194" s="4">
        <v>249.41380000000001</v>
      </c>
      <c r="AO194" s="74">
        <v>46055</v>
      </c>
      <c r="AP194" s="4">
        <v>242.94800000000001</v>
      </c>
      <c r="AQ194" s="6">
        <f t="shared" si="13"/>
        <v>46055</v>
      </c>
    </row>
    <row r="195" spans="1:43" x14ac:dyDescent="0.25">
      <c r="A195" s="37" t="str">
        <f ca="1">IF(AND(ISBLANK(AJ184), A194 = $AJ$1),NOW(),IF(ISBLANK(AJ184),"",AJ184))</f>
        <v/>
      </c>
      <c r="B195" s="38" t="str">
        <f ca="1">IF(COUNTIF($AJ$2:AJ1180,A195)=1,VLOOKUP(A195,Z:AA,2), IF(COUNTIF($AJ$2:AJ1180,A195)=0,$B$9,""))</f>
        <v/>
      </c>
      <c r="C195" s="2" t="str">
        <f t="shared" ca="1" si="14"/>
        <v/>
      </c>
      <c r="D195" s="41" t="str">
        <f t="shared" ca="1" si="15"/>
        <v/>
      </c>
      <c r="E195" s="78" t="str">
        <f ca="1">IF(COUNTIF($AJ$2:AJ1180,A195)=1,VLOOKUP(A195,AF:AG,2), IF(COUNTIF($AJ$2:AJ1180,A195)=0,$E$9,""))</f>
        <v/>
      </c>
      <c r="F195" s="91" t="str">
        <f ca="1">IF(COUNTIF($AJ$2:AJ1180,A195)=1,VLOOKUP(A195,AF:AG,2), IF(COUNTIF($AJ$2:AJ1180,A195)=0,$E$9,""))</f>
        <v/>
      </c>
      <c r="G195" s="93" t="str">
        <f t="shared" ca="1" si="16"/>
        <v/>
      </c>
      <c r="H195" s="38" t="str">
        <f ca="1">IF(COUNTIF($AJ$2:AJ1180,A195)=1,VLOOKUP(A195,AB:AC,2), IF(COUNTIF($AJ$2:AJ1180,A195)=0,$C$9,""))</f>
        <v/>
      </c>
      <c r="I195" s="2" t="str">
        <f ca="1">IF(ISERROR(B195-2),"",(H195-$H$14)/100*$C$5)</f>
        <v/>
      </c>
      <c r="J195" s="41" t="str">
        <f ca="1">IF(ISERROR(B195-2),"",(INT(A195)-INT($A$14))/360*$C$6*$C$5-(INT(A195)-INT($A$14))/360*$C$7*$C$5*$H$14/100)</f>
        <v/>
      </c>
      <c r="K195" s="38" t="str">
        <f ca="1">IF(COUNTIF($AJ$2:AJ1180,A195)=1,VLOOKUP(A195,AM:AN,2), IF(COUNTIF($AJ$2:AJ1180,A195)=0,$D$10,""))</f>
        <v/>
      </c>
      <c r="L195" s="41" t="str">
        <f ca="1">IF(ISERROR(K195-2),"",(K195/$K$14-1)*$D$5)</f>
        <v/>
      </c>
      <c r="M195" s="41" t="str">
        <f ca="1">IF($A195="","",IF(COUNTIFS(Dividends!$G:$G,"&gt;"&amp;INT($A194),Dividends!$G:$G,"&lt;="&amp;INT($A195))=0,"",$Q$2*SUMIFS(Dividends!$H:$H,Dividends!$G:$G,"&gt;"&amp;INT($A194),Dividends!$G:$G,"&lt;="&amp;INT($A195))))</f>
        <v/>
      </c>
      <c r="N195" s="42" t="str">
        <f ca="1">IF(ISERROR(B195-2),"",C195+D195-I195-J195-L195+SUM($M$14:M195))</f>
        <v/>
      </c>
      <c r="O195" s="80" t="str">
        <f t="shared" ca="1" si="17"/>
        <v/>
      </c>
      <c r="P195" s="80"/>
      <c r="Q195" s="87"/>
      <c r="R195" s="87"/>
      <c r="S195" s="87"/>
      <c r="T195" s="108"/>
      <c r="U195" s="87"/>
      <c r="V195" s="108"/>
      <c r="W195" s="87"/>
      <c r="X195" s="87"/>
      <c r="AH195" s="3" t="str">
        <f>IF(COUNTIF(AB:AB,Z195)*COUNTIF(AD:AD,Z195)*COUNTIF(AF:AF,Z195),Z195,"")</f>
        <v/>
      </c>
      <c r="AI195" s="3" t="str">
        <f t="shared" si="12"/>
        <v/>
      </c>
      <c r="AM195" s="3">
        <v>46056</v>
      </c>
      <c r="AN195" s="4">
        <v>249.29150000000001</v>
      </c>
      <c r="AO195" s="74">
        <v>46056</v>
      </c>
      <c r="AP195" s="4">
        <v>244.75399999999999</v>
      </c>
      <c r="AQ195" s="6">
        <f t="shared" si="13"/>
        <v>46056</v>
      </c>
    </row>
    <row r="196" spans="1:43" x14ac:dyDescent="0.25">
      <c r="A196" s="37" t="str">
        <f ca="1">IF(AND(ISBLANK(AJ185), A195 = $AJ$1),NOW(),IF(ISBLANK(AJ185),"",AJ185))</f>
        <v/>
      </c>
      <c r="B196" s="38" t="str">
        <f ca="1">IF(COUNTIF($AJ$2:AJ1181,A196)=1,VLOOKUP(A196,Z:AA,2), IF(COUNTIF($AJ$2:AJ1181,A196)=0,$B$9,""))</f>
        <v/>
      </c>
      <c r="C196" s="2" t="str">
        <f t="shared" ca="1" si="14"/>
        <v/>
      </c>
      <c r="D196" s="41" t="str">
        <f t="shared" ca="1" si="15"/>
        <v/>
      </c>
      <c r="E196" s="78" t="str">
        <f ca="1">IF(COUNTIF($AJ$2:AJ1181,A196)=1,VLOOKUP(A196,AF:AG,2), IF(COUNTIF($AJ$2:AJ1181,A196)=0,$E$9,""))</f>
        <v/>
      </c>
      <c r="F196" s="91" t="str">
        <f ca="1">IF(COUNTIF($AJ$2:AJ1181,A196)=1,VLOOKUP(A196,AF:AG,2), IF(COUNTIF($AJ$2:AJ1181,A196)=0,$E$9,""))</f>
        <v/>
      </c>
      <c r="G196" s="93" t="str">
        <f t="shared" ca="1" si="16"/>
        <v/>
      </c>
      <c r="H196" s="38" t="str">
        <f ca="1">IF(COUNTIF($AJ$2:AJ1181,A196)=1,VLOOKUP(A196,AB:AC,2), IF(COUNTIF($AJ$2:AJ1181,A196)=0,$C$9,""))</f>
        <v/>
      </c>
      <c r="I196" s="2" t="str">
        <f ca="1">IF(ISERROR(B196-2),"",(H196-$H$14)/100*$C$5)</f>
        <v/>
      </c>
      <c r="J196" s="41" t="str">
        <f ca="1">IF(ISERROR(B196-2),"",(INT(A196)-INT($A$14))/360*$C$6*$C$5-(INT(A196)-INT($A$14))/360*$C$7*$C$5*$H$14/100)</f>
        <v/>
      </c>
      <c r="K196" s="38" t="str">
        <f ca="1">IF(COUNTIF($AJ$2:AJ1181,A196)=1,VLOOKUP(A196,AM:AN,2), IF(COUNTIF($AJ$2:AJ1181,A196)=0,$D$10,""))</f>
        <v/>
      </c>
      <c r="L196" s="41" t="str">
        <f ca="1">IF(ISERROR(K196-2),"",(K196/$K$14-1)*$D$5)</f>
        <v/>
      </c>
      <c r="M196" s="41" t="str">
        <f ca="1">IF($A196="","",IF(COUNTIFS(Dividends!$G:$G,"&gt;"&amp;INT($A195),Dividends!$G:$G,"&lt;="&amp;INT($A196))=0,"",$Q$2*SUMIFS(Dividends!$H:$H,Dividends!$G:$G,"&gt;"&amp;INT($A195),Dividends!$G:$G,"&lt;="&amp;INT($A196))))</f>
        <v/>
      </c>
      <c r="N196" s="42" t="str">
        <f ca="1">IF(ISERROR(B196-2),"",C196+D196-I196-J196-L196+SUM($M$14:M196))</f>
        <v/>
      </c>
      <c r="O196" s="80" t="str">
        <f t="shared" ca="1" si="17"/>
        <v/>
      </c>
      <c r="P196" s="80"/>
      <c r="Q196" s="87"/>
      <c r="R196" s="87"/>
      <c r="S196" s="87"/>
      <c r="T196" s="108"/>
      <c r="U196" s="87"/>
      <c r="V196" s="108"/>
      <c r="W196" s="87"/>
      <c r="X196" s="87"/>
      <c r="AH196" s="3" t="str">
        <f>IF(COUNTIF(AB:AB,Z196)*COUNTIF(AD:AD,Z196)*COUNTIF(AF:AF,Z196),Z196,"")</f>
        <v/>
      </c>
      <c r="AI196" s="3" t="str">
        <f t="shared" ref="AI196:AI259" si="18">IF(AH196&gt;=$A$14,AH196,"")</f>
        <v/>
      </c>
      <c r="AM196" s="3">
        <v>46057</v>
      </c>
      <c r="AN196" s="4">
        <v>249.12110000000001</v>
      </c>
      <c r="AO196" s="74">
        <v>46057</v>
      </c>
      <c r="AP196" s="4">
        <v>246.44200000000001</v>
      </c>
      <c r="AQ196" s="6">
        <f t="shared" ref="AQ196:AQ259" si="19">IF(COUNTIF(AO:AO,AM196),AM196,"")</f>
        <v>46057</v>
      </c>
    </row>
    <row r="197" spans="1:43" x14ac:dyDescent="0.25">
      <c r="A197" s="37" t="str">
        <f ca="1">IF(AND(ISBLANK(AJ186), A196 = $AJ$1),NOW(),IF(ISBLANK(AJ186),"",AJ186))</f>
        <v/>
      </c>
      <c r="B197" s="38" t="str">
        <f ca="1">IF(COUNTIF($AJ$2:AJ1182,A197)=1,VLOOKUP(A197,Z:AA,2), IF(COUNTIF($AJ$2:AJ1182,A197)=0,$B$9,""))</f>
        <v/>
      </c>
      <c r="C197" s="2" t="str">
        <f t="shared" ca="1" si="14"/>
        <v/>
      </c>
      <c r="D197" s="41" t="str">
        <f t="shared" ca="1" si="15"/>
        <v/>
      </c>
      <c r="E197" s="78" t="str">
        <f ca="1">IF(COUNTIF($AJ$2:AJ1182,A197)=1,VLOOKUP(A197,AF:AG,2), IF(COUNTIF($AJ$2:AJ1182,A197)=0,$E$9,""))</f>
        <v/>
      </c>
      <c r="F197" s="91" t="str">
        <f ca="1">IF(COUNTIF($AJ$2:AJ1182,A197)=1,VLOOKUP(A197,AF:AG,2), IF(COUNTIF($AJ$2:AJ1182,A197)=0,$E$9,""))</f>
        <v/>
      </c>
      <c r="G197" s="93" t="str">
        <f t="shared" ca="1" si="16"/>
        <v/>
      </c>
      <c r="H197" s="38" t="str">
        <f ca="1">IF(COUNTIF($AJ$2:AJ1182,A197)=1,VLOOKUP(A197,AB:AC,2), IF(COUNTIF($AJ$2:AJ1182,A197)=0,$C$9,""))</f>
        <v/>
      </c>
      <c r="I197" s="2" t="str">
        <f ca="1">IF(ISERROR(B197-2),"",(H197-$H$14)/100*$C$5)</f>
        <v/>
      </c>
      <c r="J197" s="41" t="str">
        <f ca="1">IF(ISERROR(B197-2),"",(INT(A197)-INT($A$14))/360*$C$6*$C$5-(INT(A197)-INT($A$14))/360*$C$7*$C$5*$H$14/100)</f>
        <v/>
      </c>
      <c r="K197" s="38" t="str">
        <f ca="1">IF(COUNTIF($AJ$2:AJ1182,A197)=1,VLOOKUP(A197,AM:AN,2), IF(COUNTIF($AJ$2:AJ1182,A197)=0,$D$10,""))</f>
        <v/>
      </c>
      <c r="L197" s="41" t="str">
        <f ca="1">IF(ISERROR(K197-2),"",(K197/$K$14-1)*$D$5)</f>
        <v/>
      </c>
      <c r="M197" s="41" t="str">
        <f ca="1">IF($A197="","",IF(COUNTIFS(Dividends!$G:$G,"&gt;"&amp;INT($A196),Dividends!$G:$G,"&lt;="&amp;INT($A197))=0,"",$Q$2*SUMIFS(Dividends!$H:$H,Dividends!$G:$G,"&gt;"&amp;INT($A196),Dividends!$G:$G,"&lt;="&amp;INT($A197))))</f>
        <v/>
      </c>
      <c r="N197" s="42" t="str">
        <f ca="1">IF(ISERROR(B197-2),"",C197+D197-I197-J197-L197+SUM($M$14:M197))</f>
        <v/>
      </c>
      <c r="O197" s="80" t="str">
        <f t="shared" ca="1" si="17"/>
        <v/>
      </c>
      <c r="P197" s="80"/>
      <c r="Q197" s="87"/>
      <c r="R197" s="87"/>
      <c r="S197" s="87"/>
      <c r="T197" s="108"/>
      <c r="U197" s="87"/>
      <c r="V197" s="108"/>
      <c r="W197" s="87"/>
      <c r="X197" s="87"/>
      <c r="AH197" s="3" t="str">
        <f>IF(COUNTIF(AB:AB,Z197)*COUNTIF(AD:AD,Z197)*COUNTIF(AF:AF,Z197),Z197,"")</f>
        <v/>
      </c>
      <c r="AI197" s="3" t="str">
        <f t="shared" si="18"/>
        <v/>
      </c>
      <c r="AM197" s="3">
        <v>46058</v>
      </c>
      <c r="AN197" s="4">
        <v>248.86420000000001</v>
      </c>
      <c r="AO197" s="74">
        <v>46058</v>
      </c>
      <c r="AP197" s="4">
        <v>247.72399999999999</v>
      </c>
      <c r="AQ197" s="6">
        <f t="shared" si="19"/>
        <v>46058</v>
      </c>
    </row>
    <row r="198" spans="1:43" x14ac:dyDescent="0.25">
      <c r="A198" s="37" t="str">
        <f ca="1">IF(AND(ISBLANK(AJ187), A197 = $AJ$1),NOW(),IF(ISBLANK(AJ187),"",AJ187))</f>
        <v/>
      </c>
      <c r="B198" s="38" t="str">
        <f ca="1">IF(COUNTIF($AJ$2:AJ1183,A198)=1,VLOOKUP(A198,Z:AA,2), IF(COUNTIF($AJ$2:AJ1183,A198)=0,$B$9,""))</f>
        <v/>
      </c>
      <c r="C198" s="2" t="str">
        <f t="shared" ca="1" si="14"/>
        <v/>
      </c>
      <c r="D198" s="41" t="str">
        <f t="shared" ca="1" si="15"/>
        <v/>
      </c>
      <c r="E198" s="78" t="str">
        <f ca="1">IF(COUNTIF($AJ$2:AJ1183,A198)=1,VLOOKUP(A198,AF:AG,2), IF(COUNTIF($AJ$2:AJ1183,A198)=0,$E$9,""))</f>
        <v/>
      </c>
      <c r="F198" s="91" t="str">
        <f ca="1">IF(COUNTIF($AJ$2:AJ1183,A198)=1,VLOOKUP(A198,AF:AG,2), IF(COUNTIF($AJ$2:AJ1183,A198)=0,$E$9,""))</f>
        <v/>
      </c>
      <c r="G198" s="93" t="str">
        <f t="shared" ca="1" si="16"/>
        <v/>
      </c>
      <c r="H198" s="38" t="str">
        <f ca="1">IF(COUNTIF($AJ$2:AJ1183,A198)=1,VLOOKUP(A198,AB:AC,2), IF(COUNTIF($AJ$2:AJ1183,A198)=0,$C$9,""))</f>
        <v/>
      </c>
      <c r="I198" s="2" t="str">
        <f ca="1">IF(ISERROR(B198-2),"",(H198-$H$14)/100*$C$5)</f>
        <v/>
      </c>
      <c r="J198" s="41" t="str">
        <f ca="1">IF(ISERROR(B198-2),"",(INT(A198)-INT($A$14))/360*$C$6*$C$5-(INT(A198)-INT($A$14))/360*$C$7*$C$5*$H$14/100)</f>
        <v/>
      </c>
      <c r="K198" s="38" t="str">
        <f ca="1">IF(COUNTIF($AJ$2:AJ1183,A198)=1,VLOOKUP(A198,AM:AN,2), IF(COUNTIF($AJ$2:AJ1183,A198)=0,$D$10,""))</f>
        <v/>
      </c>
      <c r="L198" s="41" t="str">
        <f ca="1">IF(ISERROR(K198-2),"",(K198/$K$14-1)*$D$5)</f>
        <v/>
      </c>
      <c r="M198" s="41" t="str">
        <f ca="1">IF($A198="","",IF(COUNTIFS(Dividends!$G:$G,"&gt;"&amp;INT($A197),Dividends!$G:$G,"&lt;="&amp;INT($A198))=0,"",$Q$2*SUMIFS(Dividends!$H:$H,Dividends!$G:$G,"&gt;"&amp;INT($A197),Dividends!$G:$G,"&lt;="&amp;INT($A198))))</f>
        <v/>
      </c>
      <c r="N198" s="42" t="str">
        <f ca="1">IF(ISERROR(B198-2),"",C198+D198-I198-J198-L198+SUM($M$14:M198))</f>
        <v/>
      </c>
      <c r="O198" s="80" t="str">
        <f t="shared" ca="1" si="17"/>
        <v/>
      </c>
      <c r="P198" s="80"/>
      <c r="Q198" s="87"/>
      <c r="R198" s="87"/>
      <c r="S198" s="87"/>
      <c r="T198" s="108"/>
      <c r="U198" s="87"/>
      <c r="V198" s="108"/>
      <c r="W198" s="87"/>
      <c r="X198" s="87"/>
      <c r="AH198" s="3" t="str">
        <f>IF(COUNTIF(AB:AB,Z198)*COUNTIF(AD:AD,Z198)*COUNTIF(AF:AF,Z198),Z198,"")</f>
        <v/>
      </c>
      <c r="AI198" s="3" t="str">
        <f t="shared" si="18"/>
        <v/>
      </c>
      <c r="AM198" s="3">
        <v>46059</v>
      </c>
      <c r="AN198" s="4">
        <v>249.4572</v>
      </c>
      <c r="AO198" s="74">
        <v>46059</v>
      </c>
      <c r="AP198" s="4">
        <v>243.90799999999999</v>
      </c>
      <c r="AQ198" s="6">
        <f t="shared" si="19"/>
        <v>46059</v>
      </c>
    </row>
    <row r="199" spans="1:43" x14ac:dyDescent="0.25">
      <c r="A199" s="37" t="str">
        <f ca="1">IF(AND(ISBLANK(AJ188), A198 = $AJ$1),NOW(),IF(ISBLANK(AJ188),"",AJ188))</f>
        <v/>
      </c>
      <c r="B199" s="38" t="str">
        <f ca="1">IF(COUNTIF($AJ$2:AJ1184,A199)=1,VLOOKUP(A199,Z:AA,2), IF(COUNTIF($AJ$2:AJ1184,A199)=0,$B$9,""))</f>
        <v/>
      </c>
      <c r="C199" s="2" t="str">
        <f t="shared" ca="1" si="14"/>
        <v/>
      </c>
      <c r="D199" s="41" t="str">
        <f t="shared" ca="1" si="15"/>
        <v/>
      </c>
      <c r="E199" s="78" t="str">
        <f ca="1">IF(COUNTIF($AJ$2:AJ1184,A199)=1,VLOOKUP(A199,AF:AG,2), IF(COUNTIF($AJ$2:AJ1184,A199)=0,$E$9,""))</f>
        <v/>
      </c>
      <c r="F199" s="91" t="str">
        <f ca="1">IF(COUNTIF($AJ$2:AJ1184,A199)=1,VLOOKUP(A199,AF:AG,2), IF(COUNTIF($AJ$2:AJ1184,A199)=0,$E$9,""))</f>
        <v/>
      </c>
      <c r="G199" s="93" t="str">
        <f t="shared" ca="1" si="16"/>
        <v/>
      </c>
      <c r="H199" s="38" t="str">
        <f ca="1">IF(COUNTIF($AJ$2:AJ1184,A199)=1,VLOOKUP(A199,AB:AC,2), IF(COUNTIF($AJ$2:AJ1184,A199)=0,$C$9,""))</f>
        <v/>
      </c>
      <c r="I199" s="2" t="str">
        <f ca="1">IF(ISERROR(B199-2),"",(H199-$H$14)/100*$C$5)</f>
        <v/>
      </c>
      <c r="J199" s="41" t="str">
        <f ca="1">IF(ISERROR(B199-2),"",(INT(A199)-INT($A$14))/360*$C$6*$C$5-(INT(A199)-INT($A$14))/360*$C$7*$C$5*$H$14/100)</f>
        <v/>
      </c>
      <c r="K199" s="38" t="str">
        <f ca="1">IF(COUNTIF($AJ$2:AJ1184,A199)=1,VLOOKUP(A199,AM:AN,2), IF(COUNTIF($AJ$2:AJ1184,A199)=0,$D$10,""))</f>
        <v/>
      </c>
      <c r="L199" s="41" t="str">
        <f ca="1">IF(ISERROR(K199-2),"",(K199/$K$14-1)*$D$5)</f>
        <v/>
      </c>
      <c r="M199" s="41" t="str">
        <f ca="1">IF($A199="","",IF(COUNTIFS(Dividends!$G:$G,"&gt;"&amp;INT($A198),Dividends!$G:$G,"&lt;="&amp;INT($A199))=0,"",$Q$2*SUMIFS(Dividends!$H:$H,Dividends!$G:$G,"&gt;"&amp;INT($A198),Dividends!$G:$G,"&lt;="&amp;INT($A199))))</f>
        <v/>
      </c>
      <c r="N199" s="42" t="str">
        <f ca="1">IF(ISERROR(B199-2),"",C199+D199-I199-J199-L199+SUM($M$14:M199))</f>
        <v/>
      </c>
      <c r="O199" s="80" t="str">
        <f t="shared" ca="1" si="17"/>
        <v/>
      </c>
      <c r="P199" s="80"/>
      <c r="Q199" s="87"/>
      <c r="R199" s="87"/>
      <c r="S199" s="87"/>
      <c r="T199" s="108"/>
      <c r="U199" s="87"/>
      <c r="V199" s="108"/>
      <c r="W199" s="87"/>
      <c r="X199" s="87"/>
      <c r="AH199" s="3" t="str">
        <f>IF(COUNTIF(AB:AB,Z199)*COUNTIF(AD:AD,Z199)*COUNTIF(AF:AF,Z199),Z199,"")</f>
        <v/>
      </c>
      <c r="AI199" s="3" t="str">
        <f t="shared" si="18"/>
        <v/>
      </c>
      <c r="AM199" s="3">
        <v>46062</v>
      </c>
      <c r="AN199" s="4">
        <v>249.82130000000001</v>
      </c>
      <c r="AO199" s="74">
        <v>46062</v>
      </c>
      <c r="AP199" s="4">
        <v>240.52</v>
      </c>
      <c r="AQ199" s="6">
        <f t="shared" si="19"/>
        <v>46062</v>
      </c>
    </row>
    <row r="200" spans="1:43" x14ac:dyDescent="0.25">
      <c r="A200" s="37" t="str">
        <f ca="1">IF(AND(ISBLANK(AJ189), A199 = $AJ$1),NOW(),IF(ISBLANK(AJ189),"",AJ189))</f>
        <v/>
      </c>
      <c r="B200" s="38" t="str">
        <f ca="1">IF(COUNTIF($AJ$2:AJ1185,A200)=1,VLOOKUP(A200,Z:AA,2), IF(COUNTIF($AJ$2:AJ1185,A200)=0,$B$9,""))</f>
        <v/>
      </c>
      <c r="C200" s="2" t="str">
        <f t="shared" ca="1" si="14"/>
        <v/>
      </c>
      <c r="D200" s="41" t="str">
        <f t="shared" ca="1" si="15"/>
        <v/>
      </c>
      <c r="E200" s="78" t="str">
        <f ca="1">IF(COUNTIF($AJ$2:AJ1185,A200)=1,VLOOKUP(A200,AF:AG,2), IF(COUNTIF($AJ$2:AJ1185,A200)=0,$E$9,""))</f>
        <v/>
      </c>
      <c r="F200" s="91" t="str">
        <f ca="1">IF(COUNTIF($AJ$2:AJ1185,A200)=1,VLOOKUP(A200,AF:AG,2), IF(COUNTIF($AJ$2:AJ1185,A200)=0,$E$9,""))</f>
        <v/>
      </c>
      <c r="G200" s="93" t="str">
        <f t="shared" ca="1" si="16"/>
        <v/>
      </c>
      <c r="H200" s="38" t="str">
        <f ca="1">IF(COUNTIF($AJ$2:AJ1185,A200)=1,VLOOKUP(A200,AB:AC,2), IF(COUNTIF($AJ$2:AJ1185,A200)=0,$C$9,""))</f>
        <v/>
      </c>
      <c r="I200" s="2" t="str">
        <f ca="1">IF(ISERROR(B200-2),"",(H200-$H$14)/100*$C$5)</f>
        <v/>
      </c>
      <c r="J200" s="41" t="str">
        <f ca="1">IF(ISERROR(B200-2),"",(INT(A200)-INT($A$14))/360*$C$6*$C$5-(INT(A200)-INT($A$14))/360*$C$7*$C$5*$H$14/100)</f>
        <v/>
      </c>
      <c r="K200" s="38" t="str">
        <f ca="1">IF(COUNTIF($AJ$2:AJ1185,A200)=1,VLOOKUP(A200,AM:AN,2), IF(COUNTIF($AJ$2:AJ1185,A200)=0,$D$10,""))</f>
        <v/>
      </c>
      <c r="L200" s="41" t="str">
        <f ca="1">IF(ISERROR(K200-2),"",(K200/$K$14-1)*$D$5)</f>
        <v/>
      </c>
      <c r="M200" s="41" t="str">
        <f ca="1">IF($A200="","",IF(COUNTIFS(Dividends!$G:$G,"&gt;"&amp;INT($A199),Dividends!$G:$G,"&lt;="&amp;INT($A200))=0,"",$Q$2*SUMIFS(Dividends!$H:$H,Dividends!$G:$G,"&gt;"&amp;INT($A199),Dividends!$G:$G,"&lt;="&amp;INT($A200))))</f>
        <v/>
      </c>
      <c r="N200" s="42" t="str">
        <f ca="1">IF(ISERROR(B200-2),"",C200+D200-I200-J200-L200+SUM($M$14:M200))</f>
        <v/>
      </c>
      <c r="O200" s="80" t="str">
        <f t="shared" ca="1" si="17"/>
        <v/>
      </c>
      <c r="P200" s="80"/>
      <c r="Q200" s="87"/>
      <c r="R200" s="87"/>
      <c r="S200" s="87"/>
      <c r="T200" s="108"/>
      <c r="U200" s="87"/>
      <c r="V200" s="108"/>
      <c r="W200" s="87"/>
      <c r="X200" s="87"/>
      <c r="AH200" s="3" t="str">
        <f>IF(COUNTIF(AB:AB,Z200)*COUNTIF(AD:AD,Z200)*COUNTIF(AF:AF,Z200),Z200,"")</f>
        <v/>
      </c>
      <c r="AI200" s="3" t="str">
        <f t="shared" si="18"/>
        <v/>
      </c>
      <c r="AM200" s="3">
        <v>46063</v>
      </c>
      <c r="AN200" s="4">
        <v>249.73419999999999</v>
      </c>
      <c r="AO200" s="74">
        <v>46063</v>
      </c>
      <c r="AP200" s="4">
        <v>241.834</v>
      </c>
      <c r="AQ200" s="6">
        <f t="shared" si="19"/>
        <v>46063</v>
      </c>
    </row>
    <row r="201" spans="1:43" x14ac:dyDescent="0.25">
      <c r="A201" s="37" t="str">
        <f ca="1">IF(AND(ISBLANK(AJ190), A200 = $AJ$1),NOW(),IF(ISBLANK(AJ190),"",AJ190))</f>
        <v/>
      </c>
      <c r="B201" s="38" t="str">
        <f ca="1">IF(COUNTIF($AJ$2:AJ1186,A201)=1,VLOOKUP(A201,Z:AA,2), IF(COUNTIF($AJ$2:AJ1186,A201)=0,$B$9,""))</f>
        <v/>
      </c>
      <c r="C201" s="2" t="str">
        <f t="shared" ca="1" si="14"/>
        <v/>
      </c>
      <c r="D201" s="41" t="str">
        <f t="shared" ca="1" si="15"/>
        <v/>
      </c>
      <c r="E201" s="78" t="str">
        <f ca="1">IF(COUNTIF($AJ$2:AJ1186,A201)=1,VLOOKUP(A201,AF:AG,2), IF(COUNTIF($AJ$2:AJ1186,A201)=0,$E$9,""))</f>
        <v/>
      </c>
      <c r="F201" s="91" t="str">
        <f ca="1">IF(COUNTIF($AJ$2:AJ1186,A201)=1,VLOOKUP(A201,AF:AG,2), IF(COUNTIF($AJ$2:AJ1186,A201)=0,$E$9,""))</f>
        <v/>
      </c>
      <c r="G201" s="93" t="str">
        <f t="shared" ca="1" si="16"/>
        <v/>
      </c>
      <c r="H201" s="38" t="str">
        <f ca="1">IF(COUNTIF($AJ$2:AJ1186,A201)=1,VLOOKUP(A201,AB:AC,2), IF(COUNTIF($AJ$2:AJ1186,A201)=0,$C$9,""))</f>
        <v/>
      </c>
      <c r="I201" s="2" t="str">
        <f ca="1">IF(ISERROR(B201-2),"",(H201-$H$14)/100*$C$5)</f>
        <v/>
      </c>
      <c r="J201" s="41" t="str">
        <f ca="1">IF(ISERROR(B201-2),"",(INT(A201)-INT($A$14))/360*$C$6*$C$5-(INT(A201)-INT($A$14))/360*$C$7*$C$5*$H$14/100)</f>
        <v/>
      </c>
      <c r="K201" s="38" t="str">
        <f ca="1">IF(COUNTIF($AJ$2:AJ1186,A201)=1,VLOOKUP(A201,AM:AN,2), IF(COUNTIF($AJ$2:AJ1186,A201)=0,$D$10,""))</f>
        <v/>
      </c>
      <c r="L201" s="41" t="str">
        <f ca="1">IF(ISERROR(K201-2),"",(K201/$K$14-1)*$D$5)</f>
        <v/>
      </c>
      <c r="M201" s="41" t="str">
        <f ca="1">IF($A201="","",IF(COUNTIFS(Dividends!$G:$G,"&gt;"&amp;INT($A200),Dividends!$G:$G,"&lt;="&amp;INT($A201))=0,"",$Q$2*SUMIFS(Dividends!$H:$H,Dividends!$G:$G,"&gt;"&amp;INT($A200),Dividends!$G:$G,"&lt;="&amp;INT($A201))))</f>
        <v/>
      </c>
      <c r="N201" s="42" t="str">
        <f ca="1">IF(ISERROR(B201-2),"",C201+D201-I201-J201-L201+SUM($M$14:M201))</f>
        <v/>
      </c>
      <c r="O201" s="80" t="str">
        <f t="shared" ca="1" si="17"/>
        <v/>
      </c>
      <c r="P201" s="80"/>
      <c r="Q201" s="87"/>
      <c r="R201" s="87"/>
      <c r="S201" s="87"/>
      <c r="T201" s="108"/>
      <c r="U201" s="87"/>
      <c r="V201" s="108"/>
      <c r="W201" s="87"/>
      <c r="X201" s="87"/>
      <c r="AH201" s="3" t="str">
        <f>IF(COUNTIF(AB:AB,Z201)*COUNTIF(AD:AD,Z201)*COUNTIF(AF:AF,Z201),Z201,"")</f>
        <v/>
      </c>
      <c r="AI201" s="3" t="str">
        <f t="shared" si="18"/>
        <v/>
      </c>
      <c r="AM201" s="3">
        <v>46064</v>
      </c>
      <c r="AN201" s="4">
        <v>249.6275</v>
      </c>
      <c r="AO201" s="74">
        <v>46064</v>
      </c>
      <c r="AP201" s="4">
        <v>243.429</v>
      </c>
      <c r="AQ201" s="6">
        <f t="shared" si="19"/>
        <v>46064</v>
      </c>
    </row>
    <row r="202" spans="1:43" x14ac:dyDescent="0.25">
      <c r="A202" s="37" t="str">
        <f ca="1">IF(AND(ISBLANK(AJ191), A201 = $AJ$1),NOW(),IF(ISBLANK(AJ191),"",AJ191))</f>
        <v/>
      </c>
      <c r="B202" s="38" t="str">
        <f ca="1">IF(COUNTIF($AJ$2:AJ1187,A202)=1,VLOOKUP(A202,Z:AA,2), IF(COUNTIF($AJ$2:AJ1187,A202)=0,$B$9,""))</f>
        <v/>
      </c>
      <c r="C202" s="2" t="str">
        <f t="shared" ca="1" si="14"/>
        <v/>
      </c>
      <c r="D202" s="41" t="str">
        <f t="shared" ca="1" si="15"/>
        <v/>
      </c>
      <c r="E202" s="78" t="str">
        <f ca="1">IF(COUNTIF($AJ$2:AJ1187,A202)=1,VLOOKUP(A202,AF:AG,2), IF(COUNTIF($AJ$2:AJ1187,A202)=0,$E$9,""))</f>
        <v/>
      </c>
      <c r="F202" s="91" t="str">
        <f ca="1">IF(COUNTIF($AJ$2:AJ1187,A202)=1,VLOOKUP(A202,AF:AG,2), IF(COUNTIF($AJ$2:AJ1187,A202)=0,$E$9,""))</f>
        <v/>
      </c>
      <c r="G202" s="93" t="str">
        <f t="shared" ca="1" si="16"/>
        <v/>
      </c>
      <c r="H202" s="38" t="str">
        <f ca="1">IF(COUNTIF($AJ$2:AJ1187,A202)=1,VLOOKUP(A202,AB:AC,2), IF(COUNTIF($AJ$2:AJ1187,A202)=0,$C$9,""))</f>
        <v/>
      </c>
      <c r="I202" s="2" t="str">
        <f ca="1">IF(ISERROR(B202-2),"",(H202-$H$14)/100*$C$5)</f>
        <v/>
      </c>
      <c r="J202" s="41" t="str">
        <f ca="1">IF(ISERROR(B202-2),"",(INT(A202)-INT($A$14))/360*$C$6*$C$5-(INT(A202)-INT($A$14))/360*$C$7*$C$5*$H$14/100)</f>
        <v/>
      </c>
      <c r="K202" s="38" t="str">
        <f ca="1">IF(COUNTIF($AJ$2:AJ1187,A202)=1,VLOOKUP(A202,AM:AN,2), IF(COUNTIF($AJ$2:AJ1187,A202)=0,$D$10,""))</f>
        <v/>
      </c>
      <c r="L202" s="41" t="str">
        <f ca="1">IF(ISERROR(K202-2),"",(K202/$K$14-1)*$D$5)</f>
        <v/>
      </c>
      <c r="M202" s="41" t="str">
        <f ca="1">IF($A202="","",IF(COUNTIFS(Dividends!$G:$G,"&gt;"&amp;INT($A201),Dividends!$G:$G,"&lt;="&amp;INT($A202))=0,"",$Q$2*SUMIFS(Dividends!$H:$H,Dividends!$G:$G,"&gt;"&amp;INT($A201),Dividends!$G:$G,"&lt;="&amp;INT($A202))))</f>
        <v/>
      </c>
      <c r="N202" s="42" t="str">
        <f ca="1">IF(ISERROR(B202-2),"",C202+D202-I202-J202-L202+SUM($M$14:M202))</f>
        <v/>
      </c>
      <c r="O202" s="80" t="str">
        <f t="shared" ca="1" si="17"/>
        <v/>
      </c>
      <c r="P202" s="80"/>
      <c r="Q202" s="87"/>
      <c r="R202" s="87"/>
      <c r="S202" s="87"/>
      <c r="T202" s="108"/>
      <c r="U202" s="87"/>
      <c r="V202" s="108"/>
      <c r="W202" s="87"/>
      <c r="X202" s="87"/>
      <c r="AH202" s="3" t="str">
        <f>IF(COUNTIF(AB:AB,Z202)*COUNTIF(AD:AD,Z202)*COUNTIF(AF:AF,Z202),Z202,"")</f>
        <v/>
      </c>
      <c r="AI202" s="3" t="str">
        <f t="shared" si="18"/>
        <v/>
      </c>
      <c r="AM202" s="3">
        <v>46065</v>
      </c>
      <c r="AN202" s="4">
        <v>249.3349</v>
      </c>
      <c r="AO202" s="74">
        <v>46065</v>
      </c>
      <c r="AP202" s="4">
        <v>246.203</v>
      </c>
      <c r="AQ202" s="6">
        <f t="shared" si="19"/>
        <v>46065</v>
      </c>
    </row>
    <row r="203" spans="1:43" x14ac:dyDescent="0.25">
      <c r="A203" s="37" t="str">
        <f ca="1">IF(AND(ISBLANK(AJ192), A202 = $AJ$1),NOW(),IF(ISBLANK(AJ192),"",AJ192))</f>
        <v/>
      </c>
      <c r="B203" s="38" t="str">
        <f ca="1">IF(COUNTIF($AJ$2:AJ1188,A203)=1,VLOOKUP(A203,Z:AA,2), IF(COUNTIF($AJ$2:AJ1188,A203)=0,$B$9,""))</f>
        <v/>
      </c>
      <c r="C203" s="2" t="str">
        <f t="shared" ca="1" si="14"/>
        <v/>
      </c>
      <c r="D203" s="41" t="str">
        <f t="shared" ca="1" si="15"/>
        <v/>
      </c>
      <c r="E203" s="78" t="str">
        <f ca="1">IF(COUNTIF($AJ$2:AJ1188,A203)=1,VLOOKUP(A203,AF:AG,2), IF(COUNTIF($AJ$2:AJ1188,A203)=0,$E$9,""))</f>
        <v/>
      </c>
      <c r="F203" s="91" t="str">
        <f ca="1">IF(COUNTIF($AJ$2:AJ1188,A203)=1,VLOOKUP(A203,AF:AG,2), IF(COUNTIF($AJ$2:AJ1188,A203)=0,$E$9,""))</f>
        <v/>
      </c>
      <c r="G203" s="93" t="str">
        <f t="shared" ca="1" si="16"/>
        <v/>
      </c>
      <c r="H203" s="38" t="str">
        <f ca="1">IF(COUNTIF($AJ$2:AJ1188,A203)=1,VLOOKUP(A203,AB:AC,2), IF(COUNTIF($AJ$2:AJ1188,A203)=0,$C$9,""))</f>
        <v/>
      </c>
      <c r="I203" s="2" t="str">
        <f ca="1">IF(ISERROR(B203-2),"",(H203-$H$14)/100*$C$5)</f>
        <v/>
      </c>
      <c r="J203" s="41" t="str">
        <f ca="1">IF(ISERROR(B203-2),"",(INT(A203)-INT($A$14))/360*$C$6*$C$5-(INT(A203)-INT($A$14))/360*$C$7*$C$5*$H$14/100)</f>
        <v/>
      </c>
      <c r="K203" s="38" t="str">
        <f ca="1">IF(COUNTIF($AJ$2:AJ1188,A203)=1,VLOOKUP(A203,AM:AN,2), IF(COUNTIF($AJ$2:AJ1188,A203)=0,$D$10,""))</f>
        <v/>
      </c>
      <c r="L203" s="41" t="str">
        <f ca="1">IF(ISERROR(K203-2),"",(K203/$K$14-1)*$D$5)</f>
        <v/>
      </c>
      <c r="M203" s="41" t="str">
        <f ca="1">IF($A203="","",IF(COUNTIFS(Dividends!$G:$G,"&gt;"&amp;INT($A202),Dividends!$G:$G,"&lt;="&amp;INT($A203))=0,"",$Q$2*SUMIFS(Dividends!$H:$H,Dividends!$G:$G,"&gt;"&amp;INT($A202),Dividends!$G:$G,"&lt;="&amp;INT($A203))))</f>
        <v/>
      </c>
      <c r="N203" s="42" t="str">
        <f ca="1">IF(ISERROR(B203-2),"",C203+D203-I203-J203-L203+SUM($M$14:M203))</f>
        <v/>
      </c>
      <c r="O203" s="80" t="str">
        <f t="shared" ca="1" si="17"/>
        <v/>
      </c>
      <c r="P203" s="80"/>
      <c r="Q203" s="87"/>
      <c r="R203" s="87"/>
      <c r="S203" s="87"/>
      <c r="T203" s="108"/>
      <c r="U203" s="87"/>
      <c r="V203" s="108"/>
      <c r="W203" s="87"/>
      <c r="X203" s="87"/>
      <c r="AH203" s="3" t="str">
        <f>IF(COUNTIF(AB:AB,Z203)*COUNTIF(AD:AD,Z203)*COUNTIF(AF:AF,Z203),Z203,"")</f>
        <v/>
      </c>
      <c r="AI203" s="3" t="str">
        <f t="shared" si="18"/>
        <v/>
      </c>
      <c r="AM203" s="3">
        <v>46066</v>
      </c>
      <c r="AN203" s="4">
        <v>249.1874</v>
      </c>
      <c r="AO203" s="74">
        <v>46066</v>
      </c>
      <c r="AP203" s="4">
        <v>247.685</v>
      </c>
      <c r="AQ203" s="6">
        <f t="shared" si="19"/>
        <v>46066</v>
      </c>
    </row>
    <row r="204" spans="1:43" x14ac:dyDescent="0.25">
      <c r="A204" s="37" t="str">
        <f ca="1">IF(AND(ISBLANK(AJ193), A203 = $AJ$1),NOW(),IF(ISBLANK(AJ193),"",AJ193))</f>
        <v/>
      </c>
      <c r="B204" s="38" t="str">
        <f ca="1">IF(COUNTIF($AJ$2:AJ1189,A204)=1,VLOOKUP(A204,Z:AA,2), IF(COUNTIF($AJ$2:AJ1189,A204)=0,$B$9,""))</f>
        <v/>
      </c>
      <c r="C204" s="2" t="str">
        <f t="shared" ca="1" si="14"/>
        <v/>
      </c>
      <c r="D204" s="41" t="str">
        <f t="shared" ca="1" si="15"/>
        <v/>
      </c>
      <c r="E204" s="78" t="str">
        <f ca="1">IF(COUNTIF($AJ$2:AJ1189,A204)=1,VLOOKUP(A204,AF:AG,2), IF(COUNTIF($AJ$2:AJ1189,A204)=0,$E$9,""))</f>
        <v/>
      </c>
      <c r="F204" s="91" t="str">
        <f ca="1">IF(COUNTIF($AJ$2:AJ1189,A204)=1,VLOOKUP(A204,AF:AG,2), IF(COUNTIF($AJ$2:AJ1189,A204)=0,$E$9,""))</f>
        <v/>
      </c>
      <c r="G204" s="93" t="str">
        <f t="shared" ca="1" si="16"/>
        <v/>
      </c>
      <c r="H204" s="38" t="str">
        <f ca="1">IF(COUNTIF($AJ$2:AJ1189,A204)=1,VLOOKUP(A204,AB:AC,2), IF(COUNTIF($AJ$2:AJ1189,A204)=0,$C$9,""))</f>
        <v/>
      </c>
      <c r="I204" s="2" t="str">
        <f ca="1">IF(ISERROR(B204-2),"",(H204-$H$14)/100*$C$5)</f>
        <v/>
      </c>
      <c r="J204" s="41" t="str">
        <f ca="1">IF(ISERROR(B204-2),"",(INT(A204)-INT($A$14))/360*$C$6*$C$5-(INT(A204)-INT($A$14))/360*$C$7*$C$5*$H$14/100)</f>
        <v/>
      </c>
      <c r="K204" s="38" t="str">
        <f ca="1">IF(COUNTIF($AJ$2:AJ1189,A204)=1,VLOOKUP(A204,AM:AN,2), IF(COUNTIF($AJ$2:AJ1189,A204)=0,$D$10,""))</f>
        <v/>
      </c>
      <c r="L204" s="41" t="str">
        <f ca="1">IF(ISERROR(K204-2),"",(K204/$K$14-1)*$D$5)</f>
        <v/>
      </c>
      <c r="M204" s="41" t="str">
        <f ca="1">IF($A204="","",IF(COUNTIFS(Dividends!$G:$G,"&gt;"&amp;INT($A203),Dividends!$G:$G,"&lt;="&amp;INT($A204))=0,"",$Q$2*SUMIFS(Dividends!$H:$H,Dividends!$G:$G,"&gt;"&amp;INT($A203),Dividends!$G:$G,"&lt;="&amp;INT($A204))))</f>
        <v/>
      </c>
      <c r="N204" s="42" t="str">
        <f ca="1">IF(ISERROR(B204-2),"",C204+D204-I204-J204-L204+SUM($M$14:M204))</f>
        <v/>
      </c>
      <c r="O204" s="80" t="str">
        <f t="shared" ca="1" si="17"/>
        <v/>
      </c>
      <c r="P204" s="80"/>
      <c r="Q204" s="87"/>
      <c r="R204" s="87"/>
      <c r="S204" s="87"/>
      <c r="T204" s="108"/>
      <c r="U204" s="87"/>
      <c r="V204" s="108"/>
      <c r="W204" s="87"/>
      <c r="X204" s="87"/>
      <c r="AH204" s="3" t="str">
        <f>IF(COUNTIF(AB:AB,Z204)*COUNTIF(AD:AD,Z204)*COUNTIF(AF:AF,Z204),Z204,"")</f>
        <v/>
      </c>
      <c r="AI204" s="3" t="str">
        <f t="shared" si="18"/>
        <v/>
      </c>
      <c r="AM204" s="3">
        <v>46069</v>
      </c>
      <c r="AN204" s="4">
        <v>249.0668</v>
      </c>
      <c r="AO204" s="74">
        <v>46069</v>
      </c>
      <c r="AP204" s="4">
        <v>249.32300000000001</v>
      </c>
      <c r="AQ204" s="6">
        <f t="shared" si="19"/>
        <v>46069</v>
      </c>
    </row>
    <row r="205" spans="1:43" x14ac:dyDescent="0.25">
      <c r="A205" s="37"/>
      <c r="B205" s="38"/>
      <c r="C205" s="2"/>
      <c r="D205" s="41"/>
      <c r="E205" s="93"/>
      <c r="F205" s="93"/>
      <c r="G205" s="93"/>
      <c r="H205" s="38"/>
      <c r="I205" s="2"/>
      <c r="J205" s="41"/>
      <c r="K205" s="38"/>
      <c r="L205" s="41"/>
      <c r="M205" s="41"/>
      <c r="N205" s="42"/>
      <c r="O205" s="80"/>
      <c r="P205" s="80"/>
      <c r="Q205" s="87"/>
      <c r="R205" s="87"/>
      <c r="S205" s="87"/>
      <c r="T205" s="108"/>
      <c r="U205" s="87"/>
      <c r="V205" s="108"/>
      <c r="W205" s="87"/>
      <c r="X205" s="87"/>
      <c r="AH205" s="3" t="str">
        <f>IF(COUNTIF(AB:AB,Z205)*COUNTIF(AD:AD,Z205)*COUNTIF(AF:AF,Z205),Z205,"")</f>
        <v/>
      </c>
      <c r="AI205" s="3" t="str">
        <f t="shared" si="18"/>
        <v/>
      </c>
      <c r="AM205" s="3">
        <v>46070</v>
      </c>
      <c r="AN205" s="4">
        <v>248.9178</v>
      </c>
      <c r="AO205" s="74">
        <v>46070</v>
      </c>
      <c r="AP205" s="4">
        <v>250.65299999999999</v>
      </c>
      <c r="AQ205" s="6">
        <f t="shared" si="19"/>
        <v>46070</v>
      </c>
    </row>
    <row r="206" spans="1:43" x14ac:dyDescent="0.25">
      <c r="A206" s="37"/>
      <c r="B206" s="38"/>
      <c r="C206" s="2"/>
      <c r="D206" s="41"/>
      <c r="E206" s="93"/>
      <c r="F206" s="93"/>
      <c r="G206" s="93"/>
      <c r="H206" s="38"/>
      <c r="I206" s="2"/>
      <c r="J206" s="41"/>
      <c r="K206" s="38"/>
      <c r="L206" s="41"/>
      <c r="M206" s="41"/>
      <c r="N206" s="42"/>
      <c r="O206" s="80"/>
      <c r="P206" s="80"/>
      <c r="Q206" s="87"/>
      <c r="R206" s="87"/>
      <c r="S206" s="87"/>
      <c r="T206" s="108"/>
      <c r="U206" s="87"/>
      <c r="V206" s="108"/>
      <c r="W206" s="87"/>
      <c r="X206" s="87"/>
      <c r="AH206" s="3" t="str">
        <f>IF(COUNTIF(AB:AB,Z206)*COUNTIF(AD:AD,Z206)*COUNTIF(AF:AF,Z206),Z206,"")</f>
        <v/>
      </c>
      <c r="AI206" s="3" t="str">
        <f t="shared" si="18"/>
        <v/>
      </c>
      <c r="AM206" s="3">
        <v>46071</v>
      </c>
      <c r="AN206" s="4">
        <v>249.54349999999999</v>
      </c>
      <c r="AO206" s="74">
        <v>46071</v>
      </c>
      <c r="AP206" s="4">
        <v>245.28100000000001</v>
      </c>
      <c r="AQ206" s="6">
        <f t="shared" si="19"/>
        <v>46071</v>
      </c>
    </row>
    <row r="207" spans="1:43" x14ac:dyDescent="0.25">
      <c r="A207" s="37"/>
      <c r="B207" s="38"/>
      <c r="C207" s="2"/>
      <c r="D207" s="41"/>
      <c r="E207" s="93"/>
      <c r="F207" s="93"/>
      <c r="G207" s="93"/>
      <c r="H207" s="38"/>
      <c r="I207" s="2"/>
      <c r="J207" s="41"/>
      <c r="K207" s="38"/>
      <c r="L207" s="41"/>
      <c r="M207" s="41"/>
      <c r="N207" s="42"/>
      <c r="O207" s="80"/>
      <c r="P207" s="80"/>
      <c r="Q207" s="87"/>
      <c r="R207" s="87"/>
      <c r="S207" s="87"/>
      <c r="T207" s="108"/>
      <c r="U207" s="87"/>
      <c r="V207" s="108"/>
      <c r="W207" s="87"/>
      <c r="X207" s="87"/>
      <c r="AH207" s="3" t="str">
        <f>IF(COUNTIF(AB:AB,Z207)*COUNTIF(AD:AD,Z207)*COUNTIF(AF:AF,Z207),Z207,"")</f>
        <v/>
      </c>
      <c r="AI207" s="3" t="str">
        <f t="shared" si="18"/>
        <v/>
      </c>
      <c r="AM207" s="3">
        <v>46072</v>
      </c>
      <c r="AN207" s="4">
        <v>249.05619999999999</v>
      </c>
      <c r="AO207" s="74">
        <v>46072</v>
      </c>
      <c r="AP207" s="4">
        <v>249.80099999999999</v>
      </c>
      <c r="AQ207" s="6">
        <f t="shared" si="19"/>
        <v>46072</v>
      </c>
    </row>
    <row r="208" spans="1:43" x14ac:dyDescent="0.25">
      <c r="A208" s="37"/>
      <c r="B208" s="38"/>
      <c r="C208" s="2"/>
      <c r="D208" s="41"/>
      <c r="E208" s="93"/>
      <c r="F208" s="93"/>
      <c r="G208" s="93"/>
      <c r="H208" s="38"/>
      <c r="I208" s="2"/>
      <c r="J208" s="41"/>
      <c r="K208" s="38"/>
      <c r="L208" s="41"/>
      <c r="M208" s="41"/>
      <c r="N208" s="42"/>
      <c r="O208" s="80"/>
      <c r="P208" s="80"/>
      <c r="Q208" s="87"/>
      <c r="R208" s="87"/>
      <c r="S208" s="87"/>
      <c r="T208" s="108"/>
      <c r="U208" s="87"/>
      <c r="V208" s="108"/>
      <c r="W208" s="87"/>
      <c r="X208" s="87"/>
      <c r="AH208" s="3" t="str">
        <f>IF(COUNTIF(AB:AB,Z208)*COUNTIF(AD:AD,Z208)*COUNTIF(AF:AF,Z208),Z208,"")</f>
        <v/>
      </c>
      <c r="AI208" s="3" t="str">
        <f t="shared" si="18"/>
        <v/>
      </c>
      <c r="AM208" s="3">
        <v>46073</v>
      </c>
      <c r="AN208" s="4">
        <v>249.35589999999999</v>
      </c>
      <c r="AO208" s="74">
        <v>46073</v>
      </c>
      <c r="AP208" s="4">
        <v>247.39400000000001</v>
      </c>
      <c r="AQ208" s="6">
        <f t="shared" si="19"/>
        <v>46073</v>
      </c>
    </row>
    <row r="209" spans="1:43" x14ac:dyDescent="0.25">
      <c r="A209" s="37"/>
      <c r="B209" s="38"/>
      <c r="C209" s="2"/>
      <c r="D209" s="41"/>
      <c r="E209" s="93"/>
      <c r="F209" s="93"/>
      <c r="G209" s="93"/>
      <c r="H209" s="38"/>
      <c r="I209" s="2"/>
      <c r="J209" s="41"/>
      <c r="K209" s="38"/>
      <c r="L209" s="41"/>
      <c r="M209" s="41"/>
      <c r="N209" s="42"/>
      <c r="O209" s="80"/>
      <c r="P209" s="80"/>
      <c r="Q209" s="87"/>
      <c r="R209" s="87"/>
      <c r="S209" s="87"/>
      <c r="T209" s="108"/>
      <c r="U209" s="87"/>
      <c r="V209" s="108"/>
      <c r="W209" s="87"/>
      <c r="X209" s="87"/>
      <c r="AH209" s="3" t="str">
        <f>IF(COUNTIF(AB:AB,Z209)*COUNTIF(AD:AD,Z209)*COUNTIF(AF:AF,Z209),Z209,"")</f>
        <v/>
      </c>
      <c r="AI209" s="3" t="str">
        <f t="shared" si="18"/>
        <v/>
      </c>
      <c r="AM209" s="3">
        <v>46076</v>
      </c>
      <c r="AN209" s="4">
        <v>249.17140000000001</v>
      </c>
      <c r="AO209" s="74">
        <v>46076</v>
      </c>
      <c r="AP209" s="4">
        <v>249.6</v>
      </c>
      <c r="AQ209" s="6">
        <f t="shared" si="19"/>
        <v>46076</v>
      </c>
    </row>
    <row r="210" spans="1:43" x14ac:dyDescent="0.25">
      <c r="A210" s="37"/>
      <c r="B210" s="38"/>
      <c r="C210" s="2"/>
      <c r="D210" s="41"/>
      <c r="E210" s="93"/>
      <c r="F210" s="93"/>
      <c r="G210" s="93"/>
      <c r="H210" s="38"/>
      <c r="I210" s="2"/>
      <c r="J210" s="41"/>
      <c r="K210" s="38"/>
      <c r="L210" s="41"/>
      <c r="M210" s="41"/>
      <c r="N210" s="42"/>
      <c r="O210" s="80"/>
      <c r="P210" s="80"/>
      <c r="Q210" s="87"/>
      <c r="R210" s="87"/>
      <c r="S210" s="87"/>
      <c r="T210" s="108"/>
      <c r="U210" s="87"/>
      <c r="V210" s="108"/>
      <c r="W210" s="87"/>
      <c r="X210" s="87"/>
      <c r="AH210" s="3" t="str">
        <f>IF(COUNTIF(AB:AB,Z210)*COUNTIF(AD:AD,Z210)*COUNTIF(AF:AF,Z210),Z210,"")</f>
        <v/>
      </c>
      <c r="AI210" s="3" t="str">
        <f t="shared" si="18"/>
        <v/>
      </c>
      <c r="AM210" s="3">
        <v>46077</v>
      </c>
      <c r="AN210" s="4">
        <v>248.90289999999999</v>
      </c>
      <c r="AO210" s="74">
        <v>46077</v>
      </c>
      <c r="AP210" s="4">
        <v>251.95099999999999</v>
      </c>
      <c r="AQ210" s="6">
        <f t="shared" si="19"/>
        <v>46077</v>
      </c>
    </row>
    <row r="211" spans="1:43" x14ac:dyDescent="0.25">
      <c r="A211" s="37"/>
      <c r="B211" s="38"/>
      <c r="C211" s="2"/>
      <c r="D211" s="41"/>
      <c r="E211" s="93"/>
      <c r="F211" s="93"/>
      <c r="G211" s="93"/>
      <c r="H211" s="38"/>
      <c r="I211" s="2"/>
      <c r="J211" s="41"/>
      <c r="K211" s="38"/>
      <c r="L211" s="41"/>
      <c r="M211" s="41"/>
      <c r="N211" s="42"/>
      <c r="O211" s="80"/>
      <c r="P211" s="80"/>
      <c r="Q211" s="87"/>
      <c r="R211" s="87"/>
      <c r="S211" s="87"/>
      <c r="T211" s="108"/>
      <c r="U211" s="87"/>
      <c r="V211" s="108"/>
      <c r="W211" s="87"/>
      <c r="X211" s="87"/>
      <c r="AH211" s="3" t="str">
        <f>IF(COUNTIF(AB:AB,Z211)*COUNTIF(AD:AD,Z211)*COUNTIF(AF:AF,Z211),Z211,"")</f>
        <v/>
      </c>
      <c r="AI211" s="3" t="str">
        <f t="shared" si="18"/>
        <v/>
      </c>
      <c r="AM211" s="3">
        <v>46078</v>
      </c>
      <c r="AN211" s="4">
        <v>249.0966</v>
      </c>
      <c r="AO211" s="74">
        <v>46078</v>
      </c>
      <c r="AP211" s="4">
        <v>250.364</v>
      </c>
      <c r="AQ211" s="6">
        <f t="shared" si="19"/>
        <v>46078</v>
      </c>
    </row>
    <row r="212" spans="1:43" x14ac:dyDescent="0.25">
      <c r="A212" s="37"/>
      <c r="B212" s="38"/>
      <c r="C212" s="2"/>
      <c r="D212" s="41"/>
      <c r="E212" s="93"/>
      <c r="F212" s="93"/>
      <c r="G212" s="93"/>
      <c r="H212" s="38"/>
      <c r="I212" s="2"/>
      <c r="J212" s="41"/>
      <c r="K212" s="38"/>
      <c r="L212" s="41"/>
      <c r="M212" s="41"/>
      <c r="N212" s="42"/>
      <c r="O212" s="80"/>
      <c r="P212" s="80"/>
      <c r="Q212" s="87"/>
      <c r="R212" s="87"/>
      <c r="S212" s="87"/>
      <c r="T212" s="108"/>
      <c r="U212" s="87"/>
      <c r="V212" s="108"/>
      <c r="W212" s="87"/>
      <c r="X212" s="87"/>
      <c r="AH212" s="3" t="str">
        <f>IF(COUNTIF(AB:AB,Z212)*COUNTIF(AD:AD,Z212)*COUNTIF(AF:AF,Z212),Z212,"")</f>
        <v/>
      </c>
      <c r="AI212" s="3" t="str">
        <f t="shared" si="18"/>
        <v/>
      </c>
      <c r="AM212" s="3">
        <v>46079</v>
      </c>
      <c r="AN212" s="4">
        <v>248.75470000000001</v>
      </c>
      <c r="AO212" s="74">
        <v>46079</v>
      </c>
      <c r="AP212" s="4">
        <v>255.23400000000001</v>
      </c>
      <c r="AQ212" s="6">
        <f t="shared" si="19"/>
        <v>46079</v>
      </c>
    </row>
    <row r="213" spans="1:43" x14ac:dyDescent="0.25">
      <c r="A213" s="37"/>
      <c r="B213" s="38"/>
      <c r="C213" s="2"/>
      <c r="D213" s="41"/>
      <c r="E213" s="93"/>
      <c r="F213" s="93"/>
      <c r="G213" s="93"/>
      <c r="H213" s="38"/>
      <c r="I213" s="2"/>
      <c r="J213" s="41"/>
      <c r="K213" s="38"/>
      <c r="L213" s="41"/>
      <c r="M213" s="41"/>
      <c r="N213" s="42"/>
      <c r="O213" s="80"/>
      <c r="P213" s="80"/>
      <c r="Q213" s="87"/>
      <c r="R213" s="87"/>
      <c r="S213" s="87"/>
      <c r="T213" s="108"/>
      <c r="U213" s="87"/>
      <c r="V213" s="108"/>
      <c r="W213" s="87"/>
      <c r="X213" s="87"/>
      <c r="AH213" s="3" t="str">
        <f>IF(COUNTIF(AB:AB,Z213)*COUNTIF(AD:AD,Z213)*COUNTIF(AF:AF,Z213),Z213,"")</f>
        <v/>
      </c>
      <c r="AI213" s="3" t="str">
        <f t="shared" si="18"/>
        <v/>
      </c>
      <c r="AM213" s="3">
        <v>46080</v>
      </c>
      <c r="AN213" s="4">
        <v>248.09289999999999</v>
      </c>
      <c r="AO213" s="74">
        <v>46080</v>
      </c>
      <c r="AP213" s="4">
        <v>260.47699999999998</v>
      </c>
      <c r="AQ213" s="6">
        <f t="shared" si="19"/>
        <v>46080</v>
      </c>
    </row>
    <row r="214" spans="1:43" x14ac:dyDescent="0.25">
      <c r="A214" s="37"/>
      <c r="B214" s="38"/>
      <c r="C214" s="2"/>
      <c r="D214" s="41"/>
      <c r="E214" s="93"/>
      <c r="F214" s="93"/>
      <c r="G214" s="93"/>
      <c r="H214" s="38"/>
      <c r="I214" s="2"/>
      <c r="J214" s="41"/>
      <c r="K214" s="38"/>
      <c r="L214" s="41"/>
      <c r="M214" s="41"/>
      <c r="N214" s="42"/>
      <c r="O214" s="80"/>
      <c r="P214" s="80"/>
      <c r="Q214" s="87"/>
      <c r="R214" s="87"/>
      <c r="S214" s="87"/>
      <c r="T214" s="108"/>
      <c r="U214" s="87"/>
      <c r="V214" s="108"/>
      <c r="W214" s="87"/>
      <c r="X214" s="87"/>
      <c r="AH214" s="3" t="str">
        <f>IF(COUNTIF(AB:AB,Z214)*COUNTIF(AD:AD,Z214)*COUNTIF(AF:AF,Z214),Z214,"")</f>
        <v/>
      </c>
      <c r="AI214" s="3" t="str">
        <f t="shared" si="18"/>
        <v/>
      </c>
      <c r="AM214" s="3">
        <v>46083</v>
      </c>
      <c r="AN214" s="4">
        <v>247.5763</v>
      </c>
      <c r="AO214" s="74">
        <v>46083</v>
      </c>
      <c r="AP214" s="4">
        <v>263.697</v>
      </c>
      <c r="AQ214" s="6">
        <f t="shared" si="19"/>
        <v>46083</v>
      </c>
    </row>
    <row r="215" spans="1:43" x14ac:dyDescent="0.25">
      <c r="A215" s="37"/>
      <c r="B215" s="38"/>
      <c r="C215" s="2"/>
      <c r="D215" s="41"/>
      <c r="E215" s="93"/>
      <c r="F215" s="93"/>
      <c r="G215" s="93"/>
      <c r="H215" s="38"/>
      <c r="I215" s="2"/>
      <c r="J215" s="41"/>
      <c r="K215" s="38"/>
      <c r="L215" s="41"/>
      <c r="M215" s="41"/>
      <c r="N215" s="42"/>
      <c r="O215" s="80"/>
      <c r="P215" s="80"/>
      <c r="Q215" s="87"/>
      <c r="R215" s="87"/>
      <c r="S215" s="87"/>
      <c r="T215" s="108"/>
      <c r="U215" s="87"/>
      <c r="V215" s="108"/>
      <c r="W215" s="87"/>
      <c r="X215" s="87"/>
      <c r="AH215" s="3" t="str">
        <f>IF(COUNTIF(AB:AB,Z215)*COUNTIF(AD:AD,Z215)*COUNTIF(AF:AF,Z215),Z215,"")</f>
        <v/>
      </c>
      <c r="AI215" s="3" t="str">
        <f t="shared" si="18"/>
        <v/>
      </c>
      <c r="AM215" s="3">
        <v>46084</v>
      </c>
      <c r="AN215" s="4">
        <v>246.2878</v>
      </c>
      <c r="AO215" s="74">
        <v>46084</v>
      </c>
      <c r="AP215" s="4">
        <v>274.05799999999999</v>
      </c>
      <c r="AQ215" s="6">
        <f t="shared" si="19"/>
        <v>46084</v>
      </c>
    </row>
    <row r="216" spans="1:43" x14ac:dyDescent="0.25">
      <c r="A216" s="37"/>
      <c r="B216" s="38"/>
      <c r="C216" s="2"/>
      <c r="D216" s="41"/>
      <c r="E216" s="93"/>
      <c r="F216" s="93"/>
      <c r="G216" s="93"/>
      <c r="H216" s="38"/>
      <c r="I216" s="2"/>
      <c r="J216" s="41"/>
      <c r="K216" s="38"/>
      <c r="L216" s="41"/>
      <c r="M216" s="41"/>
      <c r="N216" s="42"/>
      <c r="O216" s="80"/>
      <c r="P216" s="80"/>
      <c r="Q216" s="87"/>
      <c r="R216" s="87"/>
      <c r="S216" s="87"/>
      <c r="T216" s="108"/>
      <c r="U216" s="87"/>
      <c r="V216" s="108"/>
      <c r="W216" s="87"/>
      <c r="X216" s="87"/>
      <c r="AH216" s="3" t="str">
        <f>IF(COUNTIF(AB:AB,Z216)*COUNTIF(AD:AD,Z216)*COUNTIF(AF:AF,Z216),Z216,"")</f>
        <v/>
      </c>
      <c r="AI216" s="3" t="str">
        <f t="shared" si="18"/>
        <v/>
      </c>
      <c r="AM216" s="3">
        <v>46085</v>
      </c>
      <c r="AN216" s="4">
        <v>247.53190000000001</v>
      </c>
      <c r="AO216" s="74">
        <v>46085</v>
      </c>
      <c r="AP216" s="4">
        <v>264.47800000000001</v>
      </c>
      <c r="AQ216" s="6">
        <f t="shared" si="19"/>
        <v>46085</v>
      </c>
    </row>
    <row r="217" spans="1:43" x14ac:dyDescent="0.25">
      <c r="A217" s="37"/>
      <c r="B217" s="38"/>
      <c r="C217" s="2"/>
      <c r="D217" s="41"/>
      <c r="E217" s="93"/>
      <c r="F217" s="93"/>
      <c r="G217" s="93"/>
      <c r="H217" s="38"/>
      <c r="I217" s="2"/>
      <c r="J217" s="41"/>
      <c r="K217" s="38"/>
      <c r="L217" s="41"/>
      <c r="M217" s="41"/>
      <c r="N217" s="42"/>
      <c r="O217" s="80"/>
      <c r="P217" s="80"/>
      <c r="Q217" s="87"/>
      <c r="R217" s="87"/>
      <c r="S217" s="87"/>
      <c r="T217" s="108"/>
      <c r="U217" s="87"/>
      <c r="V217" s="108"/>
      <c r="W217" s="87"/>
      <c r="X217" s="87"/>
      <c r="AH217" s="3" t="str">
        <f>IF(COUNTIF(AB:AB,Z217)*COUNTIF(AD:AD,Z217)*COUNTIF(AF:AF,Z217),Z217,"")</f>
        <v/>
      </c>
      <c r="AI217" s="3" t="str">
        <f t="shared" si="18"/>
        <v/>
      </c>
      <c r="AM217" s="3">
        <v>46086</v>
      </c>
      <c r="AN217" s="4">
        <v>246.4889</v>
      </c>
      <c r="AO217" s="74">
        <v>46086</v>
      </c>
      <c r="AP217" s="4">
        <v>273.99700000000001</v>
      </c>
      <c r="AQ217" s="6">
        <f t="shared" si="19"/>
        <v>46086</v>
      </c>
    </row>
    <row r="218" spans="1:43" x14ac:dyDescent="0.25">
      <c r="A218" s="37"/>
      <c r="B218" s="38"/>
      <c r="C218" s="2"/>
      <c r="D218" s="41"/>
      <c r="E218" s="93"/>
      <c r="F218" s="93"/>
      <c r="G218" s="93"/>
      <c r="H218" s="38"/>
      <c r="I218" s="2"/>
      <c r="J218" s="41"/>
      <c r="K218" s="38"/>
      <c r="L218" s="41"/>
      <c r="M218" s="41"/>
      <c r="N218" s="42"/>
      <c r="O218" s="80"/>
      <c r="P218" s="80"/>
      <c r="Q218" s="87"/>
      <c r="R218" s="87"/>
      <c r="S218" s="87"/>
      <c r="T218" s="108"/>
      <c r="U218" s="87"/>
      <c r="V218" s="108"/>
      <c r="W218" s="87"/>
      <c r="X218" s="87"/>
      <c r="AH218" s="3" t="str">
        <f>IF(COUNTIF(AB:AB,Z218)*COUNTIF(AD:AD,Z218)*COUNTIF(AF:AF,Z218),Z218,"")</f>
        <v/>
      </c>
      <c r="AI218" s="3" t="str">
        <f t="shared" si="18"/>
        <v/>
      </c>
      <c r="AM218" s="3">
        <v>46087</v>
      </c>
      <c r="AN218" s="4">
        <v>244.8614</v>
      </c>
      <c r="AO218" s="74">
        <v>46087</v>
      </c>
      <c r="AP218" s="4">
        <v>288.99400000000003</v>
      </c>
      <c r="AQ218" s="6">
        <f t="shared" si="19"/>
        <v>46087</v>
      </c>
    </row>
    <row r="219" spans="1:43" x14ac:dyDescent="0.25">
      <c r="A219" s="37"/>
      <c r="B219" s="38"/>
      <c r="C219" s="2"/>
      <c r="D219" s="41"/>
      <c r="E219" s="93"/>
      <c r="F219" s="93"/>
      <c r="G219" s="93"/>
      <c r="H219" s="38"/>
      <c r="I219" s="2"/>
      <c r="J219" s="41"/>
      <c r="K219" s="38"/>
      <c r="L219" s="41"/>
      <c r="M219" s="41"/>
      <c r="N219" s="42"/>
      <c r="O219" s="80"/>
      <c r="P219" s="80"/>
      <c r="Q219" s="87"/>
      <c r="R219" s="87"/>
      <c r="S219" s="87"/>
      <c r="T219" s="108"/>
      <c r="U219" s="87"/>
      <c r="V219" s="108"/>
      <c r="W219" s="87"/>
      <c r="X219" s="87"/>
      <c r="AH219" s="3" t="str">
        <f>IF(COUNTIF(AB:AB,Z219)*COUNTIF(AD:AD,Z219)*COUNTIF(AF:AF,Z219),Z219,"")</f>
        <v/>
      </c>
      <c r="AI219" s="3" t="str">
        <f t="shared" si="18"/>
        <v/>
      </c>
      <c r="AM219" s="3">
        <v>46090</v>
      </c>
      <c r="AN219" s="4">
        <v>244.64580000000001</v>
      </c>
      <c r="AO219" s="74">
        <v>46090</v>
      </c>
      <c r="AP219" s="4">
        <v>291.28300000000002</v>
      </c>
      <c r="AQ219" s="6">
        <f t="shared" si="19"/>
        <v>46090</v>
      </c>
    </row>
    <row r="220" spans="1:43" x14ac:dyDescent="0.25">
      <c r="A220" s="37"/>
      <c r="B220" s="38"/>
      <c r="C220" s="2"/>
      <c r="D220" s="41"/>
      <c r="E220" s="93"/>
      <c r="F220" s="93"/>
      <c r="G220" s="93"/>
      <c r="H220" s="38"/>
      <c r="I220" s="2"/>
      <c r="J220" s="41"/>
      <c r="K220" s="38"/>
      <c r="L220" s="41"/>
      <c r="M220" s="41"/>
      <c r="N220" s="42"/>
      <c r="O220" s="80"/>
      <c r="P220" s="80"/>
      <c r="Q220" s="87"/>
      <c r="R220" s="87"/>
      <c r="S220" s="87"/>
      <c r="T220" s="108"/>
      <c r="U220" s="87"/>
      <c r="V220" s="108"/>
      <c r="W220" s="87"/>
      <c r="X220" s="87"/>
      <c r="AH220" s="3" t="str">
        <f>IF(COUNTIF(AB:AB,Z220)*COUNTIF(AD:AD,Z220)*COUNTIF(AF:AF,Z220),Z220,"")</f>
        <v/>
      </c>
      <c r="AI220" s="3" t="str">
        <f t="shared" si="18"/>
        <v/>
      </c>
      <c r="AM220" s="3">
        <v>46091</v>
      </c>
      <c r="AN220" s="4">
        <v>246.5496</v>
      </c>
      <c r="AO220" s="74">
        <v>46091</v>
      </c>
      <c r="AP220" s="4">
        <v>273.73200000000003</v>
      </c>
      <c r="AQ220" s="6">
        <f t="shared" si="19"/>
        <v>46091</v>
      </c>
    </row>
    <row r="221" spans="1:43" x14ac:dyDescent="0.25">
      <c r="A221" s="37"/>
      <c r="B221" s="38"/>
      <c r="C221" s="2"/>
      <c r="D221" s="41"/>
      <c r="E221" s="93"/>
      <c r="F221" s="93"/>
      <c r="G221" s="93"/>
      <c r="H221" s="38"/>
      <c r="I221" s="2"/>
      <c r="J221" s="41"/>
      <c r="K221" s="38"/>
      <c r="L221" s="41"/>
      <c r="M221" s="41"/>
      <c r="N221" s="42"/>
      <c r="O221" s="80"/>
      <c r="P221" s="80"/>
      <c r="Q221" s="87"/>
      <c r="R221" s="87"/>
      <c r="S221" s="87"/>
      <c r="T221" s="108"/>
      <c r="U221" s="87"/>
      <c r="V221" s="108"/>
      <c r="W221" s="87"/>
      <c r="X221" s="87"/>
      <c r="AH221" s="3" t="str">
        <f>IF(COUNTIF(AB:AB,Z221)*COUNTIF(AD:AD,Z221)*COUNTIF(AF:AF,Z221),Z221,"")</f>
        <v/>
      </c>
      <c r="AI221" s="3" t="str">
        <f t="shared" si="18"/>
        <v/>
      </c>
      <c r="AM221" s="3">
        <v>46092</v>
      </c>
      <c r="AN221" s="4">
        <v>245.137</v>
      </c>
      <c r="AO221" s="74">
        <v>46092</v>
      </c>
      <c r="AP221" s="4">
        <v>286.94400000000002</v>
      </c>
      <c r="AQ221" s="6">
        <f t="shared" si="19"/>
        <v>46092</v>
      </c>
    </row>
    <row r="222" spans="1:43" x14ac:dyDescent="0.25">
      <c r="A222" s="37"/>
      <c r="B222" s="38"/>
      <c r="C222" s="2"/>
      <c r="D222" s="41"/>
      <c r="E222" s="93"/>
      <c r="F222" s="93"/>
      <c r="G222" s="93"/>
      <c r="H222" s="38"/>
      <c r="I222" s="2"/>
      <c r="J222" s="41"/>
      <c r="K222" s="38"/>
      <c r="L222" s="41"/>
      <c r="M222" s="41"/>
      <c r="N222" s="42"/>
      <c r="O222" s="80"/>
      <c r="P222" s="80"/>
      <c r="Q222" s="87"/>
      <c r="R222" s="87"/>
      <c r="S222" s="87"/>
      <c r="T222" s="108"/>
      <c r="U222" s="87"/>
      <c r="V222" s="108"/>
      <c r="W222" s="87"/>
      <c r="X222" s="87"/>
      <c r="AH222" s="3" t="str">
        <f>IF(COUNTIF(AB:AB,Z222)*COUNTIF(AD:AD,Z222)*COUNTIF(AF:AF,Z222),Z222,"")</f>
        <v/>
      </c>
      <c r="AI222" s="3" t="str">
        <f t="shared" si="18"/>
        <v/>
      </c>
      <c r="AM222" s="3">
        <v>46093</v>
      </c>
      <c r="AN222" s="4">
        <v>244.11789999999999</v>
      </c>
      <c r="AO222" s="74">
        <v>46093</v>
      </c>
      <c r="AP222" s="4">
        <v>296.94900000000001</v>
      </c>
      <c r="AQ222" s="6">
        <f t="shared" si="19"/>
        <v>46093</v>
      </c>
    </row>
    <row r="223" spans="1:43" x14ac:dyDescent="0.25">
      <c r="A223" s="37"/>
      <c r="B223" s="38"/>
      <c r="C223" s="2"/>
      <c r="D223" s="41"/>
      <c r="E223" s="93"/>
      <c r="F223" s="93"/>
      <c r="G223" s="93"/>
      <c r="H223" s="38"/>
      <c r="I223" s="2"/>
      <c r="J223" s="41"/>
      <c r="K223" s="38"/>
      <c r="L223" s="41"/>
      <c r="M223" s="41"/>
      <c r="N223" s="42"/>
      <c r="O223" s="80"/>
      <c r="P223" s="80"/>
      <c r="Q223" s="87"/>
      <c r="R223" s="87"/>
      <c r="S223" s="87"/>
      <c r="T223" s="108"/>
      <c r="U223" s="87"/>
      <c r="V223" s="108"/>
      <c r="W223" s="87"/>
      <c r="X223" s="87"/>
      <c r="AH223" s="3" t="str">
        <f>IF(COUNTIF(AB:AB,Z223)*COUNTIF(AD:AD,Z223)*COUNTIF(AF:AF,Z223),Z223,"")</f>
        <v/>
      </c>
      <c r="AI223" s="3" t="str">
        <f t="shared" si="18"/>
        <v/>
      </c>
      <c r="AM223" s="3">
        <v>46094</v>
      </c>
      <c r="AN223" s="4">
        <v>243.1234</v>
      </c>
      <c r="AO223" s="74">
        <v>46094</v>
      </c>
      <c r="AP223" s="4">
        <v>306.91699999999997</v>
      </c>
      <c r="AQ223" s="6">
        <f t="shared" si="19"/>
        <v>46094</v>
      </c>
    </row>
    <row r="224" spans="1:43" x14ac:dyDescent="0.25">
      <c r="A224" s="37"/>
      <c r="B224" s="38"/>
      <c r="C224" s="2"/>
      <c r="D224" s="41"/>
      <c r="E224" s="93"/>
      <c r="F224" s="93"/>
      <c r="G224" s="93"/>
      <c r="H224" s="38"/>
      <c r="I224" s="2"/>
      <c r="J224" s="41"/>
      <c r="K224" s="38"/>
      <c r="L224" s="41"/>
      <c r="M224" s="41"/>
      <c r="N224" s="42"/>
      <c r="O224" s="80"/>
      <c r="P224" s="80"/>
      <c r="Q224" s="87"/>
      <c r="R224" s="87"/>
      <c r="S224" s="87"/>
      <c r="T224" s="108"/>
      <c r="U224" s="87"/>
      <c r="V224" s="108"/>
      <c r="W224" s="87"/>
      <c r="X224" s="87"/>
      <c r="AH224" s="3" t="str">
        <f>IF(COUNTIF(AB:AB,Z224)*COUNTIF(AD:AD,Z224)*COUNTIF(AF:AF,Z224),Z224,"")</f>
        <v/>
      </c>
      <c r="AI224" s="3" t="str">
        <f t="shared" si="18"/>
        <v/>
      </c>
      <c r="AM224" s="3">
        <v>46097</v>
      </c>
      <c r="AN224" s="4">
        <v>243.46899999999999</v>
      </c>
      <c r="AO224" s="74">
        <v>46097</v>
      </c>
      <c r="AP224" s="4">
        <v>303.91500000000002</v>
      </c>
      <c r="AQ224" s="6">
        <f t="shared" si="19"/>
        <v>46097</v>
      </c>
    </row>
    <row r="225" spans="1:43" x14ac:dyDescent="0.25">
      <c r="A225" s="37"/>
      <c r="B225" s="38"/>
      <c r="C225" s="2"/>
      <c r="D225" s="41"/>
      <c r="E225" s="93"/>
      <c r="F225" s="93"/>
      <c r="G225" s="93"/>
      <c r="H225" s="38"/>
      <c r="I225" s="2"/>
      <c r="J225" s="41"/>
      <c r="K225" s="38"/>
      <c r="L225" s="41"/>
      <c r="M225" s="41"/>
      <c r="N225" s="42"/>
      <c r="O225" s="80"/>
      <c r="P225" s="80"/>
      <c r="Q225" s="87"/>
      <c r="R225" s="87"/>
      <c r="S225" s="87"/>
      <c r="T225" s="108"/>
      <c r="U225" s="87"/>
      <c r="V225" s="108"/>
      <c r="W225" s="87"/>
      <c r="X225" s="87"/>
      <c r="AH225" s="3" t="str">
        <f>IF(COUNTIF(AB:AB,Z225)*COUNTIF(AD:AD,Z225)*COUNTIF(AF:AF,Z225),Z225,"")</f>
        <v/>
      </c>
      <c r="AI225" s="3" t="str">
        <f t="shared" si="18"/>
        <v/>
      </c>
      <c r="AM225" s="3">
        <v>46098</v>
      </c>
      <c r="AN225" s="4">
        <v>244.42140000000001</v>
      </c>
      <c r="AO225" s="74">
        <v>46098</v>
      </c>
      <c r="AP225" s="4">
        <v>294.67</v>
      </c>
      <c r="AQ225" s="6">
        <f t="shared" si="19"/>
        <v>46098</v>
      </c>
    </row>
    <row r="226" spans="1:43" x14ac:dyDescent="0.25">
      <c r="A226" s="37"/>
      <c r="B226" s="38"/>
      <c r="C226" s="2"/>
      <c r="D226" s="41"/>
      <c r="E226" s="93"/>
      <c r="F226" s="93"/>
      <c r="G226" s="93"/>
      <c r="H226" s="38"/>
      <c r="I226" s="2"/>
      <c r="J226" s="41"/>
      <c r="K226" s="38"/>
      <c r="L226" s="41"/>
      <c r="M226" s="41"/>
      <c r="N226" s="42"/>
      <c r="O226" s="80"/>
      <c r="P226" s="80"/>
      <c r="Q226" s="87"/>
      <c r="R226" s="87"/>
      <c r="S226" s="87"/>
      <c r="T226" s="108"/>
      <c r="U226" s="87"/>
      <c r="V226" s="108"/>
      <c r="W226" s="87"/>
      <c r="X226" s="87"/>
      <c r="AH226" s="3" t="str">
        <f>IF(COUNTIF(AB:AB,Z226)*COUNTIF(AD:AD,Z226)*COUNTIF(AF:AF,Z226),Z226,"")</f>
        <v/>
      </c>
      <c r="AI226" s="3" t="str">
        <f t="shared" si="18"/>
        <v/>
      </c>
      <c r="AM226" s="3">
        <v>46099</v>
      </c>
      <c r="AN226" s="4">
        <v>244.00810000000001</v>
      </c>
      <c r="AO226" s="74">
        <v>46099</v>
      </c>
      <c r="AP226" s="4">
        <v>298.87400000000002</v>
      </c>
      <c r="AQ226" s="6">
        <f t="shared" si="19"/>
        <v>46099</v>
      </c>
    </row>
    <row r="227" spans="1:43" x14ac:dyDescent="0.25">
      <c r="A227" s="37"/>
      <c r="B227" s="38"/>
      <c r="C227" s="2"/>
      <c r="D227" s="41"/>
      <c r="E227" s="93"/>
      <c r="F227" s="93"/>
      <c r="G227" s="93"/>
      <c r="H227" s="38"/>
      <c r="I227" s="2"/>
      <c r="J227" s="41"/>
      <c r="K227" s="38"/>
      <c r="L227" s="41"/>
      <c r="M227" s="41"/>
      <c r="N227" s="42"/>
      <c r="O227" s="80"/>
      <c r="P227" s="80"/>
      <c r="Q227" s="87"/>
      <c r="R227" s="87"/>
      <c r="S227" s="87"/>
      <c r="T227" s="108"/>
      <c r="U227" s="87"/>
      <c r="V227" s="108"/>
      <c r="W227" s="87"/>
      <c r="X227" s="87"/>
      <c r="AH227" s="3" t="str">
        <f>IF(COUNTIF(AB:AB,Z227)*COUNTIF(AD:AD,Z227)*COUNTIF(AF:AF,Z227),Z227,"")</f>
        <v/>
      </c>
      <c r="AI227" s="3" t="str">
        <f t="shared" si="18"/>
        <v/>
      </c>
      <c r="AM227" s="3">
        <v>46100</v>
      </c>
      <c r="AN227" s="4">
        <v>242.7533</v>
      </c>
      <c r="AO227" s="74">
        <v>46100</v>
      </c>
      <c r="AP227" s="4">
        <v>310.92399999999998</v>
      </c>
      <c r="AQ227" s="6">
        <f t="shared" si="19"/>
        <v>46100</v>
      </c>
    </row>
    <row r="228" spans="1:43" x14ac:dyDescent="0.25">
      <c r="A228" s="37"/>
      <c r="B228" s="38"/>
      <c r="C228" s="2"/>
      <c r="D228" s="41"/>
      <c r="E228" s="93"/>
      <c r="F228" s="93"/>
      <c r="G228" s="93"/>
      <c r="H228" s="38"/>
      <c r="I228" s="2"/>
      <c r="J228" s="41"/>
      <c r="K228" s="38"/>
      <c r="L228" s="41"/>
      <c r="M228" s="41"/>
      <c r="N228" s="42"/>
      <c r="O228" s="80"/>
      <c r="P228" s="80"/>
      <c r="Q228" s="87"/>
      <c r="R228" s="87"/>
      <c r="S228" s="87"/>
      <c r="T228" s="108"/>
      <c r="U228" s="87"/>
      <c r="V228" s="108"/>
      <c r="W228" s="87"/>
      <c r="X228" s="87"/>
      <c r="AH228" s="3" t="str">
        <f>IF(COUNTIF(AB:AB,Z228)*COUNTIF(AD:AD,Z228)*COUNTIF(AF:AF,Z228),Z228,"")</f>
        <v/>
      </c>
      <c r="AI228" s="3" t="str">
        <f t="shared" si="18"/>
        <v/>
      </c>
      <c r="AM228" s="3">
        <v>46101</v>
      </c>
      <c r="AN228" s="4">
        <v>241.26779999999999</v>
      </c>
      <c r="AO228" s="74">
        <v>46101</v>
      </c>
      <c r="AP228" s="4">
        <v>349.96800000000002</v>
      </c>
      <c r="AQ228" s="6">
        <f t="shared" si="19"/>
        <v>46101</v>
      </c>
    </row>
    <row r="229" spans="1:43" x14ac:dyDescent="0.25">
      <c r="A229" s="37"/>
      <c r="B229" s="38"/>
      <c r="C229" s="2"/>
      <c r="D229" s="41"/>
      <c r="E229" s="93"/>
      <c r="F229" s="93"/>
      <c r="G229" s="93"/>
      <c r="H229" s="38"/>
      <c r="I229" s="2"/>
      <c r="J229" s="41"/>
      <c r="K229" s="38"/>
      <c r="L229" s="41"/>
      <c r="M229" s="41"/>
      <c r="N229" s="42"/>
      <c r="O229" s="80"/>
      <c r="P229" s="80"/>
      <c r="Q229" s="87"/>
      <c r="R229" s="87"/>
      <c r="S229" s="87"/>
      <c r="T229" s="108"/>
      <c r="U229" s="87"/>
      <c r="V229" s="108"/>
      <c r="W229" s="87"/>
      <c r="X229" s="87"/>
      <c r="AH229" s="3" t="str">
        <f>IF(COUNTIF(AB:AB,Z229)*COUNTIF(AD:AD,Z229)*COUNTIF(AF:AF,Z229),Z229,"")</f>
        <v/>
      </c>
      <c r="AI229" s="3" t="str">
        <f t="shared" si="18"/>
        <v/>
      </c>
      <c r="AM229" s="3">
        <v>46104</v>
      </c>
      <c r="AN229" s="4">
        <v>242.08969999999999</v>
      </c>
      <c r="AO229" s="74">
        <v>46104</v>
      </c>
      <c r="AP229" s="4">
        <v>341.77300000000002</v>
      </c>
      <c r="AQ229" s="6">
        <f t="shared" si="19"/>
        <v>46104</v>
      </c>
    </row>
    <row r="230" spans="1:43" x14ac:dyDescent="0.25">
      <c r="A230" s="37"/>
      <c r="B230" s="38"/>
      <c r="C230" s="2"/>
      <c r="D230" s="41"/>
      <c r="E230" s="93"/>
      <c r="F230" s="93"/>
      <c r="G230" s="93"/>
      <c r="H230" s="38"/>
      <c r="I230" s="2"/>
      <c r="J230" s="41"/>
      <c r="K230" s="38"/>
      <c r="L230" s="41"/>
      <c r="M230" s="41"/>
      <c r="N230" s="42"/>
      <c r="O230" s="80"/>
      <c r="P230" s="80"/>
      <c r="Q230" s="87"/>
      <c r="R230" s="87"/>
      <c r="S230" s="87"/>
      <c r="T230" s="108"/>
      <c r="U230" s="87"/>
      <c r="V230" s="108"/>
      <c r="W230" s="87"/>
      <c r="X230" s="87"/>
      <c r="AH230" s="3" t="str">
        <f>IF(COUNTIF(AB:AB,Z230)*COUNTIF(AD:AD,Z230)*COUNTIF(AF:AF,Z230),Z230,"")</f>
        <v/>
      </c>
      <c r="AI230" s="3" t="str">
        <f t="shared" si="18"/>
        <v/>
      </c>
      <c r="AM230" s="3">
        <v>46105</v>
      </c>
      <c r="AN230" s="4">
        <v>242.32900000000001</v>
      </c>
      <c r="AO230" s="74">
        <v>46105</v>
      </c>
      <c r="AP230" s="4">
        <v>342.03300000000002</v>
      </c>
      <c r="AQ230" s="6">
        <f t="shared" si="19"/>
        <v>46105</v>
      </c>
    </row>
    <row r="231" spans="1:43" x14ac:dyDescent="0.25">
      <c r="A231" s="37"/>
      <c r="B231" s="38"/>
      <c r="C231" s="2"/>
      <c r="D231" s="41"/>
      <c r="E231" s="93"/>
      <c r="F231" s="93"/>
      <c r="G231" s="93"/>
      <c r="H231" s="38"/>
      <c r="I231" s="2"/>
      <c r="J231" s="41"/>
      <c r="K231" s="38"/>
      <c r="L231" s="41"/>
      <c r="M231" s="41"/>
      <c r="N231" s="42"/>
      <c r="O231" s="80"/>
      <c r="P231" s="80"/>
      <c r="Q231" s="87"/>
      <c r="R231" s="87"/>
      <c r="S231" s="87"/>
      <c r="T231" s="108"/>
      <c r="U231" s="87"/>
      <c r="V231" s="108"/>
      <c r="W231" s="87"/>
      <c r="X231" s="87"/>
      <c r="AH231" s="3" t="str">
        <f>IF(COUNTIF(AB:AB,Z231)*COUNTIF(AD:AD,Z231)*COUNTIF(AF:AF,Z231),Z231,"")</f>
        <v/>
      </c>
      <c r="AI231" s="3" t="str">
        <f t="shared" si="18"/>
        <v/>
      </c>
      <c r="AM231" s="3">
        <v>46106</v>
      </c>
      <c r="AN231" s="4">
        <v>243.4736</v>
      </c>
      <c r="AO231" s="74">
        <v>46106</v>
      </c>
      <c r="AP231" s="4">
        <v>330.851</v>
      </c>
      <c r="AQ231" s="6">
        <f t="shared" si="19"/>
        <v>46106</v>
      </c>
    </row>
    <row r="232" spans="1:43" x14ac:dyDescent="0.25">
      <c r="A232" s="37"/>
      <c r="B232" s="38"/>
      <c r="C232" s="2"/>
      <c r="D232" s="41"/>
      <c r="E232" s="93"/>
      <c r="F232" s="93"/>
      <c r="G232" s="93"/>
      <c r="H232" s="38"/>
      <c r="I232" s="2"/>
      <c r="J232" s="41"/>
      <c r="K232" s="38"/>
      <c r="L232" s="41"/>
      <c r="M232" s="41"/>
      <c r="N232" s="42"/>
      <c r="O232" s="80"/>
      <c r="P232" s="80"/>
      <c r="Q232" s="87"/>
      <c r="R232" s="87"/>
      <c r="S232" s="87"/>
      <c r="T232" s="108"/>
      <c r="U232" s="87"/>
      <c r="V232" s="108"/>
      <c r="W232" s="87"/>
      <c r="X232" s="87"/>
      <c r="AH232" s="3" t="str">
        <f>IF(COUNTIF(AB:AB,Z232)*COUNTIF(AD:AD,Z232)*COUNTIF(AF:AF,Z232),Z232,"")</f>
        <v/>
      </c>
      <c r="AI232" s="3" t="str">
        <f t="shared" si="18"/>
        <v/>
      </c>
      <c r="AM232" s="3">
        <v>46107</v>
      </c>
      <c r="AN232" s="4">
        <v>241.38650000000001</v>
      </c>
      <c r="AO232" s="74">
        <v>46107</v>
      </c>
      <c r="AP232" s="4">
        <v>351.12799999999999</v>
      </c>
      <c r="AQ232" s="6">
        <f t="shared" si="19"/>
        <v>46107</v>
      </c>
    </row>
    <row r="233" spans="1:43" x14ac:dyDescent="0.25">
      <c r="A233" s="37"/>
      <c r="B233" s="38"/>
      <c r="C233" s="2"/>
      <c r="D233" s="41"/>
      <c r="E233" s="93"/>
      <c r="F233" s="93"/>
      <c r="G233" s="93"/>
      <c r="H233" s="38"/>
      <c r="I233" s="2"/>
      <c r="J233" s="41"/>
      <c r="K233" s="38"/>
      <c r="L233" s="41"/>
      <c r="M233" s="41"/>
      <c r="N233" s="42"/>
      <c r="O233" s="80"/>
      <c r="P233" s="80"/>
      <c r="Q233" s="87"/>
      <c r="R233" s="87"/>
      <c r="S233" s="87"/>
      <c r="T233" s="108"/>
      <c r="U233" s="87"/>
      <c r="V233" s="108"/>
      <c r="W233" s="87"/>
      <c r="X233" s="87"/>
      <c r="AH233" s="3" t="str">
        <f>IF(COUNTIF(AB:AB,Z233)*COUNTIF(AD:AD,Z233)*COUNTIF(AF:AF,Z233),Z233,"")</f>
        <v/>
      </c>
      <c r="AI233" s="3" t="str">
        <f t="shared" si="18"/>
        <v/>
      </c>
      <c r="AM233" s="3">
        <v>46108</v>
      </c>
      <c r="AN233" s="4">
        <v>240.04679999999999</v>
      </c>
      <c r="AO233" s="74">
        <v>46108</v>
      </c>
      <c r="AP233" s="4">
        <v>361.84800000000001</v>
      </c>
      <c r="AQ233" s="6">
        <f t="shared" si="19"/>
        <v>46108</v>
      </c>
    </row>
    <row r="234" spans="1:43" x14ac:dyDescent="0.25">
      <c r="A234" s="37"/>
      <c r="B234" s="38"/>
      <c r="C234" s="2"/>
      <c r="D234" s="41"/>
      <c r="E234" s="93"/>
      <c r="F234" s="93"/>
      <c r="G234" s="93"/>
      <c r="H234" s="38"/>
      <c r="I234" s="2"/>
      <c r="J234" s="41"/>
      <c r="K234" s="38"/>
      <c r="L234" s="41"/>
      <c r="M234" s="41"/>
      <c r="N234" s="42"/>
      <c r="O234" s="80"/>
      <c r="P234" s="80"/>
      <c r="Q234" s="87"/>
      <c r="R234" s="87"/>
      <c r="S234" s="87"/>
      <c r="T234" s="108"/>
      <c r="U234" s="87"/>
      <c r="V234" s="108"/>
      <c r="W234" s="87"/>
      <c r="X234" s="87"/>
      <c r="AH234" s="3" t="str">
        <f>IF(COUNTIF(AB:AB,Z234)*COUNTIF(AD:AD,Z234)*COUNTIF(AF:AF,Z234),Z234,"")</f>
        <v/>
      </c>
      <c r="AI234" s="3" t="str">
        <f t="shared" si="18"/>
        <v/>
      </c>
      <c r="AM234" s="3">
        <v>46111</v>
      </c>
      <c r="AN234" s="4">
        <v>240.15790000000001</v>
      </c>
      <c r="AO234" s="74">
        <v>46111</v>
      </c>
      <c r="AP234" s="4">
        <v>361.5</v>
      </c>
      <c r="AQ234" s="6">
        <f t="shared" si="19"/>
        <v>46111</v>
      </c>
    </row>
    <row r="235" spans="1:43" x14ac:dyDescent="0.25">
      <c r="A235" s="37"/>
      <c r="B235" s="38"/>
      <c r="C235" s="2"/>
      <c r="D235" s="41"/>
      <c r="E235" s="93"/>
      <c r="F235" s="93"/>
      <c r="G235" s="93"/>
      <c r="H235" s="38"/>
      <c r="I235" s="2"/>
      <c r="J235" s="41"/>
      <c r="K235" s="38"/>
      <c r="L235" s="41"/>
      <c r="M235" s="41"/>
      <c r="N235" s="42"/>
      <c r="O235" s="80"/>
      <c r="P235" s="80"/>
      <c r="Q235" s="87"/>
      <c r="R235" s="87"/>
      <c r="S235" s="87"/>
      <c r="T235" s="108"/>
      <c r="U235" s="87"/>
      <c r="V235" s="108"/>
      <c r="W235" s="87"/>
      <c r="X235" s="87"/>
      <c r="AH235" s="3" t="str">
        <f>IF(COUNTIF(AB:AB,Z235)*COUNTIF(AD:AD,Z235)*COUNTIF(AF:AF,Z235),Z235,"")</f>
        <v/>
      </c>
      <c r="AI235" s="3" t="str">
        <f t="shared" si="18"/>
        <v/>
      </c>
      <c r="AM235" s="3">
        <v>46112</v>
      </c>
      <c r="AN235" s="4">
        <v>241.21780000000001</v>
      </c>
      <c r="AO235" s="74">
        <v>46112</v>
      </c>
      <c r="AP235" s="4">
        <v>353.01900000000001</v>
      </c>
      <c r="AQ235" s="6">
        <f t="shared" si="19"/>
        <v>46112</v>
      </c>
    </row>
    <row r="236" spans="1:43" x14ac:dyDescent="0.25">
      <c r="A236" s="37"/>
      <c r="B236" s="38"/>
      <c r="C236" s="2"/>
      <c r="D236" s="41"/>
      <c r="E236" s="93"/>
      <c r="F236" s="93"/>
      <c r="G236" s="93"/>
      <c r="H236" s="38"/>
      <c r="I236" s="2"/>
      <c r="J236" s="41"/>
      <c r="K236" s="38"/>
      <c r="L236" s="41"/>
      <c r="M236" s="41"/>
      <c r="N236" s="42"/>
      <c r="O236" s="80"/>
      <c r="P236" s="80"/>
      <c r="Q236" s="87"/>
      <c r="R236" s="87"/>
      <c r="S236" s="87"/>
      <c r="T236" s="108"/>
      <c r="U236" s="87"/>
      <c r="V236" s="108"/>
      <c r="W236" s="87"/>
      <c r="X236" s="87"/>
      <c r="AH236" s="3" t="str">
        <f>IF(COUNTIF(AB:AB,Z236)*COUNTIF(AD:AD,Z236)*COUNTIF(AF:AF,Z236),Z236,"")</f>
        <v/>
      </c>
      <c r="AI236" s="3" t="str">
        <f t="shared" si="18"/>
        <v/>
      </c>
      <c r="AM236" s="3">
        <v>46113</v>
      </c>
      <c r="AN236" s="4">
        <v>244.02869999999999</v>
      </c>
      <c r="AO236" s="74">
        <v>46113</v>
      </c>
      <c r="AP236" s="4">
        <v>327.18900000000002</v>
      </c>
      <c r="AQ236" s="6">
        <f t="shared" si="19"/>
        <v>46113</v>
      </c>
    </row>
    <row r="237" spans="1:43" x14ac:dyDescent="0.25">
      <c r="A237" s="37"/>
      <c r="B237" s="38"/>
      <c r="C237" s="2"/>
      <c r="D237" s="41"/>
      <c r="E237" s="93"/>
      <c r="F237" s="93"/>
      <c r="G237" s="93"/>
      <c r="H237" s="38"/>
      <c r="I237" s="2"/>
      <c r="J237" s="41"/>
      <c r="K237" s="38"/>
      <c r="L237" s="41"/>
      <c r="M237" s="41"/>
      <c r="N237" s="42"/>
      <c r="O237" s="80"/>
      <c r="P237" s="80"/>
      <c r="Q237" s="87"/>
      <c r="R237" s="87"/>
      <c r="S237" s="87"/>
      <c r="T237" s="108"/>
      <c r="U237" s="87"/>
      <c r="V237" s="108"/>
      <c r="W237" s="87"/>
      <c r="X237" s="87"/>
      <c r="AH237" s="3" t="str">
        <f>IF(COUNTIF(AB:AB,Z237)*COUNTIF(AD:AD,Z237)*COUNTIF(AF:AF,Z237),Z237,"")</f>
        <v/>
      </c>
      <c r="AI237" s="3" t="str">
        <f t="shared" si="18"/>
        <v/>
      </c>
      <c r="AM237" s="3">
        <v>46114</v>
      </c>
      <c r="AN237" s="4">
        <v>244.23920000000001</v>
      </c>
      <c r="AO237" s="74">
        <v>46114</v>
      </c>
      <c r="AP237" s="4">
        <v>325.447</v>
      </c>
      <c r="AQ237" s="6">
        <f t="shared" si="19"/>
        <v>46114</v>
      </c>
    </row>
    <row r="238" spans="1:43" x14ac:dyDescent="0.25">
      <c r="A238" s="37"/>
      <c r="B238" s="38"/>
      <c r="C238" s="2"/>
      <c r="D238" s="41"/>
      <c r="E238" s="93"/>
      <c r="F238" s="93"/>
      <c r="G238" s="93"/>
      <c r="H238" s="38"/>
      <c r="I238" s="2"/>
      <c r="J238" s="41"/>
      <c r="K238" s="38"/>
      <c r="L238" s="41"/>
      <c r="M238" s="41"/>
      <c r="N238" s="42"/>
      <c r="O238" s="80"/>
      <c r="P238" s="80"/>
      <c r="Q238" s="87"/>
      <c r="R238" s="87"/>
      <c r="S238" s="87"/>
      <c r="T238" s="108"/>
      <c r="U238" s="87"/>
      <c r="V238" s="108"/>
      <c r="W238" s="87"/>
      <c r="X238" s="87"/>
      <c r="AH238" s="3" t="str">
        <f>IF(COUNTIF(AB:AB,Z238)*COUNTIF(AD:AD,Z238)*COUNTIF(AF:AF,Z238),Z238,"")</f>
        <v/>
      </c>
      <c r="AI238" s="3" t="str">
        <f t="shared" si="18"/>
        <v/>
      </c>
      <c r="AM238" s="3">
        <v>46119</v>
      </c>
      <c r="AN238" s="4">
        <v>243.34200000000001</v>
      </c>
      <c r="AO238" s="74">
        <v>46119</v>
      </c>
      <c r="AP238" s="4">
        <v>335.255</v>
      </c>
      <c r="AQ238" s="6">
        <f t="shared" si="19"/>
        <v>46119</v>
      </c>
    </row>
    <row r="239" spans="1:43" x14ac:dyDescent="0.25">
      <c r="A239" s="37"/>
      <c r="B239" s="38"/>
      <c r="C239" s="2"/>
      <c r="D239" s="41"/>
      <c r="E239" s="93"/>
      <c r="F239" s="93"/>
      <c r="G239" s="93"/>
      <c r="H239" s="38"/>
      <c r="I239" s="2"/>
      <c r="J239" s="41"/>
      <c r="K239" s="38"/>
      <c r="L239" s="41"/>
      <c r="M239" s="41"/>
      <c r="N239" s="42"/>
      <c r="O239" s="80"/>
      <c r="P239" s="80"/>
      <c r="Q239" s="87"/>
      <c r="R239" s="87"/>
      <c r="S239" s="87"/>
      <c r="T239" s="108"/>
      <c r="U239" s="87"/>
      <c r="V239" s="108"/>
      <c r="W239" s="87"/>
      <c r="X239" s="87"/>
      <c r="AH239" s="3" t="str">
        <f>IF(COUNTIF(AB:AB,Z239)*COUNTIF(AD:AD,Z239)*COUNTIF(AF:AF,Z239),Z239,"")</f>
        <v/>
      </c>
      <c r="AI239" s="3" t="str">
        <f t="shared" si="18"/>
        <v/>
      </c>
      <c r="AM239" s="3">
        <v>46120</v>
      </c>
      <c r="AN239" s="4">
        <v>247.41990000000001</v>
      </c>
      <c r="AO239" s="74">
        <v>46120</v>
      </c>
      <c r="AP239" s="4">
        <v>297.39699999999999</v>
      </c>
      <c r="AQ239" s="6">
        <f t="shared" si="19"/>
        <v>46120</v>
      </c>
    </row>
    <row r="240" spans="1:43" x14ac:dyDescent="0.25">
      <c r="A240" s="37"/>
      <c r="B240" s="38"/>
      <c r="C240" s="2"/>
      <c r="D240" s="41"/>
      <c r="E240" s="93"/>
      <c r="F240" s="93"/>
      <c r="G240" s="93"/>
      <c r="H240" s="38"/>
      <c r="I240" s="2"/>
      <c r="J240" s="41"/>
      <c r="K240" s="38"/>
      <c r="L240" s="41"/>
      <c r="M240" s="41"/>
      <c r="N240" s="42"/>
      <c r="O240" s="80"/>
      <c r="P240" s="80"/>
      <c r="Q240" s="87"/>
      <c r="R240" s="87"/>
      <c r="S240" s="87"/>
      <c r="T240" s="108"/>
      <c r="U240" s="87"/>
      <c r="V240" s="108"/>
      <c r="W240" s="87"/>
      <c r="X240" s="87"/>
      <c r="AH240" s="3" t="str">
        <f>IF(COUNTIF(AB:AB,Z240)*COUNTIF(AD:AD,Z240)*COUNTIF(AF:AF,Z240),Z240,"")</f>
        <v/>
      </c>
      <c r="AI240" s="3" t="str">
        <f t="shared" si="18"/>
        <v/>
      </c>
      <c r="AM240" s="3">
        <v>46121</v>
      </c>
      <c r="AN240" s="4">
        <v>248.24930000000001</v>
      </c>
      <c r="AO240" s="74">
        <v>46121</v>
      </c>
      <c r="AP240" s="4">
        <v>290.79300000000001</v>
      </c>
      <c r="AQ240" s="6">
        <f t="shared" si="19"/>
        <v>46121</v>
      </c>
    </row>
    <row r="241" spans="1:43" x14ac:dyDescent="0.25">
      <c r="A241" s="37"/>
      <c r="B241" s="38"/>
      <c r="C241" s="2"/>
      <c r="D241" s="41"/>
      <c r="E241" s="93"/>
      <c r="F241" s="93"/>
      <c r="G241" s="93"/>
      <c r="H241" s="38"/>
      <c r="I241" s="2"/>
      <c r="J241" s="41"/>
      <c r="K241" s="38"/>
      <c r="L241" s="41"/>
      <c r="M241" s="41"/>
      <c r="N241" s="42"/>
      <c r="O241" s="80"/>
      <c r="P241" s="80"/>
      <c r="Q241" s="87"/>
      <c r="R241" s="87"/>
      <c r="S241" s="87"/>
      <c r="T241" s="108"/>
      <c r="U241" s="87"/>
      <c r="V241" s="108"/>
      <c r="W241" s="87"/>
      <c r="X241" s="87"/>
      <c r="AH241" s="3" t="str">
        <f>IF(COUNTIF(AB:AB,Z241)*COUNTIF(AD:AD,Z241)*COUNTIF(AF:AF,Z241),Z241,"")</f>
        <v/>
      </c>
      <c r="AI241" s="3" t="str">
        <f t="shared" si="18"/>
        <v/>
      </c>
      <c r="AM241" s="3">
        <v>46122</v>
      </c>
      <c r="AN241" s="4">
        <v>248.2782</v>
      </c>
      <c r="AO241" s="74">
        <v>46122</v>
      </c>
      <c r="AP241" s="4">
        <v>294.03300000000002</v>
      </c>
      <c r="AQ241" s="6">
        <f t="shared" si="19"/>
        <v>46122</v>
      </c>
    </row>
    <row r="242" spans="1:43" x14ac:dyDescent="0.25">
      <c r="A242" s="37"/>
      <c r="B242" s="38"/>
      <c r="C242" s="2"/>
      <c r="D242" s="41"/>
      <c r="E242" s="93"/>
      <c r="F242" s="93"/>
      <c r="G242" s="93"/>
      <c r="H242" s="38"/>
      <c r="I242" s="2"/>
      <c r="J242" s="41"/>
      <c r="K242" s="38"/>
      <c r="L242" s="41"/>
      <c r="M242" s="41"/>
      <c r="N242" s="42"/>
      <c r="O242" s="80"/>
      <c r="P242" s="80"/>
      <c r="Q242" s="87"/>
      <c r="R242" s="87"/>
      <c r="S242" s="87"/>
      <c r="T242" s="108"/>
      <c r="U242" s="87"/>
      <c r="V242" s="108"/>
      <c r="W242" s="87"/>
      <c r="X242" s="87"/>
      <c r="AH242" s="3" t="str">
        <f>IF(COUNTIF(AB:AB,Z242)*COUNTIF(AD:AD,Z242)*COUNTIF(AF:AF,Z242),Z242,"")</f>
        <v/>
      </c>
      <c r="AI242" s="3" t="str">
        <f t="shared" si="18"/>
        <v/>
      </c>
      <c r="AM242" s="3">
        <v>46125</v>
      </c>
      <c r="AN242" s="4">
        <v>248.03890000000001</v>
      </c>
      <c r="AO242" s="74">
        <v>46125</v>
      </c>
      <c r="AP242" s="4">
        <v>295.34500000000003</v>
      </c>
      <c r="AQ242" s="6">
        <f t="shared" si="19"/>
        <v>46125</v>
      </c>
    </row>
    <row r="243" spans="1:43" x14ac:dyDescent="0.25">
      <c r="A243" s="37"/>
      <c r="B243" s="38"/>
      <c r="C243" s="2"/>
      <c r="D243" s="41"/>
      <c r="E243" s="93"/>
      <c r="F243" s="93"/>
      <c r="G243" s="93"/>
      <c r="H243" s="38"/>
      <c r="I243" s="2"/>
      <c r="J243" s="41"/>
      <c r="K243" s="38"/>
      <c r="L243" s="41"/>
      <c r="M243" s="41"/>
      <c r="N243" s="42"/>
      <c r="O243" s="80"/>
      <c r="P243" s="80"/>
      <c r="Q243" s="87"/>
      <c r="R243" s="87"/>
      <c r="S243" s="87"/>
      <c r="T243" s="108"/>
      <c r="U243" s="87"/>
      <c r="V243" s="108"/>
      <c r="W243" s="87"/>
      <c r="X243" s="87"/>
      <c r="AH243" s="3" t="str">
        <f>IF(COUNTIF(AB:AB,Z243)*COUNTIF(AD:AD,Z243)*COUNTIF(AF:AF,Z243),Z243,"")</f>
        <v/>
      </c>
      <c r="AI243" s="3" t="str">
        <f t="shared" si="18"/>
        <v/>
      </c>
      <c r="AM243" s="3">
        <v>46126</v>
      </c>
      <c r="AN243" s="4">
        <v>249.5992</v>
      </c>
      <c r="AO243" s="74">
        <v>46126</v>
      </c>
      <c r="AP243" s="4">
        <v>281.303</v>
      </c>
      <c r="AQ243" s="6">
        <f t="shared" si="19"/>
        <v>46126</v>
      </c>
    </row>
    <row r="244" spans="1:43" x14ac:dyDescent="0.25">
      <c r="A244" s="37"/>
      <c r="B244" s="38"/>
      <c r="C244" s="2"/>
      <c r="D244" s="41"/>
      <c r="E244" s="93"/>
      <c r="F244" s="93"/>
      <c r="G244" s="93"/>
      <c r="H244" s="38"/>
      <c r="I244" s="2"/>
      <c r="J244" s="41"/>
      <c r="K244" s="38"/>
      <c r="L244" s="41"/>
      <c r="M244" s="41"/>
      <c r="N244" s="42"/>
      <c r="O244" s="80"/>
      <c r="P244" s="80"/>
      <c r="Q244" s="87"/>
      <c r="R244" s="87"/>
      <c r="S244" s="87"/>
      <c r="T244" s="108"/>
      <c r="U244" s="87"/>
      <c r="V244" s="108"/>
      <c r="W244" s="87"/>
      <c r="X244" s="87"/>
      <c r="AH244" s="3" t="str">
        <f>IF(COUNTIF(AB:AB,Z244)*COUNTIF(AD:AD,Z244)*COUNTIF(AF:AF,Z244),Z244,"")</f>
        <v/>
      </c>
      <c r="AI244" s="3" t="str">
        <f t="shared" si="18"/>
        <v/>
      </c>
      <c r="AM244" s="3">
        <v>46127</v>
      </c>
      <c r="AN244" s="4">
        <v>249.53909999999999</v>
      </c>
      <c r="AO244" s="74">
        <v>46127</v>
      </c>
      <c r="AP244" s="4">
        <v>283.45699999999999</v>
      </c>
      <c r="AQ244" s="6">
        <f t="shared" si="19"/>
        <v>46127</v>
      </c>
    </row>
    <row r="245" spans="1:43" x14ac:dyDescent="0.25">
      <c r="A245" s="37"/>
      <c r="B245" s="38"/>
      <c r="C245" s="2"/>
      <c r="D245" s="41"/>
      <c r="E245" s="93"/>
      <c r="F245" s="93"/>
      <c r="G245" s="93"/>
      <c r="H245" s="38"/>
      <c r="I245" s="2"/>
      <c r="J245" s="41"/>
      <c r="K245" s="38"/>
      <c r="L245" s="41"/>
      <c r="M245" s="41"/>
      <c r="N245" s="42"/>
      <c r="O245" s="80"/>
      <c r="P245" s="80"/>
      <c r="Q245" s="87"/>
      <c r="R245" s="87"/>
      <c r="S245" s="87"/>
      <c r="T245" s="108"/>
      <c r="U245" s="87"/>
      <c r="V245" s="108"/>
      <c r="W245" s="87"/>
      <c r="X245" s="87"/>
      <c r="AH245" s="3" t="str">
        <f>IF(COUNTIF(AB:AB,Z245)*COUNTIF(AD:AD,Z245)*COUNTIF(AF:AF,Z245),Z245,"")</f>
        <v/>
      </c>
      <c r="AI245" s="3" t="str">
        <f t="shared" si="18"/>
        <v/>
      </c>
      <c r="AM245" s="3">
        <v>46128</v>
      </c>
      <c r="AN245" s="4">
        <v>249.1765</v>
      </c>
      <c r="AO245" s="74">
        <v>46128</v>
      </c>
      <c r="AP245" s="4">
        <v>287.08800000000002</v>
      </c>
      <c r="AQ245" s="6">
        <f t="shared" si="19"/>
        <v>46128</v>
      </c>
    </row>
    <row r="246" spans="1:43" x14ac:dyDescent="0.25">
      <c r="A246" s="37"/>
      <c r="B246" s="38"/>
      <c r="C246" s="2"/>
      <c r="D246" s="41"/>
      <c r="E246" s="93"/>
      <c r="F246" s="93"/>
      <c r="G246" s="93"/>
      <c r="H246" s="38"/>
      <c r="I246" s="2"/>
      <c r="J246" s="41"/>
      <c r="K246" s="38"/>
      <c r="L246" s="41"/>
      <c r="M246" s="41"/>
      <c r="N246" s="42"/>
      <c r="O246" s="80"/>
      <c r="P246" s="80"/>
      <c r="Q246" s="87"/>
      <c r="R246" s="87"/>
      <c r="S246" s="87"/>
      <c r="T246" s="108"/>
      <c r="U246" s="87"/>
      <c r="V246" s="108"/>
      <c r="W246" s="87"/>
      <c r="X246" s="87"/>
      <c r="AH246" s="3" t="str">
        <f>IF(COUNTIF(AB:AB,Z246)*COUNTIF(AD:AD,Z246)*COUNTIF(AF:AF,Z246),Z246,"")</f>
        <v/>
      </c>
      <c r="AI246" s="3" t="str">
        <f t="shared" si="18"/>
        <v/>
      </c>
      <c r="AM246" s="3">
        <v>46129</v>
      </c>
      <c r="AN246" s="4">
        <v>250.45760000000001</v>
      </c>
      <c r="AO246" s="74">
        <v>46129</v>
      </c>
      <c r="AP246" s="4">
        <v>275.86700000000002</v>
      </c>
      <c r="AQ246" s="6">
        <f t="shared" si="19"/>
        <v>46129</v>
      </c>
    </row>
    <row r="247" spans="1:43" x14ac:dyDescent="0.25">
      <c r="A247" s="37"/>
      <c r="B247" s="38"/>
      <c r="C247" s="2"/>
      <c r="D247" s="41"/>
      <c r="E247" s="93"/>
      <c r="F247" s="93"/>
      <c r="G247" s="93"/>
      <c r="H247" s="38"/>
      <c r="I247" s="2"/>
      <c r="J247" s="41"/>
      <c r="K247" s="38"/>
      <c r="L247" s="41"/>
      <c r="M247" s="41"/>
      <c r="N247" s="42"/>
      <c r="O247" s="80"/>
      <c r="P247" s="80"/>
      <c r="Q247" s="87"/>
      <c r="R247" s="87"/>
      <c r="S247" s="87"/>
      <c r="T247" s="108"/>
      <c r="U247" s="87"/>
      <c r="V247" s="108"/>
      <c r="W247" s="87"/>
      <c r="X247" s="87"/>
      <c r="AH247" s="3" t="str">
        <f>IF(COUNTIF(AB:AB,Z247)*COUNTIF(AD:AD,Z247)*COUNTIF(AF:AF,Z247),Z247,"")</f>
        <v/>
      </c>
      <c r="AI247" s="3" t="str">
        <f t="shared" si="18"/>
        <v/>
      </c>
      <c r="AM247" s="3">
        <v>46132</v>
      </c>
      <c r="AN247" s="4">
        <v>250.11789999999999</v>
      </c>
      <c r="AO247" s="74">
        <v>46132</v>
      </c>
      <c r="AP247" s="4">
        <v>279.73</v>
      </c>
      <c r="AQ247" s="6">
        <f t="shared" si="19"/>
        <v>46132</v>
      </c>
    </row>
    <row r="248" spans="1:43" x14ac:dyDescent="0.25">
      <c r="A248" s="37"/>
      <c r="B248" s="38"/>
      <c r="C248" s="2"/>
      <c r="D248" s="41"/>
      <c r="E248" s="93"/>
      <c r="F248" s="93"/>
      <c r="G248" s="93"/>
      <c r="H248" s="38"/>
      <c r="I248" s="2"/>
      <c r="J248" s="41"/>
      <c r="K248" s="38"/>
      <c r="L248" s="41"/>
      <c r="M248" s="41"/>
      <c r="N248" s="42"/>
      <c r="O248" s="80"/>
      <c r="P248" s="80"/>
      <c r="Q248" s="87"/>
      <c r="R248" s="87"/>
      <c r="S248" s="87"/>
      <c r="T248" s="108"/>
      <c r="U248" s="87"/>
      <c r="V248" s="108"/>
      <c r="W248" s="87"/>
      <c r="X248" s="87"/>
      <c r="AH248" s="3" t="str">
        <f>IF(COUNTIF(AB:AB,Z248)*COUNTIF(AD:AD,Z248)*COUNTIF(AF:AF,Z248),Z248,"")</f>
        <v/>
      </c>
      <c r="AI248" s="3" t="str">
        <f t="shared" si="18"/>
        <v/>
      </c>
      <c r="AM248" s="3">
        <v>46133</v>
      </c>
      <c r="AN248" s="4">
        <v>249.51689999999999</v>
      </c>
      <c r="AO248" s="74">
        <v>46133</v>
      </c>
      <c r="AP248" s="4">
        <v>285.02300000000002</v>
      </c>
      <c r="AQ248" s="6">
        <f t="shared" si="19"/>
        <v>46133</v>
      </c>
    </row>
    <row r="249" spans="1:43" x14ac:dyDescent="0.25">
      <c r="A249" s="37"/>
      <c r="B249" s="38"/>
      <c r="C249" s="2"/>
      <c r="D249" s="41"/>
      <c r="E249" s="93"/>
      <c r="F249" s="93"/>
      <c r="G249" s="93"/>
      <c r="H249" s="38"/>
      <c r="I249" s="2"/>
      <c r="J249" s="41"/>
      <c r="K249" s="38"/>
      <c r="L249" s="41"/>
      <c r="M249" s="41"/>
      <c r="N249" s="42"/>
      <c r="O249" s="80"/>
      <c r="P249" s="80"/>
      <c r="Q249" s="87"/>
      <c r="R249" s="87"/>
      <c r="S249" s="87"/>
      <c r="T249" s="108"/>
      <c r="U249" s="87"/>
      <c r="V249" s="108"/>
      <c r="W249" s="87"/>
      <c r="X249" s="87"/>
      <c r="AH249" s="3" t="str">
        <f>IF(COUNTIF(AB:AB,Z249)*COUNTIF(AD:AD,Z249)*COUNTIF(AF:AF,Z249),Z249,"")</f>
        <v/>
      </c>
      <c r="AI249" s="3" t="str">
        <f t="shared" si="18"/>
        <v/>
      </c>
      <c r="AM249" s="3">
        <v>46134</v>
      </c>
      <c r="AN249" s="4">
        <v>249.46960000000001</v>
      </c>
      <c r="AO249" s="74">
        <v>46134</v>
      </c>
      <c r="AP249" s="4">
        <v>285.94499999999999</v>
      </c>
      <c r="AQ249" s="6">
        <f t="shared" si="19"/>
        <v>46134</v>
      </c>
    </row>
    <row r="250" spans="1:43" x14ac:dyDescent="0.25">
      <c r="A250" s="37"/>
      <c r="B250" s="38"/>
      <c r="C250" s="2"/>
      <c r="D250" s="41"/>
      <c r="E250" s="93"/>
      <c r="F250" s="93"/>
      <c r="G250" s="93"/>
      <c r="H250" s="38"/>
      <c r="I250" s="2"/>
      <c r="J250" s="41"/>
      <c r="K250" s="38"/>
      <c r="L250" s="41"/>
      <c r="M250" s="41"/>
      <c r="N250" s="42"/>
      <c r="O250" s="80"/>
      <c r="P250" s="80"/>
      <c r="Q250" s="87"/>
      <c r="R250" s="87"/>
      <c r="S250" s="87"/>
      <c r="T250" s="108"/>
      <c r="U250" s="87"/>
      <c r="V250" s="108"/>
      <c r="W250" s="87"/>
      <c r="X250" s="87"/>
      <c r="AH250" s="3" t="str">
        <f>IF(COUNTIF(AB:AB,Z250)*COUNTIF(AD:AD,Z250)*COUNTIF(AF:AF,Z250),Z250,"")</f>
        <v/>
      </c>
      <c r="AI250" s="3" t="str">
        <f t="shared" si="18"/>
        <v/>
      </c>
      <c r="AM250" s="3">
        <v>46135</v>
      </c>
      <c r="AN250" s="4">
        <v>249.30770000000001</v>
      </c>
      <c r="AO250" s="74">
        <v>46135</v>
      </c>
      <c r="AP250" s="4">
        <v>288.49599999999998</v>
      </c>
      <c r="AQ250" s="6">
        <f t="shared" si="19"/>
        <v>46135</v>
      </c>
    </row>
    <row r="251" spans="1:43" x14ac:dyDescent="0.25">
      <c r="A251" s="37"/>
      <c r="B251" s="38"/>
      <c r="C251" s="2"/>
      <c r="D251" s="41"/>
      <c r="E251" s="93"/>
      <c r="F251" s="93"/>
      <c r="G251" s="93"/>
      <c r="H251" s="38"/>
      <c r="I251" s="2"/>
      <c r="J251" s="41"/>
      <c r="K251" s="38"/>
      <c r="L251" s="41"/>
      <c r="M251" s="41"/>
      <c r="N251" s="42"/>
      <c r="O251" s="80"/>
      <c r="P251" s="80"/>
      <c r="Q251" s="87"/>
      <c r="R251" s="87"/>
      <c r="S251" s="87"/>
      <c r="T251" s="108"/>
      <c r="U251" s="87"/>
      <c r="V251" s="108"/>
      <c r="W251" s="87"/>
      <c r="X251" s="87"/>
      <c r="AH251" s="3" t="str">
        <f>IF(COUNTIF(AB:AB,Z251)*COUNTIF(AD:AD,Z251)*COUNTIF(AF:AF,Z251),Z251,"")</f>
        <v/>
      </c>
      <c r="AI251" s="3" t="str">
        <f t="shared" si="18"/>
        <v/>
      </c>
      <c r="AM251" s="3">
        <v>46136</v>
      </c>
      <c r="AN251" s="4">
        <v>249.20050000000001</v>
      </c>
      <c r="AO251" s="74">
        <v>46136</v>
      </c>
      <c r="AP251" s="4">
        <v>287.25799999999998</v>
      </c>
      <c r="AQ251" s="6">
        <f t="shared" si="19"/>
        <v>46136</v>
      </c>
    </row>
    <row r="252" spans="1:43" x14ac:dyDescent="0.25">
      <c r="A252" s="37"/>
      <c r="B252" s="38"/>
      <c r="C252" s="2"/>
      <c r="D252" s="41"/>
      <c r="E252" s="93"/>
      <c r="F252" s="93"/>
      <c r="G252" s="93"/>
      <c r="H252" s="38"/>
      <c r="I252" s="2"/>
      <c r="J252" s="41"/>
      <c r="K252" s="38"/>
      <c r="L252" s="41"/>
      <c r="M252" s="41"/>
      <c r="N252" s="42"/>
      <c r="O252" s="80"/>
      <c r="P252" s="80"/>
      <c r="Q252" s="87"/>
      <c r="R252" s="87"/>
      <c r="S252" s="87"/>
      <c r="T252" s="108"/>
      <c r="U252" s="87"/>
      <c r="V252" s="108"/>
      <c r="W252" s="87"/>
      <c r="X252" s="87"/>
      <c r="AH252" s="3" t="str">
        <f>IF(COUNTIF(AB:AB,Z252)*COUNTIF(AD:AD,Z252)*COUNTIF(AF:AF,Z252),Z252,"")</f>
        <v/>
      </c>
      <c r="AI252" s="3" t="str">
        <f t="shared" si="18"/>
        <v/>
      </c>
      <c r="AM252" s="3">
        <v>46139</v>
      </c>
      <c r="AN252" s="4">
        <v>249.10599999999999</v>
      </c>
      <c r="AO252" s="74">
        <v>46139</v>
      </c>
      <c r="AP252" s="4">
        <v>288.53300000000002</v>
      </c>
      <c r="AQ252" s="6">
        <f t="shared" si="19"/>
        <v>46139</v>
      </c>
    </row>
    <row r="253" spans="1:43" x14ac:dyDescent="0.25">
      <c r="A253" s="37"/>
      <c r="B253" s="38"/>
      <c r="C253" s="2"/>
      <c r="D253" s="41"/>
      <c r="E253" s="93"/>
      <c r="F253" s="93"/>
      <c r="G253" s="93"/>
      <c r="H253" s="38"/>
      <c r="I253" s="2"/>
      <c r="J253" s="41"/>
      <c r="K253" s="38"/>
      <c r="L253" s="41"/>
      <c r="M253" s="41"/>
      <c r="N253" s="42"/>
      <c r="O253" s="80"/>
      <c r="P253" s="80"/>
      <c r="Q253" s="87"/>
      <c r="R253" s="87"/>
      <c r="S253" s="87"/>
      <c r="T253" s="108"/>
      <c r="U253" s="87"/>
      <c r="V253" s="108"/>
      <c r="W253" s="87"/>
      <c r="X253" s="87"/>
      <c r="AH253" s="3" t="str">
        <f>IF(COUNTIF(AB:AB,Z253)*COUNTIF(AD:AD,Z253)*COUNTIF(AF:AF,Z253),Z253,"")</f>
        <v/>
      </c>
      <c r="AI253" s="3" t="str">
        <f t="shared" si="18"/>
        <v/>
      </c>
      <c r="AM253" s="3">
        <v>46140</v>
      </c>
      <c r="AN253" s="4">
        <v>248.827</v>
      </c>
      <c r="AO253" s="74">
        <v>46140</v>
      </c>
      <c r="AP253" s="4">
        <v>292.154</v>
      </c>
      <c r="AQ253" s="6">
        <f t="shared" si="19"/>
        <v>46140</v>
      </c>
    </row>
    <row r="254" spans="1:43" x14ac:dyDescent="0.25">
      <c r="A254" s="37"/>
      <c r="B254" s="38"/>
      <c r="C254" s="2"/>
      <c r="D254" s="41"/>
      <c r="E254" s="93"/>
      <c r="F254" s="93"/>
      <c r="G254" s="93"/>
      <c r="H254" s="38"/>
      <c r="I254" s="2"/>
      <c r="J254" s="41"/>
      <c r="K254" s="38"/>
      <c r="L254" s="41"/>
      <c r="M254" s="41"/>
      <c r="N254" s="42"/>
      <c r="O254" s="80"/>
      <c r="P254" s="80"/>
      <c r="Q254" s="87"/>
      <c r="R254" s="87"/>
      <c r="S254" s="87"/>
      <c r="T254" s="108"/>
      <c r="U254" s="87"/>
      <c r="V254" s="108"/>
      <c r="W254" s="87"/>
      <c r="X254" s="87"/>
      <c r="AH254" s="3" t="str">
        <f>IF(COUNTIF(AB:AB,Z254)*COUNTIF(AD:AD,Z254)*COUNTIF(AF:AF,Z254),Z254,"")</f>
        <v/>
      </c>
      <c r="AI254" s="3" t="str">
        <f t="shared" si="18"/>
        <v/>
      </c>
      <c r="AM254" s="3">
        <v>46141</v>
      </c>
      <c r="AN254" s="4">
        <v>248.28469999999999</v>
      </c>
      <c r="AO254" s="74">
        <v>46141</v>
      </c>
      <c r="AP254" s="4">
        <v>297.69</v>
      </c>
      <c r="AQ254" s="6">
        <f t="shared" si="19"/>
        <v>46141</v>
      </c>
    </row>
    <row r="255" spans="1:43" x14ac:dyDescent="0.25">
      <c r="A255" s="37"/>
      <c r="B255" s="38"/>
      <c r="C255" s="2"/>
      <c r="D255" s="41"/>
      <c r="E255" s="93"/>
      <c r="F255" s="93"/>
      <c r="G255" s="93"/>
      <c r="H255" s="38"/>
      <c r="I255" s="2"/>
      <c r="J255" s="41"/>
      <c r="K255" s="38"/>
      <c r="L255" s="41"/>
      <c r="M255" s="41"/>
      <c r="N255" s="42"/>
      <c r="O255" s="80"/>
      <c r="P255" s="80"/>
      <c r="Q255" s="87"/>
      <c r="R255" s="87"/>
      <c r="S255" s="87"/>
      <c r="T255" s="108"/>
      <c r="U255" s="87"/>
      <c r="V255" s="108"/>
      <c r="W255" s="87"/>
      <c r="X255" s="87"/>
      <c r="AH255" s="3" t="str">
        <f>IF(COUNTIF(AB:AB,Z255)*COUNTIF(AD:AD,Z255)*COUNTIF(AF:AF,Z255),Z255,"")</f>
        <v/>
      </c>
      <c r="AI255" s="3" t="str">
        <f t="shared" si="18"/>
        <v/>
      </c>
      <c r="AM255" s="3">
        <v>46142</v>
      </c>
      <c r="AN255" s="4">
        <v>248.685</v>
      </c>
      <c r="AO255" s="74">
        <v>46142</v>
      </c>
      <c r="AP255" s="4">
        <v>292.53100000000001</v>
      </c>
      <c r="AQ255" s="6">
        <f t="shared" si="19"/>
        <v>46142</v>
      </c>
    </row>
    <row r="256" spans="1:43" x14ac:dyDescent="0.25">
      <c r="A256" s="37"/>
      <c r="B256" s="38"/>
      <c r="C256" s="2"/>
      <c r="D256" s="41"/>
      <c r="E256" s="93"/>
      <c r="F256" s="93"/>
      <c r="G256" s="93"/>
      <c r="H256" s="38"/>
      <c r="I256" s="2"/>
      <c r="J256" s="41"/>
      <c r="K256" s="38"/>
      <c r="L256" s="41"/>
      <c r="M256" s="41"/>
      <c r="N256" s="42"/>
      <c r="O256" s="80"/>
      <c r="P256" s="80"/>
      <c r="Q256" s="87"/>
      <c r="R256" s="87"/>
      <c r="S256" s="87"/>
      <c r="T256" s="108"/>
      <c r="U256" s="87"/>
      <c r="V256" s="108"/>
      <c r="W256" s="87"/>
      <c r="X256" s="87"/>
      <c r="AH256" s="3" t="str">
        <f>IF(COUNTIF(AB:AB,Z256)*COUNTIF(AD:AD,Z256)*COUNTIF(AF:AF,Z256),Z256,"")</f>
        <v/>
      </c>
      <c r="AI256" s="3" t="str">
        <f t="shared" si="18"/>
        <v/>
      </c>
      <c r="AM256" s="3">
        <v>46143</v>
      </c>
      <c r="AN256" s="4">
        <v>249.75620000000001</v>
      </c>
      <c r="AO256" s="74">
        <v>46143</v>
      </c>
      <c r="AP256" s="4">
        <v>284.60300000000001</v>
      </c>
      <c r="AQ256" s="6">
        <f t="shared" si="19"/>
        <v>46143</v>
      </c>
    </row>
    <row r="257" spans="1:43" x14ac:dyDescent="0.25">
      <c r="A257" s="37"/>
      <c r="B257" s="38"/>
      <c r="C257" s="2"/>
      <c r="D257" s="41"/>
      <c r="E257" s="93"/>
      <c r="F257" s="93"/>
      <c r="G257" s="93"/>
      <c r="H257" s="38"/>
      <c r="I257" s="2"/>
      <c r="J257" s="41"/>
      <c r="K257" s="38"/>
      <c r="L257" s="41"/>
      <c r="M257" s="41"/>
      <c r="N257" s="42"/>
      <c r="O257" s="80"/>
      <c r="P257" s="80"/>
      <c r="Q257" s="87"/>
      <c r="R257" s="87"/>
      <c r="S257" s="87"/>
      <c r="T257" s="108"/>
      <c r="U257" s="87"/>
      <c r="V257" s="108"/>
      <c r="W257" s="87"/>
      <c r="X257" s="87"/>
      <c r="AH257" s="3" t="str">
        <f>IF(COUNTIF(AB:AB,Z257)*COUNTIF(AD:AD,Z257)*COUNTIF(AF:AF,Z257),Z257,"")</f>
        <v/>
      </c>
      <c r="AI257" s="3" t="str">
        <f t="shared" si="18"/>
        <v/>
      </c>
      <c r="AM257" s="3">
        <v>46147</v>
      </c>
      <c r="AN257" s="4">
        <v>249.4753</v>
      </c>
      <c r="AO257" s="74">
        <v>46147</v>
      </c>
      <c r="AP257" s="4">
        <v>287.411</v>
      </c>
      <c r="AQ257" s="6">
        <f t="shared" si="19"/>
        <v>46147</v>
      </c>
    </row>
    <row r="258" spans="1:43" x14ac:dyDescent="0.25">
      <c r="A258" s="37"/>
      <c r="B258" s="38"/>
      <c r="C258" s="2"/>
      <c r="D258" s="41"/>
      <c r="E258" s="93"/>
      <c r="F258" s="93"/>
      <c r="G258" s="93"/>
      <c r="H258" s="38"/>
      <c r="I258" s="2"/>
      <c r="J258" s="41"/>
      <c r="K258" s="38"/>
      <c r="L258" s="41"/>
      <c r="M258" s="41"/>
      <c r="N258" s="42"/>
      <c r="O258" s="80"/>
      <c r="P258" s="80"/>
      <c r="Q258" s="87"/>
      <c r="R258" s="87"/>
      <c r="S258" s="87"/>
      <c r="T258" s="108"/>
      <c r="U258" s="87"/>
      <c r="V258" s="108"/>
      <c r="W258" s="87"/>
      <c r="X258" s="87"/>
      <c r="AH258" s="3" t="str">
        <f>IF(COUNTIF(AB:AB,Z258)*COUNTIF(AD:AD,Z258)*COUNTIF(AF:AF,Z258),Z258,"")</f>
        <v/>
      </c>
      <c r="AI258" s="3" t="str">
        <f t="shared" si="18"/>
        <v/>
      </c>
      <c r="AM258" s="3">
        <v>46148</v>
      </c>
      <c r="AN258" s="4">
        <v>250.94749999999999</v>
      </c>
      <c r="AO258" s="74">
        <v>46148</v>
      </c>
      <c r="AP258" s="4">
        <v>275.23200000000003</v>
      </c>
      <c r="AQ258" s="6">
        <f t="shared" si="19"/>
        <v>46148</v>
      </c>
    </row>
    <row r="259" spans="1:43" x14ac:dyDescent="0.25">
      <c r="A259" s="37"/>
      <c r="B259" s="38"/>
      <c r="C259" s="2"/>
      <c r="D259" s="41"/>
      <c r="E259" s="93"/>
      <c r="F259" s="93"/>
      <c r="G259" s="93"/>
      <c r="H259" s="38"/>
      <c r="I259" s="2"/>
      <c r="J259" s="41"/>
      <c r="K259" s="38"/>
      <c r="L259" s="41"/>
      <c r="M259" s="41"/>
      <c r="N259" s="42"/>
      <c r="O259" s="80"/>
      <c r="P259" s="80"/>
      <c r="Q259" s="87"/>
      <c r="R259" s="87"/>
      <c r="S259" s="87"/>
      <c r="T259" s="108"/>
      <c r="U259" s="87"/>
      <c r="V259" s="108"/>
      <c r="W259" s="87"/>
      <c r="X259" s="87"/>
      <c r="AH259" s="3" t="str">
        <f>IF(COUNTIF(AB:AB,Z259)*COUNTIF(AD:AD,Z259)*COUNTIF(AF:AF,Z259),Z259,"")</f>
        <v/>
      </c>
      <c r="AI259" s="3" t="str">
        <f t="shared" si="18"/>
        <v/>
      </c>
      <c r="AM259" s="3">
        <v>46149</v>
      </c>
      <c r="AN259" s="4">
        <v>250.63929999999999</v>
      </c>
      <c r="AO259" s="74">
        <v>46149</v>
      </c>
      <c r="AP259" s="4">
        <v>278.976</v>
      </c>
      <c r="AQ259" s="6">
        <f t="shared" si="19"/>
        <v>46149</v>
      </c>
    </row>
    <row r="260" spans="1:43" x14ac:dyDescent="0.25">
      <c r="A260" s="37"/>
      <c r="B260" s="38"/>
      <c r="C260" s="2"/>
      <c r="D260" s="41"/>
      <c r="E260" s="93"/>
      <c r="F260" s="93"/>
      <c r="G260" s="93"/>
      <c r="H260" s="38"/>
      <c r="I260" s="2"/>
      <c r="J260" s="41"/>
      <c r="K260" s="38"/>
      <c r="L260" s="41"/>
      <c r="M260" s="41"/>
      <c r="N260" s="42"/>
      <c r="O260" s="80"/>
      <c r="P260" s="80"/>
      <c r="Q260" s="87"/>
      <c r="R260" s="87"/>
      <c r="S260" s="87"/>
      <c r="T260" s="108"/>
      <c r="U260" s="87"/>
      <c r="V260" s="108"/>
      <c r="W260" s="87"/>
      <c r="X260" s="87"/>
      <c r="AH260" s="3" t="str">
        <f>IF(COUNTIF(AB:AB,Z260)*COUNTIF(AD:AD,Z260)*COUNTIF(AF:AF,Z260),Z260,"")</f>
        <v/>
      </c>
      <c r="AI260" s="3" t="str">
        <f t="shared" ref="AI260:AI323" si="20">IF(AH260&gt;=$A$14,AH260,"")</f>
        <v/>
      </c>
      <c r="AM260" s="3">
        <v>46150</v>
      </c>
      <c r="AN260" s="4">
        <v>250.6848</v>
      </c>
      <c r="AO260" s="74">
        <v>46150</v>
      </c>
      <c r="AP260" s="4">
        <v>277.91800000000001</v>
      </c>
      <c r="AQ260" s="6">
        <f t="shared" ref="AQ260:AQ323" si="21">IF(COUNTIF(AO:AO,AM260),AM260,"")</f>
        <v>46150</v>
      </c>
    </row>
    <row r="261" spans="1:43" x14ac:dyDescent="0.25">
      <c r="A261" s="37"/>
      <c r="B261" s="38"/>
      <c r="C261" s="2"/>
      <c r="D261" s="41"/>
      <c r="E261" s="93"/>
      <c r="F261" s="93"/>
      <c r="G261" s="93"/>
      <c r="H261" s="38"/>
      <c r="I261" s="2"/>
      <c r="J261" s="41"/>
      <c r="K261" s="38"/>
      <c r="L261" s="41"/>
      <c r="M261" s="41"/>
      <c r="N261" s="42"/>
      <c r="O261" s="80"/>
      <c r="P261" s="80"/>
      <c r="Q261" s="87"/>
      <c r="R261" s="87"/>
      <c r="S261" s="87"/>
      <c r="T261" s="108"/>
      <c r="U261" s="87"/>
      <c r="V261" s="108"/>
      <c r="W261" s="87"/>
      <c r="X261" s="87"/>
      <c r="AH261" s="3" t="str">
        <f>IF(COUNTIF(AB:AB,Z261)*COUNTIF(AD:AD,Z261)*COUNTIF(AF:AF,Z261),Z261,"")</f>
        <v/>
      </c>
      <c r="AI261" s="3" t="str">
        <f t="shared" si="20"/>
        <v/>
      </c>
      <c r="AM261" s="3">
        <v>46153</v>
      </c>
      <c r="AN261" s="4">
        <v>250.97389999999999</v>
      </c>
      <c r="AO261" s="74">
        <v>46153</v>
      </c>
      <c r="AP261" s="4">
        <v>276.47399999999999</v>
      </c>
      <c r="AQ261" s="6">
        <f t="shared" si="21"/>
        <v>46153</v>
      </c>
    </row>
    <row r="262" spans="1:43" x14ac:dyDescent="0.25">
      <c r="A262" s="37"/>
      <c r="B262" s="38"/>
      <c r="C262" s="2"/>
      <c r="D262" s="41"/>
      <c r="E262" s="93"/>
      <c r="F262" s="93"/>
      <c r="G262" s="93"/>
      <c r="H262" s="38"/>
      <c r="I262" s="2"/>
      <c r="J262" s="41"/>
      <c r="K262" s="38"/>
      <c r="L262" s="41"/>
      <c r="M262" s="41"/>
      <c r="N262" s="42"/>
      <c r="O262" s="80"/>
      <c r="P262" s="80"/>
      <c r="Q262" s="87"/>
      <c r="R262" s="87"/>
      <c r="S262" s="87"/>
      <c r="T262" s="108"/>
      <c r="U262" s="87"/>
      <c r="V262" s="108"/>
      <c r="W262" s="87"/>
      <c r="X262" s="87"/>
      <c r="AH262" s="3" t="str">
        <f>IF(COUNTIF(AB:AB,Z262)*COUNTIF(AD:AD,Z262)*COUNTIF(AF:AF,Z262),Z262,"")</f>
        <v/>
      </c>
      <c r="AI262" s="3" t="str">
        <f t="shared" si="20"/>
        <v/>
      </c>
      <c r="AM262" s="3">
        <v>46154</v>
      </c>
      <c r="AN262" s="4">
        <v>250.0761</v>
      </c>
      <c r="AO262" s="74">
        <v>46154</v>
      </c>
      <c r="AP262" s="4">
        <v>284.12599999999998</v>
      </c>
      <c r="AQ262" s="6">
        <f t="shared" si="21"/>
        <v>46154</v>
      </c>
    </row>
    <row r="263" spans="1:43" x14ac:dyDescent="0.25">
      <c r="A263" s="37"/>
      <c r="B263" s="38"/>
      <c r="C263" s="2"/>
      <c r="D263" s="41"/>
      <c r="E263" s="93"/>
      <c r="F263" s="93"/>
      <c r="G263" s="93"/>
      <c r="H263" s="38"/>
      <c r="I263" s="2"/>
      <c r="J263" s="41"/>
      <c r="K263" s="38"/>
      <c r="L263" s="41"/>
      <c r="M263" s="41"/>
      <c r="N263" s="42"/>
      <c r="O263" s="80"/>
      <c r="P263" s="80"/>
      <c r="Q263" s="87"/>
      <c r="R263" s="87"/>
      <c r="S263" s="87"/>
      <c r="T263" s="108"/>
      <c r="U263" s="87"/>
      <c r="V263" s="108"/>
      <c r="W263" s="87"/>
      <c r="X263" s="87"/>
      <c r="AH263" s="3" t="str">
        <f>IF(COUNTIF(AB:AB,Z263)*COUNTIF(AD:AD,Z263)*COUNTIF(AF:AF,Z263),Z263,"")</f>
        <v/>
      </c>
      <c r="AI263" s="3" t="str">
        <f t="shared" si="20"/>
        <v/>
      </c>
      <c r="AM263" s="3">
        <v>46155</v>
      </c>
      <c r="AN263" s="4">
        <v>250.61799999999999</v>
      </c>
      <c r="AO263" s="74">
        <v>46155</v>
      </c>
      <c r="AP263" s="4">
        <v>278.68400000000003</v>
      </c>
      <c r="AQ263" s="6">
        <f t="shared" si="21"/>
        <v>46155</v>
      </c>
    </row>
    <row r="264" spans="1:43" x14ac:dyDescent="0.25">
      <c r="A264" s="37"/>
      <c r="B264" s="38"/>
      <c r="C264" s="2"/>
      <c r="D264" s="41"/>
      <c r="E264" s="93"/>
      <c r="F264" s="93"/>
      <c r="G264" s="93"/>
      <c r="H264" s="38"/>
      <c r="I264" s="2"/>
      <c r="J264" s="41"/>
      <c r="K264" s="38"/>
      <c r="L264" s="41"/>
      <c r="M264" s="41"/>
      <c r="N264" s="42"/>
      <c r="O264" s="80"/>
      <c r="P264" s="80"/>
      <c r="Q264" s="87"/>
      <c r="R264" s="87"/>
      <c r="S264" s="87"/>
      <c r="T264" s="108"/>
      <c r="U264" s="87"/>
      <c r="V264" s="108"/>
      <c r="W264" s="87"/>
      <c r="X264" s="87"/>
      <c r="AH264" s="3" t="str">
        <f>IF(COUNTIF(AB:AB,Z264)*COUNTIF(AD:AD,Z264)*COUNTIF(AF:AF,Z264),Z264,"")</f>
        <v/>
      </c>
      <c r="AI264" s="3" t="str">
        <f t="shared" si="20"/>
        <v/>
      </c>
      <c r="AM264" s="3">
        <v>46156</v>
      </c>
      <c r="AN264" s="4">
        <v>251.22890000000001</v>
      </c>
      <c r="AO264" s="74">
        <v>46156</v>
      </c>
      <c r="AP264" s="4">
        <v>273.61</v>
      </c>
      <c r="AQ264" s="6">
        <f t="shared" si="21"/>
        <v>46156</v>
      </c>
    </row>
    <row r="265" spans="1:43" x14ac:dyDescent="0.25">
      <c r="A265" s="37"/>
      <c r="B265" s="38"/>
      <c r="C265" s="2"/>
      <c r="D265" s="41"/>
      <c r="E265" s="93"/>
      <c r="F265" s="93"/>
      <c r="G265" s="93"/>
      <c r="H265" s="38"/>
      <c r="I265" s="2"/>
      <c r="J265" s="41"/>
      <c r="K265" s="38"/>
      <c r="L265" s="41"/>
      <c r="M265" s="41"/>
      <c r="N265" s="42"/>
      <c r="O265" s="80"/>
      <c r="P265" s="80"/>
      <c r="Q265" s="87"/>
      <c r="R265" s="87"/>
      <c r="S265" s="87"/>
      <c r="T265" s="108"/>
      <c r="U265" s="87"/>
      <c r="V265" s="108"/>
      <c r="W265" s="87"/>
      <c r="X265" s="87"/>
      <c r="AH265" s="3" t="str">
        <f>IF(COUNTIF(AB:AB,Z265)*COUNTIF(AD:AD,Z265)*COUNTIF(AF:AF,Z265),Z265,"")</f>
        <v/>
      </c>
      <c r="AI265" s="3" t="str">
        <f t="shared" si="20"/>
        <v/>
      </c>
      <c r="AM265" s="3">
        <v>46157</v>
      </c>
      <c r="AN265" s="4">
        <v>250.38300000000001</v>
      </c>
      <c r="AO265" s="74">
        <v>46157</v>
      </c>
      <c r="AP265" s="4">
        <v>282.07</v>
      </c>
      <c r="AQ265" s="6">
        <f t="shared" si="21"/>
        <v>46157</v>
      </c>
    </row>
    <row r="266" spans="1:43" x14ac:dyDescent="0.25">
      <c r="A266" s="37"/>
      <c r="B266" s="38"/>
      <c r="C266" s="2"/>
      <c r="D266" s="41"/>
      <c r="E266" s="93"/>
      <c r="F266" s="93"/>
      <c r="G266" s="93"/>
      <c r="H266" s="38"/>
      <c r="I266" s="2"/>
      <c r="J266" s="41"/>
      <c r="K266" s="38"/>
      <c r="L266" s="41"/>
      <c r="M266" s="41"/>
      <c r="N266" s="42"/>
      <c r="O266" s="80"/>
      <c r="P266" s="80"/>
      <c r="Q266" s="87"/>
      <c r="R266" s="87"/>
      <c r="S266" s="87"/>
      <c r="T266" s="108"/>
      <c r="U266" s="87"/>
      <c r="V266" s="108"/>
      <c r="W266" s="87"/>
      <c r="X266" s="87"/>
      <c r="AH266" s="3" t="str">
        <f>IF(COUNTIF(AB:AB,Z266)*COUNTIF(AD:AD,Z266)*COUNTIF(AF:AF,Z266),Z266,"")</f>
        <v/>
      </c>
      <c r="AI266" s="3" t="str">
        <f t="shared" si="20"/>
        <v/>
      </c>
      <c r="AM266" s="3">
        <v>46160</v>
      </c>
      <c r="AN266" s="4">
        <v>250.5284</v>
      </c>
      <c r="AO266" s="74">
        <v>46160</v>
      </c>
      <c r="AP266" s="4">
        <v>280.35000000000002</v>
      </c>
      <c r="AQ266" s="6">
        <f t="shared" si="21"/>
        <v>46160</v>
      </c>
    </row>
    <row r="267" spans="1:43" x14ac:dyDescent="0.25">
      <c r="A267" s="37"/>
      <c r="B267" s="38"/>
      <c r="C267" s="2"/>
      <c r="D267" s="41"/>
      <c r="E267" s="93"/>
      <c r="F267" s="93"/>
      <c r="G267" s="93"/>
      <c r="H267" s="38"/>
      <c r="I267" s="2"/>
      <c r="J267" s="41"/>
      <c r="K267" s="38"/>
      <c r="L267" s="41"/>
      <c r="M267" s="41"/>
      <c r="N267" s="42"/>
      <c r="O267" s="80"/>
      <c r="P267" s="80"/>
      <c r="Q267" s="87"/>
      <c r="R267" s="87"/>
      <c r="S267" s="87"/>
      <c r="T267" s="108"/>
      <c r="U267" s="87"/>
      <c r="V267" s="108"/>
      <c r="W267" s="87"/>
      <c r="X267" s="87"/>
      <c r="AH267" s="3" t="str">
        <f>IF(COUNTIF(AB:AB,Z267)*COUNTIF(AD:AD,Z267)*COUNTIF(AF:AF,Z267),Z267,"")</f>
        <v/>
      </c>
      <c r="AI267" s="3" t="str">
        <f t="shared" si="20"/>
        <v/>
      </c>
      <c r="AM267" s="3">
        <v>46161</v>
      </c>
      <c r="AN267" s="4">
        <v>249.98050000000001</v>
      </c>
      <c r="AO267" s="74">
        <v>46161</v>
      </c>
      <c r="AP267" s="4">
        <v>285.892</v>
      </c>
      <c r="AQ267" s="6">
        <f t="shared" si="21"/>
        <v>46161</v>
      </c>
    </row>
    <row r="268" spans="1:43" x14ac:dyDescent="0.25">
      <c r="A268" s="37"/>
      <c r="B268" s="38"/>
      <c r="C268" s="2"/>
      <c r="D268" s="41"/>
      <c r="E268" s="93"/>
      <c r="F268" s="93"/>
      <c r="G268" s="93"/>
      <c r="H268" s="38"/>
      <c r="I268" s="2"/>
      <c r="J268" s="41"/>
      <c r="K268" s="38"/>
      <c r="L268" s="41"/>
      <c r="M268" s="41"/>
      <c r="N268" s="42"/>
      <c r="O268" s="80"/>
      <c r="P268" s="80"/>
      <c r="Q268" s="87"/>
      <c r="R268" s="87"/>
      <c r="S268" s="87"/>
      <c r="T268" s="108"/>
      <c r="U268" s="87"/>
      <c r="V268" s="108"/>
      <c r="W268" s="87"/>
      <c r="X268" s="87"/>
      <c r="AH268" s="3" t="str">
        <f>IF(COUNTIF(AB:AB,Z268)*COUNTIF(AD:AD,Z268)*COUNTIF(AF:AF,Z268),Z268,"")</f>
        <v/>
      </c>
      <c r="AI268" s="3" t="str">
        <f t="shared" si="20"/>
        <v/>
      </c>
      <c r="AM268" s="3">
        <v>46162</v>
      </c>
      <c r="AN268" s="4">
        <v>251.0129</v>
      </c>
      <c r="AO268" s="74">
        <v>46162</v>
      </c>
      <c r="AP268" s="4">
        <v>276.52</v>
      </c>
      <c r="AQ268" s="6">
        <f t="shared" si="21"/>
        <v>46162</v>
      </c>
    </row>
    <row r="269" spans="1:43" x14ac:dyDescent="0.25">
      <c r="A269" s="37"/>
      <c r="B269" s="38"/>
      <c r="C269" s="2"/>
      <c r="D269" s="41"/>
      <c r="E269" s="93"/>
      <c r="F269" s="93"/>
      <c r="G269" s="93"/>
      <c r="H269" s="38"/>
      <c r="I269" s="2"/>
      <c r="J269" s="41"/>
      <c r="K269" s="38"/>
      <c r="L269" s="41"/>
      <c r="M269" s="41"/>
      <c r="N269" s="42"/>
      <c r="O269" s="80"/>
      <c r="P269" s="80"/>
      <c r="Q269" s="87"/>
      <c r="R269" s="87"/>
      <c r="S269" s="87"/>
      <c r="T269" s="108"/>
      <c r="U269" s="87"/>
      <c r="V269" s="108"/>
      <c r="W269" s="87"/>
      <c r="X269" s="87"/>
      <c r="AH269" s="3" t="str">
        <f>IF(COUNTIF(AB:AB,Z269)*COUNTIF(AD:AD,Z269)*COUNTIF(AF:AF,Z269),Z269,"")</f>
        <v/>
      </c>
      <c r="AI269" s="3" t="str">
        <f t="shared" si="20"/>
        <v/>
      </c>
      <c r="AM269" s="3">
        <v>46163</v>
      </c>
      <c r="AN269" s="4">
        <v>250.6669</v>
      </c>
      <c r="AO269" s="74">
        <v>46163</v>
      </c>
      <c r="AP269" s="4">
        <v>279.66300000000001</v>
      </c>
      <c r="AQ269" s="6">
        <f t="shared" si="21"/>
        <v>46163</v>
      </c>
    </row>
    <row r="270" spans="1:43" x14ac:dyDescent="0.25">
      <c r="A270" s="37"/>
      <c r="B270" s="38"/>
      <c r="C270" s="2"/>
      <c r="D270" s="41"/>
      <c r="E270" s="93"/>
      <c r="F270" s="93"/>
      <c r="G270" s="93"/>
      <c r="H270" s="38"/>
      <c r="I270" s="2"/>
      <c r="J270" s="41"/>
      <c r="K270" s="38"/>
      <c r="L270" s="41"/>
      <c r="M270" s="41"/>
      <c r="N270" s="42"/>
      <c r="O270" s="80"/>
      <c r="P270" s="80"/>
      <c r="Q270" s="87"/>
      <c r="R270" s="87"/>
      <c r="S270" s="87"/>
      <c r="T270" s="108"/>
      <c r="U270" s="87"/>
      <c r="V270" s="108"/>
      <c r="W270" s="87"/>
      <c r="X270" s="87"/>
      <c r="AH270" s="3" t="str">
        <f>IF(COUNTIF(AB:AB,Z270)*COUNTIF(AD:AD,Z270)*COUNTIF(AF:AF,Z270),Z270,"")</f>
        <v/>
      </c>
      <c r="AI270" s="3" t="str">
        <f t="shared" si="20"/>
        <v/>
      </c>
      <c r="AM270" s="3">
        <v>46164</v>
      </c>
      <c r="AN270" s="4">
        <v>251.4649</v>
      </c>
      <c r="AO270" s="74">
        <v>46164</v>
      </c>
      <c r="AP270" s="4">
        <v>273.38799999999998</v>
      </c>
      <c r="AQ270" s="6">
        <f t="shared" si="21"/>
        <v>46164</v>
      </c>
    </row>
    <row r="271" spans="1:43" x14ac:dyDescent="0.25">
      <c r="A271" s="37"/>
      <c r="B271" s="38"/>
      <c r="C271" s="2"/>
      <c r="D271" s="41"/>
      <c r="E271" s="93"/>
      <c r="F271" s="93"/>
      <c r="G271" s="93"/>
      <c r="H271" s="38"/>
      <c r="I271" s="2"/>
      <c r="J271" s="41"/>
      <c r="K271" s="38"/>
      <c r="L271" s="41"/>
      <c r="M271" s="41"/>
      <c r="N271" s="42"/>
      <c r="O271" s="80"/>
      <c r="P271" s="80"/>
      <c r="Q271" s="87"/>
      <c r="R271" s="87"/>
      <c r="S271" s="87"/>
      <c r="T271" s="108"/>
      <c r="U271" s="87"/>
      <c r="V271" s="108"/>
      <c r="W271" s="87"/>
      <c r="X271" s="87"/>
      <c r="AH271" s="3" t="str">
        <f>IF(COUNTIF(AB:AB,Z271)*COUNTIF(AD:AD,Z271)*COUNTIF(AF:AF,Z271),Z271,"")</f>
        <v/>
      </c>
      <c r="AI271" s="3" t="str">
        <f t="shared" si="20"/>
        <v/>
      </c>
      <c r="AM271" s="3">
        <v>46168</v>
      </c>
      <c r="AN271" s="4">
        <v>252.1686</v>
      </c>
      <c r="AO271" s="74">
        <v>46168</v>
      </c>
      <c r="AP271" s="4">
        <v>269.02600000000001</v>
      </c>
      <c r="AQ271" s="6">
        <f t="shared" si="21"/>
        <v>46168</v>
      </c>
    </row>
    <row r="272" spans="1:43" x14ac:dyDescent="0.25">
      <c r="A272" s="37"/>
      <c r="B272" s="38"/>
      <c r="C272" s="2"/>
      <c r="D272" s="41"/>
      <c r="E272" s="93"/>
      <c r="F272" s="93"/>
      <c r="G272" s="93"/>
      <c r="H272" s="38"/>
      <c r="I272" s="2"/>
      <c r="J272" s="41"/>
      <c r="K272" s="38"/>
      <c r="L272" s="41"/>
      <c r="M272" s="41"/>
      <c r="N272" s="42"/>
      <c r="O272" s="80"/>
      <c r="P272" s="80"/>
      <c r="Q272" s="87"/>
      <c r="R272" s="87"/>
      <c r="S272" s="87"/>
      <c r="T272" s="108"/>
      <c r="U272" s="87"/>
      <c r="V272" s="108"/>
      <c r="W272" s="87"/>
      <c r="X272" s="87"/>
      <c r="AH272" s="3" t="str">
        <f>IF(COUNTIF(AB:AB,Z272)*COUNTIF(AD:AD,Z272)*COUNTIF(AF:AF,Z272),Z272,"")</f>
        <v/>
      </c>
      <c r="AI272" s="3" t="str">
        <f t="shared" si="20"/>
        <v/>
      </c>
      <c r="AM272" s="3">
        <v>46169</v>
      </c>
      <c r="AN272" s="4">
        <v>252.41059999999999</v>
      </c>
      <c r="AO272" s="74">
        <v>46169</v>
      </c>
      <c r="AP272" s="4">
        <v>267.50200000000001</v>
      </c>
      <c r="AQ272" s="6">
        <f t="shared" si="21"/>
        <v>46169</v>
      </c>
    </row>
    <row r="273" spans="1:43" x14ac:dyDescent="0.25">
      <c r="A273" s="37"/>
      <c r="B273" s="38"/>
      <c r="C273" s="2"/>
      <c r="D273" s="41"/>
      <c r="E273" s="93"/>
      <c r="F273" s="93"/>
      <c r="G273" s="93"/>
      <c r="H273" s="38"/>
      <c r="I273" s="2"/>
      <c r="J273" s="41"/>
      <c r="K273" s="38"/>
      <c r="L273" s="41"/>
      <c r="M273" s="41"/>
      <c r="N273" s="42"/>
      <c r="O273" s="80"/>
      <c r="P273" s="80"/>
      <c r="Q273" s="87"/>
      <c r="R273" s="87"/>
      <c r="S273" s="87"/>
      <c r="T273" s="108"/>
      <c r="U273" s="87"/>
      <c r="V273" s="108"/>
      <c r="W273" s="87"/>
      <c r="X273" s="87"/>
      <c r="AH273" s="3" t="str">
        <f>IF(COUNTIF(AB:AB,Z273)*COUNTIF(AD:AD,Z273)*COUNTIF(AF:AF,Z273),Z273,"")</f>
        <v/>
      </c>
      <c r="AI273" s="3" t="str">
        <f t="shared" si="20"/>
        <v/>
      </c>
      <c r="AM273" s="3">
        <v>46170</v>
      </c>
      <c r="AN273" s="4">
        <v>252.9316</v>
      </c>
      <c r="AO273" s="74">
        <v>46170</v>
      </c>
      <c r="AP273" s="4">
        <v>263.03699999999998</v>
      </c>
      <c r="AQ273" s="6">
        <f t="shared" si="21"/>
        <v>46170</v>
      </c>
    </row>
    <row r="274" spans="1:43" x14ac:dyDescent="0.25">
      <c r="A274" s="37"/>
      <c r="B274" s="38"/>
      <c r="C274" s="2"/>
      <c r="D274" s="41"/>
      <c r="E274" s="93"/>
      <c r="F274" s="93"/>
      <c r="G274" s="93"/>
      <c r="H274" s="38"/>
      <c r="I274" s="2"/>
      <c r="J274" s="41"/>
      <c r="K274" s="38"/>
      <c r="L274" s="41"/>
      <c r="M274" s="41"/>
      <c r="N274" s="42"/>
      <c r="O274" s="80"/>
      <c r="P274" s="80"/>
      <c r="Q274" s="87"/>
      <c r="R274" s="87"/>
      <c r="S274" s="87"/>
      <c r="T274" s="108"/>
      <c r="U274" s="87"/>
      <c r="V274" s="108"/>
      <c r="W274" s="87"/>
      <c r="X274" s="87"/>
      <c r="AH274" s="3" t="str">
        <f>IF(COUNTIF(AB:AB,Z274)*COUNTIF(AD:AD,Z274)*COUNTIF(AF:AF,Z274),Z274,"")</f>
        <v/>
      </c>
      <c r="AI274" s="3" t="str">
        <f t="shared" si="20"/>
        <v/>
      </c>
      <c r="AM274" s="3">
        <v>46171</v>
      </c>
      <c r="AN274" s="4">
        <v>253.4469</v>
      </c>
      <c r="AO274" s="74">
        <v>46171</v>
      </c>
      <c r="AP274" s="4">
        <v>258.964</v>
      </c>
      <c r="AQ274" s="6">
        <f t="shared" si="21"/>
        <v>46171</v>
      </c>
    </row>
    <row r="275" spans="1:43" x14ac:dyDescent="0.25">
      <c r="A275" s="37"/>
      <c r="B275" s="38"/>
      <c r="C275" s="2"/>
      <c r="D275" s="41"/>
      <c r="E275" s="93"/>
      <c r="F275" s="93"/>
      <c r="G275" s="93"/>
      <c r="H275" s="38"/>
      <c r="I275" s="2"/>
      <c r="J275" s="41"/>
      <c r="K275" s="38"/>
      <c r="L275" s="41"/>
      <c r="M275" s="41"/>
      <c r="N275" s="42"/>
      <c r="O275" s="80"/>
      <c r="P275" s="80"/>
      <c r="Q275" s="87"/>
      <c r="R275" s="87"/>
      <c r="S275" s="87"/>
      <c r="T275" s="108"/>
      <c r="U275" s="87"/>
      <c r="V275" s="108"/>
      <c r="W275" s="87"/>
      <c r="X275" s="87"/>
      <c r="AH275" s="3" t="str">
        <f>IF(COUNTIF(AB:AB,Z275)*COUNTIF(AD:AD,Z275)*COUNTIF(AF:AF,Z275),Z275,"")</f>
        <v/>
      </c>
      <c r="AI275" s="3" t="str">
        <f t="shared" si="20"/>
        <v/>
      </c>
      <c r="AM275" s="3">
        <v>46174</v>
      </c>
      <c r="AN275" s="4">
        <v>253.10400000000001</v>
      </c>
      <c r="AO275" s="74">
        <v>46174</v>
      </c>
      <c r="AP275" s="4">
        <v>262.60300000000001</v>
      </c>
      <c r="AQ275" s="6">
        <f t="shared" si="21"/>
        <v>46174</v>
      </c>
    </row>
    <row r="276" spans="1:43" x14ac:dyDescent="0.25">
      <c r="A276" s="37"/>
      <c r="B276" s="38"/>
      <c r="C276" s="2"/>
      <c r="D276" s="41"/>
      <c r="E276" s="93"/>
      <c r="F276" s="93"/>
      <c r="G276" s="93"/>
      <c r="H276" s="38"/>
      <c r="I276" s="2"/>
      <c r="J276" s="41"/>
      <c r="K276" s="38"/>
      <c r="L276" s="41"/>
      <c r="M276" s="41"/>
      <c r="N276" s="42"/>
      <c r="O276" s="80"/>
      <c r="P276" s="80"/>
      <c r="Q276" s="87"/>
      <c r="R276" s="87"/>
      <c r="S276" s="87"/>
      <c r="T276" s="108"/>
      <c r="U276" s="87"/>
      <c r="V276" s="108"/>
      <c r="W276" s="87"/>
      <c r="X276" s="87"/>
      <c r="AH276" s="3" t="str">
        <f>IF(COUNTIF(AB:AB,Z276)*COUNTIF(AD:AD,Z276)*COUNTIF(AF:AF,Z276),Z276,"")</f>
        <v/>
      </c>
      <c r="AI276" s="3" t="str">
        <f t="shared" si="20"/>
        <v/>
      </c>
      <c r="AM276" s="3">
        <v>46175</v>
      </c>
      <c r="AN276" s="4">
        <v>253.5762</v>
      </c>
      <c r="AO276" s="74">
        <v>46175</v>
      </c>
      <c r="AP276" s="4">
        <v>258.23399999999998</v>
      </c>
      <c r="AQ276" s="6">
        <f t="shared" si="21"/>
        <v>46175</v>
      </c>
    </row>
    <row r="277" spans="1:43" x14ac:dyDescent="0.25">
      <c r="A277" s="37"/>
      <c r="B277" s="38"/>
      <c r="C277" s="2"/>
      <c r="D277" s="41"/>
      <c r="E277" s="93"/>
      <c r="F277" s="93"/>
      <c r="G277" s="93"/>
      <c r="H277" s="38"/>
      <c r="I277" s="2"/>
      <c r="J277" s="41"/>
      <c r="K277" s="38"/>
      <c r="L277" s="41"/>
      <c r="M277" s="41"/>
      <c r="N277" s="42"/>
      <c r="O277" s="80"/>
      <c r="P277" s="80"/>
      <c r="Q277" s="87"/>
      <c r="R277" s="87"/>
      <c r="S277" s="87"/>
      <c r="T277" s="108"/>
      <c r="U277" s="87"/>
      <c r="V277" s="108"/>
      <c r="W277" s="87"/>
      <c r="X277" s="87"/>
      <c r="AH277" s="3" t="str">
        <f>IF(COUNTIF(AB:AB,Z277)*COUNTIF(AD:AD,Z277)*COUNTIF(AF:AF,Z277),Z277,"")</f>
        <v/>
      </c>
      <c r="AI277" s="3" t="str">
        <f t="shared" si="20"/>
        <v/>
      </c>
      <c r="AM277" s="3">
        <v>46176</v>
      </c>
      <c r="AN277" s="4">
        <v>253.11359999999999</v>
      </c>
      <c r="AO277" s="74">
        <v>46176</v>
      </c>
      <c r="AP277" s="4">
        <v>263.00799999999998</v>
      </c>
      <c r="AQ277" s="6">
        <f t="shared" si="21"/>
        <v>46176</v>
      </c>
    </row>
    <row r="278" spans="1:43" x14ac:dyDescent="0.25">
      <c r="A278" s="37"/>
      <c r="B278" s="38"/>
      <c r="C278" s="2"/>
      <c r="D278" s="41"/>
      <c r="E278" s="93"/>
      <c r="F278" s="93"/>
      <c r="G278" s="93"/>
      <c r="H278" s="38"/>
      <c r="I278" s="2"/>
      <c r="J278" s="41"/>
      <c r="K278" s="38"/>
      <c r="L278" s="41"/>
      <c r="M278" s="41"/>
      <c r="N278" s="42"/>
      <c r="O278" s="80"/>
      <c r="P278" s="80"/>
      <c r="Q278" s="87"/>
      <c r="R278" s="87"/>
      <c r="S278" s="87"/>
      <c r="T278" s="108"/>
      <c r="U278" s="87"/>
      <c r="V278" s="108"/>
      <c r="W278" s="87"/>
      <c r="X278" s="87"/>
      <c r="AH278" s="3" t="str">
        <f>IF(COUNTIF(AB:AB,Z278)*COUNTIF(AD:AD,Z278)*COUNTIF(AF:AF,Z278),Z278,"")</f>
        <v/>
      </c>
      <c r="AI278" s="3" t="str">
        <f t="shared" si="20"/>
        <v/>
      </c>
      <c r="AM278" s="3">
        <v>46177</v>
      </c>
      <c r="AN278" s="4">
        <v>253.3374</v>
      </c>
      <c r="AO278" s="74">
        <v>46177</v>
      </c>
      <c r="AP278" s="4">
        <v>260.78100000000001</v>
      </c>
      <c r="AQ278" s="6">
        <f t="shared" si="21"/>
        <v>46177</v>
      </c>
    </row>
    <row r="279" spans="1:43" x14ac:dyDescent="0.25">
      <c r="A279" s="37"/>
      <c r="B279" s="38"/>
      <c r="C279" s="2"/>
      <c r="D279" s="41"/>
      <c r="E279" s="93"/>
      <c r="F279" s="93"/>
      <c r="G279" s="93"/>
      <c r="H279" s="38"/>
      <c r="I279" s="2"/>
      <c r="J279" s="41"/>
      <c r="K279" s="38"/>
      <c r="L279" s="41"/>
      <c r="M279" s="41"/>
      <c r="N279" s="42"/>
      <c r="O279" s="80"/>
      <c r="P279" s="80"/>
      <c r="Q279" s="87"/>
      <c r="R279" s="87"/>
      <c r="S279" s="87"/>
      <c r="T279" s="108"/>
      <c r="U279" s="87"/>
      <c r="V279" s="108"/>
      <c r="W279" s="87"/>
      <c r="X279" s="87"/>
      <c r="AH279" s="3" t="str">
        <f>IF(COUNTIF(AB:AB,Z279)*COUNTIF(AD:AD,Z279)*COUNTIF(AF:AF,Z279),Z279,"")</f>
        <v/>
      </c>
      <c r="AI279" s="3" t="str">
        <f t="shared" si="20"/>
        <v/>
      </c>
      <c r="AM279" s="3">
        <v>46178</v>
      </c>
      <c r="AN279" s="4">
        <v>253.05930000000001</v>
      </c>
      <c r="AO279" s="74">
        <v>46178</v>
      </c>
      <c r="AP279" s="4">
        <v>263.12099999999998</v>
      </c>
      <c r="AQ279" s="6">
        <f t="shared" si="21"/>
        <v>46178</v>
      </c>
    </row>
    <row r="280" spans="1:43" x14ac:dyDescent="0.25">
      <c r="A280" s="37"/>
      <c r="B280" s="38"/>
      <c r="C280" s="2"/>
      <c r="D280" s="41"/>
      <c r="E280" s="93"/>
      <c r="F280" s="93"/>
      <c r="G280" s="93"/>
      <c r="H280" s="38"/>
      <c r="I280" s="2"/>
      <c r="J280" s="41"/>
      <c r="K280" s="38"/>
      <c r="L280" s="41"/>
      <c r="M280" s="41"/>
      <c r="N280" s="42"/>
      <c r="O280" s="80"/>
      <c r="P280" s="80"/>
      <c r="Q280" s="87"/>
      <c r="R280" s="87"/>
      <c r="S280" s="87"/>
      <c r="T280" s="108"/>
      <c r="U280" s="87"/>
      <c r="V280" s="108"/>
      <c r="W280" s="87"/>
      <c r="X280" s="87"/>
      <c r="AH280" s="3" t="str">
        <f>IF(COUNTIF(AB:AB,Z280)*COUNTIF(AD:AD,Z280)*COUNTIF(AF:AF,Z280),Z280,"")</f>
        <v/>
      </c>
      <c r="AI280" s="3" t="str">
        <f t="shared" si="20"/>
        <v/>
      </c>
      <c r="AM280" s="3">
        <v>46181</v>
      </c>
      <c r="AN280" s="4">
        <v>253.00890000000001</v>
      </c>
      <c r="AO280" s="74">
        <v>46181</v>
      </c>
      <c r="AP280" s="4">
        <v>264.17899999999997</v>
      </c>
      <c r="AQ280" s="6">
        <f t="shared" si="21"/>
        <v>46181</v>
      </c>
    </row>
    <row r="281" spans="1:43" x14ac:dyDescent="0.25">
      <c r="A281" s="37"/>
      <c r="B281" s="38"/>
      <c r="C281" s="2"/>
      <c r="D281" s="41"/>
      <c r="E281" s="93"/>
      <c r="F281" s="93"/>
      <c r="G281" s="93"/>
      <c r="H281" s="38"/>
      <c r="I281" s="2"/>
      <c r="J281" s="41"/>
      <c r="K281" s="38"/>
      <c r="L281" s="41"/>
      <c r="M281" s="41"/>
      <c r="N281" s="42"/>
      <c r="O281" s="80"/>
      <c r="P281" s="80"/>
      <c r="Q281" s="87"/>
      <c r="R281" s="87"/>
      <c r="S281" s="87"/>
      <c r="T281" s="108"/>
      <c r="U281" s="87"/>
      <c r="V281" s="108"/>
      <c r="W281" s="87"/>
      <c r="X281" s="87"/>
      <c r="AH281" s="3" t="str">
        <f>IF(COUNTIF(AB:AB,Z281)*COUNTIF(AD:AD,Z281)*COUNTIF(AF:AF,Z281),Z281,"")</f>
        <v/>
      </c>
      <c r="AI281" s="3" t="str">
        <f t="shared" si="20"/>
        <v/>
      </c>
      <c r="AM281" s="3">
        <v>46182</v>
      </c>
      <c r="AN281" s="4">
        <v>253.04320000000001</v>
      </c>
      <c r="AO281" s="74">
        <v>46182</v>
      </c>
      <c r="AP281" s="4">
        <v>264.78399999999999</v>
      </c>
      <c r="AQ281" s="6">
        <f t="shared" si="21"/>
        <v>46182</v>
      </c>
    </row>
    <row r="282" spans="1:43" x14ac:dyDescent="0.25">
      <c r="A282" s="37"/>
      <c r="B282" s="38"/>
      <c r="C282" s="2"/>
      <c r="D282" s="41"/>
      <c r="E282" s="93"/>
      <c r="F282" s="93"/>
      <c r="G282" s="93"/>
      <c r="H282" s="38"/>
      <c r="I282" s="2"/>
      <c r="J282" s="41"/>
      <c r="K282" s="38"/>
      <c r="L282" s="41"/>
      <c r="M282" s="41"/>
      <c r="N282" s="42"/>
      <c r="O282" s="80"/>
      <c r="P282" s="80"/>
      <c r="Q282" s="87"/>
      <c r="R282" s="87"/>
      <c r="S282" s="87"/>
      <c r="T282" s="108"/>
      <c r="U282" s="87"/>
      <c r="V282" s="108"/>
      <c r="W282" s="87"/>
      <c r="X282" s="87"/>
      <c r="AH282" s="3" t="str">
        <f>IF(COUNTIF(AB:AB,Z282)*COUNTIF(AD:AD,Z282)*COUNTIF(AF:AF,Z282),Z282,"")</f>
        <v/>
      </c>
      <c r="AI282" s="3" t="str">
        <f t="shared" si="20"/>
        <v/>
      </c>
      <c r="AM282" s="3">
        <v>46183</v>
      </c>
      <c r="AN282" s="4">
        <v>252.767</v>
      </c>
      <c r="AO282" s="74">
        <v>46183</v>
      </c>
      <c r="AP282" s="4">
        <v>266.137</v>
      </c>
      <c r="AQ282" s="6">
        <f t="shared" si="21"/>
        <v>46183</v>
      </c>
    </row>
    <row r="283" spans="1:43" x14ac:dyDescent="0.25">
      <c r="A283" s="37"/>
      <c r="B283" s="38"/>
      <c r="C283" s="2"/>
      <c r="D283" s="41"/>
      <c r="E283" s="93"/>
      <c r="F283" s="93"/>
      <c r="G283" s="93"/>
      <c r="H283" s="38"/>
      <c r="I283" s="2"/>
      <c r="J283" s="41"/>
      <c r="K283" s="38"/>
      <c r="L283" s="41"/>
      <c r="M283" s="41"/>
      <c r="N283" s="42"/>
      <c r="O283" s="80"/>
      <c r="P283" s="80"/>
      <c r="Q283" s="87"/>
      <c r="R283" s="87"/>
      <c r="S283" s="87"/>
      <c r="T283" s="108"/>
      <c r="U283" s="87"/>
      <c r="V283" s="108"/>
      <c r="W283" s="87"/>
      <c r="X283" s="87"/>
      <c r="AH283" s="3" t="str">
        <f>IF(COUNTIF(AB:AB,Z283)*COUNTIF(AD:AD,Z283)*COUNTIF(AF:AF,Z283),Z283,"")</f>
        <v/>
      </c>
      <c r="AI283" s="3" t="str">
        <f t="shared" si="20"/>
        <v/>
      </c>
      <c r="AM283" s="3">
        <v>46184</v>
      </c>
      <c r="AN283" s="4">
        <v>253.1474</v>
      </c>
      <c r="AO283" s="74">
        <v>46184</v>
      </c>
      <c r="AP283" s="4">
        <v>263.45299999999997</v>
      </c>
      <c r="AQ283" s="6">
        <f t="shared" si="21"/>
        <v>46184</v>
      </c>
    </row>
    <row r="284" spans="1:43" x14ac:dyDescent="0.25">
      <c r="A284" s="37"/>
      <c r="B284" s="38"/>
      <c r="C284" s="2"/>
      <c r="D284" s="41"/>
      <c r="E284" s="93"/>
      <c r="F284" s="93"/>
      <c r="G284" s="93"/>
      <c r="H284" s="38"/>
      <c r="I284" s="2"/>
      <c r="J284" s="41"/>
      <c r="K284" s="38"/>
      <c r="L284" s="41"/>
      <c r="M284" s="41"/>
      <c r="N284" s="42"/>
      <c r="O284" s="80"/>
      <c r="P284" s="80"/>
      <c r="Q284" s="87"/>
      <c r="R284" s="87"/>
      <c r="S284" s="87"/>
      <c r="T284" s="108"/>
      <c r="U284" s="87"/>
      <c r="V284" s="108"/>
      <c r="W284" s="87"/>
      <c r="X284" s="87"/>
      <c r="AH284" s="3" t="str">
        <f>IF(COUNTIF(AB:AB,Z284)*COUNTIF(AD:AD,Z284)*COUNTIF(AF:AF,Z284),Z284,"")</f>
        <v/>
      </c>
      <c r="AI284" s="3" t="str">
        <f t="shared" si="20"/>
        <v/>
      </c>
      <c r="AM284" s="3">
        <v>46185</v>
      </c>
      <c r="AN284" s="4">
        <v>254.38560000000001</v>
      </c>
      <c r="AO284" s="74">
        <v>46185</v>
      </c>
      <c r="AP284" s="4">
        <v>253.41399999999999</v>
      </c>
      <c r="AQ284" s="6">
        <f t="shared" si="21"/>
        <v>46185</v>
      </c>
    </row>
    <row r="285" spans="1:43" x14ac:dyDescent="0.25">
      <c r="A285" s="37"/>
      <c r="B285" s="38"/>
      <c r="C285" s="2"/>
      <c r="D285" s="41"/>
      <c r="E285" s="93"/>
      <c r="F285" s="93"/>
      <c r="G285" s="93"/>
      <c r="H285" s="38"/>
      <c r="I285" s="2"/>
      <c r="J285" s="41"/>
      <c r="K285" s="38"/>
      <c r="L285" s="41"/>
      <c r="M285" s="41"/>
      <c r="N285" s="42"/>
      <c r="O285" s="80"/>
      <c r="P285" s="80"/>
      <c r="Q285" s="87"/>
      <c r="R285" s="87"/>
      <c r="S285" s="87"/>
      <c r="T285" s="108"/>
      <c r="U285" s="87"/>
      <c r="V285" s="108"/>
      <c r="W285" s="87"/>
      <c r="X285" s="87"/>
      <c r="AH285" s="3" t="str">
        <f>IF(COUNTIF(AB:AB,Z285)*COUNTIF(AD:AD,Z285)*COUNTIF(AF:AF,Z285),Z285,"")</f>
        <v/>
      </c>
      <c r="AI285" s="3" t="str">
        <f t="shared" si="20"/>
        <v/>
      </c>
      <c r="AM285" s="3">
        <v>46188</v>
      </c>
      <c r="AN285" s="4">
        <v>255.0607</v>
      </c>
      <c r="AO285" s="74">
        <v>46188</v>
      </c>
      <c r="AP285" s="4">
        <v>247.93899999999999</v>
      </c>
      <c r="AQ285" s="6">
        <f t="shared" si="21"/>
        <v>46188</v>
      </c>
    </row>
    <row r="286" spans="1:43" x14ac:dyDescent="0.25">
      <c r="A286" s="37"/>
      <c r="B286" s="38"/>
      <c r="C286" s="2"/>
      <c r="D286" s="41"/>
      <c r="E286" s="93"/>
      <c r="F286" s="93"/>
      <c r="G286" s="93"/>
      <c r="H286" s="38"/>
      <c r="I286" s="2"/>
      <c r="J286" s="41"/>
      <c r="K286" s="38"/>
      <c r="L286" s="41"/>
      <c r="M286" s="41"/>
      <c r="N286" s="42"/>
      <c r="O286" s="80"/>
      <c r="P286" s="80"/>
      <c r="Q286" s="87"/>
      <c r="R286" s="87"/>
      <c r="S286" s="87"/>
      <c r="T286" s="108"/>
      <c r="U286" s="87"/>
      <c r="V286" s="108"/>
      <c r="W286" s="87"/>
      <c r="X286" s="87"/>
      <c r="AH286" s="3" t="str">
        <f>IF(COUNTIF(AB:AB,Z286)*COUNTIF(AD:AD,Z286)*COUNTIF(AF:AF,Z286),Z286,"")</f>
        <v/>
      </c>
      <c r="AI286" s="3" t="str">
        <f t="shared" si="20"/>
        <v/>
      </c>
      <c r="AM286" s="3">
        <v>46189</v>
      </c>
      <c r="AN286" s="4">
        <v>254.93340000000001</v>
      </c>
      <c r="AO286" s="74">
        <v>46189</v>
      </c>
      <c r="AP286" s="4">
        <v>249.708</v>
      </c>
      <c r="AQ286" s="6">
        <f t="shared" si="21"/>
        <v>46189</v>
      </c>
    </row>
    <row r="287" spans="1:43" x14ac:dyDescent="0.25">
      <c r="A287" s="37"/>
      <c r="B287" s="38"/>
      <c r="C287" s="2"/>
      <c r="D287" s="41"/>
      <c r="E287" s="93"/>
      <c r="F287" s="93"/>
      <c r="G287" s="93"/>
      <c r="H287" s="38"/>
      <c r="I287" s="2"/>
      <c r="J287" s="41"/>
      <c r="K287" s="38"/>
      <c r="L287" s="41"/>
      <c r="M287" s="41"/>
      <c r="N287" s="42"/>
      <c r="O287" s="80"/>
      <c r="P287" s="80"/>
      <c r="Q287" s="87"/>
      <c r="R287" s="87"/>
      <c r="S287" s="87"/>
      <c r="T287" s="108"/>
      <c r="U287" s="87"/>
      <c r="V287" s="108"/>
      <c r="W287" s="87"/>
      <c r="X287" s="87"/>
      <c r="AH287" s="3" t="str">
        <f>IF(COUNTIF(AB:AB,Z287)*COUNTIF(AD:AD,Z287)*COUNTIF(AF:AF,Z287),Z287,"")</f>
        <v/>
      </c>
      <c r="AI287" s="3" t="str">
        <f t="shared" si="20"/>
        <v/>
      </c>
      <c r="AM287" s="3">
        <v>46190</v>
      </c>
      <c r="AN287" s="4">
        <v>254.77209999999999</v>
      </c>
      <c r="AO287" s="74">
        <v>46190</v>
      </c>
      <c r="AP287" s="4">
        <v>251.36</v>
      </c>
      <c r="AQ287" s="6">
        <f t="shared" si="21"/>
        <v>46190</v>
      </c>
    </row>
    <row r="288" spans="1:43" x14ac:dyDescent="0.25">
      <c r="A288" s="37"/>
      <c r="B288" s="38"/>
      <c r="C288" s="2"/>
      <c r="D288" s="41"/>
      <c r="E288" s="93"/>
      <c r="F288" s="93"/>
      <c r="G288" s="93"/>
      <c r="H288" s="38"/>
      <c r="I288" s="2"/>
      <c r="J288" s="41"/>
      <c r="K288" s="38"/>
      <c r="L288" s="41"/>
      <c r="M288" s="41"/>
      <c r="N288" s="42"/>
      <c r="O288" s="80"/>
      <c r="P288" s="80"/>
      <c r="Q288" s="87"/>
      <c r="R288" s="87"/>
      <c r="S288" s="87"/>
      <c r="T288" s="108"/>
      <c r="U288" s="87"/>
      <c r="V288" s="108"/>
      <c r="W288" s="87"/>
      <c r="X288" s="87"/>
      <c r="AH288" s="3" t="str">
        <f>IF(COUNTIF(AB:AB,Z288)*COUNTIF(AD:AD,Z288)*COUNTIF(AF:AF,Z288),Z288,"")</f>
        <v/>
      </c>
      <c r="AI288" s="3" t="str">
        <f t="shared" si="20"/>
        <v/>
      </c>
      <c r="AM288" s="3">
        <v>46191</v>
      </c>
      <c r="AN288" s="4">
        <v>255.09270000000001</v>
      </c>
      <c r="AO288" s="74">
        <v>46191</v>
      </c>
      <c r="AP288" s="4">
        <v>248.715</v>
      </c>
      <c r="AQ288" s="6">
        <f t="shared" si="21"/>
        <v>46191</v>
      </c>
    </row>
    <row r="289" spans="1:43" x14ac:dyDescent="0.25">
      <c r="A289" s="37"/>
      <c r="B289" s="38"/>
      <c r="C289" s="2"/>
      <c r="D289" s="41"/>
      <c r="E289" s="93"/>
      <c r="F289" s="93"/>
      <c r="G289" s="93"/>
      <c r="H289" s="38"/>
      <c r="I289" s="2"/>
      <c r="J289" s="41"/>
      <c r="K289" s="38"/>
      <c r="L289" s="41"/>
      <c r="M289" s="41"/>
      <c r="N289" s="42"/>
      <c r="O289" s="80"/>
      <c r="P289" s="80"/>
      <c r="Q289" s="87"/>
      <c r="R289" s="87"/>
      <c r="S289" s="87"/>
      <c r="T289" s="108"/>
      <c r="U289" s="87"/>
      <c r="V289" s="108"/>
      <c r="W289" s="87"/>
      <c r="X289" s="87"/>
      <c r="AH289" s="3" t="str">
        <f>IF(COUNTIF(AB:AB,Z289)*COUNTIF(AD:AD,Z289)*COUNTIF(AF:AF,Z289),Z289,"")</f>
        <v/>
      </c>
      <c r="AI289" s="3" t="str">
        <f t="shared" si="20"/>
        <v/>
      </c>
      <c r="AM289" s="3">
        <v>46192</v>
      </c>
      <c r="AN289" s="4">
        <v>255.0326</v>
      </c>
      <c r="AO289" s="74">
        <v>46192</v>
      </c>
      <c r="AP289" s="4">
        <v>249.94499999999999</v>
      </c>
      <c r="AQ289" s="6">
        <f t="shared" si="21"/>
        <v>46192</v>
      </c>
    </row>
    <row r="290" spans="1:43" x14ac:dyDescent="0.25">
      <c r="A290" s="37"/>
      <c r="B290" s="38"/>
      <c r="C290" s="2"/>
      <c r="D290" s="41"/>
      <c r="E290" s="93"/>
      <c r="F290" s="93"/>
      <c r="G290" s="93"/>
      <c r="H290" s="38"/>
      <c r="I290" s="2"/>
      <c r="J290" s="41"/>
      <c r="K290" s="38"/>
      <c r="L290" s="41"/>
      <c r="M290" s="41"/>
      <c r="N290" s="42"/>
      <c r="O290" s="80"/>
      <c r="P290" s="80"/>
      <c r="Q290" s="87"/>
      <c r="R290" s="87"/>
      <c r="S290" s="87"/>
      <c r="T290" s="108"/>
      <c r="U290" s="87"/>
      <c r="V290" s="108"/>
      <c r="W290" s="87"/>
      <c r="X290" s="87"/>
      <c r="AH290" s="3" t="str">
        <f>IF(COUNTIF(AB:AB,Z290)*COUNTIF(AD:AD,Z290)*COUNTIF(AF:AF,Z290),Z290,"")</f>
        <v/>
      </c>
      <c r="AI290" s="3" t="str">
        <f t="shared" si="20"/>
        <v/>
      </c>
      <c r="AM290" s="3">
        <v>46195</v>
      </c>
      <c r="AN290" s="4">
        <v>255.42699999999999</v>
      </c>
      <c r="AO290" s="74">
        <v>46195</v>
      </c>
      <c r="AP290" s="4">
        <v>246.82499999999999</v>
      </c>
      <c r="AQ290" s="6">
        <f t="shared" si="21"/>
        <v>46195</v>
      </c>
    </row>
    <row r="291" spans="1:43" x14ac:dyDescent="0.25">
      <c r="A291" s="37"/>
      <c r="B291" s="38"/>
      <c r="C291" s="2"/>
      <c r="D291" s="41"/>
      <c r="E291" s="93"/>
      <c r="F291" s="93"/>
      <c r="G291" s="93"/>
      <c r="H291" s="38"/>
      <c r="I291" s="2"/>
      <c r="J291" s="41"/>
      <c r="K291" s="38"/>
      <c r="L291" s="41"/>
      <c r="M291" s="41"/>
      <c r="N291" s="42"/>
      <c r="O291" s="80"/>
      <c r="P291" s="80"/>
      <c r="Q291" s="87"/>
      <c r="R291" s="87"/>
      <c r="S291" s="87"/>
      <c r="T291" s="108"/>
      <c r="U291" s="87"/>
      <c r="V291" s="108"/>
      <c r="W291" s="87"/>
      <c r="X291" s="87"/>
      <c r="AH291" s="3" t="str">
        <f>IF(COUNTIF(AB:AB,Z291)*COUNTIF(AD:AD,Z291)*COUNTIF(AF:AF,Z291),Z291,"")</f>
        <v/>
      </c>
      <c r="AI291" s="3" t="str">
        <f t="shared" si="20"/>
        <v/>
      </c>
      <c r="AM291" s="3">
        <v>46196</v>
      </c>
      <c r="AN291" s="4">
        <v>255.2808</v>
      </c>
      <c r="AO291" s="74">
        <v>46196</v>
      </c>
      <c r="AP291" s="4">
        <v>248.11</v>
      </c>
      <c r="AQ291" s="6">
        <f t="shared" si="21"/>
        <v>46196</v>
      </c>
    </row>
    <row r="292" spans="1:43" x14ac:dyDescent="0.25">
      <c r="A292" s="37"/>
      <c r="B292" s="38"/>
      <c r="C292" s="2"/>
      <c r="D292" s="41"/>
      <c r="E292" s="93"/>
      <c r="F292" s="93"/>
      <c r="G292" s="93"/>
      <c r="H292" s="38"/>
      <c r="I292" s="2"/>
      <c r="J292" s="41"/>
      <c r="K292" s="38"/>
      <c r="L292" s="41"/>
      <c r="M292" s="41"/>
      <c r="N292" s="42"/>
      <c r="O292" s="80"/>
      <c r="P292" s="80"/>
      <c r="Q292" s="87"/>
      <c r="R292" s="87"/>
      <c r="S292" s="87"/>
      <c r="T292" s="108"/>
      <c r="U292" s="87"/>
      <c r="V292" s="108"/>
      <c r="W292" s="87"/>
      <c r="X292" s="87"/>
      <c r="AH292" s="3" t="str">
        <f>IF(COUNTIF(AB:AB,Z292)*COUNTIF(AD:AD,Z292)*COUNTIF(AF:AF,Z292),Z292,"")</f>
        <v/>
      </c>
      <c r="AI292" s="3" t="str">
        <f t="shared" si="20"/>
        <v/>
      </c>
      <c r="AM292" s="3">
        <v>46197</v>
      </c>
      <c r="AN292" s="4">
        <v>255.37479999999999</v>
      </c>
      <c r="AO292" s="74">
        <v>46197</v>
      </c>
      <c r="AP292" s="4">
        <v>247.75700000000001</v>
      </c>
      <c r="AQ292" s="6">
        <f t="shared" si="21"/>
        <v>46197</v>
      </c>
    </row>
    <row r="293" spans="1:43" x14ac:dyDescent="0.25">
      <c r="A293" s="37"/>
      <c r="B293" s="38"/>
      <c r="C293" s="2"/>
      <c r="D293" s="41"/>
      <c r="E293" s="93"/>
      <c r="F293" s="93"/>
      <c r="G293" s="93"/>
      <c r="H293" s="38"/>
      <c r="I293" s="2"/>
      <c r="J293" s="41"/>
      <c r="K293" s="38"/>
      <c r="L293" s="41"/>
      <c r="M293" s="41"/>
      <c r="N293" s="42"/>
      <c r="O293" s="80"/>
      <c r="P293" s="80"/>
      <c r="Q293" s="87"/>
      <c r="R293" s="87"/>
      <c r="S293" s="87"/>
      <c r="T293" s="108"/>
      <c r="U293" s="87"/>
      <c r="V293" s="108"/>
      <c r="W293" s="87"/>
      <c r="X293" s="87"/>
      <c r="AH293" s="3" t="str">
        <f>IF(COUNTIF(AB:AB,Z293)*COUNTIF(AD:AD,Z293)*COUNTIF(AF:AF,Z293),Z293,"")</f>
        <v/>
      </c>
      <c r="AI293" s="3" t="str">
        <f t="shared" si="20"/>
        <v/>
      </c>
      <c r="AM293" s="3">
        <v>46198</v>
      </c>
      <c r="AN293" s="4">
        <v>255.54130000000001</v>
      </c>
      <c r="AO293" s="74">
        <v>46198</v>
      </c>
      <c r="AP293" s="4">
        <v>247.30699999999999</v>
      </c>
      <c r="AQ293" s="6">
        <f t="shared" si="21"/>
        <v>46198</v>
      </c>
    </row>
    <row r="294" spans="1:43" x14ac:dyDescent="0.25">
      <c r="A294" s="37"/>
      <c r="B294" s="38"/>
      <c r="C294" s="2"/>
      <c r="D294" s="41"/>
      <c r="E294" s="93"/>
      <c r="F294" s="93"/>
      <c r="G294" s="93"/>
      <c r="H294" s="38"/>
      <c r="I294" s="2"/>
      <c r="J294" s="41"/>
      <c r="K294" s="38"/>
      <c r="L294" s="41"/>
      <c r="M294" s="41"/>
      <c r="N294" s="42"/>
      <c r="O294" s="80"/>
      <c r="P294" s="80"/>
      <c r="Q294" s="87"/>
      <c r="R294" s="87"/>
      <c r="S294" s="87"/>
      <c r="T294" s="108"/>
      <c r="U294" s="87"/>
      <c r="V294" s="108"/>
      <c r="W294" s="87"/>
      <c r="X294" s="87"/>
      <c r="AH294" s="3" t="str">
        <f>IF(COUNTIF(AB:AB,Z294)*COUNTIF(AD:AD,Z294)*COUNTIF(AF:AF,Z294),Z294,"")</f>
        <v/>
      </c>
      <c r="AI294" s="3" t="str">
        <f t="shared" si="20"/>
        <v/>
      </c>
      <c r="AO294" s="74">
        <v>46199</v>
      </c>
      <c r="AP294" s="4">
        <v>249.30799999999999</v>
      </c>
      <c r="AQ294" s="6" t="str">
        <f t="shared" si="21"/>
        <v/>
      </c>
    </row>
    <row r="295" spans="1:43" x14ac:dyDescent="0.25">
      <c r="A295" s="37"/>
      <c r="B295" s="38"/>
      <c r="C295" s="2"/>
      <c r="D295" s="41"/>
      <c r="E295" s="93"/>
      <c r="F295" s="93"/>
      <c r="G295" s="93"/>
      <c r="H295" s="38"/>
      <c r="I295" s="2"/>
      <c r="J295" s="41"/>
      <c r="K295" s="38"/>
      <c r="L295" s="41"/>
      <c r="M295" s="41"/>
      <c r="N295" s="42"/>
      <c r="O295" s="80"/>
      <c r="P295" s="80"/>
      <c r="Q295" s="87"/>
      <c r="R295" s="87"/>
      <c r="S295" s="87"/>
      <c r="T295" s="108"/>
      <c r="U295" s="87"/>
      <c r="V295" s="108"/>
      <c r="W295" s="87"/>
      <c r="X295" s="87"/>
      <c r="AH295" s="3" t="str">
        <f>IF(COUNTIF(AB:AB,Z295)*COUNTIF(AD:AD,Z295)*COUNTIF(AF:AF,Z295),Z295,"")</f>
        <v/>
      </c>
      <c r="AI295" s="3" t="str">
        <f t="shared" si="20"/>
        <v/>
      </c>
      <c r="AQ295" s="6" t="str">
        <f t="shared" si="21"/>
        <v/>
      </c>
    </row>
    <row r="296" spans="1:43" x14ac:dyDescent="0.25">
      <c r="A296" s="37"/>
      <c r="B296" s="38"/>
      <c r="C296" s="2"/>
      <c r="D296" s="41"/>
      <c r="E296" s="93"/>
      <c r="F296" s="93"/>
      <c r="G296" s="93"/>
      <c r="H296" s="38"/>
      <c r="I296" s="2"/>
      <c r="J296" s="41"/>
      <c r="K296" s="38"/>
      <c r="L296" s="41"/>
      <c r="M296" s="41"/>
      <c r="N296" s="42"/>
      <c r="O296" s="80"/>
      <c r="P296" s="80"/>
      <c r="Q296" s="87"/>
      <c r="R296" s="87"/>
      <c r="S296" s="87"/>
      <c r="T296" s="108"/>
      <c r="U296" s="87"/>
      <c r="V296" s="108"/>
      <c r="W296" s="87"/>
      <c r="X296" s="87"/>
      <c r="AH296" s="3" t="str">
        <f>IF(COUNTIF(AB:AB,Z296)*COUNTIF(AD:AD,Z296)*COUNTIF(AF:AF,Z296),Z296,"")</f>
        <v/>
      </c>
      <c r="AI296" s="3" t="str">
        <f t="shared" si="20"/>
        <v/>
      </c>
      <c r="AQ296" s="6" t="str">
        <f t="shared" si="21"/>
        <v/>
      </c>
    </row>
    <row r="297" spans="1:43" x14ac:dyDescent="0.25">
      <c r="A297" s="37"/>
      <c r="B297" s="38"/>
      <c r="C297" s="2"/>
      <c r="D297" s="41"/>
      <c r="E297" s="93"/>
      <c r="F297" s="93"/>
      <c r="G297" s="93"/>
      <c r="H297" s="38"/>
      <c r="I297" s="2"/>
      <c r="J297" s="41"/>
      <c r="K297" s="38"/>
      <c r="L297" s="41"/>
      <c r="M297" s="41"/>
      <c r="N297" s="42"/>
      <c r="O297" s="80"/>
      <c r="P297" s="80"/>
      <c r="Q297" s="87"/>
      <c r="R297" s="87"/>
      <c r="S297" s="87"/>
      <c r="T297" s="108"/>
      <c r="U297" s="87"/>
      <c r="V297" s="108"/>
      <c r="W297" s="87"/>
      <c r="X297" s="87"/>
      <c r="AH297" s="3" t="str">
        <f>IF(COUNTIF(AB:AB,Z297)*COUNTIF(AD:AD,Z297)*COUNTIF(AF:AF,Z297),Z297,"")</f>
        <v/>
      </c>
      <c r="AI297" s="3" t="str">
        <f t="shared" si="20"/>
        <v/>
      </c>
      <c r="AQ297" s="6" t="str">
        <f t="shared" si="21"/>
        <v/>
      </c>
    </row>
    <row r="298" spans="1:43" x14ac:dyDescent="0.25">
      <c r="A298" s="37"/>
      <c r="B298" s="38"/>
      <c r="C298" s="2"/>
      <c r="D298" s="41"/>
      <c r="E298" s="93"/>
      <c r="F298" s="93"/>
      <c r="G298" s="93"/>
      <c r="H298" s="38"/>
      <c r="I298" s="2"/>
      <c r="J298" s="41"/>
      <c r="K298" s="38"/>
      <c r="L298" s="41"/>
      <c r="M298" s="41"/>
      <c r="N298" s="42"/>
      <c r="O298" s="80"/>
      <c r="P298" s="80"/>
      <c r="Q298" s="87"/>
      <c r="R298" s="87"/>
      <c r="S298" s="87"/>
      <c r="T298" s="108"/>
      <c r="U298" s="87"/>
      <c r="V298" s="108"/>
      <c r="W298" s="87"/>
      <c r="X298" s="87"/>
      <c r="AH298" s="3" t="str">
        <f>IF(COUNTIF(AB:AB,Z298)*COUNTIF(AD:AD,Z298)*COUNTIF(AF:AF,Z298),Z298,"")</f>
        <v/>
      </c>
      <c r="AI298" s="3" t="str">
        <f t="shared" si="20"/>
        <v/>
      </c>
      <c r="AQ298" s="6" t="str">
        <f t="shared" si="21"/>
        <v/>
      </c>
    </row>
    <row r="299" spans="1:43" x14ac:dyDescent="0.25">
      <c r="A299" s="37"/>
      <c r="B299" s="38"/>
      <c r="C299" s="2"/>
      <c r="D299" s="41"/>
      <c r="E299" s="93"/>
      <c r="F299" s="93"/>
      <c r="G299" s="93"/>
      <c r="H299" s="38"/>
      <c r="I299" s="2"/>
      <c r="J299" s="41"/>
      <c r="K299" s="38"/>
      <c r="L299" s="41"/>
      <c r="M299" s="41"/>
      <c r="N299" s="42"/>
      <c r="O299" s="80"/>
      <c r="P299" s="80"/>
      <c r="Q299" s="87"/>
      <c r="R299" s="87"/>
      <c r="S299" s="87"/>
      <c r="T299" s="108"/>
      <c r="U299" s="87"/>
      <c r="V299" s="108"/>
      <c r="W299" s="87"/>
      <c r="X299" s="87"/>
      <c r="AH299" s="3" t="str">
        <f>IF(COUNTIF(AB:AB,Z299)*COUNTIF(AD:AD,Z299)*COUNTIF(AF:AF,Z299),Z299,"")</f>
        <v/>
      </c>
      <c r="AI299" s="3" t="str">
        <f t="shared" si="20"/>
        <v/>
      </c>
      <c r="AQ299" s="6" t="str">
        <f t="shared" si="21"/>
        <v/>
      </c>
    </row>
    <row r="300" spans="1:43" x14ac:dyDescent="0.25">
      <c r="A300" s="37"/>
      <c r="B300" s="38"/>
      <c r="C300" s="2"/>
      <c r="D300" s="41"/>
      <c r="E300" s="93"/>
      <c r="F300" s="93"/>
      <c r="G300" s="93"/>
      <c r="H300" s="38"/>
      <c r="I300" s="2"/>
      <c r="J300" s="41"/>
      <c r="K300" s="38"/>
      <c r="L300" s="41"/>
      <c r="M300" s="41"/>
      <c r="N300" s="42"/>
      <c r="O300" s="80"/>
      <c r="P300" s="80"/>
      <c r="Q300" s="87"/>
      <c r="R300" s="87"/>
      <c r="S300" s="87"/>
      <c r="T300" s="108"/>
      <c r="U300" s="87"/>
      <c r="V300" s="108"/>
      <c r="W300" s="87"/>
      <c r="X300" s="87"/>
      <c r="AH300" s="3" t="str">
        <f>IF(COUNTIF(AB:AB,Z300)*COUNTIF(AD:AD,Z300)*COUNTIF(AF:AF,Z300),Z300,"")</f>
        <v/>
      </c>
      <c r="AI300" s="3" t="str">
        <f t="shared" si="20"/>
        <v/>
      </c>
      <c r="AQ300" s="6" t="str">
        <f t="shared" si="21"/>
        <v/>
      </c>
    </row>
    <row r="301" spans="1:43" x14ac:dyDescent="0.25">
      <c r="A301" s="37"/>
      <c r="B301" s="38"/>
      <c r="C301" s="2"/>
      <c r="D301" s="41"/>
      <c r="E301" s="93"/>
      <c r="F301" s="93"/>
      <c r="G301" s="93"/>
      <c r="H301" s="38"/>
      <c r="I301" s="2"/>
      <c r="J301" s="41"/>
      <c r="K301" s="38"/>
      <c r="L301" s="41"/>
      <c r="M301" s="41"/>
      <c r="N301" s="42"/>
      <c r="O301" s="80"/>
      <c r="P301" s="80"/>
      <c r="Q301" s="87"/>
      <c r="R301" s="87"/>
      <c r="S301" s="87"/>
      <c r="T301" s="108"/>
      <c r="U301" s="87"/>
      <c r="V301" s="108"/>
      <c r="W301" s="87"/>
      <c r="X301" s="87"/>
      <c r="AH301" s="3" t="str">
        <f>IF(COUNTIF(AB:AB,Z301)*COUNTIF(AD:AD,Z301)*COUNTIF(AF:AF,Z301),Z301,"")</f>
        <v/>
      </c>
      <c r="AI301" s="3" t="str">
        <f t="shared" si="20"/>
        <v/>
      </c>
      <c r="AQ301" s="6" t="str">
        <f t="shared" si="21"/>
        <v/>
      </c>
    </row>
    <row r="302" spans="1:43" x14ac:dyDescent="0.25">
      <c r="A302" s="37"/>
      <c r="B302" s="38"/>
      <c r="C302" s="2"/>
      <c r="D302" s="41"/>
      <c r="E302" s="93"/>
      <c r="F302" s="93"/>
      <c r="G302" s="93"/>
      <c r="H302" s="38"/>
      <c r="I302" s="2"/>
      <c r="J302" s="41"/>
      <c r="K302" s="38"/>
      <c r="L302" s="41"/>
      <c r="M302" s="41"/>
      <c r="N302" s="42"/>
      <c r="O302" s="80"/>
      <c r="P302" s="80"/>
      <c r="Q302" s="87"/>
      <c r="R302" s="87"/>
      <c r="S302" s="87"/>
      <c r="T302" s="108"/>
      <c r="U302" s="87"/>
      <c r="V302" s="108"/>
      <c r="W302" s="87"/>
      <c r="X302" s="87"/>
      <c r="AH302" s="3" t="str">
        <f>IF(COUNTIF(AB:AB,Z302)*COUNTIF(AD:AD,Z302)*COUNTIF(AF:AF,Z302),Z302,"")</f>
        <v/>
      </c>
      <c r="AI302" s="3" t="str">
        <f t="shared" si="20"/>
        <v/>
      </c>
      <c r="AQ302" s="6" t="str">
        <f t="shared" si="21"/>
        <v/>
      </c>
    </row>
    <row r="303" spans="1:43" x14ac:dyDescent="0.25">
      <c r="A303" s="37"/>
      <c r="B303" s="38"/>
      <c r="C303" s="2"/>
      <c r="D303" s="41"/>
      <c r="E303" s="93"/>
      <c r="F303" s="93"/>
      <c r="G303" s="93"/>
      <c r="H303" s="38"/>
      <c r="I303" s="2"/>
      <c r="J303" s="41"/>
      <c r="K303" s="38"/>
      <c r="L303" s="41"/>
      <c r="M303" s="41"/>
      <c r="N303" s="42"/>
      <c r="O303" s="80"/>
      <c r="P303" s="80"/>
      <c r="Q303" s="87"/>
      <c r="R303" s="87"/>
      <c r="S303" s="87"/>
      <c r="T303" s="108"/>
      <c r="U303" s="87"/>
      <c r="V303" s="108"/>
      <c r="W303" s="87"/>
      <c r="X303" s="87"/>
      <c r="AH303" s="3" t="str">
        <f>IF(COUNTIF(AB:AB,Z303)*COUNTIF(AD:AD,Z303)*COUNTIF(AF:AF,Z303),Z303,"")</f>
        <v/>
      </c>
      <c r="AI303" s="3" t="str">
        <f t="shared" si="20"/>
        <v/>
      </c>
      <c r="AQ303" s="6" t="str">
        <f t="shared" si="21"/>
        <v/>
      </c>
    </row>
    <row r="304" spans="1:43" x14ac:dyDescent="0.25">
      <c r="A304" s="37"/>
      <c r="B304" s="38"/>
      <c r="C304" s="2"/>
      <c r="D304" s="41"/>
      <c r="E304" s="93"/>
      <c r="F304" s="93"/>
      <c r="G304" s="93"/>
      <c r="H304" s="38"/>
      <c r="I304" s="2"/>
      <c r="J304" s="41"/>
      <c r="K304" s="38"/>
      <c r="L304" s="41"/>
      <c r="M304" s="41"/>
      <c r="N304" s="42"/>
      <c r="O304" s="80"/>
      <c r="P304" s="80"/>
      <c r="Q304" s="87"/>
      <c r="R304" s="87"/>
      <c r="S304" s="87"/>
      <c r="T304" s="108"/>
      <c r="U304" s="87"/>
      <c r="V304" s="108"/>
      <c r="W304" s="87"/>
      <c r="X304" s="87"/>
      <c r="AH304" s="3" t="str">
        <f>IF(COUNTIF(AB:AB,Z304)*COUNTIF(AD:AD,Z304)*COUNTIF(AF:AF,Z304),Z304,"")</f>
        <v/>
      </c>
      <c r="AI304" s="3" t="str">
        <f t="shared" si="20"/>
        <v/>
      </c>
      <c r="AQ304" s="6" t="str">
        <f t="shared" si="21"/>
        <v/>
      </c>
    </row>
    <row r="305" spans="1:43" x14ac:dyDescent="0.25">
      <c r="A305" s="37"/>
      <c r="B305" s="38"/>
      <c r="C305" s="2"/>
      <c r="D305" s="41"/>
      <c r="E305" s="93"/>
      <c r="F305" s="93"/>
      <c r="G305" s="93"/>
      <c r="H305" s="38"/>
      <c r="I305" s="2"/>
      <c r="J305" s="41"/>
      <c r="K305" s="38"/>
      <c r="L305" s="41"/>
      <c r="M305" s="41"/>
      <c r="N305" s="42"/>
      <c r="O305" s="80"/>
      <c r="P305" s="80"/>
      <c r="Q305" s="87"/>
      <c r="R305" s="87"/>
      <c r="S305" s="87"/>
      <c r="T305" s="108"/>
      <c r="U305" s="87"/>
      <c r="V305" s="108"/>
      <c r="W305" s="87"/>
      <c r="X305" s="87"/>
      <c r="AH305" s="3" t="str">
        <f>IF(COUNTIF(AB:AB,Z305)*COUNTIF(AD:AD,Z305)*COUNTIF(AF:AF,Z305),Z305,"")</f>
        <v/>
      </c>
      <c r="AI305" s="3" t="str">
        <f t="shared" si="20"/>
        <v/>
      </c>
      <c r="AQ305" s="6" t="str">
        <f t="shared" si="21"/>
        <v/>
      </c>
    </row>
    <row r="306" spans="1:43" x14ac:dyDescent="0.25">
      <c r="A306" s="37"/>
      <c r="B306" s="38"/>
      <c r="C306" s="2"/>
      <c r="D306" s="41"/>
      <c r="E306" s="93"/>
      <c r="F306" s="93"/>
      <c r="G306" s="93"/>
      <c r="H306" s="38"/>
      <c r="I306" s="2"/>
      <c r="J306" s="41"/>
      <c r="K306" s="38"/>
      <c r="L306" s="41"/>
      <c r="M306" s="41"/>
      <c r="N306" s="42"/>
      <c r="O306" s="80"/>
      <c r="P306" s="80"/>
      <c r="Q306" s="87"/>
      <c r="R306" s="87"/>
      <c r="S306" s="87"/>
      <c r="T306" s="108"/>
      <c r="U306" s="87"/>
      <c r="V306" s="108"/>
      <c r="W306" s="87"/>
      <c r="X306" s="87"/>
      <c r="AH306" s="3" t="str">
        <f>IF(COUNTIF(AB:AB,Z306)*COUNTIF(AD:AD,Z306)*COUNTIF(AF:AF,Z306),Z306,"")</f>
        <v/>
      </c>
      <c r="AI306" s="3" t="str">
        <f t="shared" si="20"/>
        <v/>
      </c>
      <c r="AQ306" s="6" t="str">
        <f t="shared" si="21"/>
        <v/>
      </c>
    </row>
    <row r="307" spans="1:43" x14ac:dyDescent="0.25">
      <c r="A307" s="37"/>
      <c r="B307" s="38"/>
      <c r="C307" s="2"/>
      <c r="D307" s="41"/>
      <c r="E307" s="93"/>
      <c r="F307" s="93"/>
      <c r="G307" s="93"/>
      <c r="H307" s="38"/>
      <c r="I307" s="2"/>
      <c r="J307" s="41"/>
      <c r="K307" s="38"/>
      <c r="L307" s="41"/>
      <c r="M307" s="41"/>
      <c r="N307" s="42"/>
      <c r="O307" s="80"/>
      <c r="P307" s="80"/>
      <c r="Q307" s="87"/>
      <c r="R307" s="87"/>
      <c r="S307" s="87"/>
      <c r="T307" s="108"/>
      <c r="U307" s="87"/>
      <c r="V307" s="108"/>
      <c r="W307" s="87"/>
      <c r="X307" s="87"/>
      <c r="AH307" s="3" t="str">
        <f>IF(COUNTIF(AB:AB,Z307)*COUNTIF(AD:AD,Z307)*COUNTIF(AF:AF,Z307),Z307,"")</f>
        <v/>
      </c>
      <c r="AI307" s="3" t="str">
        <f t="shared" si="20"/>
        <v/>
      </c>
      <c r="AQ307" s="6" t="str">
        <f t="shared" si="21"/>
        <v/>
      </c>
    </row>
    <row r="308" spans="1:43" x14ac:dyDescent="0.25">
      <c r="A308" s="37"/>
      <c r="B308" s="38"/>
      <c r="C308" s="2"/>
      <c r="D308" s="41"/>
      <c r="E308" s="93"/>
      <c r="F308" s="93"/>
      <c r="G308" s="93"/>
      <c r="H308" s="38"/>
      <c r="I308" s="2"/>
      <c r="J308" s="41"/>
      <c r="K308" s="38"/>
      <c r="L308" s="41"/>
      <c r="M308" s="41"/>
      <c r="N308" s="42"/>
      <c r="O308" s="80"/>
      <c r="P308" s="80"/>
      <c r="Q308" s="87"/>
      <c r="R308" s="87"/>
      <c r="S308" s="87"/>
      <c r="T308" s="108"/>
      <c r="U308" s="87"/>
      <c r="V308" s="108"/>
      <c r="W308" s="87"/>
      <c r="X308" s="87"/>
      <c r="AH308" s="3" t="str">
        <f>IF(COUNTIF(AB:AB,Z308)*COUNTIF(AD:AD,Z308)*COUNTIF(AF:AF,Z308),Z308,"")</f>
        <v/>
      </c>
      <c r="AI308" s="3" t="str">
        <f t="shared" si="20"/>
        <v/>
      </c>
      <c r="AQ308" s="6" t="str">
        <f t="shared" si="21"/>
        <v/>
      </c>
    </row>
    <row r="309" spans="1:43" x14ac:dyDescent="0.25">
      <c r="A309" s="37"/>
      <c r="B309" s="38"/>
      <c r="C309" s="2"/>
      <c r="D309" s="41"/>
      <c r="E309" s="93"/>
      <c r="F309" s="93"/>
      <c r="G309" s="93"/>
      <c r="H309" s="38"/>
      <c r="I309" s="2"/>
      <c r="J309" s="41"/>
      <c r="K309" s="38"/>
      <c r="L309" s="41"/>
      <c r="M309" s="41"/>
      <c r="N309" s="42"/>
      <c r="O309" s="80"/>
      <c r="P309" s="80"/>
      <c r="Q309" s="87"/>
      <c r="R309" s="87"/>
      <c r="S309" s="87"/>
      <c r="T309" s="108"/>
      <c r="U309" s="87"/>
      <c r="V309" s="108"/>
      <c r="W309" s="87"/>
      <c r="X309" s="87"/>
      <c r="AH309" s="3" t="str">
        <f>IF(COUNTIF(AB:AB,Z309)*COUNTIF(AD:AD,Z309)*COUNTIF(AF:AF,Z309),Z309,"")</f>
        <v/>
      </c>
      <c r="AI309" s="3" t="str">
        <f t="shared" si="20"/>
        <v/>
      </c>
      <c r="AQ309" s="6" t="str">
        <f t="shared" si="21"/>
        <v/>
      </c>
    </row>
    <row r="310" spans="1:43" x14ac:dyDescent="0.25">
      <c r="A310" s="37"/>
      <c r="B310" s="38"/>
      <c r="C310" s="2"/>
      <c r="D310" s="41"/>
      <c r="E310" s="93"/>
      <c r="F310" s="93"/>
      <c r="G310" s="93"/>
      <c r="H310" s="38"/>
      <c r="I310" s="2"/>
      <c r="J310" s="41"/>
      <c r="K310" s="38"/>
      <c r="L310" s="41"/>
      <c r="M310" s="41"/>
      <c r="N310" s="42"/>
      <c r="O310" s="80"/>
      <c r="P310" s="80"/>
      <c r="Q310" s="87"/>
      <c r="R310" s="87"/>
      <c r="S310" s="87"/>
      <c r="T310" s="108"/>
      <c r="U310" s="87"/>
      <c r="V310" s="108"/>
      <c r="W310" s="87"/>
      <c r="X310" s="87"/>
      <c r="AH310" s="3" t="str">
        <f>IF(COUNTIF(AB:AB,Z310)*COUNTIF(AD:AD,Z310)*COUNTIF(AF:AF,Z310),Z310,"")</f>
        <v/>
      </c>
      <c r="AI310" s="3" t="str">
        <f t="shared" si="20"/>
        <v/>
      </c>
      <c r="AQ310" s="6" t="str">
        <f t="shared" si="21"/>
        <v/>
      </c>
    </row>
    <row r="311" spans="1:43" x14ac:dyDescent="0.25">
      <c r="A311" s="37"/>
      <c r="B311" s="38"/>
      <c r="C311" s="2"/>
      <c r="D311" s="41"/>
      <c r="E311" s="93"/>
      <c r="F311" s="93"/>
      <c r="G311" s="93"/>
      <c r="H311" s="38"/>
      <c r="I311" s="2"/>
      <c r="J311" s="41"/>
      <c r="K311" s="38"/>
      <c r="L311" s="41"/>
      <c r="M311" s="41"/>
      <c r="N311" s="42"/>
      <c r="O311" s="80"/>
      <c r="P311" s="80"/>
      <c r="Q311" s="87"/>
      <c r="R311" s="87"/>
      <c r="S311" s="87"/>
      <c r="T311" s="108"/>
      <c r="U311" s="87"/>
      <c r="V311" s="108"/>
      <c r="W311" s="87"/>
      <c r="X311" s="87"/>
      <c r="AH311" s="3" t="str">
        <f>IF(COUNTIF(AB:AB,Z311)*COUNTIF(AD:AD,Z311)*COUNTIF(AF:AF,Z311),Z311,"")</f>
        <v/>
      </c>
      <c r="AI311" s="3" t="str">
        <f t="shared" si="20"/>
        <v/>
      </c>
      <c r="AQ311" s="6" t="str">
        <f t="shared" si="21"/>
        <v/>
      </c>
    </row>
    <row r="312" spans="1:43" x14ac:dyDescent="0.25">
      <c r="A312" s="37"/>
      <c r="B312" s="38"/>
      <c r="C312" s="2"/>
      <c r="D312" s="41"/>
      <c r="E312" s="93"/>
      <c r="F312" s="93"/>
      <c r="G312" s="93"/>
      <c r="H312" s="38"/>
      <c r="I312" s="2"/>
      <c r="J312" s="41"/>
      <c r="K312" s="38"/>
      <c r="L312" s="41"/>
      <c r="M312" s="41"/>
      <c r="N312" s="42"/>
      <c r="O312" s="80"/>
      <c r="P312" s="80"/>
      <c r="Q312" s="87"/>
      <c r="R312" s="87"/>
      <c r="S312" s="87"/>
      <c r="T312" s="108"/>
      <c r="U312" s="87"/>
      <c r="V312" s="108"/>
      <c r="W312" s="87"/>
      <c r="X312" s="87"/>
      <c r="AH312" s="3" t="str">
        <f>IF(COUNTIF(AB:AB,Z312)*COUNTIF(AD:AD,Z312)*COUNTIF(AF:AF,Z312),Z312,"")</f>
        <v/>
      </c>
      <c r="AI312" s="3" t="str">
        <f t="shared" si="20"/>
        <v/>
      </c>
      <c r="AQ312" s="6" t="str">
        <f t="shared" si="21"/>
        <v/>
      </c>
    </row>
    <row r="313" spans="1:43" x14ac:dyDescent="0.25">
      <c r="A313" s="37"/>
      <c r="B313" s="38"/>
      <c r="C313" s="2"/>
      <c r="D313" s="41"/>
      <c r="E313" s="93"/>
      <c r="F313" s="93"/>
      <c r="G313" s="93"/>
      <c r="H313" s="38"/>
      <c r="I313" s="2"/>
      <c r="J313" s="41"/>
      <c r="K313" s="38"/>
      <c r="L313" s="41"/>
      <c r="M313" s="41"/>
      <c r="N313" s="42"/>
      <c r="O313" s="80"/>
      <c r="P313" s="80"/>
      <c r="Q313" s="87"/>
      <c r="R313" s="87"/>
      <c r="S313" s="87"/>
      <c r="T313" s="108"/>
      <c r="U313" s="87"/>
      <c r="V313" s="108"/>
      <c r="W313" s="87"/>
      <c r="X313" s="87"/>
      <c r="AH313" s="3" t="str">
        <f>IF(COUNTIF(AB:AB,Z313)*COUNTIF(AD:AD,Z313)*COUNTIF(AF:AF,Z313),Z313,"")</f>
        <v/>
      </c>
      <c r="AI313" s="3" t="str">
        <f t="shared" si="20"/>
        <v/>
      </c>
      <c r="AQ313" s="6" t="str">
        <f t="shared" si="21"/>
        <v/>
      </c>
    </row>
    <row r="314" spans="1:43" x14ac:dyDescent="0.25">
      <c r="A314" s="37"/>
      <c r="B314" s="38"/>
      <c r="C314" s="2"/>
      <c r="D314" s="41"/>
      <c r="E314" s="93"/>
      <c r="F314" s="93"/>
      <c r="G314" s="93"/>
      <c r="H314" s="38"/>
      <c r="I314" s="2"/>
      <c r="J314" s="41"/>
      <c r="K314" s="38"/>
      <c r="L314" s="41"/>
      <c r="M314" s="41"/>
      <c r="N314" s="42"/>
      <c r="O314" s="80"/>
      <c r="P314" s="80"/>
      <c r="Q314" s="87"/>
      <c r="R314" s="87"/>
      <c r="S314" s="87"/>
      <c r="T314" s="108"/>
      <c r="U314" s="87"/>
      <c r="V314" s="108"/>
      <c r="W314" s="87"/>
      <c r="X314" s="87"/>
      <c r="AH314" s="3" t="str">
        <f>IF(COUNTIF(AB:AB,Z314)*COUNTIF(AD:AD,Z314)*COUNTIF(AF:AF,Z314),Z314,"")</f>
        <v/>
      </c>
      <c r="AI314" s="3" t="str">
        <f t="shared" si="20"/>
        <v/>
      </c>
      <c r="AQ314" s="6" t="str">
        <f t="shared" si="21"/>
        <v/>
      </c>
    </row>
    <row r="315" spans="1:43" x14ac:dyDescent="0.25">
      <c r="A315" s="37"/>
      <c r="B315" s="38"/>
      <c r="C315" s="2"/>
      <c r="D315" s="41"/>
      <c r="E315" s="93"/>
      <c r="F315" s="93"/>
      <c r="G315" s="93"/>
      <c r="H315" s="38"/>
      <c r="I315" s="2"/>
      <c r="J315" s="41"/>
      <c r="K315" s="38"/>
      <c r="L315" s="41"/>
      <c r="M315" s="41"/>
      <c r="N315" s="42"/>
      <c r="O315" s="80"/>
      <c r="P315" s="80"/>
      <c r="Q315" s="87"/>
      <c r="R315" s="87"/>
      <c r="S315" s="87"/>
      <c r="T315" s="108"/>
      <c r="U315" s="87"/>
      <c r="V315" s="108"/>
      <c r="W315" s="87"/>
      <c r="X315" s="87"/>
      <c r="AH315" s="3" t="str">
        <f>IF(COUNTIF(AB:AB,Z315)*COUNTIF(AD:AD,Z315)*COUNTIF(AF:AF,Z315),Z315,"")</f>
        <v/>
      </c>
      <c r="AI315" s="3" t="str">
        <f t="shared" si="20"/>
        <v/>
      </c>
      <c r="AQ315" s="6" t="str">
        <f t="shared" si="21"/>
        <v/>
      </c>
    </row>
    <row r="316" spans="1:43" x14ac:dyDescent="0.25">
      <c r="A316" s="37"/>
      <c r="B316" s="38"/>
      <c r="C316" s="2"/>
      <c r="D316" s="41"/>
      <c r="E316" s="93"/>
      <c r="F316" s="93"/>
      <c r="G316" s="93"/>
      <c r="H316" s="38"/>
      <c r="I316" s="2"/>
      <c r="J316" s="41"/>
      <c r="K316" s="38"/>
      <c r="L316" s="41"/>
      <c r="M316" s="41"/>
      <c r="N316" s="42"/>
      <c r="O316" s="80"/>
      <c r="P316" s="80"/>
      <c r="Q316" s="87"/>
      <c r="R316" s="87"/>
      <c r="S316" s="87"/>
      <c r="T316" s="108"/>
      <c r="U316" s="87"/>
      <c r="V316" s="108"/>
      <c r="W316" s="87"/>
      <c r="X316" s="87"/>
      <c r="AH316" s="3" t="str">
        <f>IF(COUNTIF(AB:AB,Z316)*COUNTIF(AD:AD,Z316)*COUNTIF(AF:AF,Z316),Z316,"")</f>
        <v/>
      </c>
      <c r="AI316" s="3" t="str">
        <f t="shared" si="20"/>
        <v/>
      </c>
      <c r="AQ316" s="6" t="str">
        <f t="shared" si="21"/>
        <v/>
      </c>
    </row>
    <row r="317" spans="1:43" x14ac:dyDescent="0.25">
      <c r="A317" s="37"/>
      <c r="B317" s="38"/>
      <c r="C317" s="2"/>
      <c r="D317" s="41"/>
      <c r="E317" s="93"/>
      <c r="F317" s="93"/>
      <c r="G317" s="93"/>
      <c r="H317" s="38"/>
      <c r="I317" s="2"/>
      <c r="J317" s="41"/>
      <c r="K317" s="38"/>
      <c r="L317" s="41"/>
      <c r="M317" s="41"/>
      <c r="N317" s="42"/>
      <c r="O317" s="80"/>
      <c r="P317" s="80"/>
      <c r="Q317" s="87"/>
      <c r="R317" s="87"/>
      <c r="S317" s="87"/>
      <c r="T317" s="108"/>
      <c r="U317" s="87"/>
      <c r="V317" s="108"/>
      <c r="W317" s="87"/>
      <c r="X317" s="87"/>
      <c r="AH317" s="3" t="str">
        <f>IF(COUNTIF(AB:AB,Z317)*COUNTIF(AD:AD,Z317)*COUNTIF(AF:AF,Z317),Z317,"")</f>
        <v/>
      </c>
      <c r="AI317" s="3" t="str">
        <f t="shared" si="20"/>
        <v/>
      </c>
      <c r="AQ317" s="6" t="str">
        <f t="shared" si="21"/>
        <v/>
      </c>
    </row>
    <row r="318" spans="1:43" x14ac:dyDescent="0.25">
      <c r="A318" s="37"/>
      <c r="B318" s="38"/>
      <c r="C318" s="2"/>
      <c r="D318" s="41"/>
      <c r="E318" s="93"/>
      <c r="F318" s="93"/>
      <c r="G318" s="93"/>
      <c r="H318" s="38"/>
      <c r="I318" s="2"/>
      <c r="J318" s="41"/>
      <c r="K318" s="38"/>
      <c r="L318" s="41"/>
      <c r="M318" s="41"/>
      <c r="N318" s="42"/>
      <c r="O318" s="80"/>
      <c r="P318" s="80"/>
      <c r="Q318" s="87"/>
      <c r="R318" s="87"/>
      <c r="S318" s="87"/>
      <c r="T318" s="108"/>
      <c r="U318" s="87"/>
      <c r="V318" s="108"/>
      <c r="W318" s="87"/>
      <c r="X318" s="87"/>
      <c r="AH318" s="3" t="str">
        <f>IF(COUNTIF(AB:AB,Z318)*COUNTIF(AD:AD,Z318)*COUNTIF(AF:AF,Z318),Z318,"")</f>
        <v/>
      </c>
      <c r="AI318" s="3" t="str">
        <f t="shared" si="20"/>
        <v/>
      </c>
      <c r="AQ318" s="6" t="str">
        <f t="shared" si="21"/>
        <v/>
      </c>
    </row>
    <row r="319" spans="1:43" x14ac:dyDescent="0.25">
      <c r="A319" s="37"/>
      <c r="B319" s="38"/>
      <c r="C319" s="2"/>
      <c r="D319" s="41"/>
      <c r="E319" s="93"/>
      <c r="F319" s="93"/>
      <c r="G319" s="93"/>
      <c r="H319" s="38"/>
      <c r="I319" s="2"/>
      <c r="J319" s="41"/>
      <c r="K319" s="38"/>
      <c r="L319" s="41"/>
      <c r="M319" s="41"/>
      <c r="N319" s="42"/>
      <c r="O319" s="80"/>
      <c r="P319" s="80"/>
      <c r="Q319" s="87"/>
      <c r="R319" s="87"/>
      <c r="S319" s="87"/>
      <c r="T319" s="108"/>
      <c r="U319" s="87"/>
      <c r="V319" s="108"/>
      <c r="W319" s="87"/>
      <c r="X319" s="87"/>
      <c r="AH319" s="3" t="str">
        <f>IF(COUNTIF(AB:AB,Z319)*COUNTIF(AD:AD,Z319)*COUNTIF(AF:AF,Z319),Z319,"")</f>
        <v/>
      </c>
      <c r="AI319" s="3" t="str">
        <f t="shared" si="20"/>
        <v/>
      </c>
      <c r="AQ319" s="6" t="str">
        <f t="shared" si="21"/>
        <v/>
      </c>
    </row>
    <row r="320" spans="1:43" x14ac:dyDescent="0.25">
      <c r="A320" s="37"/>
      <c r="B320" s="38"/>
      <c r="C320" s="2"/>
      <c r="D320" s="41"/>
      <c r="E320" s="93"/>
      <c r="F320" s="93"/>
      <c r="G320" s="93"/>
      <c r="H320" s="38"/>
      <c r="I320" s="2"/>
      <c r="J320" s="41"/>
      <c r="K320" s="38"/>
      <c r="L320" s="41"/>
      <c r="M320" s="41"/>
      <c r="N320" s="42"/>
      <c r="O320" s="80"/>
      <c r="P320" s="80"/>
      <c r="Q320" s="87"/>
      <c r="R320" s="87"/>
      <c r="S320" s="87"/>
      <c r="T320" s="108"/>
      <c r="U320" s="87"/>
      <c r="V320" s="108"/>
      <c r="W320" s="87"/>
      <c r="X320" s="87"/>
      <c r="AH320" s="3" t="str">
        <f>IF(COUNTIF(AB:AB,Z320)*COUNTIF(AD:AD,Z320)*COUNTIF(AF:AF,Z320),Z320,"")</f>
        <v/>
      </c>
      <c r="AI320" s="3" t="str">
        <f t="shared" si="20"/>
        <v/>
      </c>
      <c r="AQ320" s="6" t="str">
        <f t="shared" si="21"/>
        <v/>
      </c>
    </row>
    <row r="321" spans="1:43" x14ac:dyDescent="0.25">
      <c r="A321" s="37"/>
      <c r="B321" s="38"/>
      <c r="C321" s="2"/>
      <c r="D321" s="41"/>
      <c r="E321" s="93"/>
      <c r="F321" s="93"/>
      <c r="G321" s="93"/>
      <c r="H321" s="38"/>
      <c r="I321" s="2"/>
      <c r="J321" s="41"/>
      <c r="K321" s="38"/>
      <c r="L321" s="41"/>
      <c r="M321" s="41"/>
      <c r="N321" s="42"/>
      <c r="O321" s="80"/>
      <c r="P321" s="80"/>
      <c r="Q321" s="87"/>
      <c r="R321" s="87"/>
      <c r="S321" s="87"/>
      <c r="T321" s="108"/>
      <c r="U321" s="87"/>
      <c r="V321" s="108"/>
      <c r="W321" s="87"/>
      <c r="X321" s="87"/>
      <c r="AH321" s="3" t="str">
        <f>IF(COUNTIF(AB:AB,Z321)*COUNTIF(AD:AD,Z321)*COUNTIF(AF:AF,Z321),Z321,"")</f>
        <v/>
      </c>
      <c r="AI321" s="3" t="str">
        <f t="shared" si="20"/>
        <v/>
      </c>
      <c r="AQ321" s="6" t="str">
        <f t="shared" si="21"/>
        <v/>
      </c>
    </row>
    <row r="322" spans="1:43" x14ac:dyDescent="0.25">
      <c r="A322" s="37"/>
      <c r="B322" s="38"/>
      <c r="C322" s="2"/>
      <c r="D322" s="41"/>
      <c r="E322" s="93"/>
      <c r="F322" s="93"/>
      <c r="G322" s="93"/>
      <c r="H322" s="38"/>
      <c r="I322" s="2"/>
      <c r="J322" s="41"/>
      <c r="K322" s="38"/>
      <c r="L322" s="41"/>
      <c r="M322" s="41"/>
      <c r="N322" s="42"/>
      <c r="O322" s="80"/>
      <c r="P322" s="80"/>
      <c r="Q322" s="87"/>
      <c r="R322" s="87"/>
      <c r="S322" s="87"/>
      <c r="T322" s="108"/>
      <c r="U322" s="87"/>
      <c r="V322" s="108"/>
      <c r="W322" s="87"/>
      <c r="X322" s="87"/>
      <c r="AH322" s="3" t="str">
        <f>IF(COUNTIF(AB:AB,Z322)*COUNTIF(AD:AD,Z322)*COUNTIF(AF:AF,Z322),Z322,"")</f>
        <v/>
      </c>
      <c r="AI322" s="3" t="str">
        <f t="shared" si="20"/>
        <v/>
      </c>
      <c r="AQ322" s="6" t="str">
        <f t="shared" si="21"/>
        <v/>
      </c>
    </row>
    <row r="323" spans="1:43" x14ac:dyDescent="0.25">
      <c r="A323" s="37"/>
      <c r="B323" s="38"/>
      <c r="C323" s="2"/>
      <c r="D323" s="41"/>
      <c r="E323" s="93"/>
      <c r="F323" s="93"/>
      <c r="G323" s="93"/>
      <c r="H323" s="38"/>
      <c r="I323" s="2"/>
      <c r="J323" s="41"/>
      <c r="K323" s="38"/>
      <c r="L323" s="41"/>
      <c r="M323" s="41"/>
      <c r="N323" s="42"/>
      <c r="O323" s="80"/>
      <c r="P323" s="80"/>
      <c r="Q323" s="87"/>
      <c r="R323" s="87"/>
      <c r="S323" s="87"/>
      <c r="T323" s="108"/>
      <c r="U323" s="87"/>
      <c r="V323" s="108"/>
      <c r="W323" s="87"/>
      <c r="X323" s="87"/>
      <c r="AH323" s="3" t="str">
        <f>IF(COUNTIF(AB:AB,Z323)*COUNTIF(AD:AD,Z323)*COUNTIF(AF:AF,Z323),Z323,"")</f>
        <v/>
      </c>
      <c r="AI323" s="3" t="str">
        <f t="shared" si="20"/>
        <v/>
      </c>
      <c r="AQ323" s="6" t="str">
        <f t="shared" si="21"/>
        <v/>
      </c>
    </row>
    <row r="324" spans="1:43" x14ac:dyDescent="0.25">
      <c r="A324" s="37"/>
      <c r="B324" s="38"/>
      <c r="C324" s="2"/>
      <c r="D324" s="41"/>
      <c r="E324" s="93"/>
      <c r="F324" s="93"/>
      <c r="G324" s="93"/>
      <c r="H324" s="38"/>
      <c r="I324" s="2"/>
      <c r="J324" s="41"/>
      <c r="K324" s="38"/>
      <c r="L324" s="41"/>
      <c r="M324" s="41"/>
      <c r="N324" s="42"/>
      <c r="O324" s="80"/>
      <c r="P324" s="80"/>
      <c r="Q324" s="87"/>
      <c r="R324" s="87"/>
      <c r="S324" s="87"/>
      <c r="T324" s="108"/>
      <c r="U324" s="87"/>
      <c r="V324" s="108"/>
      <c r="W324" s="87"/>
      <c r="X324" s="87"/>
      <c r="AH324" s="3" t="str">
        <f>IF(COUNTIF(AB:AB,Z324)*COUNTIF(AD:AD,Z324)*COUNTIF(AF:AF,Z324),Z324,"")</f>
        <v/>
      </c>
      <c r="AI324" s="3" t="str">
        <f t="shared" ref="AI324:AI387" si="22">IF(AH324&gt;=$A$14,AH324,"")</f>
        <v/>
      </c>
      <c r="AQ324" s="6" t="str">
        <f t="shared" ref="AQ324:AQ387" si="23">IF(COUNTIF(AO:AO,AM324),AM324,"")</f>
        <v/>
      </c>
    </row>
    <row r="325" spans="1:43" x14ac:dyDescent="0.25">
      <c r="A325" s="37"/>
      <c r="B325" s="38"/>
      <c r="C325" s="2"/>
      <c r="D325" s="41"/>
      <c r="E325" s="93"/>
      <c r="F325" s="93"/>
      <c r="G325" s="93"/>
      <c r="H325" s="38"/>
      <c r="I325" s="2"/>
      <c r="J325" s="41"/>
      <c r="K325" s="38"/>
      <c r="L325" s="41"/>
      <c r="M325" s="41"/>
      <c r="N325" s="42"/>
      <c r="O325" s="80"/>
      <c r="P325" s="80"/>
      <c r="Q325" s="87"/>
      <c r="R325" s="87"/>
      <c r="S325" s="87"/>
      <c r="T325" s="108"/>
      <c r="U325" s="87"/>
      <c r="V325" s="108"/>
      <c r="W325" s="87"/>
      <c r="X325" s="87"/>
      <c r="AH325" s="3" t="str">
        <f>IF(COUNTIF(AB:AB,Z325)*COUNTIF(AD:AD,Z325)*COUNTIF(AF:AF,Z325),Z325,"")</f>
        <v/>
      </c>
      <c r="AI325" s="3" t="str">
        <f t="shared" si="22"/>
        <v/>
      </c>
      <c r="AQ325" s="6" t="str">
        <f t="shared" si="23"/>
        <v/>
      </c>
    </row>
    <row r="326" spans="1:43" x14ac:dyDescent="0.25">
      <c r="A326" s="37"/>
      <c r="B326" s="38"/>
      <c r="C326" s="2"/>
      <c r="D326" s="41"/>
      <c r="E326" s="93"/>
      <c r="F326" s="93"/>
      <c r="G326" s="93"/>
      <c r="H326" s="38"/>
      <c r="I326" s="2"/>
      <c r="J326" s="41"/>
      <c r="K326" s="38"/>
      <c r="L326" s="41"/>
      <c r="M326" s="41"/>
      <c r="N326" s="42"/>
      <c r="O326" s="80"/>
      <c r="P326" s="80"/>
      <c r="Q326" s="87"/>
      <c r="R326" s="87"/>
      <c r="S326" s="87"/>
      <c r="T326" s="108"/>
      <c r="U326" s="87"/>
      <c r="V326" s="108"/>
      <c r="W326" s="87"/>
      <c r="X326" s="87"/>
      <c r="AH326" s="3" t="str">
        <f>IF(COUNTIF(AB:AB,Z326)*COUNTIF(AD:AD,Z326)*COUNTIF(AF:AF,Z326),Z326,"")</f>
        <v/>
      </c>
      <c r="AI326" s="3" t="str">
        <f t="shared" si="22"/>
        <v/>
      </c>
      <c r="AQ326" s="6" t="str">
        <f t="shared" si="23"/>
        <v/>
      </c>
    </row>
    <row r="327" spans="1:43" x14ac:dyDescent="0.25">
      <c r="A327" s="37"/>
      <c r="B327" s="38"/>
      <c r="C327" s="2"/>
      <c r="D327" s="41"/>
      <c r="E327" s="93"/>
      <c r="F327" s="93"/>
      <c r="G327" s="93"/>
      <c r="H327" s="38"/>
      <c r="I327" s="2"/>
      <c r="J327" s="41"/>
      <c r="K327" s="38"/>
      <c r="L327" s="41"/>
      <c r="M327" s="41"/>
      <c r="N327" s="42"/>
      <c r="O327" s="80"/>
      <c r="P327" s="80"/>
      <c r="Q327" s="87"/>
      <c r="R327" s="87"/>
      <c r="S327" s="87"/>
      <c r="T327" s="108"/>
      <c r="U327" s="87"/>
      <c r="V327" s="108"/>
      <c r="W327" s="87"/>
      <c r="X327" s="87"/>
      <c r="AH327" s="3" t="str">
        <f>IF(COUNTIF(AB:AB,Z327)*COUNTIF(AD:AD,Z327)*COUNTIF(AF:AF,Z327),Z327,"")</f>
        <v/>
      </c>
      <c r="AI327" s="3" t="str">
        <f t="shared" si="22"/>
        <v/>
      </c>
      <c r="AQ327" s="6" t="str">
        <f t="shared" si="23"/>
        <v/>
      </c>
    </row>
    <row r="328" spans="1:43" x14ac:dyDescent="0.25">
      <c r="A328" s="37"/>
      <c r="B328" s="38"/>
      <c r="C328" s="2"/>
      <c r="D328" s="41"/>
      <c r="E328" s="93"/>
      <c r="F328" s="93"/>
      <c r="G328" s="93"/>
      <c r="H328" s="38"/>
      <c r="I328" s="2"/>
      <c r="J328" s="41"/>
      <c r="K328" s="38"/>
      <c r="L328" s="41"/>
      <c r="M328" s="41"/>
      <c r="N328" s="42"/>
      <c r="O328" s="80"/>
      <c r="P328" s="80"/>
      <c r="Q328" s="87"/>
      <c r="R328" s="87"/>
      <c r="S328" s="87"/>
      <c r="T328" s="108"/>
      <c r="U328" s="87"/>
      <c r="V328" s="108"/>
      <c r="W328" s="87"/>
      <c r="X328" s="87"/>
      <c r="AH328" s="3" t="str">
        <f>IF(COUNTIF(AB:AB,Z328)*COUNTIF(AD:AD,Z328)*COUNTIF(AF:AF,Z328),Z328,"")</f>
        <v/>
      </c>
      <c r="AI328" s="3" t="str">
        <f t="shared" si="22"/>
        <v/>
      </c>
      <c r="AQ328" s="6" t="str">
        <f t="shared" si="23"/>
        <v/>
      </c>
    </row>
    <row r="329" spans="1:43" x14ac:dyDescent="0.25">
      <c r="A329" s="37"/>
      <c r="B329" s="38"/>
      <c r="C329" s="2"/>
      <c r="D329" s="41"/>
      <c r="E329" s="93"/>
      <c r="F329" s="93"/>
      <c r="G329" s="93"/>
      <c r="H329" s="38"/>
      <c r="I329" s="2"/>
      <c r="J329" s="41"/>
      <c r="K329" s="38"/>
      <c r="L329" s="41"/>
      <c r="M329" s="41"/>
      <c r="N329" s="42"/>
      <c r="O329" s="80"/>
      <c r="P329" s="80"/>
      <c r="Q329" s="87"/>
      <c r="R329" s="87"/>
      <c r="S329" s="87"/>
      <c r="T329" s="108"/>
      <c r="U329" s="87"/>
      <c r="V329" s="108"/>
      <c r="W329" s="87"/>
      <c r="X329" s="87"/>
      <c r="AH329" s="3" t="str">
        <f>IF(COUNTIF(AB:AB,Z329)*COUNTIF(AD:AD,Z329)*COUNTIF(AF:AF,Z329),Z329,"")</f>
        <v/>
      </c>
      <c r="AI329" s="3" t="str">
        <f t="shared" si="22"/>
        <v/>
      </c>
      <c r="AQ329" s="6" t="str">
        <f t="shared" si="23"/>
        <v/>
      </c>
    </row>
    <row r="330" spans="1:43" x14ac:dyDescent="0.25">
      <c r="A330" s="37"/>
      <c r="B330" s="38"/>
      <c r="C330" s="2"/>
      <c r="D330" s="41"/>
      <c r="E330" s="93"/>
      <c r="F330" s="93"/>
      <c r="G330" s="93"/>
      <c r="H330" s="38"/>
      <c r="I330" s="2"/>
      <c r="J330" s="41"/>
      <c r="K330" s="38"/>
      <c r="L330" s="41"/>
      <c r="M330" s="41"/>
      <c r="N330" s="42"/>
      <c r="O330" s="80"/>
      <c r="P330" s="80"/>
      <c r="Q330" s="87"/>
      <c r="R330" s="87"/>
      <c r="S330" s="87"/>
      <c r="T330" s="108"/>
      <c r="U330" s="87"/>
      <c r="V330" s="108"/>
      <c r="W330" s="87"/>
      <c r="X330" s="87"/>
      <c r="AH330" s="3" t="str">
        <f>IF(COUNTIF(AB:AB,Z330)*COUNTIF(AD:AD,Z330)*COUNTIF(AF:AF,Z330),Z330,"")</f>
        <v/>
      </c>
      <c r="AI330" s="3" t="str">
        <f t="shared" si="22"/>
        <v/>
      </c>
      <c r="AQ330" s="6" t="str">
        <f t="shared" si="23"/>
        <v/>
      </c>
    </row>
    <row r="331" spans="1:43" x14ac:dyDescent="0.25">
      <c r="A331" s="37"/>
      <c r="B331" s="38"/>
      <c r="C331" s="2"/>
      <c r="D331" s="41"/>
      <c r="E331" s="93"/>
      <c r="F331" s="93"/>
      <c r="G331" s="93"/>
      <c r="H331" s="38"/>
      <c r="I331" s="2"/>
      <c r="J331" s="41"/>
      <c r="K331" s="38"/>
      <c r="L331" s="41"/>
      <c r="M331" s="41"/>
      <c r="N331" s="42"/>
      <c r="O331" s="80"/>
      <c r="P331" s="80"/>
      <c r="Q331" s="87"/>
      <c r="R331" s="87"/>
      <c r="S331" s="87"/>
      <c r="T331" s="108"/>
      <c r="U331" s="87"/>
      <c r="V331" s="108"/>
      <c r="W331" s="87"/>
      <c r="X331" s="87"/>
      <c r="AH331" s="3" t="str">
        <f>IF(COUNTIF(AB:AB,Z331)*COUNTIF(AD:AD,Z331)*COUNTIF(AF:AF,Z331),Z331,"")</f>
        <v/>
      </c>
      <c r="AI331" s="3" t="str">
        <f t="shared" si="22"/>
        <v/>
      </c>
      <c r="AQ331" s="6" t="str">
        <f t="shared" si="23"/>
        <v/>
      </c>
    </row>
    <row r="332" spans="1:43" x14ac:dyDescent="0.25">
      <c r="A332" s="37"/>
      <c r="B332" s="38"/>
      <c r="C332" s="2"/>
      <c r="D332" s="41"/>
      <c r="E332" s="93"/>
      <c r="F332" s="93"/>
      <c r="G332" s="93"/>
      <c r="H332" s="38"/>
      <c r="I332" s="2"/>
      <c r="J332" s="41"/>
      <c r="K332" s="38"/>
      <c r="L332" s="41"/>
      <c r="M332" s="41"/>
      <c r="N332" s="42"/>
      <c r="O332" s="80"/>
      <c r="P332" s="80"/>
      <c r="Q332" s="87"/>
      <c r="R332" s="87"/>
      <c r="S332" s="87"/>
      <c r="T332" s="108"/>
      <c r="U332" s="87"/>
      <c r="V332" s="108"/>
      <c r="W332" s="87"/>
      <c r="X332" s="87"/>
      <c r="AH332" s="3" t="str">
        <f>IF(COUNTIF(AB:AB,Z332)*COUNTIF(AD:AD,Z332)*COUNTIF(AF:AF,Z332),Z332,"")</f>
        <v/>
      </c>
      <c r="AI332" s="3" t="str">
        <f t="shared" si="22"/>
        <v/>
      </c>
      <c r="AQ332" s="6" t="str">
        <f t="shared" si="23"/>
        <v/>
      </c>
    </row>
    <row r="333" spans="1:43" x14ac:dyDescent="0.25">
      <c r="A333" s="37"/>
      <c r="B333" s="38"/>
      <c r="C333" s="2"/>
      <c r="D333" s="41"/>
      <c r="E333" s="93"/>
      <c r="F333" s="93"/>
      <c r="G333" s="93"/>
      <c r="H333" s="38"/>
      <c r="I333" s="2"/>
      <c r="J333" s="41"/>
      <c r="K333" s="38"/>
      <c r="L333" s="41"/>
      <c r="M333" s="41"/>
      <c r="N333" s="42"/>
      <c r="O333" s="80"/>
      <c r="P333" s="80"/>
      <c r="Q333" s="87"/>
      <c r="R333" s="87"/>
      <c r="S333" s="87"/>
      <c r="T333" s="108"/>
      <c r="U333" s="87"/>
      <c r="V333" s="108"/>
      <c r="W333" s="87"/>
      <c r="X333" s="87"/>
      <c r="AH333" s="3" t="str">
        <f>IF(COUNTIF(AB:AB,Z333)*COUNTIF(AD:AD,Z333)*COUNTIF(AF:AF,Z333),Z333,"")</f>
        <v/>
      </c>
      <c r="AI333" s="3" t="str">
        <f t="shared" si="22"/>
        <v/>
      </c>
      <c r="AQ333" s="6" t="str">
        <f t="shared" si="23"/>
        <v/>
      </c>
    </row>
    <row r="334" spans="1:43" x14ac:dyDescent="0.25">
      <c r="A334" s="37"/>
      <c r="B334" s="38"/>
      <c r="C334" s="2"/>
      <c r="D334" s="41"/>
      <c r="E334" s="93"/>
      <c r="F334" s="93"/>
      <c r="G334" s="93"/>
      <c r="H334" s="38"/>
      <c r="I334" s="2"/>
      <c r="J334" s="41"/>
      <c r="K334" s="38"/>
      <c r="L334" s="41"/>
      <c r="M334" s="41"/>
      <c r="N334" s="42"/>
      <c r="O334" s="80"/>
      <c r="P334" s="80"/>
      <c r="Q334" s="87"/>
      <c r="R334" s="87"/>
      <c r="S334" s="87"/>
      <c r="T334" s="108"/>
      <c r="U334" s="87"/>
      <c r="V334" s="108"/>
      <c r="W334" s="87"/>
      <c r="X334" s="87"/>
      <c r="AH334" s="3" t="str">
        <f>IF(COUNTIF(AB:AB,Z334)*COUNTIF(AD:AD,Z334)*COUNTIF(AF:AF,Z334),Z334,"")</f>
        <v/>
      </c>
      <c r="AI334" s="3" t="str">
        <f t="shared" si="22"/>
        <v/>
      </c>
      <c r="AQ334" s="6" t="str">
        <f t="shared" si="23"/>
        <v/>
      </c>
    </row>
    <row r="335" spans="1:43" x14ac:dyDescent="0.25">
      <c r="A335" s="37"/>
      <c r="B335" s="38"/>
      <c r="C335" s="2"/>
      <c r="D335" s="41"/>
      <c r="E335" s="93"/>
      <c r="F335" s="93"/>
      <c r="G335" s="93"/>
      <c r="H335" s="38"/>
      <c r="I335" s="2"/>
      <c r="J335" s="41"/>
      <c r="K335" s="38"/>
      <c r="L335" s="41"/>
      <c r="M335" s="41"/>
      <c r="N335" s="42"/>
      <c r="O335" s="80"/>
      <c r="P335" s="80"/>
      <c r="Q335" s="87"/>
      <c r="R335" s="87"/>
      <c r="S335" s="87"/>
      <c r="T335" s="108"/>
      <c r="U335" s="87"/>
      <c r="V335" s="108"/>
      <c r="W335" s="87"/>
      <c r="X335" s="87"/>
      <c r="AH335" s="3" t="str">
        <f>IF(COUNTIF(AB:AB,Z335)*COUNTIF(AD:AD,Z335)*COUNTIF(AF:AF,Z335),Z335,"")</f>
        <v/>
      </c>
      <c r="AI335" s="3" t="str">
        <f t="shared" si="22"/>
        <v/>
      </c>
      <c r="AQ335" s="6" t="str">
        <f t="shared" si="23"/>
        <v/>
      </c>
    </row>
    <row r="336" spans="1:43" x14ac:dyDescent="0.25">
      <c r="A336" s="37"/>
      <c r="B336" s="38"/>
      <c r="C336" s="2"/>
      <c r="D336" s="41"/>
      <c r="E336" s="93"/>
      <c r="F336" s="93"/>
      <c r="G336" s="93"/>
      <c r="H336" s="38"/>
      <c r="I336" s="2"/>
      <c r="J336" s="41"/>
      <c r="K336" s="38"/>
      <c r="L336" s="41"/>
      <c r="M336" s="41"/>
      <c r="N336" s="42"/>
      <c r="O336" s="80"/>
      <c r="P336" s="80"/>
      <c r="Q336" s="87"/>
      <c r="R336" s="87"/>
      <c r="S336" s="87"/>
      <c r="T336" s="108"/>
      <c r="U336" s="87"/>
      <c r="V336" s="108"/>
      <c r="W336" s="87"/>
      <c r="X336" s="87"/>
      <c r="AH336" s="3" t="str">
        <f>IF(COUNTIF(AB:AB,Z336)*COUNTIF(AD:AD,Z336)*COUNTIF(AF:AF,Z336),Z336,"")</f>
        <v/>
      </c>
      <c r="AI336" s="3" t="str">
        <f t="shared" si="22"/>
        <v/>
      </c>
      <c r="AQ336" s="6" t="str">
        <f t="shared" si="23"/>
        <v/>
      </c>
    </row>
    <row r="337" spans="1:43" x14ac:dyDescent="0.25">
      <c r="A337" s="37"/>
      <c r="B337" s="38"/>
      <c r="C337" s="2"/>
      <c r="D337" s="41"/>
      <c r="E337" s="93"/>
      <c r="F337" s="93"/>
      <c r="G337" s="93"/>
      <c r="H337" s="38"/>
      <c r="I337" s="2"/>
      <c r="J337" s="41"/>
      <c r="K337" s="38"/>
      <c r="L337" s="41"/>
      <c r="M337" s="41"/>
      <c r="N337" s="42"/>
      <c r="O337" s="80"/>
      <c r="P337" s="80"/>
      <c r="Q337" s="87"/>
      <c r="R337" s="87"/>
      <c r="S337" s="87"/>
      <c r="T337" s="108"/>
      <c r="U337" s="87"/>
      <c r="V337" s="108"/>
      <c r="W337" s="87"/>
      <c r="X337" s="87"/>
      <c r="AH337" s="3" t="str">
        <f>IF(COUNTIF(AB:AB,Z337)*COUNTIF(AD:AD,Z337)*COUNTIF(AF:AF,Z337),Z337,"")</f>
        <v/>
      </c>
      <c r="AI337" s="3" t="str">
        <f t="shared" si="22"/>
        <v/>
      </c>
      <c r="AQ337" s="6" t="str">
        <f t="shared" si="23"/>
        <v/>
      </c>
    </row>
    <row r="338" spans="1:43" x14ac:dyDescent="0.25">
      <c r="A338" s="37"/>
      <c r="B338" s="38"/>
      <c r="C338" s="2"/>
      <c r="D338" s="41"/>
      <c r="E338" s="93"/>
      <c r="F338" s="93"/>
      <c r="G338" s="93"/>
      <c r="H338" s="38"/>
      <c r="I338" s="2"/>
      <c r="J338" s="41"/>
      <c r="K338" s="38"/>
      <c r="L338" s="41"/>
      <c r="M338" s="41"/>
      <c r="N338" s="42"/>
      <c r="O338" s="80"/>
      <c r="P338" s="80"/>
      <c r="Q338" s="87"/>
      <c r="R338" s="87"/>
      <c r="S338" s="87"/>
      <c r="T338" s="108"/>
      <c r="U338" s="87"/>
      <c r="V338" s="108"/>
      <c r="W338" s="87"/>
      <c r="X338" s="87"/>
      <c r="AH338" s="3" t="str">
        <f>IF(COUNTIF(AB:AB,Z338)*COUNTIF(AD:AD,Z338)*COUNTIF(AF:AF,Z338),Z338,"")</f>
        <v/>
      </c>
      <c r="AI338" s="3" t="str">
        <f t="shared" si="22"/>
        <v/>
      </c>
      <c r="AQ338" s="6" t="str">
        <f t="shared" si="23"/>
        <v/>
      </c>
    </row>
    <row r="339" spans="1:43" x14ac:dyDescent="0.25">
      <c r="A339" s="37"/>
      <c r="B339" s="38"/>
      <c r="C339" s="2"/>
      <c r="D339" s="41"/>
      <c r="E339" s="93"/>
      <c r="F339" s="93"/>
      <c r="G339" s="93"/>
      <c r="H339" s="38"/>
      <c r="I339" s="2"/>
      <c r="J339" s="41"/>
      <c r="K339" s="38"/>
      <c r="L339" s="41"/>
      <c r="M339" s="41"/>
      <c r="N339" s="42"/>
      <c r="O339" s="80"/>
      <c r="P339" s="80"/>
      <c r="Q339" s="87"/>
      <c r="R339" s="87"/>
      <c r="S339" s="87"/>
      <c r="T339" s="108"/>
      <c r="U339" s="87"/>
      <c r="V339" s="108"/>
      <c r="W339" s="87"/>
      <c r="X339" s="87"/>
      <c r="AH339" s="3" t="str">
        <f>IF(COUNTIF(AB:AB,Z339)*COUNTIF(AD:AD,Z339)*COUNTIF(AF:AF,Z339),Z339,"")</f>
        <v/>
      </c>
      <c r="AI339" s="3" t="str">
        <f t="shared" si="22"/>
        <v/>
      </c>
      <c r="AQ339" s="6" t="str">
        <f t="shared" si="23"/>
        <v/>
      </c>
    </row>
    <row r="340" spans="1:43" x14ac:dyDescent="0.25">
      <c r="A340" s="37"/>
      <c r="B340" s="38"/>
      <c r="C340" s="2"/>
      <c r="D340" s="41"/>
      <c r="E340" s="93"/>
      <c r="F340" s="93"/>
      <c r="G340" s="93"/>
      <c r="H340" s="38"/>
      <c r="I340" s="2"/>
      <c r="J340" s="41"/>
      <c r="K340" s="38"/>
      <c r="L340" s="41"/>
      <c r="M340" s="41"/>
      <c r="N340" s="42"/>
      <c r="O340" s="80"/>
      <c r="P340" s="80"/>
      <c r="Q340" s="87"/>
      <c r="R340" s="87"/>
      <c r="S340" s="87"/>
      <c r="T340" s="108"/>
      <c r="U340" s="87"/>
      <c r="V340" s="108"/>
      <c r="W340" s="87"/>
      <c r="X340" s="87"/>
      <c r="AH340" s="3" t="str">
        <f>IF(COUNTIF(AB:AB,Z340)*COUNTIF(AD:AD,Z340)*COUNTIF(AF:AF,Z340),Z340,"")</f>
        <v/>
      </c>
      <c r="AI340" s="3" t="str">
        <f t="shared" si="22"/>
        <v/>
      </c>
      <c r="AQ340" s="6" t="str">
        <f t="shared" si="23"/>
        <v/>
      </c>
    </row>
    <row r="341" spans="1:43" x14ac:dyDescent="0.25">
      <c r="A341" s="37"/>
      <c r="B341" s="38"/>
      <c r="C341" s="2"/>
      <c r="D341" s="41"/>
      <c r="E341" s="93"/>
      <c r="F341" s="93"/>
      <c r="G341" s="93"/>
      <c r="H341" s="38"/>
      <c r="I341" s="2"/>
      <c r="J341" s="41"/>
      <c r="K341" s="38"/>
      <c r="L341" s="41"/>
      <c r="M341" s="41"/>
      <c r="N341" s="42"/>
      <c r="O341" s="80"/>
      <c r="P341" s="80"/>
      <c r="Q341" s="87"/>
      <c r="R341" s="87"/>
      <c r="S341" s="87"/>
      <c r="T341" s="108"/>
      <c r="U341" s="87"/>
      <c r="V341" s="108"/>
      <c r="W341" s="87"/>
      <c r="X341" s="87"/>
      <c r="AH341" s="3" t="str">
        <f>IF(COUNTIF(AB:AB,Z341)*COUNTIF(AD:AD,Z341)*COUNTIF(AF:AF,Z341),Z341,"")</f>
        <v/>
      </c>
      <c r="AI341" s="3" t="str">
        <f t="shared" si="22"/>
        <v/>
      </c>
      <c r="AQ341" s="6" t="str">
        <f t="shared" si="23"/>
        <v/>
      </c>
    </row>
    <row r="342" spans="1:43" x14ac:dyDescent="0.25">
      <c r="A342" s="37"/>
      <c r="B342" s="38"/>
      <c r="C342" s="2"/>
      <c r="D342" s="41"/>
      <c r="E342" s="93"/>
      <c r="F342" s="93"/>
      <c r="G342" s="93"/>
      <c r="H342" s="38"/>
      <c r="I342" s="2"/>
      <c r="J342" s="41"/>
      <c r="K342" s="38"/>
      <c r="L342" s="41"/>
      <c r="M342" s="41"/>
      <c r="N342" s="42"/>
      <c r="O342" s="80"/>
      <c r="P342" s="80"/>
      <c r="Q342" s="87"/>
      <c r="R342" s="87"/>
      <c r="S342" s="87"/>
      <c r="T342" s="108"/>
      <c r="U342" s="87"/>
      <c r="V342" s="108"/>
      <c r="W342" s="87"/>
      <c r="X342" s="87"/>
      <c r="AH342" s="3" t="str">
        <f>IF(COUNTIF(AB:AB,Z342)*COUNTIF(AD:AD,Z342)*COUNTIF(AF:AF,Z342),Z342,"")</f>
        <v/>
      </c>
      <c r="AI342" s="3" t="str">
        <f t="shared" si="22"/>
        <v/>
      </c>
      <c r="AQ342" s="6" t="str">
        <f t="shared" si="23"/>
        <v/>
      </c>
    </row>
    <row r="343" spans="1:43" x14ac:dyDescent="0.25">
      <c r="A343" s="37"/>
      <c r="B343" s="38"/>
      <c r="C343" s="2"/>
      <c r="D343" s="41"/>
      <c r="E343" s="93"/>
      <c r="F343" s="93"/>
      <c r="G343" s="93"/>
      <c r="H343" s="38"/>
      <c r="I343" s="2"/>
      <c r="J343" s="41"/>
      <c r="K343" s="38"/>
      <c r="L343" s="41"/>
      <c r="M343" s="41"/>
      <c r="N343" s="42"/>
      <c r="O343" s="80"/>
      <c r="P343" s="80"/>
      <c r="Q343" s="87"/>
      <c r="R343" s="87"/>
      <c r="S343" s="87"/>
      <c r="T343" s="108"/>
      <c r="U343" s="87"/>
      <c r="V343" s="108"/>
      <c r="W343" s="87"/>
      <c r="X343" s="87"/>
      <c r="AH343" s="3" t="str">
        <f>IF(COUNTIF(AB:AB,Z343)*COUNTIF(AD:AD,Z343)*COUNTIF(AF:AF,Z343),Z343,"")</f>
        <v/>
      </c>
      <c r="AI343" s="3" t="str">
        <f t="shared" si="22"/>
        <v/>
      </c>
      <c r="AQ343" s="6" t="str">
        <f t="shared" si="23"/>
        <v/>
      </c>
    </row>
    <row r="344" spans="1:43" x14ac:dyDescent="0.25">
      <c r="A344" s="37"/>
      <c r="B344" s="38"/>
      <c r="C344" s="2"/>
      <c r="D344" s="41"/>
      <c r="E344" s="93"/>
      <c r="F344" s="93"/>
      <c r="G344" s="93"/>
      <c r="H344" s="38"/>
      <c r="I344" s="2"/>
      <c r="J344" s="41"/>
      <c r="K344" s="38"/>
      <c r="L344" s="41"/>
      <c r="M344" s="41"/>
      <c r="N344" s="42"/>
      <c r="O344" s="80"/>
      <c r="P344" s="80"/>
      <c r="Q344" s="87"/>
      <c r="R344" s="87"/>
      <c r="S344" s="87"/>
      <c r="T344" s="108"/>
      <c r="U344" s="87"/>
      <c r="V344" s="108"/>
      <c r="W344" s="87"/>
      <c r="X344" s="87"/>
      <c r="AH344" s="3" t="str">
        <f>IF(COUNTIF(AB:AB,Z344)*COUNTIF(AD:AD,Z344)*COUNTIF(AF:AF,Z344),Z344,"")</f>
        <v/>
      </c>
      <c r="AI344" s="3" t="str">
        <f t="shared" si="22"/>
        <v/>
      </c>
      <c r="AQ344" s="6" t="str">
        <f t="shared" si="23"/>
        <v/>
      </c>
    </row>
    <row r="345" spans="1:43" x14ac:dyDescent="0.25">
      <c r="A345" s="37"/>
      <c r="B345" s="38"/>
      <c r="C345" s="2"/>
      <c r="D345" s="41"/>
      <c r="E345" s="93"/>
      <c r="F345" s="93"/>
      <c r="G345" s="93"/>
      <c r="H345" s="38"/>
      <c r="I345" s="2"/>
      <c r="J345" s="41"/>
      <c r="K345" s="38"/>
      <c r="L345" s="41"/>
      <c r="M345" s="41"/>
      <c r="N345" s="42"/>
      <c r="O345" s="80"/>
      <c r="P345" s="80"/>
      <c r="Q345" s="87"/>
      <c r="R345" s="87"/>
      <c r="S345" s="87"/>
      <c r="T345" s="108"/>
      <c r="U345" s="87"/>
      <c r="V345" s="108"/>
      <c r="W345" s="87"/>
      <c r="X345" s="87"/>
      <c r="AH345" s="3" t="str">
        <f>IF(COUNTIF(AB:AB,Z345)*COUNTIF(AD:AD,Z345)*COUNTIF(AF:AF,Z345),Z345,"")</f>
        <v/>
      </c>
      <c r="AI345" s="3" t="str">
        <f t="shared" si="22"/>
        <v/>
      </c>
      <c r="AQ345" s="6" t="str">
        <f t="shared" si="23"/>
        <v/>
      </c>
    </row>
    <row r="346" spans="1:43" x14ac:dyDescent="0.25">
      <c r="A346" s="37"/>
      <c r="B346" s="38"/>
      <c r="C346" s="2"/>
      <c r="D346" s="41"/>
      <c r="E346" s="93"/>
      <c r="F346" s="93"/>
      <c r="G346" s="93"/>
      <c r="H346" s="38"/>
      <c r="I346" s="2"/>
      <c r="J346" s="41"/>
      <c r="K346" s="38"/>
      <c r="L346" s="41"/>
      <c r="M346" s="41"/>
      <c r="N346" s="42"/>
      <c r="O346" s="80"/>
      <c r="P346" s="80"/>
      <c r="Q346" s="87"/>
      <c r="R346" s="87"/>
      <c r="S346" s="87"/>
      <c r="T346" s="108"/>
      <c r="U346" s="87"/>
      <c r="V346" s="108"/>
      <c r="W346" s="87"/>
      <c r="X346" s="87"/>
      <c r="AH346" s="3" t="str">
        <f>IF(COUNTIF(AB:AB,Z346)*COUNTIF(AD:AD,Z346)*COUNTIF(AF:AF,Z346),Z346,"")</f>
        <v/>
      </c>
      <c r="AI346" s="3" t="str">
        <f t="shared" si="22"/>
        <v/>
      </c>
      <c r="AQ346" s="6" t="str">
        <f t="shared" si="23"/>
        <v/>
      </c>
    </row>
    <row r="347" spans="1:43" x14ac:dyDescent="0.25">
      <c r="A347" s="37"/>
      <c r="B347" s="38"/>
      <c r="C347" s="2"/>
      <c r="D347" s="41"/>
      <c r="E347" s="93"/>
      <c r="F347" s="93"/>
      <c r="G347" s="93"/>
      <c r="H347" s="38"/>
      <c r="I347" s="2"/>
      <c r="J347" s="41"/>
      <c r="K347" s="38"/>
      <c r="L347" s="41"/>
      <c r="M347" s="41"/>
      <c r="N347" s="42"/>
      <c r="O347" s="80"/>
      <c r="P347" s="80"/>
      <c r="Q347" s="87"/>
      <c r="R347" s="87"/>
      <c r="S347" s="87"/>
      <c r="T347" s="108"/>
      <c r="U347" s="87"/>
      <c r="V347" s="108"/>
      <c r="W347" s="87"/>
      <c r="X347" s="87"/>
      <c r="AH347" s="3" t="str">
        <f>IF(COUNTIF(AB:AB,Z347)*COUNTIF(AD:AD,Z347)*COUNTIF(AF:AF,Z347),Z347,"")</f>
        <v/>
      </c>
      <c r="AI347" s="3" t="str">
        <f t="shared" si="22"/>
        <v/>
      </c>
      <c r="AQ347" s="6" t="str">
        <f t="shared" si="23"/>
        <v/>
      </c>
    </row>
    <row r="348" spans="1:43" x14ac:dyDescent="0.25">
      <c r="A348" s="37"/>
      <c r="B348" s="38"/>
      <c r="C348" s="2"/>
      <c r="D348" s="41"/>
      <c r="E348" s="93"/>
      <c r="F348" s="93"/>
      <c r="G348" s="93"/>
      <c r="H348" s="38"/>
      <c r="I348" s="2"/>
      <c r="J348" s="41"/>
      <c r="K348" s="38"/>
      <c r="L348" s="41"/>
      <c r="M348" s="41"/>
      <c r="N348" s="42"/>
      <c r="O348" s="80"/>
      <c r="P348" s="80"/>
      <c r="Q348" s="87"/>
      <c r="R348" s="87"/>
      <c r="S348" s="87"/>
      <c r="T348" s="108"/>
      <c r="U348" s="87"/>
      <c r="V348" s="108"/>
      <c r="W348" s="87"/>
      <c r="X348" s="87"/>
      <c r="AH348" s="3" t="str">
        <f>IF(COUNTIF(AB:AB,Z348)*COUNTIF(AD:AD,Z348)*COUNTIF(AF:AF,Z348),Z348,"")</f>
        <v/>
      </c>
      <c r="AI348" s="3" t="str">
        <f t="shared" si="22"/>
        <v/>
      </c>
      <c r="AQ348" s="6" t="str">
        <f t="shared" si="23"/>
        <v/>
      </c>
    </row>
    <row r="349" spans="1:43" x14ac:dyDescent="0.25">
      <c r="A349" s="37"/>
      <c r="B349" s="38"/>
      <c r="C349" s="2"/>
      <c r="D349" s="41"/>
      <c r="E349" s="93"/>
      <c r="F349" s="93"/>
      <c r="G349" s="93"/>
      <c r="H349" s="38"/>
      <c r="I349" s="2"/>
      <c r="J349" s="41"/>
      <c r="K349" s="38"/>
      <c r="L349" s="41"/>
      <c r="M349" s="41"/>
      <c r="N349" s="42"/>
      <c r="O349" s="80"/>
      <c r="P349" s="80"/>
      <c r="Q349" s="87"/>
      <c r="R349" s="87"/>
      <c r="S349" s="87"/>
      <c r="T349" s="108"/>
      <c r="U349" s="87"/>
      <c r="V349" s="108"/>
      <c r="W349" s="87"/>
      <c r="X349" s="87"/>
      <c r="AH349" s="3" t="str">
        <f>IF(COUNTIF(AB:AB,Z349)*COUNTIF(AD:AD,Z349)*COUNTIF(AF:AF,Z349),Z349,"")</f>
        <v/>
      </c>
      <c r="AI349" s="3" t="str">
        <f t="shared" si="22"/>
        <v/>
      </c>
      <c r="AQ349" s="6" t="str">
        <f t="shared" si="23"/>
        <v/>
      </c>
    </row>
    <row r="350" spans="1:43" x14ac:dyDescent="0.25">
      <c r="A350" s="37"/>
      <c r="B350" s="38"/>
      <c r="C350" s="2"/>
      <c r="D350" s="41"/>
      <c r="E350" s="93"/>
      <c r="F350" s="93"/>
      <c r="G350" s="93"/>
      <c r="H350" s="38"/>
      <c r="I350" s="2"/>
      <c r="J350" s="41"/>
      <c r="K350" s="38"/>
      <c r="L350" s="41"/>
      <c r="M350" s="41"/>
      <c r="N350" s="42"/>
      <c r="O350" s="80"/>
      <c r="P350" s="80"/>
      <c r="Q350" s="87"/>
      <c r="R350" s="87"/>
      <c r="S350" s="87"/>
      <c r="T350" s="108"/>
      <c r="U350" s="87"/>
      <c r="V350" s="108"/>
      <c r="W350" s="87"/>
      <c r="X350" s="87"/>
      <c r="AH350" s="3" t="str">
        <f>IF(COUNTIF(AB:AB,Z350)*COUNTIF(AD:AD,Z350)*COUNTIF(AF:AF,Z350),Z350,"")</f>
        <v/>
      </c>
      <c r="AI350" s="3" t="str">
        <f t="shared" si="22"/>
        <v/>
      </c>
      <c r="AQ350" s="6" t="str">
        <f t="shared" si="23"/>
        <v/>
      </c>
    </row>
    <row r="351" spans="1:43" x14ac:dyDescent="0.25">
      <c r="A351" s="37"/>
      <c r="B351" s="38"/>
      <c r="C351" s="2"/>
      <c r="D351" s="41"/>
      <c r="E351" s="93"/>
      <c r="F351" s="93"/>
      <c r="G351" s="93"/>
      <c r="H351" s="38"/>
      <c r="I351" s="2"/>
      <c r="J351" s="41"/>
      <c r="K351" s="38"/>
      <c r="L351" s="41"/>
      <c r="M351" s="41"/>
      <c r="N351" s="42"/>
      <c r="O351" s="80"/>
      <c r="P351" s="80"/>
      <c r="Q351" s="87"/>
      <c r="R351" s="87"/>
      <c r="S351" s="87"/>
      <c r="T351" s="108"/>
      <c r="U351" s="87"/>
      <c r="V351" s="108"/>
      <c r="W351" s="87"/>
      <c r="X351" s="87"/>
      <c r="AH351" s="3" t="str">
        <f>IF(COUNTIF(AB:AB,Z351)*COUNTIF(AD:AD,Z351)*COUNTIF(AF:AF,Z351),Z351,"")</f>
        <v/>
      </c>
      <c r="AI351" s="3" t="str">
        <f t="shared" si="22"/>
        <v/>
      </c>
      <c r="AQ351" s="6" t="str">
        <f t="shared" si="23"/>
        <v/>
      </c>
    </row>
    <row r="352" spans="1:43" x14ac:dyDescent="0.25">
      <c r="A352" s="37"/>
      <c r="B352" s="38"/>
      <c r="C352" s="2"/>
      <c r="D352" s="41"/>
      <c r="E352" s="93"/>
      <c r="F352" s="93"/>
      <c r="G352" s="93"/>
      <c r="H352" s="38"/>
      <c r="I352" s="2"/>
      <c r="J352" s="41"/>
      <c r="K352" s="38"/>
      <c r="L352" s="41"/>
      <c r="M352" s="41"/>
      <c r="N352" s="42"/>
      <c r="O352" s="80"/>
      <c r="P352" s="80"/>
      <c r="Q352" s="87"/>
      <c r="R352" s="87"/>
      <c r="S352" s="87"/>
      <c r="T352" s="108"/>
      <c r="U352" s="87"/>
      <c r="V352" s="108"/>
      <c r="W352" s="87"/>
      <c r="X352" s="87"/>
      <c r="AH352" s="3" t="str">
        <f>IF(COUNTIF(AB:AB,Z352)*COUNTIF(AD:AD,Z352)*COUNTIF(AF:AF,Z352),Z352,"")</f>
        <v/>
      </c>
      <c r="AI352" s="3" t="str">
        <f t="shared" si="22"/>
        <v/>
      </c>
      <c r="AQ352" s="6" t="str">
        <f t="shared" si="23"/>
        <v/>
      </c>
    </row>
    <row r="353" spans="1:43" x14ac:dyDescent="0.25">
      <c r="A353" s="37"/>
      <c r="B353" s="38"/>
      <c r="C353" s="2"/>
      <c r="D353" s="41"/>
      <c r="E353" s="93"/>
      <c r="F353" s="93"/>
      <c r="G353" s="93"/>
      <c r="H353" s="38"/>
      <c r="I353" s="2"/>
      <c r="J353" s="41"/>
      <c r="K353" s="38"/>
      <c r="L353" s="41"/>
      <c r="M353" s="41"/>
      <c r="N353" s="42"/>
      <c r="O353" s="80"/>
      <c r="P353" s="80"/>
      <c r="Q353" s="87"/>
      <c r="R353" s="87"/>
      <c r="S353" s="87"/>
      <c r="T353" s="108"/>
      <c r="U353" s="87"/>
      <c r="V353" s="108"/>
      <c r="W353" s="87"/>
      <c r="X353" s="87"/>
      <c r="AH353" s="3" t="str">
        <f>IF(COUNTIF(AB:AB,Z353)*COUNTIF(AD:AD,Z353)*COUNTIF(AF:AF,Z353),Z353,"")</f>
        <v/>
      </c>
      <c r="AI353" s="3" t="str">
        <f t="shared" si="22"/>
        <v/>
      </c>
      <c r="AQ353" s="6" t="str">
        <f t="shared" si="23"/>
        <v/>
      </c>
    </row>
    <row r="354" spans="1:43" x14ac:dyDescent="0.25">
      <c r="A354" s="37"/>
      <c r="B354" s="38"/>
      <c r="C354" s="2"/>
      <c r="D354" s="41"/>
      <c r="E354" s="93"/>
      <c r="F354" s="93"/>
      <c r="G354" s="93"/>
      <c r="H354" s="38"/>
      <c r="I354" s="2"/>
      <c r="J354" s="41"/>
      <c r="K354" s="38"/>
      <c r="L354" s="41"/>
      <c r="M354" s="41"/>
      <c r="N354" s="42"/>
      <c r="O354" s="80"/>
      <c r="P354" s="80"/>
      <c r="Q354" s="87"/>
      <c r="R354" s="87"/>
      <c r="S354" s="87"/>
      <c r="T354" s="108"/>
      <c r="U354" s="87"/>
      <c r="V354" s="108"/>
      <c r="W354" s="87"/>
      <c r="X354" s="87"/>
      <c r="AH354" s="3" t="str">
        <f>IF(COUNTIF(AB:AB,Z354)*COUNTIF(AD:AD,Z354)*COUNTIF(AF:AF,Z354),Z354,"")</f>
        <v/>
      </c>
      <c r="AI354" s="3" t="str">
        <f t="shared" si="22"/>
        <v/>
      </c>
      <c r="AQ354" s="6" t="str">
        <f t="shared" si="23"/>
        <v/>
      </c>
    </row>
    <row r="355" spans="1:43" x14ac:dyDescent="0.25">
      <c r="A355" s="37"/>
      <c r="B355" s="38"/>
      <c r="C355" s="2"/>
      <c r="D355" s="41"/>
      <c r="E355" s="93"/>
      <c r="F355" s="93"/>
      <c r="G355" s="93"/>
      <c r="H355" s="38"/>
      <c r="I355" s="2"/>
      <c r="J355" s="41"/>
      <c r="K355" s="38"/>
      <c r="L355" s="41"/>
      <c r="M355" s="41"/>
      <c r="N355" s="42"/>
      <c r="O355" s="80"/>
      <c r="P355" s="80"/>
      <c r="Q355" s="87"/>
      <c r="R355" s="87"/>
      <c r="S355" s="87"/>
      <c r="T355" s="108"/>
      <c r="U355" s="87"/>
      <c r="V355" s="108"/>
      <c r="W355" s="87"/>
      <c r="X355" s="87"/>
      <c r="AH355" s="3" t="str">
        <f>IF(COUNTIF(AB:AB,Z355)*COUNTIF(AD:AD,Z355)*COUNTIF(AF:AF,Z355),Z355,"")</f>
        <v/>
      </c>
      <c r="AI355" s="3" t="str">
        <f t="shared" si="22"/>
        <v/>
      </c>
      <c r="AQ355" s="6" t="str">
        <f t="shared" si="23"/>
        <v/>
      </c>
    </row>
    <row r="356" spans="1:43" x14ac:dyDescent="0.25">
      <c r="A356" s="37"/>
      <c r="B356" s="38"/>
      <c r="C356" s="2"/>
      <c r="D356" s="41"/>
      <c r="E356" s="93"/>
      <c r="F356" s="93"/>
      <c r="G356" s="93"/>
      <c r="H356" s="38"/>
      <c r="I356" s="2"/>
      <c r="J356" s="41"/>
      <c r="K356" s="38"/>
      <c r="L356" s="41"/>
      <c r="M356" s="41"/>
      <c r="N356" s="42"/>
      <c r="O356" s="80"/>
      <c r="P356" s="80"/>
      <c r="Q356" s="87"/>
      <c r="R356" s="87"/>
      <c r="S356" s="87"/>
      <c r="T356" s="108"/>
      <c r="U356" s="87"/>
      <c r="V356" s="108"/>
      <c r="W356" s="87"/>
      <c r="X356" s="87"/>
      <c r="AH356" s="3" t="str">
        <f>IF(COUNTIF(AB:AB,Z356)*COUNTIF(AD:AD,Z356)*COUNTIF(AF:AF,Z356),Z356,"")</f>
        <v/>
      </c>
      <c r="AI356" s="3" t="str">
        <f t="shared" si="22"/>
        <v/>
      </c>
      <c r="AQ356" s="6" t="str">
        <f t="shared" si="23"/>
        <v/>
      </c>
    </row>
    <row r="357" spans="1:43" x14ac:dyDescent="0.25">
      <c r="A357" s="37"/>
      <c r="B357" s="38"/>
      <c r="C357" s="2"/>
      <c r="D357" s="41"/>
      <c r="E357" s="93"/>
      <c r="F357" s="93"/>
      <c r="G357" s="93"/>
      <c r="H357" s="38"/>
      <c r="I357" s="2"/>
      <c r="J357" s="41"/>
      <c r="K357" s="38"/>
      <c r="L357" s="41"/>
      <c r="M357" s="41"/>
      <c r="N357" s="42"/>
      <c r="O357" s="80"/>
      <c r="P357" s="80"/>
      <c r="Q357" s="87"/>
      <c r="R357" s="87"/>
      <c r="S357" s="87"/>
      <c r="T357" s="108"/>
      <c r="U357" s="87"/>
      <c r="V357" s="108"/>
      <c r="W357" s="87"/>
      <c r="X357" s="87"/>
      <c r="AH357" s="3" t="str">
        <f>IF(COUNTIF(AB:AB,Z357)*COUNTIF(AD:AD,Z357)*COUNTIF(AF:AF,Z357),Z357,"")</f>
        <v/>
      </c>
      <c r="AI357" s="3" t="str">
        <f t="shared" si="22"/>
        <v/>
      </c>
      <c r="AQ357" s="6" t="str">
        <f t="shared" si="23"/>
        <v/>
      </c>
    </row>
    <row r="358" spans="1:43" x14ac:dyDescent="0.25">
      <c r="A358" s="37"/>
      <c r="B358" s="38"/>
      <c r="C358" s="2"/>
      <c r="D358" s="41"/>
      <c r="E358" s="93"/>
      <c r="F358" s="93"/>
      <c r="G358" s="93"/>
      <c r="H358" s="38"/>
      <c r="I358" s="2"/>
      <c r="J358" s="41"/>
      <c r="K358" s="38"/>
      <c r="L358" s="41"/>
      <c r="M358" s="41"/>
      <c r="N358" s="42"/>
      <c r="O358" s="80"/>
      <c r="P358" s="80"/>
      <c r="Q358" s="87"/>
      <c r="R358" s="87"/>
      <c r="S358" s="87"/>
      <c r="T358" s="108"/>
      <c r="U358" s="87"/>
      <c r="V358" s="108"/>
      <c r="W358" s="87"/>
      <c r="X358" s="87"/>
      <c r="AH358" s="3" t="str">
        <f>IF(COUNTIF(AB:AB,Z358)*COUNTIF(AD:AD,Z358)*COUNTIF(AF:AF,Z358),Z358,"")</f>
        <v/>
      </c>
      <c r="AI358" s="3" t="str">
        <f t="shared" si="22"/>
        <v/>
      </c>
      <c r="AQ358" s="6" t="str">
        <f t="shared" si="23"/>
        <v/>
      </c>
    </row>
    <row r="359" spans="1:43" x14ac:dyDescent="0.25">
      <c r="A359" s="37"/>
      <c r="B359" s="38"/>
      <c r="C359" s="2"/>
      <c r="D359" s="41"/>
      <c r="E359" s="93"/>
      <c r="F359" s="93"/>
      <c r="G359" s="93"/>
      <c r="H359" s="38"/>
      <c r="I359" s="2"/>
      <c r="J359" s="41"/>
      <c r="K359" s="38"/>
      <c r="L359" s="41"/>
      <c r="M359" s="41"/>
      <c r="N359" s="42"/>
      <c r="O359" s="80"/>
      <c r="P359" s="80"/>
      <c r="Q359" s="87"/>
      <c r="R359" s="87"/>
      <c r="S359" s="87"/>
      <c r="T359" s="108"/>
      <c r="U359" s="87"/>
      <c r="V359" s="108"/>
      <c r="W359" s="87"/>
      <c r="X359" s="87"/>
      <c r="AH359" s="3" t="str">
        <f>IF(COUNTIF(AB:AB,Z359)*COUNTIF(AD:AD,Z359)*COUNTIF(AF:AF,Z359),Z359,"")</f>
        <v/>
      </c>
      <c r="AI359" s="3" t="str">
        <f t="shared" si="22"/>
        <v/>
      </c>
      <c r="AQ359" s="6" t="str">
        <f t="shared" si="23"/>
        <v/>
      </c>
    </row>
    <row r="360" spans="1:43" x14ac:dyDescent="0.25">
      <c r="A360" s="37"/>
      <c r="B360" s="38"/>
      <c r="C360" s="2"/>
      <c r="D360" s="41"/>
      <c r="E360" s="93"/>
      <c r="F360" s="93"/>
      <c r="G360" s="93"/>
      <c r="H360" s="38"/>
      <c r="I360" s="2"/>
      <c r="J360" s="41"/>
      <c r="K360" s="38"/>
      <c r="L360" s="41"/>
      <c r="M360" s="41"/>
      <c r="N360" s="42"/>
      <c r="O360" s="80"/>
      <c r="P360" s="80"/>
      <c r="Q360" s="87"/>
      <c r="R360" s="87"/>
      <c r="S360" s="87"/>
      <c r="T360" s="108"/>
      <c r="U360" s="87"/>
      <c r="V360" s="108"/>
      <c r="W360" s="87"/>
      <c r="X360" s="87"/>
      <c r="AH360" s="3" t="str">
        <f>IF(COUNTIF(AB:AB,Z360)*COUNTIF(AD:AD,Z360)*COUNTIF(AF:AF,Z360),Z360,"")</f>
        <v/>
      </c>
      <c r="AI360" s="3" t="str">
        <f t="shared" si="22"/>
        <v/>
      </c>
      <c r="AQ360" s="6" t="str">
        <f t="shared" si="23"/>
        <v/>
      </c>
    </row>
    <row r="361" spans="1:43" x14ac:dyDescent="0.25">
      <c r="A361" s="37"/>
      <c r="B361" s="38"/>
      <c r="C361" s="2"/>
      <c r="D361" s="41"/>
      <c r="E361" s="93"/>
      <c r="F361" s="93"/>
      <c r="G361" s="93"/>
      <c r="H361" s="38"/>
      <c r="I361" s="2"/>
      <c r="J361" s="41"/>
      <c r="K361" s="38"/>
      <c r="L361" s="41"/>
      <c r="M361" s="41"/>
      <c r="N361" s="42"/>
      <c r="O361" s="80"/>
      <c r="P361" s="80"/>
      <c r="Q361" s="87"/>
      <c r="R361" s="87"/>
      <c r="S361" s="87"/>
      <c r="T361" s="108"/>
      <c r="U361" s="87"/>
      <c r="V361" s="108"/>
      <c r="W361" s="87"/>
      <c r="X361" s="87"/>
      <c r="AH361" s="3" t="str">
        <f>IF(COUNTIF(AB:AB,Z361)*COUNTIF(AD:AD,Z361)*COUNTIF(AF:AF,Z361),Z361,"")</f>
        <v/>
      </c>
      <c r="AI361" s="3" t="str">
        <f t="shared" si="22"/>
        <v/>
      </c>
      <c r="AQ361" s="6" t="str">
        <f t="shared" si="23"/>
        <v/>
      </c>
    </row>
    <row r="362" spans="1:43" x14ac:dyDescent="0.25">
      <c r="A362" s="37"/>
      <c r="B362" s="38"/>
      <c r="C362" s="2"/>
      <c r="D362" s="41"/>
      <c r="E362" s="93"/>
      <c r="F362" s="93"/>
      <c r="G362" s="93"/>
      <c r="H362" s="38"/>
      <c r="I362" s="2"/>
      <c r="J362" s="41"/>
      <c r="K362" s="38"/>
      <c r="L362" s="41"/>
      <c r="M362" s="41"/>
      <c r="N362" s="42"/>
      <c r="O362" s="80"/>
      <c r="P362" s="80"/>
      <c r="Q362" s="87"/>
      <c r="R362" s="87"/>
      <c r="S362" s="87"/>
      <c r="T362" s="108"/>
      <c r="U362" s="87"/>
      <c r="V362" s="108"/>
      <c r="W362" s="87"/>
      <c r="X362" s="87"/>
      <c r="AH362" s="3" t="str">
        <f>IF(COUNTIF(AB:AB,Z362)*COUNTIF(AD:AD,Z362)*COUNTIF(AF:AF,Z362),Z362,"")</f>
        <v/>
      </c>
      <c r="AI362" s="3" t="str">
        <f t="shared" si="22"/>
        <v/>
      </c>
      <c r="AQ362" s="6" t="str">
        <f t="shared" si="23"/>
        <v/>
      </c>
    </row>
    <row r="363" spans="1:43" x14ac:dyDescent="0.25">
      <c r="A363" s="37"/>
      <c r="B363" s="38"/>
      <c r="C363" s="2"/>
      <c r="D363" s="41"/>
      <c r="E363" s="93"/>
      <c r="F363" s="93"/>
      <c r="G363" s="93"/>
      <c r="H363" s="38"/>
      <c r="I363" s="2"/>
      <c r="J363" s="41"/>
      <c r="K363" s="38"/>
      <c r="L363" s="41"/>
      <c r="M363" s="41"/>
      <c r="N363" s="42"/>
      <c r="O363" s="80"/>
      <c r="P363" s="80"/>
      <c r="Q363" s="87"/>
      <c r="R363" s="87"/>
      <c r="S363" s="87"/>
      <c r="T363" s="108"/>
      <c r="U363" s="87"/>
      <c r="V363" s="108"/>
      <c r="W363" s="87"/>
      <c r="X363" s="87"/>
      <c r="AH363" s="3" t="str">
        <f>IF(COUNTIF(AB:AB,Z363)*COUNTIF(AD:AD,Z363)*COUNTIF(AF:AF,Z363),Z363,"")</f>
        <v/>
      </c>
      <c r="AI363" s="3" t="str">
        <f t="shared" si="22"/>
        <v/>
      </c>
      <c r="AQ363" s="6" t="str">
        <f t="shared" si="23"/>
        <v/>
      </c>
    </row>
    <row r="364" spans="1:43" x14ac:dyDescent="0.25">
      <c r="A364" s="37"/>
      <c r="B364" s="38"/>
      <c r="C364" s="2"/>
      <c r="D364" s="41"/>
      <c r="E364" s="93"/>
      <c r="F364" s="93"/>
      <c r="G364" s="93"/>
      <c r="H364" s="38"/>
      <c r="I364" s="2"/>
      <c r="J364" s="41"/>
      <c r="K364" s="38"/>
      <c r="L364" s="41"/>
      <c r="M364" s="41"/>
      <c r="N364" s="42"/>
      <c r="O364" s="80"/>
      <c r="P364" s="80"/>
      <c r="Q364" s="87"/>
      <c r="R364" s="87"/>
      <c r="S364" s="87"/>
      <c r="T364" s="108"/>
      <c r="U364" s="87"/>
      <c r="V364" s="108"/>
      <c r="W364" s="87"/>
      <c r="X364" s="87"/>
      <c r="AH364" s="3" t="str">
        <f>IF(COUNTIF(AB:AB,Z364)*COUNTIF(AD:AD,Z364)*COUNTIF(AF:AF,Z364),Z364,"")</f>
        <v/>
      </c>
      <c r="AI364" s="3" t="str">
        <f t="shared" si="22"/>
        <v/>
      </c>
      <c r="AQ364" s="6" t="str">
        <f t="shared" si="23"/>
        <v/>
      </c>
    </row>
    <row r="365" spans="1:43" x14ac:dyDescent="0.25">
      <c r="A365" s="37"/>
      <c r="B365" s="38"/>
      <c r="C365" s="2"/>
      <c r="D365" s="41"/>
      <c r="E365" s="93"/>
      <c r="F365" s="93"/>
      <c r="G365" s="93"/>
      <c r="H365" s="38"/>
      <c r="I365" s="2"/>
      <c r="J365" s="41"/>
      <c r="K365" s="38"/>
      <c r="L365" s="41"/>
      <c r="M365" s="41"/>
      <c r="N365" s="42"/>
      <c r="O365" s="80"/>
      <c r="P365" s="80"/>
      <c r="Q365" s="87"/>
      <c r="R365" s="87"/>
      <c r="S365" s="87"/>
      <c r="T365" s="108"/>
      <c r="U365" s="87"/>
      <c r="V365" s="108"/>
      <c r="W365" s="87"/>
      <c r="X365" s="87"/>
      <c r="AH365" s="3" t="str">
        <f>IF(COUNTIF(AB:AB,Z365)*COUNTIF(AD:AD,Z365)*COUNTIF(AF:AF,Z365),Z365,"")</f>
        <v/>
      </c>
      <c r="AI365" s="3" t="str">
        <f t="shared" si="22"/>
        <v/>
      </c>
      <c r="AQ365" s="6" t="str">
        <f t="shared" si="23"/>
        <v/>
      </c>
    </row>
    <row r="366" spans="1:43" x14ac:dyDescent="0.25">
      <c r="A366" s="37"/>
      <c r="B366" s="38"/>
      <c r="C366" s="2"/>
      <c r="D366" s="41"/>
      <c r="E366" s="93"/>
      <c r="F366" s="93"/>
      <c r="G366" s="93"/>
      <c r="H366" s="38"/>
      <c r="I366" s="2"/>
      <c r="J366" s="41"/>
      <c r="K366" s="38"/>
      <c r="L366" s="41"/>
      <c r="M366" s="41"/>
      <c r="N366" s="42"/>
      <c r="O366" s="80"/>
      <c r="P366" s="80"/>
      <c r="Q366" s="87"/>
      <c r="R366" s="87"/>
      <c r="S366" s="87"/>
      <c r="T366" s="108"/>
      <c r="U366" s="87"/>
      <c r="V366" s="108"/>
      <c r="W366" s="87"/>
      <c r="X366" s="87"/>
      <c r="AH366" s="3" t="str">
        <f>IF(COUNTIF(AB:AB,Z366)*COUNTIF(AD:AD,Z366)*COUNTIF(AF:AF,Z366),Z366,"")</f>
        <v/>
      </c>
      <c r="AI366" s="3" t="str">
        <f t="shared" si="22"/>
        <v/>
      </c>
      <c r="AQ366" s="6" t="str">
        <f t="shared" si="23"/>
        <v/>
      </c>
    </row>
    <row r="367" spans="1:43" x14ac:dyDescent="0.25">
      <c r="A367" s="37"/>
      <c r="B367" s="38"/>
      <c r="C367" s="2"/>
      <c r="D367" s="41"/>
      <c r="E367" s="93"/>
      <c r="F367" s="93"/>
      <c r="G367" s="93"/>
      <c r="H367" s="38"/>
      <c r="I367" s="2"/>
      <c r="J367" s="41"/>
      <c r="K367" s="38"/>
      <c r="L367" s="41"/>
      <c r="M367" s="41"/>
      <c r="N367" s="42"/>
      <c r="O367" s="80"/>
      <c r="P367" s="80"/>
      <c r="Q367" s="87"/>
      <c r="R367" s="87"/>
      <c r="S367" s="87"/>
      <c r="T367" s="108"/>
      <c r="U367" s="87"/>
      <c r="V367" s="108"/>
      <c r="W367" s="87"/>
      <c r="X367" s="87"/>
      <c r="AH367" s="3" t="str">
        <f>IF(COUNTIF(AB:AB,Z367)*COUNTIF(AD:AD,Z367)*COUNTIF(AF:AF,Z367),Z367,"")</f>
        <v/>
      </c>
      <c r="AI367" s="3" t="str">
        <f t="shared" si="22"/>
        <v/>
      </c>
      <c r="AQ367" s="6" t="str">
        <f t="shared" si="23"/>
        <v/>
      </c>
    </row>
    <row r="368" spans="1:43" x14ac:dyDescent="0.25">
      <c r="A368" s="37"/>
      <c r="B368" s="38"/>
      <c r="C368" s="2"/>
      <c r="D368" s="41"/>
      <c r="E368" s="93"/>
      <c r="F368" s="93"/>
      <c r="G368" s="93"/>
      <c r="H368" s="38"/>
      <c r="I368" s="2"/>
      <c r="J368" s="41"/>
      <c r="K368" s="38"/>
      <c r="L368" s="41"/>
      <c r="M368" s="41"/>
      <c r="N368" s="42"/>
      <c r="O368" s="80"/>
      <c r="P368" s="80"/>
      <c r="Q368" s="87"/>
      <c r="R368" s="87"/>
      <c r="S368" s="87"/>
      <c r="T368" s="108"/>
      <c r="U368" s="87"/>
      <c r="V368" s="108"/>
      <c r="W368" s="87"/>
      <c r="X368" s="87"/>
      <c r="AH368" s="3" t="str">
        <f>IF(COUNTIF(AB:AB,Z368)*COUNTIF(AD:AD,Z368)*COUNTIF(AF:AF,Z368),Z368,"")</f>
        <v/>
      </c>
      <c r="AI368" s="3" t="str">
        <f t="shared" si="22"/>
        <v/>
      </c>
      <c r="AQ368" s="6" t="str">
        <f t="shared" si="23"/>
        <v/>
      </c>
    </row>
    <row r="369" spans="1:43" x14ac:dyDescent="0.25">
      <c r="A369" s="37"/>
      <c r="B369" s="38"/>
      <c r="C369" s="2"/>
      <c r="D369" s="41"/>
      <c r="E369" s="93"/>
      <c r="F369" s="93"/>
      <c r="G369" s="93"/>
      <c r="H369" s="38"/>
      <c r="I369" s="2"/>
      <c r="J369" s="41"/>
      <c r="K369" s="38"/>
      <c r="L369" s="41"/>
      <c r="M369" s="41"/>
      <c r="N369" s="42"/>
      <c r="O369" s="80"/>
      <c r="P369" s="80"/>
      <c r="Q369" s="87"/>
      <c r="R369" s="87"/>
      <c r="S369" s="87"/>
      <c r="T369" s="108"/>
      <c r="U369" s="87"/>
      <c r="V369" s="108"/>
      <c r="W369" s="87"/>
      <c r="X369" s="87"/>
      <c r="AH369" s="3" t="str">
        <f>IF(COUNTIF(AB:AB,Z369)*COUNTIF(AD:AD,Z369)*COUNTIF(AF:AF,Z369),Z369,"")</f>
        <v/>
      </c>
      <c r="AI369" s="3" t="str">
        <f t="shared" si="22"/>
        <v/>
      </c>
      <c r="AQ369" s="6" t="str">
        <f t="shared" si="23"/>
        <v/>
      </c>
    </row>
    <row r="370" spans="1:43" x14ac:dyDescent="0.25">
      <c r="A370" s="37"/>
      <c r="B370" s="38"/>
      <c r="C370" s="2"/>
      <c r="D370" s="41"/>
      <c r="E370" s="93"/>
      <c r="F370" s="93"/>
      <c r="G370" s="93"/>
      <c r="H370" s="38"/>
      <c r="I370" s="2"/>
      <c r="J370" s="41"/>
      <c r="K370" s="38"/>
      <c r="L370" s="41"/>
      <c r="M370" s="41"/>
      <c r="N370" s="42"/>
      <c r="O370" s="80"/>
      <c r="P370" s="80"/>
      <c r="Q370" s="87"/>
      <c r="R370" s="87"/>
      <c r="S370" s="87"/>
      <c r="T370" s="108"/>
      <c r="U370" s="87"/>
      <c r="V370" s="108"/>
      <c r="W370" s="87"/>
      <c r="X370" s="87"/>
      <c r="AH370" s="3" t="str">
        <f>IF(COUNTIF(AB:AB,Z370)*COUNTIF(AD:AD,Z370)*COUNTIF(AF:AF,Z370),Z370,"")</f>
        <v/>
      </c>
      <c r="AI370" s="3" t="str">
        <f t="shared" si="22"/>
        <v/>
      </c>
      <c r="AQ370" s="6" t="str">
        <f t="shared" si="23"/>
        <v/>
      </c>
    </row>
    <row r="371" spans="1:43" x14ac:dyDescent="0.25">
      <c r="A371" s="37"/>
      <c r="B371" s="38"/>
      <c r="C371" s="2"/>
      <c r="D371" s="41"/>
      <c r="E371" s="93"/>
      <c r="F371" s="93"/>
      <c r="G371" s="93"/>
      <c r="H371" s="38"/>
      <c r="I371" s="2"/>
      <c r="J371" s="41"/>
      <c r="K371" s="38"/>
      <c r="L371" s="41"/>
      <c r="M371" s="41"/>
      <c r="N371" s="42"/>
      <c r="O371" s="80"/>
      <c r="P371" s="80"/>
      <c r="Q371" s="87"/>
      <c r="R371" s="87"/>
      <c r="S371" s="87"/>
      <c r="T371" s="108"/>
      <c r="U371" s="87"/>
      <c r="V371" s="108"/>
      <c r="W371" s="87"/>
      <c r="X371" s="87"/>
      <c r="AH371" s="3" t="str">
        <f>IF(COUNTIF(AB:AB,Z371)*COUNTIF(AD:AD,Z371)*COUNTIF(AF:AF,Z371),Z371,"")</f>
        <v/>
      </c>
      <c r="AI371" s="3" t="str">
        <f t="shared" si="22"/>
        <v/>
      </c>
      <c r="AQ371" s="6" t="str">
        <f t="shared" si="23"/>
        <v/>
      </c>
    </row>
    <row r="372" spans="1:43" x14ac:dyDescent="0.25">
      <c r="A372" s="37"/>
      <c r="B372" s="38"/>
      <c r="C372" s="2"/>
      <c r="D372" s="41"/>
      <c r="E372" s="93"/>
      <c r="F372" s="93"/>
      <c r="G372" s="93"/>
      <c r="H372" s="38"/>
      <c r="I372" s="2"/>
      <c r="J372" s="41"/>
      <c r="K372" s="38"/>
      <c r="L372" s="41"/>
      <c r="M372" s="41"/>
      <c r="N372" s="42"/>
      <c r="O372" s="80"/>
      <c r="P372" s="80"/>
      <c r="Q372" s="87"/>
      <c r="R372" s="87"/>
      <c r="S372" s="87"/>
      <c r="T372" s="108"/>
      <c r="U372" s="87"/>
      <c r="V372" s="108"/>
      <c r="W372" s="87"/>
      <c r="X372" s="87"/>
      <c r="AH372" s="3" t="str">
        <f>IF(COUNTIF(AB:AB,Z372)*COUNTIF(AD:AD,Z372)*COUNTIF(AF:AF,Z372),Z372,"")</f>
        <v/>
      </c>
      <c r="AI372" s="3" t="str">
        <f t="shared" si="22"/>
        <v/>
      </c>
      <c r="AQ372" s="6" t="str">
        <f t="shared" si="23"/>
        <v/>
      </c>
    </row>
    <row r="373" spans="1:43" x14ac:dyDescent="0.25">
      <c r="A373" s="37"/>
      <c r="B373" s="38"/>
      <c r="C373" s="2"/>
      <c r="D373" s="41"/>
      <c r="E373" s="93"/>
      <c r="F373" s="93"/>
      <c r="G373" s="93"/>
      <c r="H373" s="38"/>
      <c r="I373" s="2"/>
      <c r="J373" s="41"/>
      <c r="K373" s="38"/>
      <c r="L373" s="41"/>
      <c r="M373" s="41"/>
      <c r="N373" s="42"/>
      <c r="O373" s="80"/>
      <c r="P373" s="80"/>
      <c r="Q373" s="87"/>
      <c r="R373" s="87"/>
      <c r="S373" s="87"/>
      <c r="T373" s="108"/>
      <c r="U373" s="87"/>
      <c r="V373" s="108"/>
      <c r="W373" s="87"/>
      <c r="X373" s="87"/>
      <c r="AH373" s="3" t="str">
        <f>IF(COUNTIF(AB:AB,Z373)*COUNTIF(AD:AD,Z373)*COUNTIF(AF:AF,Z373),Z373,"")</f>
        <v/>
      </c>
      <c r="AI373" s="3" t="str">
        <f t="shared" si="22"/>
        <v/>
      </c>
      <c r="AQ373" s="6" t="str">
        <f t="shared" si="23"/>
        <v/>
      </c>
    </row>
    <row r="374" spans="1:43" x14ac:dyDescent="0.25">
      <c r="A374" s="37"/>
      <c r="B374" s="38"/>
      <c r="C374" s="2"/>
      <c r="D374" s="41"/>
      <c r="E374" s="93"/>
      <c r="F374" s="93"/>
      <c r="G374" s="93"/>
      <c r="H374" s="38"/>
      <c r="I374" s="2"/>
      <c r="J374" s="41"/>
      <c r="K374" s="38"/>
      <c r="L374" s="41"/>
      <c r="M374" s="41"/>
      <c r="N374" s="42"/>
      <c r="O374" s="80"/>
      <c r="P374" s="80"/>
      <c r="Q374" s="87"/>
      <c r="R374" s="87"/>
      <c r="S374" s="87"/>
      <c r="T374" s="108"/>
      <c r="U374" s="87"/>
      <c r="V374" s="108"/>
      <c r="W374" s="87"/>
      <c r="X374" s="87"/>
      <c r="AH374" s="3" t="str">
        <f>IF(COUNTIF(AB:AB,Z374)*COUNTIF(AD:AD,Z374)*COUNTIF(AF:AF,Z374),Z374,"")</f>
        <v/>
      </c>
      <c r="AI374" s="3" t="str">
        <f t="shared" si="22"/>
        <v/>
      </c>
      <c r="AQ374" s="6" t="str">
        <f t="shared" si="23"/>
        <v/>
      </c>
    </row>
    <row r="375" spans="1:43" x14ac:dyDescent="0.25">
      <c r="A375" s="37"/>
      <c r="B375" s="38"/>
      <c r="C375" s="2"/>
      <c r="D375" s="41"/>
      <c r="E375" s="93"/>
      <c r="F375" s="93"/>
      <c r="G375" s="93"/>
      <c r="H375" s="38"/>
      <c r="I375" s="2"/>
      <c r="J375" s="41"/>
      <c r="K375" s="38"/>
      <c r="L375" s="41"/>
      <c r="M375" s="41"/>
      <c r="N375" s="42"/>
      <c r="O375" s="80"/>
      <c r="P375" s="80"/>
      <c r="Q375" s="87"/>
      <c r="R375" s="87"/>
      <c r="S375" s="87"/>
      <c r="T375" s="108"/>
      <c r="U375" s="87"/>
      <c r="V375" s="108"/>
      <c r="W375" s="87"/>
      <c r="X375" s="87"/>
      <c r="AH375" s="3" t="str">
        <f>IF(COUNTIF(AB:AB,Z375)*COUNTIF(AD:AD,Z375)*COUNTIF(AF:AF,Z375),Z375,"")</f>
        <v/>
      </c>
      <c r="AI375" s="3" t="str">
        <f t="shared" si="22"/>
        <v/>
      </c>
      <c r="AQ375" s="6" t="str">
        <f t="shared" si="23"/>
        <v/>
      </c>
    </row>
    <row r="376" spans="1:43" x14ac:dyDescent="0.25">
      <c r="A376" s="37"/>
      <c r="B376" s="38"/>
      <c r="C376" s="2"/>
      <c r="D376" s="41"/>
      <c r="E376" s="93"/>
      <c r="F376" s="93"/>
      <c r="G376" s="93"/>
      <c r="H376" s="38"/>
      <c r="I376" s="2"/>
      <c r="J376" s="41"/>
      <c r="K376" s="38"/>
      <c r="L376" s="41"/>
      <c r="M376" s="41"/>
      <c r="N376" s="42"/>
      <c r="O376" s="80"/>
      <c r="P376" s="80"/>
      <c r="Q376" s="87"/>
      <c r="R376" s="87"/>
      <c r="S376" s="87"/>
      <c r="T376" s="108"/>
      <c r="U376" s="87"/>
      <c r="V376" s="108"/>
      <c r="W376" s="87"/>
      <c r="X376" s="87"/>
      <c r="AH376" s="3" t="str">
        <f>IF(COUNTIF(AB:AB,Z376)*COUNTIF(AD:AD,Z376)*COUNTIF(AF:AF,Z376),Z376,"")</f>
        <v/>
      </c>
      <c r="AI376" s="3" t="str">
        <f t="shared" si="22"/>
        <v/>
      </c>
      <c r="AQ376" s="6" t="str">
        <f t="shared" si="23"/>
        <v/>
      </c>
    </row>
    <row r="377" spans="1:43" x14ac:dyDescent="0.25">
      <c r="A377" s="37"/>
      <c r="B377" s="38"/>
      <c r="C377" s="2"/>
      <c r="D377" s="41"/>
      <c r="E377" s="93"/>
      <c r="F377" s="93"/>
      <c r="G377" s="93"/>
      <c r="H377" s="38"/>
      <c r="I377" s="2"/>
      <c r="J377" s="41"/>
      <c r="K377" s="38"/>
      <c r="L377" s="41"/>
      <c r="M377" s="41"/>
      <c r="N377" s="42"/>
      <c r="O377" s="80"/>
      <c r="P377" s="80"/>
      <c r="Q377" s="87"/>
      <c r="R377" s="87"/>
      <c r="S377" s="87"/>
      <c r="T377" s="108"/>
      <c r="U377" s="87"/>
      <c r="V377" s="108"/>
      <c r="W377" s="87"/>
      <c r="X377" s="87"/>
      <c r="AH377" s="3" t="str">
        <f>IF(COUNTIF(AB:AB,Z377)*COUNTIF(AD:AD,Z377)*COUNTIF(AF:AF,Z377),Z377,"")</f>
        <v/>
      </c>
      <c r="AI377" s="3" t="str">
        <f t="shared" si="22"/>
        <v/>
      </c>
      <c r="AQ377" s="6" t="str">
        <f t="shared" si="23"/>
        <v/>
      </c>
    </row>
    <row r="378" spans="1:43" x14ac:dyDescent="0.25">
      <c r="A378" s="37"/>
      <c r="B378" s="38"/>
      <c r="C378" s="2"/>
      <c r="D378" s="41"/>
      <c r="E378" s="93"/>
      <c r="F378" s="93"/>
      <c r="G378" s="93"/>
      <c r="H378" s="38"/>
      <c r="I378" s="2"/>
      <c r="J378" s="41"/>
      <c r="K378" s="38"/>
      <c r="L378" s="41"/>
      <c r="M378" s="41"/>
      <c r="N378" s="42"/>
      <c r="O378" s="80"/>
      <c r="P378" s="80"/>
      <c r="Q378" s="87"/>
      <c r="R378" s="87"/>
      <c r="S378" s="87"/>
      <c r="T378" s="108"/>
      <c r="U378" s="87"/>
      <c r="V378" s="108"/>
      <c r="W378" s="87"/>
      <c r="X378" s="87"/>
      <c r="AH378" s="3" t="str">
        <f>IF(COUNTIF(AB:AB,Z378)*COUNTIF(AD:AD,Z378)*COUNTIF(AF:AF,Z378),Z378,"")</f>
        <v/>
      </c>
      <c r="AI378" s="3" t="str">
        <f t="shared" si="22"/>
        <v/>
      </c>
      <c r="AQ378" s="6" t="str">
        <f t="shared" si="23"/>
        <v/>
      </c>
    </row>
    <row r="379" spans="1:43" x14ac:dyDescent="0.25">
      <c r="A379" s="37"/>
      <c r="B379" s="38"/>
      <c r="C379" s="2"/>
      <c r="D379" s="41"/>
      <c r="E379" s="93"/>
      <c r="F379" s="93"/>
      <c r="G379" s="93"/>
      <c r="H379" s="38"/>
      <c r="I379" s="2"/>
      <c r="J379" s="41"/>
      <c r="K379" s="38"/>
      <c r="L379" s="41"/>
      <c r="M379" s="41"/>
      <c r="N379" s="42"/>
      <c r="O379" s="80"/>
      <c r="P379" s="80"/>
      <c r="Q379" s="87"/>
      <c r="R379" s="87"/>
      <c r="S379" s="87"/>
      <c r="T379" s="108"/>
      <c r="U379" s="87"/>
      <c r="V379" s="108"/>
      <c r="W379" s="87"/>
      <c r="X379" s="87"/>
      <c r="AH379" s="3" t="str">
        <f>IF(COUNTIF(AB:AB,Z379)*COUNTIF(AD:AD,Z379)*COUNTIF(AF:AF,Z379),Z379,"")</f>
        <v/>
      </c>
      <c r="AI379" s="3" t="str">
        <f t="shared" si="22"/>
        <v/>
      </c>
      <c r="AQ379" s="6" t="str">
        <f t="shared" si="23"/>
        <v/>
      </c>
    </row>
    <row r="380" spans="1:43" x14ac:dyDescent="0.25">
      <c r="A380" s="37"/>
      <c r="B380" s="38"/>
      <c r="C380" s="2"/>
      <c r="D380" s="41"/>
      <c r="E380" s="93"/>
      <c r="F380" s="93"/>
      <c r="G380" s="93"/>
      <c r="H380" s="38"/>
      <c r="I380" s="2"/>
      <c r="J380" s="41"/>
      <c r="K380" s="38"/>
      <c r="L380" s="41"/>
      <c r="M380" s="41"/>
      <c r="N380" s="42"/>
      <c r="O380" s="80"/>
      <c r="P380" s="80"/>
      <c r="Q380" s="87"/>
      <c r="R380" s="87"/>
      <c r="S380" s="87"/>
      <c r="T380" s="108"/>
      <c r="U380" s="87"/>
      <c r="V380" s="108"/>
      <c r="W380" s="87"/>
      <c r="X380" s="87"/>
      <c r="AH380" s="3" t="str">
        <f>IF(COUNTIF(AB:AB,Z380)*COUNTIF(AD:AD,Z380)*COUNTIF(AF:AF,Z380),Z380,"")</f>
        <v/>
      </c>
      <c r="AI380" s="3" t="str">
        <f t="shared" si="22"/>
        <v/>
      </c>
      <c r="AQ380" s="6" t="str">
        <f t="shared" si="23"/>
        <v/>
      </c>
    </row>
    <row r="381" spans="1:43" x14ac:dyDescent="0.25">
      <c r="A381" s="37"/>
      <c r="B381" s="38"/>
      <c r="C381" s="2"/>
      <c r="D381" s="41"/>
      <c r="E381" s="93"/>
      <c r="F381" s="93"/>
      <c r="G381" s="93"/>
      <c r="H381" s="38"/>
      <c r="I381" s="2"/>
      <c r="J381" s="41"/>
      <c r="K381" s="38"/>
      <c r="L381" s="41"/>
      <c r="M381" s="41"/>
      <c r="N381" s="42"/>
      <c r="O381" s="80"/>
      <c r="P381" s="80"/>
      <c r="Q381" s="87"/>
      <c r="R381" s="87"/>
      <c r="S381" s="87"/>
      <c r="T381" s="108"/>
      <c r="U381" s="87"/>
      <c r="V381" s="108"/>
      <c r="W381" s="87"/>
      <c r="X381" s="87"/>
      <c r="AH381" s="3" t="str">
        <f>IF(COUNTIF(AB:AB,Z381)*COUNTIF(AD:AD,Z381)*COUNTIF(AF:AF,Z381),Z381,"")</f>
        <v/>
      </c>
      <c r="AI381" s="3" t="str">
        <f t="shared" si="22"/>
        <v/>
      </c>
      <c r="AQ381" s="6" t="str">
        <f t="shared" si="23"/>
        <v/>
      </c>
    </row>
    <row r="382" spans="1:43" x14ac:dyDescent="0.25">
      <c r="A382" s="37"/>
      <c r="B382" s="38"/>
      <c r="C382" s="2"/>
      <c r="D382" s="41"/>
      <c r="E382" s="93"/>
      <c r="F382" s="93"/>
      <c r="G382" s="93"/>
      <c r="H382" s="38"/>
      <c r="I382" s="2"/>
      <c r="J382" s="41"/>
      <c r="K382" s="38"/>
      <c r="L382" s="41"/>
      <c r="M382" s="41"/>
      <c r="N382" s="42"/>
      <c r="O382" s="80"/>
      <c r="P382" s="80"/>
      <c r="Q382" s="87"/>
      <c r="R382" s="87"/>
      <c r="S382" s="87"/>
      <c r="T382" s="108"/>
      <c r="U382" s="87"/>
      <c r="V382" s="108"/>
      <c r="W382" s="87"/>
      <c r="X382" s="87"/>
      <c r="AH382" s="3" t="str">
        <f>IF(COUNTIF(AB:AB,Z382)*COUNTIF(AD:AD,Z382)*COUNTIF(AF:AF,Z382),Z382,"")</f>
        <v/>
      </c>
      <c r="AI382" s="3" t="str">
        <f t="shared" si="22"/>
        <v/>
      </c>
      <c r="AQ382" s="6" t="str">
        <f t="shared" si="23"/>
        <v/>
      </c>
    </row>
    <row r="383" spans="1:43" x14ac:dyDescent="0.25">
      <c r="A383" s="37"/>
      <c r="B383" s="38"/>
      <c r="C383" s="2"/>
      <c r="D383" s="41"/>
      <c r="E383" s="93"/>
      <c r="F383" s="93"/>
      <c r="G383" s="93"/>
      <c r="H383" s="38"/>
      <c r="I383" s="2"/>
      <c r="J383" s="41"/>
      <c r="K383" s="38"/>
      <c r="L383" s="41"/>
      <c r="M383" s="41"/>
      <c r="N383" s="42"/>
      <c r="O383" s="80"/>
      <c r="P383" s="80"/>
      <c r="Q383" s="87"/>
      <c r="R383" s="87"/>
      <c r="S383" s="87"/>
      <c r="T383" s="108"/>
      <c r="U383" s="87"/>
      <c r="V383" s="108"/>
      <c r="W383" s="87"/>
      <c r="X383" s="87"/>
      <c r="AH383" s="3" t="str">
        <f>IF(COUNTIF(AB:AB,Z383)*COUNTIF(AD:AD,Z383)*COUNTIF(AF:AF,Z383),Z383,"")</f>
        <v/>
      </c>
      <c r="AI383" s="3" t="str">
        <f t="shared" si="22"/>
        <v/>
      </c>
      <c r="AQ383" s="6" t="str">
        <f t="shared" si="23"/>
        <v/>
      </c>
    </row>
    <row r="384" spans="1:43" x14ac:dyDescent="0.25">
      <c r="A384" s="37"/>
      <c r="B384" s="38"/>
      <c r="C384" s="2"/>
      <c r="D384" s="41"/>
      <c r="E384" s="93"/>
      <c r="F384" s="93"/>
      <c r="G384" s="93"/>
      <c r="H384" s="38"/>
      <c r="I384" s="2"/>
      <c r="J384" s="41"/>
      <c r="K384" s="38"/>
      <c r="L384" s="41"/>
      <c r="M384" s="41"/>
      <c r="N384" s="42"/>
      <c r="O384" s="80"/>
      <c r="P384" s="80"/>
      <c r="Q384" s="87"/>
      <c r="R384" s="87"/>
      <c r="S384" s="87"/>
      <c r="T384" s="108"/>
      <c r="U384" s="87"/>
      <c r="V384" s="108"/>
      <c r="W384" s="87"/>
      <c r="X384" s="87"/>
      <c r="AH384" s="3" t="str">
        <f>IF(COUNTIF(AB:AB,Z384)*COUNTIF(AD:AD,Z384)*COUNTIF(AF:AF,Z384),Z384,"")</f>
        <v/>
      </c>
      <c r="AI384" s="3" t="str">
        <f t="shared" si="22"/>
        <v/>
      </c>
      <c r="AQ384" s="6" t="str">
        <f t="shared" si="23"/>
        <v/>
      </c>
    </row>
    <row r="385" spans="1:43" x14ac:dyDescent="0.25">
      <c r="A385" s="37"/>
      <c r="B385" s="38"/>
      <c r="C385" s="2"/>
      <c r="D385" s="41"/>
      <c r="E385" s="93"/>
      <c r="F385" s="93"/>
      <c r="G385" s="93"/>
      <c r="H385" s="38"/>
      <c r="I385" s="2"/>
      <c r="J385" s="41"/>
      <c r="K385" s="38"/>
      <c r="L385" s="41"/>
      <c r="M385" s="41"/>
      <c r="N385" s="42"/>
      <c r="O385" s="80"/>
      <c r="P385" s="80"/>
      <c r="Q385" s="87"/>
      <c r="R385" s="87"/>
      <c r="S385" s="87"/>
      <c r="T385" s="108"/>
      <c r="U385" s="87"/>
      <c r="V385" s="108"/>
      <c r="W385" s="87"/>
      <c r="X385" s="87"/>
      <c r="AH385" s="3" t="str">
        <f>IF(COUNTIF(AB:AB,Z385)*COUNTIF(AD:AD,Z385)*COUNTIF(AF:AF,Z385),Z385,"")</f>
        <v/>
      </c>
      <c r="AI385" s="3" t="str">
        <f t="shared" si="22"/>
        <v/>
      </c>
      <c r="AQ385" s="6" t="str">
        <f t="shared" si="23"/>
        <v/>
      </c>
    </row>
    <row r="386" spans="1:43" x14ac:dyDescent="0.25">
      <c r="A386" s="37"/>
      <c r="B386" s="38"/>
      <c r="C386" s="2"/>
      <c r="D386" s="41"/>
      <c r="E386" s="93"/>
      <c r="F386" s="93"/>
      <c r="G386" s="93"/>
      <c r="H386" s="38"/>
      <c r="I386" s="2"/>
      <c r="J386" s="41"/>
      <c r="K386" s="38"/>
      <c r="L386" s="41"/>
      <c r="M386" s="41"/>
      <c r="N386" s="42"/>
      <c r="O386" s="80"/>
      <c r="P386" s="80"/>
      <c r="Q386" s="87"/>
      <c r="R386" s="87"/>
      <c r="S386" s="87"/>
      <c r="T386" s="108"/>
      <c r="U386" s="87"/>
      <c r="V386" s="108"/>
      <c r="W386" s="87"/>
      <c r="X386" s="87"/>
      <c r="AH386" s="3" t="str">
        <f>IF(COUNTIF(AB:AB,Z386)*COUNTIF(AD:AD,Z386)*COUNTIF(AF:AF,Z386),Z386,"")</f>
        <v/>
      </c>
      <c r="AI386" s="3" t="str">
        <f t="shared" si="22"/>
        <v/>
      </c>
      <c r="AQ386" s="6" t="str">
        <f t="shared" si="23"/>
        <v/>
      </c>
    </row>
    <row r="387" spans="1:43" x14ac:dyDescent="0.25">
      <c r="A387" s="37"/>
      <c r="B387" s="38"/>
      <c r="C387" s="2"/>
      <c r="D387" s="41"/>
      <c r="E387" s="93"/>
      <c r="F387" s="93"/>
      <c r="G387" s="93"/>
      <c r="H387" s="38"/>
      <c r="I387" s="2"/>
      <c r="J387" s="41"/>
      <c r="K387" s="38"/>
      <c r="L387" s="41"/>
      <c r="M387" s="41"/>
      <c r="N387" s="42"/>
      <c r="O387" s="80"/>
      <c r="P387" s="80"/>
      <c r="Q387" s="87"/>
      <c r="R387" s="87"/>
      <c r="S387" s="87"/>
      <c r="T387" s="108"/>
      <c r="U387" s="87"/>
      <c r="V387" s="108"/>
      <c r="W387" s="87"/>
      <c r="X387" s="87"/>
      <c r="AH387" s="3" t="str">
        <f>IF(COUNTIF(AB:AB,Z387)*COUNTIF(AD:AD,Z387)*COUNTIF(AF:AF,Z387),Z387,"")</f>
        <v/>
      </c>
      <c r="AI387" s="3" t="str">
        <f t="shared" si="22"/>
        <v/>
      </c>
      <c r="AQ387" s="6" t="str">
        <f t="shared" si="23"/>
        <v/>
      </c>
    </row>
    <row r="388" spans="1:43" x14ac:dyDescent="0.25">
      <c r="A388" s="37"/>
      <c r="B388" s="38"/>
      <c r="C388" s="2"/>
      <c r="D388" s="41"/>
      <c r="E388" s="93"/>
      <c r="F388" s="93"/>
      <c r="G388" s="93"/>
      <c r="H388" s="38"/>
      <c r="I388" s="2"/>
      <c r="J388" s="41"/>
      <c r="K388" s="38"/>
      <c r="L388" s="41"/>
      <c r="M388" s="41"/>
      <c r="N388" s="42"/>
      <c r="O388" s="80"/>
      <c r="P388" s="80"/>
      <c r="Q388" s="87"/>
      <c r="R388" s="87"/>
      <c r="S388" s="87"/>
      <c r="T388" s="108"/>
      <c r="U388" s="87"/>
      <c r="V388" s="108"/>
      <c r="W388" s="87"/>
      <c r="X388" s="87"/>
      <c r="AH388" s="3" t="str">
        <f>IF(COUNTIF(AB:AB,Z388)*COUNTIF(AD:AD,Z388)*COUNTIF(AF:AF,Z388),Z388,"")</f>
        <v/>
      </c>
      <c r="AI388" s="3" t="str">
        <f t="shared" ref="AI388:AI451" si="24">IF(AH388&gt;=$A$14,AH388,"")</f>
        <v/>
      </c>
      <c r="AQ388" s="6" t="str">
        <f t="shared" ref="AQ388:AQ421" si="25">IF(COUNTIF(AO:AO,AM388),AM388,"")</f>
        <v/>
      </c>
    </row>
    <row r="389" spans="1:43" x14ac:dyDescent="0.25">
      <c r="A389" s="37"/>
      <c r="B389" s="38"/>
      <c r="C389" s="2"/>
      <c r="D389" s="41"/>
      <c r="E389" s="93"/>
      <c r="F389" s="93"/>
      <c r="G389" s="93"/>
      <c r="H389" s="38"/>
      <c r="I389" s="2"/>
      <c r="J389" s="41"/>
      <c r="K389" s="38"/>
      <c r="L389" s="41"/>
      <c r="M389" s="41"/>
      <c r="N389" s="42"/>
      <c r="O389" s="80"/>
      <c r="P389" s="80"/>
      <c r="Q389" s="87"/>
      <c r="R389" s="87"/>
      <c r="S389" s="87"/>
      <c r="T389" s="108"/>
      <c r="U389" s="87"/>
      <c r="V389" s="108"/>
      <c r="W389" s="87"/>
      <c r="X389" s="87"/>
      <c r="AH389" s="3" t="str">
        <f>IF(COUNTIF(AB:AB,Z389)*COUNTIF(AD:AD,Z389)*COUNTIF(AF:AF,Z389),Z389,"")</f>
        <v/>
      </c>
      <c r="AI389" s="3" t="str">
        <f t="shared" si="24"/>
        <v/>
      </c>
      <c r="AQ389" s="6" t="str">
        <f t="shared" si="25"/>
        <v/>
      </c>
    </row>
    <row r="390" spans="1:43" x14ac:dyDescent="0.25">
      <c r="A390" s="37"/>
      <c r="B390" s="38"/>
      <c r="C390" s="2"/>
      <c r="D390" s="41"/>
      <c r="E390" s="93"/>
      <c r="F390" s="93"/>
      <c r="G390" s="93"/>
      <c r="H390" s="38"/>
      <c r="I390" s="2"/>
      <c r="J390" s="41"/>
      <c r="K390" s="38"/>
      <c r="L390" s="41"/>
      <c r="M390" s="41"/>
      <c r="N390" s="42"/>
      <c r="O390" s="80"/>
      <c r="P390" s="80"/>
      <c r="Q390" s="87"/>
      <c r="R390" s="87"/>
      <c r="S390" s="87"/>
      <c r="T390" s="108"/>
      <c r="U390" s="87"/>
      <c r="V390" s="108"/>
      <c r="W390" s="87"/>
      <c r="X390" s="87"/>
      <c r="AH390" s="3" t="str">
        <f>IF(COUNTIF(AB:AB,Z390)*COUNTIF(AD:AD,Z390)*COUNTIF(AF:AF,Z390),Z390,"")</f>
        <v/>
      </c>
      <c r="AI390" s="3" t="str">
        <f t="shared" si="24"/>
        <v/>
      </c>
      <c r="AQ390" s="6" t="str">
        <f t="shared" si="25"/>
        <v/>
      </c>
    </row>
    <row r="391" spans="1:43" x14ac:dyDescent="0.25">
      <c r="A391" s="37"/>
      <c r="B391" s="38"/>
      <c r="C391" s="2"/>
      <c r="D391" s="41"/>
      <c r="E391" s="93"/>
      <c r="F391" s="93"/>
      <c r="G391" s="93"/>
      <c r="H391" s="38"/>
      <c r="I391" s="2"/>
      <c r="J391" s="41"/>
      <c r="K391" s="38"/>
      <c r="L391" s="41"/>
      <c r="M391" s="41"/>
      <c r="N391" s="42"/>
      <c r="O391" s="80"/>
      <c r="P391" s="80"/>
      <c r="Q391" s="87"/>
      <c r="R391" s="87"/>
      <c r="S391" s="87"/>
      <c r="T391" s="108"/>
      <c r="U391" s="87"/>
      <c r="V391" s="108"/>
      <c r="W391" s="87"/>
      <c r="X391" s="87"/>
      <c r="AH391" s="3" t="str">
        <f>IF(COUNTIF(AB:AB,Z391)*COUNTIF(AD:AD,Z391)*COUNTIF(AF:AF,Z391),Z391,"")</f>
        <v/>
      </c>
      <c r="AI391" s="3" t="str">
        <f t="shared" si="24"/>
        <v/>
      </c>
      <c r="AQ391" s="6" t="str">
        <f t="shared" si="25"/>
        <v/>
      </c>
    </row>
    <row r="392" spans="1:43" x14ac:dyDescent="0.25">
      <c r="A392" s="37"/>
      <c r="B392" s="38"/>
      <c r="C392" s="2"/>
      <c r="D392" s="41"/>
      <c r="E392" s="93"/>
      <c r="F392" s="93"/>
      <c r="G392" s="93"/>
      <c r="H392" s="38"/>
      <c r="I392" s="2"/>
      <c r="J392" s="41"/>
      <c r="K392" s="38"/>
      <c r="L392" s="41"/>
      <c r="M392" s="41"/>
      <c r="N392" s="42"/>
      <c r="O392" s="80"/>
      <c r="P392" s="80"/>
      <c r="Q392" s="87"/>
      <c r="R392" s="87"/>
      <c r="S392" s="87"/>
      <c r="T392" s="108"/>
      <c r="U392" s="87"/>
      <c r="V392" s="108"/>
      <c r="W392" s="87"/>
      <c r="X392" s="87"/>
      <c r="AH392" s="3" t="str">
        <f>IF(COUNTIF(AB:AB,Z392)*COUNTIF(AD:AD,Z392)*COUNTIF(AF:AF,Z392),Z392,"")</f>
        <v/>
      </c>
      <c r="AI392" s="3" t="str">
        <f t="shared" si="24"/>
        <v/>
      </c>
      <c r="AQ392" s="6" t="str">
        <f t="shared" si="25"/>
        <v/>
      </c>
    </row>
    <row r="393" spans="1:43" x14ac:dyDescent="0.25">
      <c r="A393" s="37"/>
      <c r="B393" s="38"/>
      <c r="C393" s="2"/>
      <c r="D393" s="41"/>
      <c r="E393" s="93"/>
      <c r="F393" s="93"/>
      <c r="G393" s="93"/>
      <c r="H393" s="38"/>
      <c r="I393" s="2"/>
      <c r="J393" s="41"/>
      <c r="K393" s="38"/>
      <c r="L393" s="41"/>
      <c r="M393" s="41"/>
      <c r="N393" s="42"/>
      <c r="O393" s="80"/>
      <c r="P393" s="80"/>
      <c r="Q393" s="87"/>
      <c r="R393" s="87"/>
      <c r="S393" s="87"/>
      <c r="T393" s="108"/>
      <c r="U393" s="87"/>
      <c r="V393" s="108"/>
      <c r="W393" s="87"/>
      <c r="X393" s="87"/>
      <c r="AH393" s="3" t="str">
        <f>IF(COUNTIF(AB:AB,Z393)*COUNTIF(AD:AD,Z393)*COUNTIF(AF:AF,Z393),Z393,"")</f>
        <v/>
      </c>
      <c r="AI393" s="3" t="str">
        <f t="shared" si="24"/>
        <v/>
      </c>
      <c r="AQ393" s="6" t="str">
        <f t="shared" si="25"/>
        <v/>
      </c>
    </row>
    <row r="394" spans="1:43" x14ac:dyDescent="0.25">
      <c r="A394" s="37"/>
      <c r="B394" s="38"/>
      <c r="C394" s="2"/>
      <c r="D394" s="41"/>
      <c r="E394" s="93"/>
      <c r="F394" s="93"/>
      <c r="G394" s="93"/>
      <c r="H394" s="38"/>
      <c r="I394" s="2"/>
      <c r="J394" s="41"/>
      <c r="K394" s="38"/>
      <c r="L394" s="41"/>
      <c r="M394" s="41"/>
      <c r="N394" s="42"/>
      <c r="O394" s="80"/>
      <c r="P394" s="80"/>
      <c r="Q394" s="87"/>
      <c r="R394" s="87"/>
      <c r="S394" s="87"/>
      <c r="T394" s="108"/>
      <c r="U394" s="87"/>
      <c r="V394" s="108"/>
      <c r="W394" s="87"/>
      <c r="X394" s="87"/>
      <c r="AH394" s="3" t="str">
        <f>IF(COUNTIF(AB:AB,Z394)*COUNTIF(AD:AD,Z394)*COUNTIF(AF:AF,Z394),Z394,"")</f>
        <v/>
      </c>
      <c r="AI394" s="3" t="str">
        <f t="shared" si="24"/>
        <v/>
      </c>
      <c r="AQ394" s="6" t="str">
        <f t="shared" si="25"/>
        <v/>
      </c>
    </row>
    <row r="395" spans="1:43" x14ac:dyDescent="0.25">
      <c r="A395" s="37"/>
      <c r="B395" s="38"/>
      <c r="C395" s="2"/>
      <c r="D395" s="41"/>
      <c r="E395" s="93"/>
      <c r="F395" s="93"/>
      <c r="G395" s="93"/>
      <c r="H395" s="38"/>
      <c r="I395" s="2"/>
      <c r="J395" s="41"/>
      <c r="K395" s="38"/>
      <c r="L395" s="41"/>
      <c r="M395" s="41"/>
      <c r="N395" s="42"/>
      <c r="O395" s="80"/>
      <c r="P395" s="80"/>
      <c r="Q395" s="87"/>
      <c r="R395" s="87"/>
      <c r="S395" s="87"/>
      <c r="T395" s="108"/>
      <c r="U395" s="87"/>
      <c r="V395" s="108"/>
      <c r="W395" s="87"/>
      <c r="X395" s="87"/>
      <c r="AH395" s="3" t="str">
        <f>IF(COUNTIF(AB:AB,Z395)*COUNTIF(AD:AD,Z395)*COUNTIF(AF:AF,Z395),Z395,"")</f>
        <v/>
      </c>
      <c r="AI395" s="3" t="str">
        <f t="shared" si="24"/>
        <v/>
      </c>
      <c r="AQ395" s="6" t="str">
        <f t="shared" si="25"/>
        <v/>
      </c>
    </row>
    <row r="396" spans="1:43" x14ac:dyDescent="0.25">
      <c r="A396" s="37"/>
      <c r="B396" s="38"/>
      <c r="C396" s="2"/>
      <c r="D396" s="41"/>
      <c r="E396" s="93"/>
      <c r="F396" s="93"/>
      <c r="G396" s="93"/>
      <c r="H396" s="38"/>
      <c r="I396" s="2"/>
      <c r="J396" s="41"/>
      <c r="K396" s="38"/>
      <c r="L396" s="41"/>
      <c r="M396" s="41"/>
      <c r="N396" s="42"/>
      <c r="O396" s="80"/>
      <c r="P396" s="80"/>
      <c r="Q396" s="87"/>
      <c r="R396" s="87"/>
      <c r="S396" s="87"/>
      <c r="T396" s="108"/>
      <c r="U396" s="87"/>
      <c r="V396" s="108"/>
      <c r="W396" s="87"/>
      <c r="X396" s="87"/>
      <c r="AH396" s="3" t="str">
        <f>IF(COUNTIF(AB:AB,Z396)*COUNTIF(AD:AD,Z396)*COUNTIF(AF:AF,Z396),Z396,"")</f>
        <v/>
      </c>
      <c r="AI396" s="3" t="str">
        <f t="shared" si="24"/>
        <v/>
      </c>
      <c r="AQ396" s="6" t="str">
        <f t="shared" si="25"/>
        <v/>
      </c>
    </row>
    <row r="397" spans="1:43" x14ac:dyDescent="0.25">
      <c r="A397" s="37"/>
      <c r="B397" s="38"/>
      <c r="C397" s="2"/>
      <c r="D397" s="41"/>
      <c r="E397" s="93"/>
      <c r="F397" s="93"/>
      <c r="G397" s="93"/>
      <c r="H397" s="38"/>
      <c r="I397" s="2"/>
      <c r="J397" s="41"/>
      <c r="K397" s="38"/>
      <c r="L397" s="41"/>
      <c r="M397" s="41"/>
      <c r="N397" s="42"/>
      <c r="O397" s="80"/>
      <c r="P397" s="80"/>
      <c r="Q397" s="87"/>
      <c r="R397" s="87"/>
      <c r="S397" s="87"/>
      <c r="T397" s="108"/>
      <c r="U397" s="87"/>
      <c r="V397" s="108"/>
      <c r="W397" s="87"/>
      <c r="X397" s="87"/>
      <c r="AH397" s="3" t="str">
        <f>IF(COUNTIF(AB:AB,Z397)*COUNTIF(AD:AD,Z397)*COUNTIF(AF:AF,Z397),Z397,"")</f>
        <v/>
      </c>
      <c r="AI397" s="3" t="str">
        <f t="shared" si="24"/>
        <v/>
      </c>
      <c r="AQ397" s="6" t="str">
        <f t="shared" si="25"/>
        <v/>
      </c>
    </row>
    <row r="398" spans="1:43" x14ac:dyDescent="0.25">
      <c r="A398" s="37"/>
      <c r="B398" s="38"/>
      <c r="C398" s="2"/>
      <c r="D398" s="41"/>
      <c r="E398" s="93"/>
      <c r="F398" s="93"/>
      <c r="G398" s="93"/>
      <c r="H398" s="38"/>
      <c r="I398" s="2"/>
      <c r="J398" s="41"/>
      <c r="K398" s="38"/>
      <c r="L398" s="41"/>
      <c r="M398" s="41"/>
      <c r="N398" s="42"/>
      <c r="O398" s="80"/>
      <c r="P398" s="80"/>
      <c r="Q398" s="87"/>
      <c r="R398" s="87"/>
      <c r="S398" s="87"/>
      <c r="T398" s="108"/>
      <c r="U398" s="87"/>
      <c r="V398" s="108"/>
      <c r="W398" s="87"/>
      <c r="X398" s="87"/>
      <c r="AH398" s="3" t="str">
        <f>IF(COUNTIF(AB:AB,Z398)*COUNTIF(AD:AD,Z398)*COUNTIF(AF:AF,Z398),Z398,"")</f>
        <v/>
      </c>
      <c r="AI398" s="3" t="str">
        <f t="shared" si="24"/>
        <v/>
      </c>
      <c r="AQ398" s="6" t="str">
        <f t="shared" si="25"/>
        <v/>
      </c>
    </row>
    <row r="399" spans="1:43" x14ac:dyDescent="0.25">
      <c r="A399" s="37"/>
      <c r="B399" s="38"/>
      <c r="C399" s="2"/>
      <c r="D399" s="41"/>
      <c r="E399" s="93"/>
      <c r="F399" s="93"/>
      <c r="G399" s="93"/>
      <c r="H399" s="38"/>
      <c r="I399" s="2"/>
      <c r="J399" s="41"/>
      <c r="K399" s="38"/>
      <c r="L399" s="41"/>
      <c r="M399" s="41"/>
      <c r="N399" s="42"/>
      <c r="O399" s="80"/>
      <c r="P399" s="80"/>
      <c r="Q399" s="87"/>
      <c r="R399" s="87"/>
      <c r="S399" s="87"/>
      <c r="T399" s="108"/>
      <c r="U399" s="87"/>
      <c r="V399" s="108"/>
      <c r="W399" s="87"/>
      <c r="X399" s="87"/>
      <c r="AH399" s="3" t="str">
        <f>IF(COUNTIF(AB:AB,Z399)*COUNTIF(AD:AD,Z399)*COUNTIF(AF:AF,Z399),Z399,"")</f>
        <v/>
      </c>
      <c r="AI399" s="3" t="str">
        <f t="shared" si="24"/>
        <v/>
      </c>
      <c r="AQ399" s="6" t="str">
        <f t="shared" si="25"/>
        <v/>
      </c>
    </row>
    <row r="400" spans="1:43" x14ac:dyDescent="0.25">
      <c r="A400" s="37"/>
      <c r="B400" s="38"/>
      <c r="C400" s="2"/>
      <c r="D400" s="41"/>
      <c r="E400" s="93"/>
      <c r="F400" s="93"/>
      <c r="G400" s="93"/>
      <c r="H400" s="38"/>
      <c r="I400" s="2"/>
      <c r="J400" s="41"/>
      <c r="K400" s="38"/>
      <c r="L400" s="41"/>
      <c r="M400" s="41"/>
      <c r="N400" s="42"/>
      <c r="O400" s="80"/>
      <c r="P400" s="80"/>
      <c r="Q400" s="87"/>
      <c r="R400" s="87"/>
      <c r="S400" s="87"/>
      <c r="T400" s="108"/>
      <c r="U400" s="87"/>
      <c r="V400" s="108"/>
      <c r="W400" s="87"/>
      <c r="X400" s="87"/>
      <c r="AH400" s="3" t="str">
        <f>IF(COUNTIF(AB:AB,Z400)*COUNTIF(AD:AD,Z400)*COUNTIF(AF:AF,Z400),Z400,"")</f>
        <v/>
      </c>
      <c r="AI400" s="3" t="str">
        <f t="shared" si="24"/>
        <v/>
      </c>
      <c r="AQ400" s="6" t="str">
        <f t="shared" si="25"/>
        <v/>
      </c>
    </row>
    <row r="401" spans="1:43" x14ac:dyDescent="0.25">
      <c r="A401" s="37"/>
      <c r="B401" s="38"/>
      <c r="C401" s="2"/>
      <c r="D401" s="41"/>
      <c r="E401" s="93"/>
      <c r="F401" s="93"/>
      <c r="G401" s="93"/>
      <c r="H401" s="38"/>
      <c r="I401" s="2"/>
      <c r="J401" s="41"/>
      <c r="K401" s="38"/>
      <c r="L401" s="41"/>
      <c r="M401" s="41"/>
      <c r="N401" s="42"/>
      <c r="O401" s="80"/>
      <c r="P401" s="80"/>
      <c r="Q401" s="87"/>
      <c r="R401" s="87"/>
      <c r="S401" s="87"/>
      <c r="T401" s="108"/>
      <c r="U401" s="87"/>
      <c r="V401" s="108"/>
      <c r="W401" s="87"/>
      <c r="X401" s="87"/>
      <c r="AH401" s="3" t="str">
        <f>IF(COUNTIF(AB:AB,Z401)*COUNTIF(AD:AD,Z401)*COUNTIF(AF:AF,Z401),Z401,"")</f>
        <v/>
      </c>
      <c r="AI401" s="3" t="str">
        <f t="shared" si="24"/>
        <v/>
      </c>
      <c r="AQ401" s="6" t="str">
        <f t="shared" si="25"/>
        <v/>
      </c>
    </row>
    <row r="402" spans="1:43" x14ac:dyDescent="0.25">
      <c r="A402" s="37"/>
      <c r="B402" s="38"/>
      <c r="C402" s="2"/>
      <c r="D402" s="41"/>
      <c r="E402" s="93"/>
      <c r="F402" s="93"/>
      <c r="G402" s="93"/>
      <c r="H402" s="38"/>
      <c r="I402" s="2"/>
      <c r="J402" s="41"/>
      <c r="K402" s="38"/>
      <c r="L402" s="41"/>
      <c r="M402" s="41"/>
      <c r="N402" s="42"/>
      <c r="O402" s="80"/>
      <c r="P402" s="80"/>
      <c r="Q402" s="87"/>
      <c r="R402" s="87"/>
      <c r="S402" s="87"/>
      <c r="T402" s="108"/>
      <c r="U402" s="87"/>
      <c r="V402" s="108"/>
      <c r="W402" s="87"/>
      <c r="X402" s="87"/>
      <c r="AH402" s="3" t="str">
        <f>IF(COUNTIF(AB:AB,Z402)*COUNTIF(AD:AD,Z402)*COUNTIF(AF:AF,Z402),Z402,"")</f>
        <v/>
      </c>
      <c r="AI402" s="3" t="str">
        <f t="shared" si="24"/>
        <v/>
      </c>
      <c r="AQ402" s="6" t="str">
        <f t="shared" si="25"/>
        <v/>
      </c>
    </row>
    <row r="403" spans="1:43" x14ac:dyDescent="0.25">
      <c r="A403" s="37"/>
      <c r="B403" s="38"/>
      <c r="C403" s="2"/>
      <c r="D403" s="41"/>
      <c r="E403" s="93"/>
      <c r="F403" s="93"/>
      <c r="G403" s="93"/>
      <c r="H403" s="38"/>
      <c r="I403" s="2"/>
      <c r="J403" s="41"/>
      <c r="K403" s="38"/>
      <c r="L403" s="41"/>
      <c r="M403" s="41"/>
      <c r="N403" s="42"/>
      <c r="O403" s="80"/>
      <c r="P403" s="80"/>
      <c r="Q403" s="87"/>
      <c r="R403" s="87"/>
      <c r="S403" s="87"/>
      <c r="T403" s="108"/>
      <c r="U403" s="87"/>
      <c r="V403" s="108"/>
      <c r="W403" s="87"/>
      <c r="X403" s="87"/>
      <c r="AH403" s="3" t="str">
        <f>IF(COUNTIF(AB:AB,Z403)*COUNTIF(AD:AD,Z403)*COUNTIF(AF:AF,Z403),Z403,"")</f>
        <v/>
      </c>
      <c r="AI403" s="3" t="str">
        <f t="shared" si="24"/>
        <v/>
      </c>
      <c r="AQ403" s="6" t="str">
        <f t="shared" si="25"/>
        <v/>
      </c>
    </row>
    <row r="404" spans="1:43" x14ac:dyDescent="0.25">
      <c r="A404" s="37"/>
      <c r="B404" s="38"/>
      <c r="C404" s="2"/>
      <c r="D404" s="41"/>
      <c r="E404" s="93"/>
      <c r="F404" s="93"/>
      <c r="G404" s="93"/>
      <c r="H404" s="38"/>
      <c r="I404" s="2"/>
      <c r="J404" s="41"/>
      <c r="K404" s="38"/>
      <c r="L404" s="41"/>
      <c r="M404" s="41"/>
      <c r="N404" s="42"/>
      <c r="O404" s="80"/>
      <c r="P404" s="80"/>
      <c r="Q404" s="87"/>
      <c r="R404" s="87"/>
      <c r="S404" s="87"/>
      <c r="T404" s="108"/>
      <c r="U404" s="87"/>
      <c r="V404" s="108"/>
      <c r="W404" s="87"/>
      <c r="X404" s="87"/>
      <c r="AH404" s="3" t="str">
        <f>IF(COUNTIF(AB:AB,Z404)*COUNTIF(AD:AD,Z404)*COUNTIF(AF:AF,Z404),Z404,"")</f>
        <v/>
      </c>
      <c r="AI404" s="3" t="str">
        <f t="shared" si="24"/>
        <v/>
      </c>
      <c r="AQ404" s="6" t="str">
        <f t="shared" si="25"/>
        <v/>
      </c>
    </row>
    <row r="405" spans="1:43" x14ac:dyDescent="0.25">
      <c r="A405" s="37"/>
      <c r="B405" s="38"/>
      <c r="C405" s="2"/>
      <c r="D405" s="41"/>
      <c r="E405" s="93"/>
      <c r="F405" s="93"/>
      <c r="G405" s="93"/>
      <c r="H405" s="38"/>
      <c r="I405" s="2"/>
      <c r="J405" s="41"/>
      <c r="K405" s="38"/>
      <c r="L405" s="41"/>
      <c r="M405" s="41"/>
      <c r="N405" s="42"/>
      <c r="O405" s="80"/>
      <c r="P405" s="80"/>
      <c r="Q405" s="87"/>
      <c r="R405" s="87"/>
      <c r="S405" s="87"/>
      <c r="T405" s="108"/>
      <c r="U405" s="87"/>
      <c r="V405" s="108"/>
      <c r="W405" s="87"/>
      <c r="X405" s="87"/>
      <c r="AH405" s="3" t="str">
        <f>IF(COUNTIF(AB:AB,Z405)*COUNTIF(AD:AD,Z405)*COUNTIF(AF:AF,Z405),Z405,"")</f>
        <v/>
      </c>
      <c r="AI405" s="3" t="str">
        <f t="shared" si="24"/>
        <v/>
      </c>
      <c r="AQ405" s="6" t="str">
        <f t="shared" si="25"/>
        <v/>
      </c>
    </row>
    <row r="406" spans="1:43" x14ac:dyDescent="0.25">
      <c r="A406" s="37"/>
      <c r="B406" s="38"/>
      <c r="C406" s="2"/>
      <c r="D406" s="41"/>
      <c r="E406" s="93"/>
      <c r="F406" s="93"/>
      <c r="G406" s="93"/>
      <c r="H406" s="38"/>
      <c r="I406" s="2"/>
      <c r="J406" s="41"/>
      <c r="K406" s="38"/>
      <c r="L406" s="41"/>
      <c r="M406" s="41"/>
      <c r="N406" s="42"/>
      <c r="O406" s="80"/>
      <c r="P406" s="80"/>
      <c r="Q406" s="87"/>
      <c r="R406" s="87"/>
      <c r="S406" s="87"/>
      <c r="T406" s="108"/>
      <c r="U406" s="87"/>
      <c r="V406" s="108"/>
      <c r="W406" s="87"/>
      <c r="X406" s="87"/>
      <c r="AH406" s="3" t="str">
        <f>IF(COUNTIF(AB:AB,Z406)*COUNTIF(AD:AD,Z406)*COUNTIF(AF:AF,Z406),Z406,"")</f>
        <v/>
      </c>
      <c r="AI406" s="3" t="str">
        <f t="shared" si="24"/>
        <v/>
      </c>
      <c r="AQ406" s="6" t="str">
        <f t="shared" si="25"/>
        <v/>
      </c>
    </row>
    <row r="407" spans="1:43" x14ac:dyDescent="0.25">
      <c r="A407" s="37"/>
      <c r="B407" s="38"/>
      <c r="C407" s="2"/>
      <c r="D407" s="41"/>
      <c r="E407" s="93"/>
      <c r="F407" s="93"/>
      <c r="G407" s="93"/>
      <c r="H407" s="38"/>
      <c r="I407" s="2"/>
      <c r="J407" s="41"/>
      <c r="K407" s="38"/>
      <c r="L407" s="41"/>
      <c r="M407" s="41"/>
      <c r="N407" s="42"/>
      <c r="O407" s="80"/>
      <c r="P407" s="80"/>
      <c r="Q407" s="87"/>
      <c r="R407" s="87"/>
      <c r="S407" s="87"/>
      <c r="T407" s="108"/>
      <c r="U407" s="87"/>
      <c r="V407" s="108"/>
      <c r="W407" s="87"/>
      <c r="X407" s="87"/>
      <c r="AH407" s="3" t="str">
        <f>IF(COUNTIF(AB:AB,Z407)*COUNTIF(AD:AD,Z407)*COUNTIF(AF:AF,Z407),Z407,"")</f>
        <v/>
      </c>
      <c r="AI407" s="3" t="str">
        <f t="shared" si="24"/>
        <v/>
      </c>
      <c r="AQ407" s="6" t="str">
        <f t="shared" si="25"/>
        <v/>
      </c>
    </row>
    <row r="408" spans="1:43" x14ac:dyDescent="0.25">
      <c r="A408" s="37"/>
      <c r="B408" s="38"/>
      <c r="C408" s="2"/>
      <c r="D408" s="41"/>
      <c r="E408" s="93"/>
      <c r="F408" s="93"/>
      <c r="G408" s="93"/>
      <c r="H408" s="38"/>
      <c r="I408" s="2"/>
      <c r="J408" s="41"/>
      <c r="K408" s="38"/>
      <c r="L408" s="41"/>
      <c r="M408" s="41"/>
      <c r="N408" s="42"/>
      <c r="O408" s="80"/>
      <c r="P408" s="80"/>
      <c r="Q408" s="87"/>
      <c r="R408" s="87"/>
      <c r="S408" s="87"/>
      <c r="T408" s="108"/>
      <c r="U408" s="87"/>
      <c r="V408" s="108"/>
      <c r="W408" s="87"/>
      <c r="X408" s="87"/>
      <c r="AH408" s="3" t="str">
        <f>IF(COUNTIF(AB:AB,Z408)*COUNTIF(AD:AD,Z408)*COUNTIF(AF:AF,Z408),Z408,"")</f>
        <v/>
      </c>
      <c r="AI408" s="3" t="str">
        <f t="shared" si="24"/>
        <v/>
      </c>
      <c r="AQ408" s="6" t="str">
        <f t="shared" si="25"/>
        <v/>
      </c>
    </row>
    <row r="409" spans="1:43" x14ac:dyDescent="0.25">
      <c r="A409" s="37"/>
      <c r="B409" s="38"/>
      <c r="C409" s="2"/>
      <c r="D409" s="41"/>
      <c r="E409" s="93"/>
      <c r="F409" s="93"/>
      <c r="G409" s="93"/>
      <c r="H409" s="38"/>
      <c r="I409" s="2"/>
      <c r="J409" s="41"/>
      <c r="K409" s="38"/>
      <c r="L409" s="41"/>
      <c r="M409" s="41"/>
      <c r="N409" s="42"/>
      <c r="O409" s="80"/>
      <c r="P409" s="80"/>
      <c r="Q409" s="87"/>
      <c r="R409" s="87"/>
      <c r="S409" s="87"/>
      <c r="T409" s="108"/>
      <c r="U409" s="87"/>
      <c r="V409" s="108"/>
      <c r="W409" s="87"/>
      <c r="X409" s="87"/>
      <c r="AH409" s="3" t="str">
        <f>IF(COUNTIF(AB:AB,Z409)*COUNTIF(AD:AD,Z409)*COUNTIF(AF:AF,Z409),Z409,"")</f>
        <v/>
      </c>
      <c r="AI409" s="3" t="str">
        <f t="shared" si="24"/>
        <v/>
      </c>
      <c r="AQ409" s="6" t="str">
        <f t="shared" si="25"/>
        <v/>
      </c>
    </row>
    <row r="410" spans="1:43" x14ac:dyDescent="0.25">
      <c r="A410" s="37"/>
      <c r="B410" s="38"/>
      <c r="C410" s="2"/>
      <c r="D410" s="41"/>
      <c r="E410" s="93"/>
      <c r="F410" s="93"/>
      <c r="G410" s="93"/>
      <c r="H410" s="38"/>
      <c r="I410" s="2"/>
      <c r="J410" s="41"/>
      <c r="K410" s="38"/>
      <c r="L410" s="41"/>
      <c r="M410" s="41"/>
      <c r="N410" s="42"/>
      <c r="O410" s="80"/>
      <c r="P410" s="80"/>
      <c r="Q410" s="87"/>
      <c r="R410" s="87"/>
      <c r="S410" s="87"/>
      <c r="T410" s="108"/>
      <c r="U410" s="87"/>
      <c r="V410" s="108"/>
      <c r="W410" s="87"/>
      <c r="X410" s="87"/>
      <c r="AH410" s="3" t="str">
        <f>IF(COUNTIF(AB:AB,Z410)*COUNTIF(AD:AD,Z410)*COUNTIF(AF:AF,Z410),Z410,"")</f>
        <v/>
      </c>
      <c r="AI410" s="3" t="str">
        <f t="shared" si="24"/>
        <v/>
      </c>
      <c r="AQ410" s="6" t="str">
        <f t="shared" si="25"/>
        <v/>
      </c>
    </row>
    <row r="411" spans="1:43" x14ac:dyDescent="0.25">
      <c r="A411" s="37"/>
      <c r="B411" s="38"/>
      <c r="C411" s="2"/>
      <c r="D411" s="41"/>
      <c r="E411" s="93"/>
      <c r="F411" s="93"/>
      <c r="G411" s="93"/>
      <c r="H411" s="38"/>
      <c r="I411" s="2"/>
      <c r="J411" s="41"/>
      <c r="K411" s="38"/>
      <c r="L411" s="41"/>
      <c r="M411" s="41"/>
      <c r="N411" s="42"/>
      <c r="O411" s="80"/>
      <c r="P411" s="80"/>
      <c r="Q411" s="87"/>
      <c r="R411" s="87"/>
      <c r="S411" s="87"/>
      <c r="T411" s="108"/>
      <c r="U411" s="87"/>
      <c r="V411" s="108"/>
      <c r="W411" s="87"/>
      <c r="X411" s="87"/>
      <c r="AH411" s="3" t="str">
        <f>IF(COUNTIF(AB:AB,Z411)*COUNTIF(AD:AD,Z411)*COUNTIF(AF:AF,Z411),Z411,"")</f>
        <v/>
      </c>
      <c r="AI411" s="3" t="str">
        <f t="shared" si="24"/>
        <v/>
      </c>
      <c r="AQ411" s="6" t="str">
        <f t="shared" si="25"/>
        <v/>
      </c>
    </row>
    <row r="412" spans="1:43" x14ac:dyDescent="0.25">
      <c r="A412" s="37"/>
      <c r="B412" s="38"/>
      <c r="C412" s="2"/>
      <c r="D412" s="41"/>
      <c r="E412" s="93"/>
      <c r="F412" s="93"/>
      <c r="G412" s="93"/>
      <c r="H412" s="38"/>
      <c r="I412" s="2"/>
      <c r="J412" s="41"/>
      <c r="K412" s="38"/>
      <c r="L412" s="41"/>
      <c r="M412" s="41"/>
      <c r="N412" s="42"/>
      <c r="O412" s="80"/>
      <c r="P412" s="80"/>
      <c r="Q412" s="87"/>
      <c r="R412" s="87"/>
      <c r="S412" s="87"/>
      <c r="T412" s="108"/>
      <c r="U412" s="87"/>
      <c r="V412" s="108"/>
      <c r="W412" s="87"/>
      <c r="X412" s="87"/>
      <c r="AH412" s="3" t="str">
        <f>IF(COUNTIF(AB:AB,Z412)*COUNTIF(AD:AD,Z412)*COUNTIF(AF:AF,Z412),Z412,"")</f>
        <v/>
      </c>
      <c r="AI412" s="3" t="str">
        <f t="shared" si="24"/>
        <v/>
      </c>
      <c r="AQ412" s="6" t="str">
        <f t="shared" si="25"/>
        <v/>
      </c>
    </row>
    <row r="413" spans="1:43" x14ac:dyDescent="0.25">
      <c r="A413" s="37"/>
      <c r="B413" s="38"/>
      <c r="C413" s="2"/>
      <c r="D413" s="41"/>
      <c r="E413" s="93"/>
      <c r="F413" s="93"/>
      <c r="G413" s="93"/>
      <c r="H413" s="38"/>
      <c r="I413" s="2"/>
      <c r="J413" s="41"/>
      <c r="K413" s="38"/>
      <c r="L413" s="41"/>
      <c r="M413" s="41"/>
      <c r="N413" s="42"/>
      <c r="O413" s="80"/>
      <c r="P413" s="80"/>
      <c r="Q413" s="87"/>
      <c r="R413" s="87"/>
      <c r="S413" s="87"/>
      <c r="T413" s="108"/>
      <c r="U413" s="87"/>
      <c r="V413" s="108"/>
      <c r="W413" s="87"/>
      <c r="X413" s="87"/>
      <c r="AH413" s="3" t="str">
        <f>IF(COUNTIF(AB:AB,Z413)*COUNTIF(AD:AD,Z413)*COUNTIF(AF:AF,Z413),Z413,"")</f>
        <v/>
      </c>
      <c r="AI413" s="3" t="str">
        <f t="shared" si="24"/>
        <v/>
      </c>
      <c r="AQ413" s="6" t="str">
        <f t="shared" si="25"/>
        <v/>
      </c>
    </row>
    <row r="414" spans="1:43" x14ac:dyDescent="0.25">
      <c r="A414" s="37"/>
      <c r="B414" s="38"/>
      <c r="C414" s="2"/>
      <c r="D414" s="41"/>
      <c r="E414" s="93"/>
      <c r="F414" s="93"/>
      <c r="G414" s="93"/>
      <c r="H414" s="38"/>
      <c r="I414" s="2"/>
      <c r="J414" s="41"/>
      <c r="K414" s="38"/>
      <c r="L414" s="41"/>
      <c r="M414" s="41"/>
      <c r="N414" s="42"/>
      <c r="O414" s="80"/>
      <c r="P414" s="80"/>
      <c r="Q414" s="87"/>
      <c r="R414" s="87"/>
      <c r="S414" s="87"/>
      <c r="T414" s="108"/>
      <c r="U414" s="87"/>
      <c r="V414" s="108"/>
      <c r="W414" s="87"/>
      <c r="X414" s="87"/>
      <c r="AH414" s="3" t="str">
        <f>IF(COUNTIF(AB:AB,Z414)*COUNTIF(AD:AD,Z414)*COUNTIF(AF:AF,Z414),Z414,"")</f>
        <v/>
      </c>
      <c r="AI414" s="3" t="str">
        <f t="shared" si="24"/>
        <v/>
      </c>
      <c r="AQ414" s="6" t="str">
        <f t="shared" si="25"/>
        <v/>
      </c>
    </row>
    <row r="415" spans="1:43" x14ac:dyDescent="0.25">
      <c r="A415" s="37"/>
      <c r="B415" s="38"/>
      <c r="C415" s="2"/>
      <c r="D415" s="41"/>
      <c r="E415" s="93"/>
      <c r="F415" s="93"/>
      <c r="G415" s="93"/>
      <c r="H415" s="38"/>
      <c r="I415" s="2"/>
      <c r="J415" s="41"/>
      <c r="K415" s="38"/>
      <c r="L415" s="41"/>
      <c r="M415" s="41"/>
      <c r="N415" s="42"/>
      <c r="O415" s="80"/>
      <c r="P415" s="80"/>
      <c r="Q415" s="87"/>
      <c r="R415" s="87"/>
      <c r="S415" s="87"/>
      <c r="T415" s="108"/>
      <c r="U415" s="87"/>
      <c r="V415" s="108"/>
      <c r="W415" s="87"/>
      <c r="X415" s="87"/>
      <c r="AH415" s="3" t="str">
        <f>IF(COUNTIF(AB:AB,Z415)*COUNTIF(AD:AD,Z415)*COUNTIF(AF:AF,Z415),Z415,"")</f>
        <v/>
      </c>
      <c r="AI415" s="3" t="str">
        <f t="shared" si="24"/>
        <v/>
      </c>
      <c r="AQ415" s="6" t="str">
        <f t="shared" si="25"/>
        <v/>
      </c>
    </row>
    <row r="416" spans="1:43" x14ac:dyDescent="0.25">
      <c r="A416" s="37"/>
      <c r="B416" s="38"/>
      <c r="C416" s="2"/>
      <c r="D416" s="41"/>
      <c r="E416" s="93"/>
      <c r="F416" s="93"/>
      <c r="G416" s="93"/>
      <c r="H416" s="38"/>
      <c r="I416" s="2"/>
      <c r="J416" s="41"/>
      <c r="K416" s="38"/>
      <c r="L416" s="41"/>
      <c r="M416" s="41"/>
      <c r="N416" s="42"/>
      <c r="O416" s="80"/>
      <c r="P416" s="80"/>
      <c r="Q416" s="87"/>
      <c r="R416" s="87"/>
      <c r="S416" s="87"/>
      <c r="T416" s="108"/>
      <c r="U416" s="87"/>
      <c r="V416" s="108"/>
      <c r="W416" s="87"/>
      <c r="X416" s="87"/>
      <c r="AH416" s="3" t="str">
        <f>IF(COUNTIF(AB:AB,Z416)*COUNTIF(AD:AD,Z416)*COUNTIF(AF:AF,Z416),Z416,"")</f>
        <v/>
      </c>
      <c r="AI416" s="3" t="str">
        <f t="shared" si="24"/>
        <v/>
      </c>
      <c r="AQ416" s="6" t="str">
        <f t="shared" si="25"/>
        <v/>
      </c>
    </row>
    <row r="417" spans="1:43" x14ac:dyDescent="0.25">
      <c r="A417" s="37"/>
      <c r="B417" s="38"/>
      <c r="C417" s="2"/>
      <c r="D417" s="41"/>
      <c r="E417" s="93"/>
      <c r="F417" s="93"/>
      <c r="G417" s="93"/>
      <c r="H417" s="38"/>
      <c r="I417" s="2"/>
      <c r="J417" s="41"/>
      <c r="K417" s="38"/>
      <c r="L417" s="41"/>
      <c r="M417" s="41"/>
      <c r="N417" s="42"/>
      <c r="O417" s="80"/>
      <c r="P417" s="80"/>
      <c r="Q417" s="87"/>
      <c r="R417" s="87"/>
      <c r="S417" s="87"/>
      <c r="T417" s="108"/>
      <c r="U417" s="87"/>
      <c r="V417" s="108"/>
      <c r="W417" s="87"/>
      <c r="X417" s="87"/>
      <c r="AH417" s="3" t="str">
        <f>IF(COUNTIF(AB:AB,Z417)*COUNTIF(AD:AD,Z417)*COUNTIF(AF:AF,Z417),Z417,"")</f>
        <v/>
      </c>
      <c r="AI417" s="3" t="str">
        <f t="shared" si="24"/>
        <v/>
      </c>
      <c r="AQ417" s="6" t="str">
        <f t="shared" si="25"/>
        <v/>
      </c>
    </row>
    <row r="418" spans="1:43" x14ac:dyDescent="0.25">
      <c r="A418" s="37"/>
      <c r="B418" s="38"/>
      <c r="C418" s="2"/>
      <c r="D418" s="41"/>
      <c r="E418" s="93"/>
      <c r="F418" s="93"/>
      <c r="G418" s="93"/>
      <c r="H418" s="38"/>
      <c r="I418" s="2"/>
      <c r="J418" s="41"/>
      <c r="K418" s="38"/>
      <c r="L418" s="41"/>
      <c r="M418" s="41"/>
      <c r="N418" s="42"/>
      <c r="O418" s="80"/>
      <c r="P418" s="80"/>
      <c r="Q418" s="87"/>
      <c r="R418" s="87"/>
      <c r="S418" s="87"/>
      <c r="T418" s="108"/>
      <c r="U418" s="87"/>
      <c r="V418" s="108"/>
      <c r="W418" s="87"/>
      <c r="X418" s="87"/>
      <c r="AH418" s="3" t="str">
        <f>IF(COUNTIF(AB:AB,Z418)*COUNTIF(AD:AD,Z418)*COUNTIF(AF:AF,Z418),Z418,"")</f>
        <v/>
      </c>
      <c r="AI418" s="3" t="str">
        <f t="shared" si="24"/>
        <v/>
      </c>
      <c r="AQ418" s="6" t="str">
        <f t="shared" si="25"/>
        <v/>
      </c>
    </row>
    <row r="419" spans="1:43" x14ac:dyDescent="0.25">
      <c r="A419" s="37"/>
      <c r="B419" s="38"/>
      <c r="C419" s="2"/>
      <c r="D419" s="41"/>
      <c r="E419" s="93"/>
      <c r="F419" s="93"/>
      <c r="G419" s="93"/>
      <c r="H419" s="38"/>
      <c r="I419" s="2"/>
      <c r="J419" s="41"/>
      <c r="K419" s="38"/>
      <c r="L419" s="41"/>
      <c r="M419" s="41"/>
      <c r="N419" s="42"/>
      <c r="O419" s="80"/>
      <c r="P419" s="80"/>
      <c r="Q419" s="87"/>
      <c r="R419" s="87"/>
      <c r="S419" s="87"/>
      <c r="T419" s="108"/>
      <c r="U419" s="87"/>
      <c r="V419" s="108"/>
      <c r="W419" s="87"/>
      <c r="X419" s="87"/>
      <c r="AH419" s="3" t="str">
        <f>IF(COUNTIF(AB:AB,Z419)*COUNTIF(AD:AD,Z419)*COUNTIF(AF:AF,Z419),Z419,"")</f>
        <v/>
      </c>
      <c r="AI419" s="3" t="str">
        <f t="shared" si="24"/>
        <v/>
      </c>
      <c r="AQ419" s="6" t="str">
        <f t="shared" si="25"/>
        <v/>
      </c>
    </row>
    <row r="420" spans="1:43" x14ac:dyDescent="0.25">
      <c r="A420" s="37"/>
      <c r="B420" s="38"/>
      <c r="C420" s="2"/>
      <c r="D420" s="41"/>
      <c r="E420" s="93"/>
      <c r="F420" s="93"/>
      <c r="G420" s="93"/>
      <c r="H420" s="38"/>
      <c r="I420" s="2"/>
      <c r="J420" s="41"/>
      <c r="K420" s="38"/>
      <c r="L420" s="41"/>
      <c r="M420" s="41"/>
      <c r="N420" s="42"/>
      <c r="O420" s="80"/>
      <c r="P420" s="80"/>
      <c r="Q420" s="87"/>
      <c r="R420" s="87"/>
      <c r="S420" s="87"/>
      <c r="T420" s="108"/>
      <c r="U420" s="87"/>
      <c r="V420" s="108"/>
      <c r="W420" s="87"/>
      <c r="X420" s="87"/>
      <c r="AH420" s="3" t="str">
        <f>IF(COUNTIF(AB:AB,Z420)*COUNTIF(AD:AD,Z420)*COUNTIF(AF:AF,Z420),Z420,"")</f>
        <v/>
      </c>
      <c r="AI420" s="3" t="str">
        <f t="shared" si="24"/>
        <v/>
      </c>
      <c r="AQ420" s="6" t="str">
        <f t="shared" si="25"/>
        <v/>
      </c>
    </row>
    <row r="421" spans="1:43" x14ac:dyDescent="0.25">
      <c r="A421" s="37"/>
      <c r="B421" s="38"/>
      <c r="C421" s="2"/>
      <c r="D421" s="41"/>
      <c r="E421" s="93"/>
      <c r="F421" s="93"/>
      <c r="G421" s="93"/>
      <c r="H421" s="38"/>
      <c r="I421" s="2"/>
      <c r="J421" s="41"/>
      <c r="K421" s="38"/>
      <c r="L421" s="41"/>
      <c r="M421" s="41"/>
      <c r="N421" s="42"/>
      <c r="O421" s="80"/>
      <c r="P421" s="80"/>
      <c r="Q421" s="87"/>
      <c r="R421" s="87"/>
      <c r="S421" s="87"/>
      <c r="T421" s="108"/>
      <c r="U421" s="87"/>
      <c r="V421" s="108"/>
      <c r="W421" s="87"/>
      <c r="X421" s="87"/>
      <c r="AH421" s="3" t="str">
        <f>IF(COUNTIF(AB:AB,Z421)*COUNTIF(AD:AD,Z421)*COUNTIF(AF:AF,Z421),Z421,"")</f>
        <v/>
      </c>
      <c r="AI421" s="3" t="str">
        <f t="shared" si="24"/>
        <v/>
      </c>
      <c r="AQ421" s="6" t="str">
        <f t="shared" si="25"/>
        <v/>
      </c>
    </row>
    <row r="422" spans="1:43" x14ac:dyDescent="0.25">
      <c r="A422" s="37"/>
      <c r="B422" s="38"/>
      <c r="C422" s="2"/>
      <c r="D422" s="41"/>
      <c r="E422" s="93"/>
      <c r="F422" s="93"/>
      <c r="G422" s="93"/>
      <c r="H422" s="38"/>
      <c r="I422" s="2"/>
      <c r="J422" s="41"/>
      <c r="K422" s="38"/>
      <c r="L422" s="41"/>
      <c r="M422" s="41"/>
      <c r="N422" s="42"/>
      <c r="O422" s="80"/>
      <c r="P422" s="80"/>
      <c r="Q422" s="87"/>
      <c r="R422" s="87"/>
      <c r="S422" s="87"/>
      <c r="T422" s="108"/>
      <c r="U422" s="87"/>
      <c r="V422" s="108"/>
      <c r="W422" s="87"/>
      <c r="X422" s="87"/>
      <c r="AH422" s="3" t="str">
        <f>IF(COUNTIF(AB:AB,Z422)*COUNTIF(AD:AD,Z422)*COUNTIF(AF:AF,Z422),Z422,"")</f>
        <v/>
      </c>
      <c r="AI422" s="3" t="str">
        <f t="shared" si="24"/>
        <v/>
      </c>
    </row>
    <row r="423" spans="1:43" x14ac:dyDescent="0.25">
      <c r="A423" s="37"/>
      <c r="B423" s="38"/>
      <c r="C423" s="2"/>
      <c r="D423" s="41"/>
      <c r="E423" s="93"/>
      <c r="F423" s="93"/>
      <c r="G423" s="93"/>
      <c r="H423" s="38"/>
      <c r="I423" s="2"/>
      <c r="J423" s="41"/>
      <c r="K423" s="38"/>
      <c r="L423" s="41"/>
      <c r="M423" s="41"/>
      <c r="N423" s="42"/>
      <c r="O423" s="80"/>
      <c r="P423" s="80"/>
      <c r="Q423" s="87"/>
      <c r="R423" s="87"/>
      <c r="S423" s="87"/>
      <c r="T423" s="108"/>
      <c r="U423" s="87"/>
      <c r="V423" s="108"/>
      <c r="W423" s="87"/>
      <c r="X423" s="87"/>
      <c r="AH423" s="3" t="str">
        <f>IF(COUNTIF(AB:AB,Z423)*COUNTIF(AD:AD,Z423)*COUNTIF(AF:AF,Z423),Z423,"")</f>
        <v/>
      </c>
      <c r="AI423" s="3" t="str">
        <f t="shared" si="24"/>
        <v/>
      </c>
    </row>
    <row r="424" spans="1:43" x14ac:dyDescent="0.25">
      <c r="A424" s="37"/>
      <c r="B424" s="38"/>
      <c r="C424" s="2"/>
      <c r="D424" s="41"/>
      <c r="E424" s="93"/>
      <c r="F424" s="93"/>
      <c r="G424" s="93"/>
      <c r="H424" s="38"/>
      <c r="I424" s="2"/>
      <c r="J424" s="41"/>
      <c r="K424" s="38"/>
      <c r="L424" s="41"/>
      <c r="M424" s="41"/>
      <c r="N424" s="42"/>
      <c r="O424" s="80"/>
      <c r="P424" s="80"/>
      <c r="Q424" s="87"/>
      <c r="R424" s="87"/>
      <c r="S424" s="87"/>
      <c r="T424" s="108"/>
      <c r="U424" s="87"/>
      <c r="V424" s="108"/>
      <c r="W424" s="87"/>
      <c r="X424" s="87"/>
      <c r="AH424" s="3" t="str">
        <f>IF(COUNTIF(AB:AB,Z424)*COUNTIF(AD:AD,Z424)*COUNTIF(AF:AF,Z424),Z424,"")</f>
        <v/>
      </c>
      <c r="AI424" s="3" t="str">
        <f t="shared" si="24"/>
        <v/>
      </c>
    </row>
    <row r="425" spans="1:43" x14ac:dyDescent="0.25">
      <c r="A425" s="37"/>
      <c r="B425" s="38"/>
      <c r="C425" s="2"/>
      <c r="D425" s="41"/>
      <c r="E425" s="93"/>
      <c r="F425" s="93"/>
      <c r="G425" s="93"/>
      <c r="H425" s="38"/>
      <c r="I425" s="2"/>
      <c r="J425" s="41"/>
      <c r="K425" s="38"/>
      <c r="L425" s="41"/>
      <c r="M425" s="41"/>
      <c r="N425" s="42"/>
      <c r="O425" s="80"/>
      <c r="P425" s="80"/>
      <c r="Q425" s="87"/>
      <c r="R425" s="87"/>
      <c r="S425" s="87"/>
      <c r="T425" s="108"/>
      <c r="U425" s="87"/>
      <c r="V425" s="108"/>
      <c r="W425" s="87"/>
      <c r="X425" s="87"/>
      <c r="AH425" s="3" t="str">
        <f>IF(COUNTIF(AB:AB,Z425)*COUNTIF(AD:AD,Z425)*COUNTIF(AF:AF,Z425),Z425,"")</f>
        <v/>
      </c>
      <c r="AI425" s="3" t="str">
        <f t="shared" si="24"/>
        <v/>
      </c>
    </row>
    <row r="426" spans="1:43" x14ac:dyDescent="0.25">
      <c r="A426" s="37"/>
      <c r="B426" s="38"/>
      <c r="C426" s="2"/>
      <c r="D426" s="41"/>
      <c r="E426" s="93"/>
      <c r="F426" s="93"/>
      <c r="G426" s="93"/>
      <c r="H426" s="38"/>
      <c r="I426" s="2"/>
      <c r="J426" s="41"/>
      <c r="K426" s="38"/>
      <c r="L426" s="41"/>
      <c r="M426" s="41"/>
      <c r="N426" s="42"/>
      <c r="O426" s="80"/>
      <c r="P426" s="80"/>
      <c r="Q426" s="87"/>
      <c r="R426" s="87"/>
      <c r="S426" s="87"/>
      <c r="T426" s="108"/>
      <c r="U426" s="87"/>
      <c r="V426" s="108"/>
      <c r="W426" s="87"/>
      <c r="X426" s="87"/>
      <c r="AH426" s="3" t="str">
        <f>IF(COUNTIF(AB:AB,Z426)*COUNTIF(AD:AD,Z426)*COUNTIF(AF:AF,Z426),Z426,"")</f>
        <v/>
      </c>
      <c r="AI426" s="3" t="str">
        <f t="shared" si="24"/>
        <v/>
      </c>
    </row>
    <row r="427" spans="1:43" x14ac:dyDescent="0.25">
      <c r="A427" s="37"/>
      <c r="B427" s="38"/>
      <c r="C427" s="2"/>
      <c r="D427" s="41"/>
      <c r="E427" s="93"/>
      <c r="F427" s="93"/>
      <c r="G427" s="93"/>
      <c r="H427" s="38"/>
      <c r="I427" s="2"/>
      <c r="J427" s="41"/>
      <c r="K427" s="38"/>
      <c r="L427" s="41"/>
      <c r="M427" s="41"/>
      <c r="N427" s="42"/>
      <c r="O427" s="80"/>
      <c r="P427" s="80"/>
      <c r="Q427" s="87"/>
      <c r="R427" s="87"/>
      <c r="S427" s="87"/>
      <c r="T427" s="108"/>
      <c r="U427" s="87"/>
      <c r="V427" s="108"/>
      <c r="W427" s="87"/>
      <c r="X427" s="87"/>
      <c r="AH427" s="3" t="str">
        <f>IF(COUNTIF(AB:AB,Z427)*COUNTIF(AD:AD,Z427)*COUNTIF(AF:AF,Z427),Z427,"")</f>
        <v/>
      </c>
      <c r="AI427" s="3" t="str">
        <f t="shared" si="24"/>
        <v/>
      </c>
    </row>
    <row r="428" spans="1:43" x14ac:dyDescent="0.25">
      <c r="A428" s="37"/>
      <c r="B428" s="38"/>
      <c r="C428" s="2"/>
      <c r="D428" s="41"/>
      <c r="E428" s="93"/>
      <c r="F428" s="93"/>
      <c r="G428" s="93"/>
      <c r="H428" s="38"/>
      <c r="I428" s="2"/>
      <c r="J428" s="41"/>
      <c r="K428" s="38"/>
      <c r="L428" s="41"/>
      <c r="M428" s="41"/>
      <c r="N428" s="42"/>
      <c r="O428" s="80"/>
      <c r="P428" s="80"/>
      <c r="Q428" s="87"/>
      <c r="R428" s="87"/>
      <c r="S428" s="87"/>
      <c r="T428" s="108"/>
      <c r="U428" s="87"/>
      <c r="V428" s="108"/>
      <c r="W428" s="87"/>
      <c r="X428" s="87"/>
      <c r="AH428" s="3" t="str">
        <f>IF(COUNTIF(AB:AB,Z428)*COUNTIF(AD:AD,Z428)*COUNTIF(AF:AF,Z428),Z428,"")</f>
        <v/>
      </c>
      <c r="AI428" s="3" t="str">
        <f t="shared" si="24"/>
        <v/>
      </c>
    </row>
    <row r="429" spans="1:43" x14ac:dyDescent="0.25">
      <c r="A429" s="37"/>
      <c r="B429" s="38"/>
      <c r="C429" s="2"/>
      <c r="D429" s="41"/>
      <c r="E429" s="93"/>
      <c r="F429" s="93"/>
      <c r="G429" s="93"/>
      <c r="H429" s="38"/>
      <c r="I429" s="2"/>
      <c r="J429" s="41"/>
      <c r="K429" s="38"/>
      <c r="L429" s="41"/>
      <c r="M429" s="41"/>
      <c r="N429" s="42"/>
      <c r="O429" s="80"/>
      <c r="P429" s="80"/>
      <c r="Q429" s="87"/>
      <c r="R429" s="87"/>
      <c r="S429" s="87"/>
      <c r="T429" s="108"/>
      <c r="U429" s="87"/>
      <c r="V429" s="108"/>
      <c r="W429" s="87"/>
      <c r="X429" s="87"/>
      <c r="AH429" s="3" t="str">
        <f>IF(COUNTIF(AB:AB,Z429)*COUNTIF(AD:AD,Z429)*COUNTIF(AF:AF,Z429),Z429,"")</f>
        <v/>
      </c>
      <c r="AI429" s="3" t="str">
        <f t="shared" si="24"/>
        <v/>
      </c>
    </row>
    <row r="430" spans="1:43" x14ac:dyDescent="0.25">
      <c r="A430" s="37"/>
      <c r="B430" s="38"/>
      <c r="C430" s="2"/>
      <c r="D430" s="41"/>
      <c r="E430" s="93"/>
      <c r="F430" s="93"/>
      <c r="G430" s="93"/>
      <c r="H430" s="38"/>
      <c r="I430" s="2"/>
      <c r="J430" s="41"/>
      <c r="K430" s="38"/>
      <c r="L430" s="41"/>
      <c r="M430" s="41"/>
      <c r="N430" s="42"/>
      <c r="O430" s="80"/>
      <c r="P430" s="80"/>
      <c r="Q430" s="87"/>
      <c r="R430" s="87"/>
      <c r="S430" s="87"/>
      <c r="T430" s="108"/>
      <c r="U430" s="87"/>
      <c r="V430" s="108"/>
      <c r="W430" s="87"/>
      <c r="X430" s="87"/>
      <c r="AH430" s="3" t="str">
        <f>IF(COUNTIF(AB:AB,Z430)*COUNTIF(AD:AD,Z430)*COUNTIF(AF:AF,Z430),Z430,"")</f>
        <v/>
      </c>
      <c r="AI430" s="3" t="str">
        <f t="shared" si="24"/>
        <v/>
      </c>
    </row>
    <row r="431" spans="1:43" x14ac:dyDescent="0.25">
      <c r="A431" s="37"/>
      <c r="B431" s="38"/>
      <c r="C431" s="2"/>
      <c r="D431" s="41"/>
      <c r="E431" s="93"/>
      <c r="F431" s="93"/>
      <c r="G431" s="93"/>
      <c r="H431" s="38"/>
      <c r="I431" s="2"/>
      <c r="J431" s="41"/>
      <c r="K431" s="38"/>
      <c r="L431" s="41"/>
      <c r="M431" s="41"/>
      <c r="N431" s="42"/>
      <c r="O431" s="80"/>
      <c r="P431" s="80"/>
      <c r="Q431" s="87"/>
      <c r="R431" s="87"/>
      <c r="S431" s="87"/>
      <c r="T431" s="108"/>
      <c r="U431" s="87"/>
      <c r="V431" s="108"/>
      <c r="W431" s="87"/>
      <c r="X431" s="87"/>
      <c r="AH431" s="3" t="str">
        <f>IF(COUNTIF(AB:AB,Z431)*COUNTIF(AD:AD,Z431)*COUNTIF(AF:AF,Z431),Z431,"")</f>
        <v/>
      </c>
      <c r="AI431" s="3" t="str">
        <f t="shared" si="24"/>
        <v/>
      </c>
    </row>
    <row r="432" spans="1:43" x14ac:dyDescent="0.25">
      <c r="A432" s="37"/>
      <c r="B432" s="38"/>
      <c r="C432" s="2"/>
      <c r="D432" s="41"/>
      <c r="E432" s="93"/>
      <c r="F432" s="93"/>
      <c r="G432" s="93"/>
      <c r="H432" s="38"/>
      <c r="I432" s="2"/>
      <c r="J432" s="41"/>
      <c r="K432" s="38"/>
      <c r="L432" s="41"/>
      <c r="M432" s="41"/>
      <c r="N432" s="42"/>
      <c r="O432" s="80"/>
      <c r="P432" s="80"/>
      <c r="Q432" s="87"/>
      <c r="R432" s="87"/>
      <c r="S432" s="87"/>
      <c r="T432" s="108"/>
      <c r="U432" s="87"/>
      <c r="V432" s="108"/>
      <c r="W432" s="87"/>
      <c r="X432" s="87"/>
      <c r="AH432" s="3" t="str">
        <f>IF(COUNTIF(AB:AB,Z432)*COUNTIF(AD:AD,Z432)*COUNTIF(AF:AF,Z432),Z432,"")</f>
        <v/>
      </c>
      <c r="AI432" s="3" t="str">
        <f t="shared" si="24"/>
        <v/>
      </c>
    </row>
    <row r="433" spans="1:35" x14ac:dyDescent="0.25">
      <c r="A433" s="37"/>
      <c r="B433" s="38"/>
      <c r="C433" s="2"/>
      <c r="D433" s="41"/>
      <c r="E433" s="93"/>
      <c r="F433" s="93"/>
      <c r="G433" s="93"/>
      <c r="H433" s="38"/>
      <c r="I433" s="2"/>
      <c r="J433" s="41"/>
      <c r="K433" s="38"/>
      <c r="L433" s="41"/>
      <c r="M433" s="41"/>
      <c r="N433" s="42"/>
      <c r="O433" s="80"/>
      <c r="P433" s="80"/>
      <c r="Q433" s="87"/>
      <c r="R433" s="87"/>
      <c r="S433" s="87"/>
      <c r="T433" s="108"/>
      <c r="U433" s="87"/>
      <c r="V433" s="108"/>
      <c r="W433" s="87"/>
      <c r="X433" s="87"/>
      <c r="AH433" s="3" t="str">
        <f>IF(COUNTIF(AB:AB,Z433)*COUNTIF(AD:AD,Z433)*COUNTIF(AF:AF,Z433),Z433,"")</f>
        <v/>
      </c>
      <c r="AI433" s="3" t="str">
        <f t="shared" si="24"/>
        <v/>
      </c>
    </row>
    <row r="434" spans="1:35" x14ac:dyDescent="0.25">
      <c r="A434" s="37"/>
      <c r="B434" s="38"/>
      <c r="C434" s="2"/>
      <c r="D434" s="41"/>
      <c r="E434" s="93"/>
      <c r="F434" s="93"/>
      <c r="G434" s="93"/>
      <c r="H434" s="38"/>
      <c r="I434" s="2"/>
      <c r="J434" s="41"/>
      <c r="K434" s="38"/>
      <c r="L434" s="41"/>
      <c r="M434" s="41"/>
      <c r="N434" s="42"/>
      <c r="O434" s="80"/>
      <c r="P434" s="80"/>
      <c r="Q434" s="87"/>
      <c r="R434" s="87"/>
      <c r="S434" s="87"/>
      <c r="T434" s="108"/>
      <c r="U434" s="87"/>
      <c r="V434" s="108"/>
      <c r="W434" s="87"/>
      <c r="X434" s="87"/>
      <c r="AH434" s="3" t="str">
        <f>IF(COUNTIF(AB:AB,Z434)*COUNTIF(AD:AD,Z434)*COUNTIF(AF:AF,Z434),Z434,"")</f>
        <v/>
      </c>
      <c r="AI434" s="3" t="str">
        <f t="shared" si="24"/>
        <v/>
      </c>
    </row>
    <row r="435" spans="1:35" x14ac:dyDescent="0.25">
      <c r="A435" s="37"/>
      <c r="B435" s="38"/>
      <c r="C435" s="2"/>
      <c r="D435" s="41"/>
      <c r="E435" s="93"/>
      <c r="F435" s="93"/>
      <c r="G435" s="93"/>
      <c r="H435" s="38"/>
      <c r="I435" s="2"/>
      <c r="J435" s="41"/>
      <c r="K435" s="38"/>
      <c r="L435" s="41"/>
      <c r="M435" s="41"/>
      <c r="N435" s="42"/>
      <c r="O435" s="80"/>
      <c r="P435" s="80"/>
      <c r="Q435" s="87"/>
      <c r="R435" s="87"/>
      <c r="S435" s="87"/>
      <c r="T435" s="108"/>
      <c r="U435" s="87"/>
      <c r="V435" s="108"/>
      <c r="W435" s="87"/>
      <c r="X435" s="87"/>
      <c r="AH435" s="3" t="str">
        <f>IF(COUNTIF(AB:AB,Z435)*COUNTIF(AD:AD,Z435)*COUNTIF(AF:AF,Z435),Z435,"")</f>
        <v/>
      </c>
      <c r="AI435" s="3" t="str">
        <f t="shared" si="24"/>
        <v/>
      </c>
    </row>
    <row r="436" spans="1:35" x14ac:dyDescent="0.25">
      <c r="A436" s="37"/>
      <c r="B436" s="38"/>
      <c r="C436" s="2"/>
      <c r="D436" s="41"/>
      <c r="E436" s="93"/>
      <c r="F436" s="93"/>
      <c r="G436" s="93"/>
      <c r="H436" s="38"/>
      <c r="I436" s="2"/>
      <c r="J436" s="41"/>
      <c r="K436" s="38"/>
      <c r="L436" s="41"/>
      <c r="M436" s="41"/>
      <c r="N436" s="42"/>
      <c r="O436" s="80"/>
      <c r="P436" s="80"/>
      <c r="Q436" s="87"/>
      <c r="R436" s="87"/>
      <c r="S436" s="87"/>
      <c r="T436" s="108"/>
      <c r="U436" s="87"/>
      <c r="V436" s="108"/>
      <c r="W436" s="87"/>
      <c r="X436" s="87"/>
      <c r="AH436" s="3" t="str">
        <f>IF(COUNTIF(AB:AB,Z436)*COUNTIF(AD:AD,Z436)*COUNTIF(AF:AF,Z436),Z436,"")</f>
        <v/>
      </c>
      <c r="AI436" s="3" t="str">
        <f t="shared" si="24"/>
        <v/>
      </c>
    </row>
    <row r="437" spans="1:35" x14ac:dyDescent="0.25">
      <c r="A437" s="37"/>
      <c r="B437" s="38"/>
      <c r="C437" s="2"/>
      <c r="D437" s="41"/>
      <c r="E437" s="93"/>
      <c r="F437" s="93"/>
      <c r="G437" s="93"/>
      <c r="H437" s="38"/>
      <c r="I437" s="2"/>
      <c r="J437" s="41"/>
      <c r="K437" s="38"/>
      <c r="L437" s="41"/>
      <c r="M437" s="41"/>
      <c r="N437" s="42"/>
      <c r="O437" s="80"/>
      <c r="P437" s="80"/>
      <c r="Q437" s="87"/>
      <c r="R437" s="87"/>
      <c r="S437" s="87"/>
      <c r="T437" s="108"/>
      <c r="U437" s="87"/>
      <c r="V437" s="108"/>
      <c r="W437" s="87"/>
      <c r="X437" s="87"/>
      <c r="AH437" s="3" t="str">
        <f>IF(COUNTIF(AB:AB,Z437)*COUNTIF(AD:AD,Z437)*COUNTIF(AF:AF,Z437),Z437,"")</f>
        <v/>
      </c>
      <c r="AI437" s="3" t="str">
        <f t="shared" si="24"/>
        <v/>
      </c>
    </row>
    <row r="438" spans="1:35" x14ac:dyDescent="0.25">
      <c r="A438" s="37"/>
      <c r="B438" s="38"/>
      <c r="C438" s="2"/>
      <c r="D438" s="41"/>
      <c r="E438" s="93"/>
      <c r="F438" s="93"/>
      <c r="G438" s="93"/>
      <c r="H438" s="38"/>
      <c r="I438" s="2"/>
      <c r="J438" s="41"/>
      <c r="K438" s="38"/>
      <c r="L438" s="41"/>
      <c r="M438" s="41"/>
      <c r="N438" s="42"/>
      <c r="O438" s="80"/>
      <c r="P438" s="80"/>
      <c r="Q438" s="87"/>
      <c r="R438" s="87"/>
      <c r="S438" s="87"/>
      <c r="T438" s="108"/>
      <c r="U438" s="87"/>
      <c r="V438" s="108"/>
      <c r="W438" s="87"/>
      <c r="X438" s="87"/>
      <c r="AH438" s="3" t="str">
        <f>IF(COUNTIF(AB:AB,Z438)*COUNTIF(AD:AD,Z438)*COUNTIF(AF:AF,Z438),Z438,"")</f>
        <v/>
      </c>
      <c r="AI438" s="3" t="str">
        <f t="shared" si="24"/>
        <v/>
      </c>
    </row>
    <row r="439" spans="1:35" x14ac:dyDescent="0.25">
      <c r="A439" s="37"/>
      <c r="B439" s="38"/>
      <c r="C439" s="2"/>
      <c r="D439" s="41"/>
      <c r="E439" s="93"/>
      <c r="F439" s="93"/>
      <c r="G439" s="93"/>
      <c r="H439" s="38"/>
      <c r="I439" s="2"/>
      <c r="J439" s="41"/>
      <c r="K439" s="38"/>
      <c r="L439" s="41"/>
      <c r="M439" s="41"/>
      <c r="N439" s="42"/>
      <c r="O439" s="80"/>
      <c r="P439" s="80"/>
      <c r="Q439" s="87"/>
      <c r="R439" s="87"/>
      <c r="S439" s="87"/>
      <c r="T439" s="108"/>
      <c r="U439" s="87"/>
      <c r="V439" s="108"/>
      <c r="W439" s="87"/>
      <c r="X439" s="87"/>
      <c r="AH439" s="3" t="str">
        <f>IF(COUNTIF(AB:AB,Z439)*COUNTIF(AD:AD,Z439)*COUNTIF(AF:AF,Z439),Z439,"")</f>
        <v/>
      </c>
      <c r="AI439" s="3" t="str">
        <f t="shared" si="24"/>
        <v/>
      </c>
    </row>
    <row r="440" spans="1:35" x14ac:dyDescent="0.25">
      <c r="A440" s="37"/>
      <c r="B440" s="38"/>
      <c r="C440" s="2"/>
      <c r="D440" s="41"/>
      <c r="E440" s="93"/>
      <c r="F440" s="93"/>
      <c r="G440" s="93"/>
      <c r="H440" s="38"/>
      <c r="I440" s="2"/>
      <c r="J440" s="41"/>
      <c r="K440" s="38"/>
      <c r="L440" s="41"/>
      <c r="M440" s="41"/>
      <c r="N440" s="42"/>
      <c r="O440" s="80"/>
      <c r="P440" s="80"/>
      <c r="Q440" s="87"/>
      <c r="R440" s="87"/>
      <c r="S440" s="87"/>
      <c r="T440" s="108"/>
      <c r="U440" s="87"/>
      <c r="V440" s="108"/>
      <c r="W440" s="87"/>
      <c r="X440" s="87"/>
      <c r="AH440" s="3" t="str">
        <f>IF(COUNTIF(AB:AB,Z440)*COUNTIF(AD:AD,Z440)*COUNTIF(AF:AF,Z440),Z440,"")</f>
        <v/>
      </c>
      <c r="AI440" s="3" t="str">
        <f t="shared" si="24"/>
        <v/>
      </c>
    </row>
    <row r="441" spans="1:35" x14ac:dyDescent="0.25">
      <c r="A441" s="37"/>
      <c r="B441" s="38"/>
      <c r="C441" s="2"/>
      <c r="D441" s="41"/>
      <c r="E441" s="93"/>
      <c r="F441" s="93"/>
      <c r="G441" s="93"/>
      <c r="H441" s="38"/>
      <c r="I441" s="2"/>
      <c r="J441" s="41"/>
      <c r="K441" s="38"/>
      <c r="L441" s="41"/>
      <c r="M441" s="41"/>
      <c r="N441" s="42"/>
      <c r="O441" s="80"/>
      <c r="P441" s="80"/>
      <c r="Q441" s="87"/>
      <c r="R441" s="87"/>
      <c r="S441" s="87"/>
      <c r="T441" s="108"/>
      <c r="U441" s="87"/>
      <c r="V441" s="108"/>
      <c r="W441" s="87"/>
      <c r="X441" s="87"/>
      <c r="AH441" s="3" t="str">
        <f>IF(COUNTIF(AB:AB,Z441)*COUNTIF(AD:AD,Z441)*COUNTIF(AF:AF,Z441),Z441,"")</f>
        <v/>
      </c>
      <c r="AI441" s="3" t="str">
        <f t="shared" si="24"/>
        <v/>
      </c>
    </row>
    <row r="442" spans="1:35" x14ac:dyDescent="0.25">
      <c r="A442" s="37"/>
      <c r="B442" s="38"/>
      <c r="C442" s="2"/>
      <c r="D442" s="41"/>
      <c r="E442" s="93"/>
      <c r="F442" s="93"/>
      <c r="G442" s="93"/>
      <c r="H442" s="38"/>
      <c r="I442" s="2"/>
      <c r="J442" s="41"/>
      <c r="K442" s="38"/>
      <c r="L442" s="41"/>
      <c r="M442" s="41"/>
      <c r="N442" s="42"/>
      <c r="O442" s="80"/>
      <c r="P442" s="80"/>
      <c r="Q442" s="87"/>
      <c r="R442" s="87"/>
      <c r="S442" s="87"/>
      <c r="T442" s="108"/>
      <c r="U442" s="87"/>
      <c r="V442" s="108"/>
      <c r="W442" s="87"/>
      <c r="X442" s="87"/>
      <c r="AH442" s="3" t="str">
        <f>IF(COUNTIF(AB:AB,Z442)*COUNTIF(AD:AD,Z442)*COUNTIF(AF:AF,Z442),Z442,"")</f>
        <v/>
      </c>
      <c r="AI442" s="3" t="str">
        <f t="shared" si="24"/>
        <v/>
      </c>
    </row>
    <row r="443" spans="1:35" x14ac:dyDescent="0.25">
      <c r="A443" s="37"/>
      <c r="B443" s="38"/>
      <c r="C443" s="2"/>
      <c r="D443" s="41"/>
      <c r="E443" s="93"/>
      <c r="F443" s="93"/>
      <c r="G443" s="93"/>
      <c r="H443" s="38"/>
      <c r="I443" s="2"/>
      <c r="J443" s="41"/>
      <c r="K443" s="38"/>
      <c r="L443" s="41"/>
      <c r="M443" s="41"/>
      <c r="N443" s="42"/>
      <c r="O443" s="80"/>
      <c r="P443" s="80"/>
      <c r="Q443" s="87"/>
      <c r="R443" s="87"/>
      <c r="S443" s="87"/>
      <c r="T443" s="108"/>
      <c r="U443" s="87"/>
      <c r="V443" s="108"/>
      <c r="W443" s="87"/>
      <c r="X443" s="87"/>
      <c r="AH443" s="3" t="str">
        <f>IF(COUNTIF(AB:AB,Z443)*COUNTIF(AD:AD,Z443)*COUNTIF(AF:AF,Z443),Z443,"")</f>
        <v/>
      </c>
      <c r="AI443" s="3" t="str">
        <f t="shared" si="24"/>
        <v/>
      </c>
    </row>
    <row r="444" spans="1:35" x14ac:dyDescent="0.25">
      <c r="A444" s="37"/>
      <c r="B444" s="38"/>
      <c r="C444" s="2"/>
      <c r="D444" s="41"/>
      <c r="E444" s="93"/>
      <c r="F444" s="93"/>
      <c r="G444" s="93"/>
      <c r="H444" s="38"/>
      <c r="I444" s="2"/>
      <c r="J444" s="41"/>
      <c r="K444" s="38"/>
      <c r="L444" s="41"/>
      <c r="M444" s="41"/>
      <c r="N444" s="42"/>
      <c r="O444" s="80"/>
      <c r="P444" s="80"/>
      <c r="Q444" s="87"/>
      <c r="R444" s="87"/>
      <c r="S444" s="87"/>
      <c r="T444" s="108"/>
      <c r="U444" s="87"/>
      <c r="V444" s="108"/>
      <c r="W444" s="87"/>
      <c r="X444" s="87"/>
      <c r="AH444" s="3" t="str">
        <f>IF(COUNTIF(AB:AB,Z444)*COUNTIF(AD:AD,Z444)*COUNTIF(AF:AF,Z444),Z444,"")</f>
        <v/>
      </c>
      <c r="AI444" s="3" t="str">
        <f t="shared" si="24"/>
        <v/>
      </c>
    </row>
    <row r="445" spans="1:35" x14ac:dyDescent="0.25">
      <c r="A445" s="37"/>
      <c r="B445" s="38"/>
      <c r="C445" s="2"/>
      <c r="D445" s="41"/>
      <c r="E445" s="93"/>
      <c r="F445" s="93"/>
      <c r="G445" s="93"/>
      <c r="H445" s="38"/>
      <c r="I445" s="2"/>
      <c r="J445" s="41"/>
      <c r="K445" s="38"/>
      <c r="L445" s="41"/>
      <c r="M445" s="41"/>
      <c r="N445" s="42"/>
      <c r="O445" s="80"/>
      <c r="P445" s="80"/>
      <c r="Q445" s="87"/>
      <c r="R445" s="87"/>
      <c r="S445" s="87"/>
      <c r="T445" s="108"/>
      <c r="U445" s="87"/>
      <c r="V445" s="108"/>
      <c r="W445" s="87"/>
      <c r="X445" s="87"/>
      <c r="AH445" s="3" t="str">
        <f>IF(COUNTIF(AB:AB,Z445)*COUNTIF(AD:AD,Z445)*COUNTIF(AF:AF,Z445),Z445,"")</f>
        <v/>
      </c>
      <c r="AI445" s="3" t="str">
        <f t="shared" si="24"/>
        <v/>
      </c>
    </row>
    <row r="446" spans="1:35" x14ac:dyDescent="0.25">
      <c r="A446" s="37"/>
      <c r="B446" s="38"/>
      <c r="C446" s="2"/>
      <c r="D446" s="41"/>
      <c r="E446" s="93"/>
      <c r="F446" s="93"/>
      <c r="G446" s="93"/>
      <c r="H446" s="38"/>
      <c r="I446" s="2"/>
      <c r="J446" s="41"/>
      <c r="K446" s="38"/>
      <c r="L446" s="41"/>
      <c r="M446" s="41"/>
      <c r="N446" s="42"/>
      <c r="O446" s="80"/>
      <c r="P446" s="80"/>
      <c r="Q446" s="87"/>
      <c r="R446" s="87"/>
      <c r="S446" s="87"/>
      <c r="T446" s="108"/>
      <c r="U446" s="87"/>
      <c r="V446" s="108"/>
      <c r="W446" s="87"/>
      <c r="X446" s="87"/>
      <c r="AH446" s="3" t="str">
        <f>IF(COUNTIF(AB:AB,Z446)*COUNTIF(AD:AD,Z446)*COUNTIF(AF:AF,Z446),Z446,"")</f>
        <v/>
      </c>
      <c r="AI446" s="3" t="str">
        <f t="shared" si="24"/>
        <v/>
      </c>
    </row>
    <row r="447" spans="1:35" x14ac:dyDescent="0.25">
      <c r="A447" s="37"/>
      <c r="B447" s="38"/>
      <c r="C447" s="2"/>
      <c r="D447" s="41"/>
      <c r="E447" s="93"/>
      <c r="F447" s="93"/>
      <c r="G447" s="93"/>
      <c r="H447" s="38"/>
      <c r="I447" s="2"/>
      <c r="J447" s="41"/>
      <c r="K447" s="38"/>
      <c r="L447" s="41"/>
      <c r="M447" s="41"/>
      <c r="N447" s="42"/>
      <c r="O447" s="80"/>
      <c r="P447" s="80"/>
      <c r="Q447" s="87"/>
      <c r="R447" s="87"/>
      <c r="S447" s="87"/>
      <c r="T447" s="108"/>
      <c r="U447" s="87"/>
      <c r="V447" s="108"/>
      <c r="W447" s="87"/>
      <c r="X447" s="87"/>
      <c r="AH447" s="3" t="str">
        <f>IF(COUNTIF(AB:AB,Z447)*COUNTIF(AD:AD,Z447)*COUNTIF(AF:AF,Z447),Z447,"")</f>
        <v/>
      </c>
      <c r="AI447" s="3" t="str">
        <f t="shared" si="24"/>
        <v/>
      </c>
    </row>
    <row r="448" spans="1:35" x14ac:dyDescent="0.25">
      <c r="A448" s="37"/>
      <c r="B448" s="38"/>
      <c r="C448" s="2"/>
      <c r="D448" s="41"/>
      <c r="E448" s="93"/>
      <c r="F448" s="93"/>
      <c r="G448" s="93"/>
      <c r="H448" s="38"/>
      <c r="I448" s="2"/>
      <c r="J448" s="41"/>
      <c r="K448" s="38"/>
      <c r="L448" s="41"/>
      <c r="M448" s="41"/>
      <c r="N448" s="42"/>
      <c r="O448" s="80"/>
      <c r="P448" s="80"/>
      <c r="Q448" s="87"/>
      <c r="R448" s="87"/>
      <c r="S448" s="87"/>
      <c r="T448" s="108"/>
      <c r="U448" s="87"/>
      <c r="V448" s="108"/>
      <c r="W448" s="87"/>
      <c r="X448" s="87"/>
      <c r="AH448" s="3" t="str">
        <f>IF(COUNTIF(AB:AB,Z448)*COUNTIF(AD:AD,Z448)*COUNTIF(AF:AF,Z448),Z448,"")</f>
        <v/>
      </c>
      <c r="AI448" s="3" t="str">
        <f t="shared" si="24"/>
        <v/>
      </c>
    </row>
    <row r="449" spans="1:35" x14ac:dyDescent="0.25">
      <c r="A449" s="37"/>
      <c r="B449" s="38"/>
      <c r="C449" s="2"/>
      <c r="D449" s="41"/>
      <c r="E449" s="93"/>
      <c r="F449" s="93"/>
      <c r="G449" s="93"/>
      <c r="H449" s="38"/>
      <c r="I449" s="2"/>
      <c r="J449" s="41"/>
      <c r="K449" s="38"/>
      <c r="L449" s="41"/>
      <c r="M449" s="41"/>
      <c r="N449" s="42"/>
      <c r="O449" s="80"/>
      <c r="P449" s="80"/>
      <c r="Q449" s="87"/>
      <c r="R449" s="87"/>
      <c r="S449" s="87"/>
      <c r="T449" s="108"/>
      <c r="U449" s="87"/>
      <c r="V449" s="108"/>
      <c r="W449" s="87"/>
      <c r="X449" s="87"/>
      <c r="AH449" s="3" t="str">
        <f>IF(COUNTIF(AB:AB,Z449)*COUNTIF(AD:AD,Z449)*COUNTIF(AF:AF,Z449),Z449,"")</f>
        <v/>
      </c>
      <c r="AI449" s="3" t="str">
        <f t="shared" si="24"/>
        <v/>
      </c>
    </row>
    <row r="450" spans="1:35" x14ac:dyDescent="0.25">
      <c r="A450" s="37"/>
      <c r="B450" s="38"/>
      <c r="C450" s="2"/>
      <c r="D450" s="41"/>
      <c r="E450" s="93"/>
      <c r="F450" s="93"/>
      <c r="G450" s="93"/>
      <c r="H450" s="38"/>
      <c r="I450" s="2"/>
      <c r="J450" s="41"/>
      <c r="K450" s="38"/>
      <c r="L450" s="41"/>
      <c r="M450" s="41"/>
      <c r="N450" s="42"/>
      <c r="O450" s="80"/>
      <c r="P450" s="80"/>
      <c r="Q450" s="87"/>
      <c r="R450" s="87"/>
      <c r="S450" s="87"/>
      <c r="T450" s="108"/>
      <c r="U450" s="87"/>
      <c r="V450" s="108"/>
      <c r="W450" s="87"/>
      <c r="X450" s="87"/>
      <c r="AH450" s="3" t="str">
        <f>IF(COUNTIF(AB:AB,Z450)*COUNTIF(AD:AD,Z450)*COUNTIF(AF:AF,Z450),Z450,"")</f>
        <v/>
      </c>
      <c r="AI450" s="3" t="str">
        <f t="shared" si="24"/>
        <v/>
      </c>
    </row>
    <row r="451" spans="1:35" x14ac:dyDescent="0.25">
      <c r="A451" s="37"/>
      <c r="B451" s="38"/>
      <c r="C451" s="2"/>
      <c r="D451" s="41"/>
      <c r="E451" s="93"/>
      <c r="F451" s="93"/>
      <c r="G451" s="93"/>
      <c r="H451" s="38"/>
      <c r="I451" s="2"/>
      <c r="J451" s="41"/>
      <c r="K451" s="38"/>
      <c r="L451" s="41"/>
      <c r="M451" s="41"/>
      <c r="N451" s="42"/>
      <c r="O451" s="80"/>
      <c r="P451" s="80"/>
      <c r="Q451" s="87"/>
      <c r="R451" s="87"/>
      <c r="S451" s="87"/>
      <c r="T451" s="108"/>
      <c r="U451" s="87"/>
      <c r="V451" s="108"/>
      <c r="W451" s="87"/>
      <c r="X451" s="87"/>
      <c r="AH451" s="3" t="str">
        <f>IF(COUNTIF(AB:AB,Z451)*COUNTIF(AD:AD,Z451)*COUNTIF(AF:AF,Z451),Z451,"")</f>
        <v/>
      </c>
      <c r="AI451" s="3" t="str">
        <f t="shared" si="24"/>
        <v/>
      </c>
    </row>
    <row r="452" spans="1:35" x14ac:dyDescent="0.25">
      <c r="A452" s="37"/>
      <c r="B452" s="38"/>
      <c r="C452" s="2"/>
      <c r="D452" s="41"/>
      <c r="E452" s="93"/>
      <c r="F452" s="93"/>
      <c r="G452" s="93"/>
      <c r="H452" s="38"/>
      <c r="I452" s="2"/>
      <c r="J452" s="41"/>
      <c r="K452" s="38"/>
      <c r="L452" s="41"/>
      <c r="M452" s="41"/>
      <c r="N452" s="42"/>
      <c r="O452" s="80"/>
      <c r="P452" s="80"/>
      <c r="Q452" s="87"/>
      <c r="R452" s="87"/>
      <c r="S452" s="87"/>
      <c r="T452" s="108"/>
      <c r="U452" s="87"/>
      <c r="V452" s="108"/>
      <c r="W452" s="87"/>
      <c r="X452" s="87"/>
      <c r="AH452" s="3" t="str">
        <f>IF(COUNTIF(AB:AB,Z452)*COUNTIF(AD:AD,Z452)*COUNTIF(AF:AF,Z452),Z452,"")</f>
        <v/>
      </c>
      <c r="AI452" s="3" t="str">
        <f t="shared" ref="AI452:AI515" si="26">IF(AH452&gt;=$A$14,AH452,"")</f>
        <v/>
      </c>
    </row>
    <row r="453" spans="1:35" x14ac:dyDescent="0.25">
      <c r="A453" s="37"/>
      <c r="B453" s="38"/>
      <c r="C453" s="2"/>
      <c r="D453" s="41"/>
      <c r="E453" s="93"/>
      <c r="F453" s="93"/>
      <c r="G453" s="93"/>
      <c r="H453" s="38"/>
      <c r="I453" s="2"/>
      <c r="J453" s="41"/>
      <c r="K453" s="38"/>
      <c r="L453" s="41"/>
      <c r="M453" s="41"/>
      <c r="N453" s="42"/>
      <c r="O453" s="80"/>
      <c r="P453" s="80"/>
      <c r="Q453" s="87"/>
      <c r="R453" s="87"/>
      <c r="S453" s="87"/>
      <c r="T453" s="108"/>
      <c r="U453" s="87"/>
      <c r="V453" s="108"/>
      <c r="W453" s="87"/>
      <c r="X453" s="87"/>
      <c r="AH453" s="3" t="str">
        <f>IF(COUNTIF(AB:AB,Z453)*COUNTIF(AD:AD,Z453)*COUNTIF(AF:AF,Z453),Z453,"")</f>
        <v/>
      </c>
      <c r="AI453" s="3" t="str">
        <f t="shared" si="26"/>
        <v/>
      </c>
    </row>
    <row r="454" spans="1:35" x14ac:dyDescent="0.25">
      <c r="A454" s="37"/>
      <c r="B454" s="38"/>
      <c r="C454" s="2"/>
      <c r="D454" s="41"/>
      <c r="E454" s="93"/>
      <c r="F454" s="93"/>
      <c r="G454" s="93"/>
      <c r="H454" s="38"/>
      <c r="I454" s="2"/>
      <c r="J454" s="41"/>
      <c r="K454" s="38"/>
      <c r="L454" s="41"/>
      <c r="M454" s="41"/>
      <c r="N454" s="42"/>
      <c r="O454" s="80"/>
      <c r="P454" s="80"/>
      <c r="Q454" s="87"/>
      <c r="R454" s="87"/>
      <c r="S454" s="87"/>
      <c r="T454" s="108"/>
      <c r="U454" s="87"/>
      <c r="V454" s="108"/>
      <c r="W454" s="87"/>
      <c r="X454" s="87"/>
      <c r="AH454" s="3" t="str">
        <f>IF(COUNTIF(AB:AB,Z454)*COUNTIF(AD:AD,Z454)*COUNTIF(AF:AF,Z454),Z454,"")</f>
        <v/>
      </c>
      <c r="AI454" s="3" t="str">
        <f t="shared" si="26"/>
        <v/>
      </c>
    </row>
    <row r="455" spans="1:35" x14ac:dyDescent="0.25">
      <c r="A455" s="37"/>
      <c r="B455" s="38"/>
      <c r="C455" s="2"/>
      <c r="D455" s="41"/>
      <c r="E455" s="93"/>
      <c r="F455" s="93"/>
      <c r="G455" s="93"/>
      <c r="H455" s="38"/>
      <c r="I455" s="2"/>
      <c r="J455" s="41"/>
      <c r="K455" s="38"/>
      <c r="L455" s="41"/>
      <c r="M455" s="41"/>
      <c r="N455" s="42"/>
      <c r="O455" s="80"/>
      <c r="P455" s="80"/>
      <c r="Q455" s="87"/>
      <c r="R455" s="87"/>
      <c r="S455" s="87"/>
      <c r="T455" s="108"/>
      <c r="U455" s="87"/>
      <c r="V455" s="108"/>
      <c r="W455" s="87"/>
      <c r="X455" s="87"/>
      <c r="AH455" s="3" t="str">
        <f>IF(COUNTIF(AB:AB,Z455)*COUNTIF(AD:AD,Z455)*COUNTIF(AF:AF,Z455),Z455,"")</f>
        <v/>
      </c>
      <c r="AI455" s="3" t="str">
        <f t="shared" si="26"/>
        <v/>
      </c>
    </row>
    <row r="456" spans="1:35" x14ac:dyDescent="0.25">
      <c r="A456" s="37"/>
      <c r="B456" s="38"/>
      <c r="C456" s="2"/>
      <c r="D456" s="41"/>
      <c r="E456" s="93"/>
      <c r="F456" s="93"/>
      <c r="G456" s="93"/>
      <c r="H456" s="38"/>
      <c r="I456" s="2"/>
      <c r="J456" s="41"/>
      <c r="K456" s="38"/>
      <c r="L456" s="41"/>
      <c r="M456" s="41"/>
      <c r="N456" s="42"/>
      <c r="O456" s="80"/>
      <c r="P456" s="80"/>
      <c r="Q456" s="87"/>
      <c r="R456" s="87"/>
      <c r="S456" s="87"/>
      <c r="T456" s="108"/>
      <c r="U456" s="87"/>
      <c r="V456" s="108"/>
      <c r="W456" s="87"/>
      <c r="X456" s="87"/>
      <c r="AH456" s="3" t="str">
        <f>IF(COUNTIF(AB:AB,Z456)*COUNTIF(AD:AD,Z456)*COUNTIF(AF:AF,Z456),Z456,"")</f>
        <v/>
      </c>
      <c r="AI456" s="3" t="str">
        <f t="shared" si="26"/>
        <v/>
      </c>
    </row>
    <row r="457" spans="1:35" x14ac:dyDescent="0.25">
      <c r="A457" s="37"/>
      <c r="B457" s="38"/>
      <c r="C457" s="2"/>
      <c r="D457" s="41"/>
      <c r="E457" s="93"/>
      <c r="F457" s="93"/>
      <c r="G457" s="93"/>
      <c r="H457" s="38"/>
      <c r="I457" s="2"/>
      <c r="J457" s="41"/>
      <c r="K457" s="38"/>
      <c r="L457" s="41"/>
      <c r="M457" s="41"/>
      <c r="N457" s="42"/>
      <c r="O457" s="80"/>
      <c r="P457" s="80"/>
      <c r="Q457" s="87"/>
      <c r="R457" s="87"/>
      <c r="S457" s="87"/>
      <c r="T457" s="108"/>
      <c r="U457" s="87"/>
      <c r="V457" s="108"/>
      <c r="W457" s="87"/>
      <c r="X457" s="87"/>
      <c r="AH457" s="3" t="str">
        <f>IF(COUNTIF(AB:AB,Z457)*COUNTIF(AD:AD,Z457)*COUNTIF(AF:AF,Z457),Z457,"")</f>
        <v/>
      </c>
      <c r="AI457" s="3" t="str">
        <f t="shared" si="26"/>
        <v/>
      </c>
    </row>
    <row r="458" spans="1:35" x14ac:dyDescent="0.25">
      <c r="A458" s="37"/>
      <c r="B458" s="38"/>
      <c r="C458" s="2"/>
      <c r="D458" s="41"/>
      <c r="E458" s="93"/>
      <c r="F458" s="93"/>
      <c r="G458" s="93"/>
      <c r="H458" s="38"/>
      <c r="I458" s="2"/>
      <c r="J458" s="41"/>
      <c r="K458" s="38"/>
      <c r="L458" s="41"/>
      <c r="M458" s="41"/>
      <c r="N458" s="42"/>
      <c r="O458" s="80"/>
      <c r="P458" s="80"/>
      <c r="Q458" s="87"/>
      <c r="R458" s="87"/>
      <c r="S458" s="87"/>
      <c r="T458" s="108"/>
      <c r="U458" s="87"/>
      <c r="V458" s="108"/>
      <c r="W458" s="87"/>
      <c r="X458" s="87"/>
      <c r="AH458" s="3" t="str">
        <f>IF(COUNTIF(AB:AB,Z458)*COUNTIF(AD:AD,Z458)*COUNTIF(AF:AF,Z458),Z458,"")</f>
        <v/>
      </c>
      <c r="AI458" s="3" t="str">
        <f t="shared" si="26"/>
        <v/>
      </c>
    </row>
    <row r="459" spans="1:35" x14ac:dyDescent="0.25">
      <c r="A459" s="37"/>
      <c r="B459" s="38"/>
      <c r="C459" s="2"/>
      <c r="D459" s="41"/>
      <c r="E459" s="93"/>
      <c r="F459" s="93"/>
      <c r="G459" s="93"/>
      <c r="H459" s="38"/>
      <c r="I459" s="2"/>
      <c r="J459" s="41"/>
      <c r="K459" s="38"/>
      <c r="L459" s="41"/>
      <c r="M459" s="41"/>
      <c r="N459" s="42"/>
      <c r="O459" s="80"/>
      <c r="P459" s="80"/>
      <c r="Q459" s="87"/>
      <c r="R459" s="87"/>
      <c r="S459" s="87"/>
      <c r="T459" s="108"/>
      <c r="U459" s="87"/>
      <c r="V459" s="108"/>
      <c r="W459" s="87"/>
      <c r="X459" s="87"/>
      <c r="AH459" s="3" t="str">
        <f>IF(COUNTIF(AB:AB,Z459)*COUNTIF(AD:AD,Z459)*COUNTIF(AF:AF,Z459),Z459,"")</f>
        <v/>
      </c>
      <c r="AI459" s="3" t="str">
        <f t="shared" si="26"/>
        <v/>
      </c>
    </row>
    <row r="460" spans="1:35" x14ac:dyDescent="0.25">
      <c r="A460" s="37"/>
      <c r="B460" s="38"/>
      <c r="C460" s="2"/>
      <c r="D460" s="41"/>
      <c r="E460" s="93"/>
      <c r="F460" s="93"/>
      <c r="G460" s="93"/>
      <c r="H460" s="38"/>
      <c r="I460" s="2"/>
      <c r="J460" s="41"/>
      <c r="K460" s="38"/>
      <c r="L460" s="41"/>
      <c r="M460" s="41"/>
      <c r="N460" s="42"/>
      <c r="O460" s="80"/>
      <c r="P460" s="80"/>
      <c r="Q460" s="87"/>
      <c r="R460" s="87"/>
      <c r="S460" s="87"/>
      <c r="T460" s="108"/>
      <c r="U460" s="87"/>
      <c r="V460" s="108"/>
      <c r="W460" s="87"/>
      <c r="X460" s="87"/>
      <c r="AH460" s="3" t="str">
        <f>IF(COUNTIF(AB:AB,Z460)*COUNTIF(AD:AD,Z460)*COUNTIF(AF:AF,Z460),Z460,"")</f>
        <v/>
      </c>
      <c r="AI460" s="3" t="str">
        <f t="shared" si="26"/>
        <v/>
      </c>
    </row>
    <row r="461" spans="1:35" x14ac:dyDescent="0.25">
      <c r="A461" s="37"/>
      <c r="B461" s="38"/>
      <c r="C461" s="2"/>
      <c r="D461" s="41"/>
      <c r="E461" s="93"/>
      <c r="F461" s="93"/>
      <c r="G461" s="93"/>
      <c r="H461" s="38"/>
      <c r="I461" s="2"/>
      <c r="J461" s="41"/>
      <c r="K461" s="38"/>
      <c r="L461" s="41"/>
      <c r="M461" s="41"/>
      <c r="N461" s="42"/>
      <c r="O461" s="80"/>
      <c r="P461" s="80"/>
      <c r="Q461" s="87"/>
      <c r="R461" s="87"/>
      <c r="S461" s="87"/>
      <c r="T461" s="108"/>
      <c r="U461" s="87"/>
      <c r="V461" s="108"/>
      <c r="W461" s="87"/>
      <c r="X461" s="87"/>
      <c r="AH461" s="3" t="str">
        <f>IF(COUNTIF(AB:AB,Z461)*COUNTIF(AD:AD,Z461)*COUNTIF(AF:AF,Z461),Z461,"")</f>
        <v/>
      </c>
      <c r="AI461" s="3" t="str">
        <f t="shared" si="26"/>
        <v/>
      </c>
    </row>
    <row r="462" spans="1:35" x14ac:dyDescent="0.25">
      <c r="A462" s="37"/>
      <c r="B462" s="38"/>
      <c r="C462" s="2"/>
      <c r="D462" s="41"/>
      <c r="E462" s="93"/>
      <c r="F462" s="93"/>
      <c r="G462" s="93"/>
      <c r="H462" s="38"/>
      <c r="I462" s="2"/>
      <c r="J462" s="41"/>
      <c r="K462" s="38"/>
      <c r="L462" s="41"/>
      <c r="M462" s="41"/>
      <c r="N462" s="42"/>
      <c r="O462" s="80"/>
      <c r="P462" s="80"/>
      <c r="Q462" s="87"/>
      <c r="R462" s="87"/>
      <c r="S462" s="87"/>
      <c r="T462" s="108"/>
      <c r="U462" s="87"/>
      <c r="V462" s="108"/>
      <c r="W462" s="87"/>
      <c r="X462" s="87"/>
      <c r="AH462" s="3" t="str">
        <f>IF(COUNTIF(AB:AB,Z462)*COUNTIF(AD:AD,Z462)*COUNTIF(AF:AF,Z462),Z462,"")</f>
        <v/>
      </c>
      <c r="AI462" s="3" t="str">
        <f t="shared" si="26"/>
        <v/>
      </c>
    </row>
    <row r="463" spans="1:35" x14ac:dyDescent="0.25">
      <c r="A463" s="37"/>
      <c r="B463" s="38"/>
      <c r="C463" s="2"/>
      <c r="D463" s="41"/>
      <c r="E463" s="93"/>
      <c r="F463" s="93"/>
      <c r="G463" s="93"/>
      <c r="H463" s="38"/>
      <c r="I463" s="2"/>
      <c r="J463" s="41"/>
      <c r="K463" s="38"/>
      <c r="L463" s="41"/>
      <c r="M463" s="41"/>
      <c r="N463" s="42"/>
      <c r="O463" s="80"/>
      <c r="P463" s="80"/>
      <c r="Q463" s="87"/>
      <c r="R463" s="87"/>
      <c r="S463" s="87"/>
      <c r="T463" s="108"/>
      <c r="U463" s="87"/>
      <c r="V463" s="108"/>
      <c r="W463" s="87"/>
      <c r="X463" s="87"/>
      <c r="AH463" s="3" t="str">
        <f>IF(COUNTIF(AB:AB,Z463)*COUNTIF(AD:AD,Z463)*COUNTIF(AF:AF,Z463),Z463,"")</f>
        <v/>
      </c>
      <c r="AI463" s="3" t="str">
        <f t="shared" si="26"/>
        <v/>
      </c>
    </row>
    <row r="464" spans="1:35" x14ac:dyDescent="0.25">
      <c r="A464" s="37"/>
      <c r="B464" s="38"/>
      <c r="C464" s="2"/>
      <c r="D464" s="41"/>
      <c r="E464" s="93"/>
      <c r="F464" s="93"/>
      <c r="G464" s="93"/>
      <c r="H464" s="38"/>
      <c r="I464" s="2"/>
      <c r="J464" s="41"/>
      <c r="K464" s="38"/>
      <c r="L464" s="41"/>
      <c r="M464" s="41"/>
      <c r="N464" s="42"/>
      <c r="O464" s="80"/>
      <c r="P464" s="80"/>
      <c r="Q464" s="87"/>
      <c r="R464" s="87"/>
      <c r="S464" s="87"/>
      <c r="T464" s="108"/>
      <c r="U464" s="87"/>
      <c r="V464" s="108"/>
      <c r="W464" s="87"/>
      <c r="X464" s="87"/>
      <c r="AH464" s="3" t="str">
        <f>IF(COUNTIF(AB:AB,Z464)*COUNTIF(AD:AD,Z464)*COUNTIF(AF:AF,Z464),Z464,"")</f>
        <v/>
      </c>
      <c r="AI464" s="3" t="str">
        <f t="shared" si="26"/>
        <v/>
      </c>
    </row>
    <row r="465" spans="1:35" x14ac:dyDescent="0.25">
      <c r="A465" s="37"/>
      <c r="B465" s="38"/>
      <c r="C465" s="2"/>
      <c r="D465" s="41"/>
      <c r="E465" s="93"/>
      <c r="F465" s="93"/>
      <c r="G465" s="93"/>
      <c r="H465" s="38"/>
      <c r="I465" s="2"/>
      <c r="J465" s="41"/>
      <c r="K465" s="38"/>
      <c r="L465" s="41"/>
      <c r="M465" s="41"/>
      <c r="N465" s="42"/>
      <c r="O465" s="80"/>
      <c r="P465" s="80"/>
      <c r="Q465" s="87"/>
      <c r="R465" s="87"/>
      <c r="S465" s="87"/>
      <c r="T465" s="108"/>
      <c r="U465" s="87"/>
      <c r="V465" s="108"/>
      <c r="W465" s="87"/>
      <c r="X465" s="87"/>
      <c r="AH465" s="3" t="str">
        <f>IF(COUNTIF(AB:AB,Z465)*COUNTIF(AD:AD,Z465)*COUNTIF(AF:AF,Z465),Z465,"")</f>
        <v/>
      </c>
      <c r="AI465" s="3" t="str">
        <f t="shared" si="26"/>
        <v/>
      </c>
    </row>
    <row r="466" spans="1:35" x14ac:dyDescent="0.25">
      <c r="A466" s="37"/>
      <c r="B466" s="38"/>
      <c r="C466" s="2"/>
      <c r="D466" s="41"/>
      <c r="E466" s="93"/>
      <c r="F466" s="93"/>
      <c r="G466" s="93"/>
      <c r="H466" s="38"/>
      <c r="I466" s="2"/>
      <c r="J466" s="41"/>
      <c r="K466" s="38"/>
      <c r="L466" s="41"/>
      <c r="M466" s="41"/>
      <c r="N466" s="42"/>
      <c r="O466" s="80"/>
      <c r="P466" s="80"/>
      <c r="Q466" s="87"/>
      <c r="R466" s="87"/>
      <c r="S466" s="87"/>
      <c r="T466" s="108"/>
      <c r="U466" s="87"/>
      <c r="V466" s="108"/>
      <c r="W466" s="87"/>
      <c r="X466" s="87"/>
      <c r="AH466" s="3" t="str">
        <f>IF(COUNTIF(AB:AB,Z466)*COUNTIF(AD:AD,Z466)*COUNTIF(AF:AF,Z466),Z466,"")</f>
        <v/>
      </c>
      <c r="AI466" s="3" t="str">
        <f t="shared" si="26"/>
        <v/>
      </c>
    </row>
    <row r="467" spans="1:35" x14ac:dyDescent="0.25">
      <c r="A467" s="37"/>
      <c r="B467" s="38"/>
      <c r="C467" s="2"/>
      <c r="D467" s="41"/>
      <c r="E467" s="93"/>
      <c r="F467" s="93"/>
      <c r="G467" s="93"/>
      <c r="H467" s="38"/>
      <c r="I467" s="2"/>
      <c r="J467" s="41"/>
      <c r="K467" s="38"/>
      <c r="L467" s="41"/>
      <c r="M467" s="41"/>
      <c r="N467" s="42"/>
      <c r="O467" s="80"/>
      <c r="P467" s="80"/>
      <c r="Q467" s="87"/>
      <c r="R467" s="87"/>
      <c r="S467" s="87"/>
      <c r="T467" s="108"/>
      <c r="U467" s="87"/>
      <c r="V467" s="108"/>
      <c r="W467" s="87"/>
      <c r="X467" s="87"/>
      <c r="AH467" s="3" t="str">
        <f>IF(COUNTIF(AB:AB,Z467)*COUNTIF(AD:AD,Z467)*COUNTIF(AF:AF,Z467),Z467,"")</f>
        <v/>
      </c>
      <c r="AI467" s="3" t="str">
        <f t="shared" si="26"/>
        <v/>
      </c>
    </row>
    <row r="468" spans="1:35" x14ac:dyDescent="0.25">
      <c r="A468" s="37"/>
      <c r="B468" s="38"/>
      <c r="C468" s="2"/>
      <c r="D468" s="41"/>
      <c r="E468" s="93"/>
      <c r="F468" s="93"/>
      <c r="G468" s="93"/>
      <c r="H468" s="38"/>
      <c r="I468" s="2"/>
      <c r="J468" s="41"/>
      <c r="K468" s="38"/>
      <c r="L468" s="41"/>
      <c r="M468" s="41"/>
      <c r="N468" s="42"/>
      <c r="O468" s="80"/>
      <c r="P468" s="80"/>
      <c r="Q468" s="87"/>
      <c r="R468" s="87"/>
      <c r="S468" s="87"/>
      <c r="T468" s="108"/>
      <c r="U468" s="87"/>
      <c r="V468" s="108"/>
      <c r="W468" s="87"/>
      <c r="X468" s="87"/>
      <c r="AH468" s="3" t="str">
        <f>IF(COUNTIF(AB:AB,Z468)*COUNTIF(AD:AD,Z468)*COUNTIF(AF:AF,Z468),Z468,"")</f>
        <v/>
      </c>
      <c r="AI468" s="3" t="str">
        <f t="shared" si="26"/>
        <v/>
      </c>
    </row>
    <row r="469" spans="1:35" x14ac:dyDescent="0.25">
      <c r="A469" s="37"/>
      <c r="B469" s="38"/>
      <c r="C469" s="2"/>
      <c r="D469" s="41"/>
      <c r="E469" s="93"/>
      <c r="F469" s="93"/>
      <c r="G469" s="93"/>
      <c r="H469" s="38"/>
      <c r="I469" s="2"/>
      <c r="J469" s="41"/>
      <c r="K469" s="38"/>
      <c r="L469" s="41"/>
      <c r="M469" s="41"/>
      <c r="N469" s="42"/>
      <c r="O469" s="80"/>
      <c r="P469" s="80"/>
      <c r="Q469" s="87"/>
      <c r="R469" s="87"/>
      <c r="S469" s="87"/>
      <c r="T469" s="108"/>
      <c r="U469" s="87"/>
      <c r="V469" s="108"/>
      <c r="W469" s="87"/>
      <c r="X469" s="87"/>
      <c r="AH469" s="3" t="str">
        <f>IF(COUNTIF(AB:AB,Z469)*COUNTIF(AD:AD,Z469)*COUNTIF(AF:AF,Z469),Z469,"")</f>
        <v/>
      </c>
      <c r="AI469" s="3" t="str">
        <f t="shared" si="26"/>
        <v/>
      </c>
    </row>
    <row r="470" spans="1:35" x14ac:dyDescent="0.25">
      <c r="A470" s="37"/>
      <c r="B470" s="38"/>
      <c r="C470" s="2"/>
      <c r="D470" s="41"/>
      <c r="E470" s="93"/>
      <c r="F470" s="93"/>
      <c r="G470" s="93"/>
      <c r="H470" s="38"/>
      <c r="I470" s="2"/>
      <c r="J470" s="41"/>
      <c r="K470" s="38"/>
      <c r="L470" s="41"/>
      <c r="M470" s="41"/>
      <c r="N470" s="42"/>
      <c r="O470" s="80"/>
      <c r="P470" s="80"/>
      <c r="Q470" s="87"/>
      <c r="R470" s="87"/>
      <c r="S470" s="87"/>
      <c r="T470" s="108"/>
      <c r="U470" s="87"/>
      <c r="V470" s="108"/>
      <c r="W470" s="87"/>
      <c r="X470" s="87"/>
      <c r="AH470" s="3" t="str">
        <f>IF(COUNTIF(AB:AB,Z470)*COUNTIF(AD:AD,Z470)*COUNTIF(AF:AF,Z470),Z470,"")</f>
        <v/>
      </c>
      <c r="AI470" s="3" t="str">
        <f t="shared" si="26"/>
        <v/>
      </c>
    </row>
    <row r="471" spans="1:35" x14ac:dyDescent="0.25">
      <c r="A471" s="37"/>
      <c r="B471" s="38"/>
      <c r="C471" s="2"/>
      <c r="D471" s="41"/>
      <c r="E471" s="93"/>
      <c r="F471" s="93"/>
      <c r="G471" s="93"/>
      <c r="H471" s="38"/>
      <c r="I471" s="2"/>
      <c r="J471" s="41"/>
      <c r="K471" s="38"/>
      <c r="L471" s="41"/>
      <c r="M471" s="41"/>
      <c r="N471" s="42"/>
      <c r="O471" s="80"/>
      <c r="P471" s="80"/>
      <c r="Q471" s="87"/>
      <c r="R471" s="87"/>
      <c r="S471" s="87"/>
      <c r="T471" s="108"/>
      <c r="U471" s="87"/>
      <c r="V471" s="108"/>
      <c r="W471" s="87"/>
      <c r="X471" s="87"/>
      <c r="AH471" s="3" t="str">
        <f>IF(COUNTIF(AB:AB,Z471)*COUNTIF(AD:AD,Z471)*COUNTIF(AF:AF,Z471),Z471,"")</f>
        <v/>
      </c>
      <c r="AI471" s="3" t="str">
        <f t="shared" si="26"/>
        <v/>
      </c>
    </row>
    <row r="472" spans="1:35" x14ac:dyDescent="0.25">
      <c r="A472" s="37"/>
      <c r="B472" s="38"/>
      <c r="C472" s="2"/>
      <c r="D472" s="41"/>
      <c r="E472" s="93"/>
      <c r="F472" s="93"/>
      <c r="G472" s="93"/>
      <c r="H472" s="38"/>
      <c r="I472" s="2"/>
      <c r="J472" s="41"/>
      <c r="K472" s="38"/>
      <c r="L472" s="41"/>
      <c r="M472" s="41"/>
      <c r="N472" s="42"/>
      <c r="O472" s="80"/>
      <c r="P472" s="80"/>
      <c r="Q472" s="87"/>
      <c r="R472" s="87"/>
      <c r="S472" s="87"/>
      <c r="T472" s="108"/>
      <c r="U472" s="87"/>
      <c r="V472" s="108"/>
      <c r="W472" s="87"/>
      <c r="X472" s="87"/>
      <c r="AH472" s="3" t="str">
        <f>IF(COUNTIF(AB:AB,Z472)*COUNTIF(AD:AD,Z472)*COUNTIF(AF:AF,Z472),Z472,"")</f>
        <v/>
      </c>
      <c r="AI472" s="3" t="str">
        <f t="shared" si="26"/>
        <v/>
      </c>
    </row>
    <row r="473" spans="1:35" x14ac:dyDescent="0.25">
      <c r="A473" s="37"/>
      <c r="B473" s="38"/>
      <c r="C473" s="2"/>
      <c r="D473" s="41"/>
      <c r="E473" s="93"/>
      <c r="F473" s="93"/>
      <c r="G473" s="93"/>
      <c r="H473" s="38"/>
      <c r="I473" s="2"/>
      <c r="J473" s="41"/>
      <c r="K473" s="38"/>
      <c r="L473" s="41"/>
      <c r="M473" s="41"/>
      <c r="N473" s="42"/>
      <c r="O473" s="80"/>
      <c r="P473" s="80"/>
      <c r="Q473" s="87"/>
      <c r="R473" s="87"/>
      <c r="S473" s="87"/>
      <c r="T473" s="108"/>
      <c r="U473" s="87"/>
      <c r="V473" s="108"/>
      <c r="W473" s="87"/>
      <c r="X473" s="87"/>
      <c r="AH473" s="3" t="str">
        <f>IF(COUNTIF(AB:AB,Z473)*COUNTIF(AD:AD,Z473)*COUNTIF(AF:AF,Z473),Z473,"")</f>
        <v/>
      </c>
      <c r="AI473" s="3" t="str">
        <f t="shared" si="26"/>
        <v/>
      </c>
    </row>
    <row r="474" spans="1:35" x14ac:dyDescent="0.25">
      <c r="A474" s="37"/>
      <c r="B474" s="38"/>
      <c r="C474" s="2"/>
      <c r="D474" s="41"/>
      <c r="E474" s="93"/>
      <c r="F474" s="93"/>
      <c r="G474" s="93"/>
      <c r="H474" s="38"/>
      <c r="I474" s="2"/>
      <c r="J474" s="41"/>
      <c r="K474" s="38"/>
      <c r="L474" s="41"/>
      <c r="M474" s="41"/>
      <c r="N474" s="42"/>
      <c r="O474" s="80"/>
      <c r="P474" s="80"/>
      <c r="Q474" s="87"/>
      <c r="R474" s="87"/>
      <c r="S474" s="87"/>
      <c r="T474" s="108"/>
      <c r="U474" s="87"/>
      <c r="V474" s="108"/>
      <c r="W474" s="87"/>
      <c r="X474" s="87"/>
      <c r="AH474" s="3" t="str">
        <f>IF(COUNTIF(AB:AB,Z474)*COUNTIF(AD:AD,Z474)*COUNTIF(AF:AF,Z474),Z474,"")</f>
        <v/>
      </c>
      <c r="AI474" s="3" t="str">
        <f t="shared" si="26"/>
        <v/>
      </c>
    </row>
    <row r="475" spans="1:35" x14ac:dyDescent="0.25">
      <c r="A475" s="37"/>
      <c r="B475" s="38"/>
      <c r="C475" s="2"/>
      <c r="D475" s="41"/>
      <c r="E475" s="93"/>
      <c r="F475" s="93"/>
      <c r="G475" s="93"/>
      <c r="H475" s="38"/>
      <c r="I475" s="2"/>
      <c r="J475" s="41"/>
      <c r="K475" s="38"/>
      <c r="L475" s="41"/>
      <c r="M475" s="41"/>
      <c r="N475" s="42"/>
      <c r="O475" s="80"/>
      <c r="P475" s="80"/>
      <c r="Q475" s="87"/>
      <c r="R475" s="87"/>
      <c r="S475" s="87"/>
      <c r="T475" s="108"/>
      <c r="U475" s="87"/>
      <c r="V475" s="108"/>
      <c r="W475" s="87"/>
      <c r="X475" s="87"/>
      <c r="AH475" s="3" t="str">
        <f>IF(COUNTIF(AB:AB,Z475)*COUNTIF(AD:AD,Z475)*COUNTIF(AF:AF,Z475),Z475,"")</f>
        <v/>
      </c>
      <c r="AI475" s="3" t="str">
        <f t="shared" si="26"/>
        <v/>
      </c>
    </row>
    <row r="476" spans="1:35" x14ac:dyDescent="0.25">
      <c r="A476" s="37"/>
      <c r="B476" s="38"/>
      <c r="C476" s="2"/>
      <c r="D476" s="41"/>
      <c r="E476" s="93"/>
      <c r="F476" s="93"/>
      <c r="G476" s="93"/>
      <c r="H476" s="38"/>
      <c r="I476" s="2"/>
      <c r="J476" s="41"/>
      <c r="K476" s="38"/>
      <c r="L476" s="41"/>
      <c r="M476" s="41"/>
      <c r="N476" s="42"/>
      <c r="O476" s="80"/>
      <c r="P476" s="80"/>
      <c r="Q476" s="87"/>
      <c r="R476" s="87"/>
      <c r="S476" s="87"/>
      <c r="T476" s="108"/>
      <c r="U476" s="87"/>
      <c r="V476" s="108"/>
      <c r="W476" s="87"/>
      <c r="X476" s="87"/>
      <c r="AH476" s="3" t="str">
        <f>IF(COUNTIF(AB:AB,Z476)*COUNTIF(AD:AD,Z476)*COUNTIF(AF:AF,Z476),Z476,"")</f>
        <v/>
      </c>
      <c r="AI476" s="3" t="str">
        <f t="shared" si="26"/>
        <v/>
      </c>
    </row>
    <row r="477" spans="1:35" x14ac:dyDescent="0.25">
      <c r="A477" s="37"/>
      <c r="B477" s="38"/>
      <c r="C477" s="2"/>
      <c r="D477" s="41"/>
      <c r="E477" s="93"/>
      <c r="F477" s="93"/>
      <c r="G477" s="93"/>
      <c r="H477" s="38"/>
      <c r="I477" s="2"/>
      <c r="J477" s="41"/>
      <c r="K477" s="38"/>
      <c r="L477" s="41"/>
      <c r="M477" s="41"/>
      <c r="N477" s="42"/>
      <c r="O477" s="80"/>
      <c r="P477" s="80"/>
      <c r="Q477" s="87"/>
      <c r="R477" s="87"/>
      <c r="S477" s="87"/>
      <c r="T477" s="108"/>
      <c r="U477" s="87"/>
      <c r="V477" s="108"/>
      <c r="W477" s="87"/>
      <c r="X477" s="87"/>
      <c r="AH477" s="3" t="str">
        <f>IF(COUNTIF(AB:AB,Z477)*COUNTIF(AD:AD,Z477)*COUNTIF(AF:AF,Z477),Z477,"")</f>
        <v/>
      </c>
      <c r="AI477" s="3" t="str">
        <f t="shared" si="26"/>
        <v/>
      </c>
    </row>
    <row r="478" spans="1:35" x14ac:dyDescent="0.25">
      <c r="A478" s="37"/>
      <c r="B478" s="38"/>
      <c r="C478" s="2"/>
      <c r="D478" s="41"/>
      <c r="E478" s="93"/>
      <c r="F478" s="93"/>
      <c r="G478" s="93"/>
      <c r="H478" s="38"/>
      <c r="I478" s="2"/>
      <c r="J478" s="41"/>
      <c r="K478" s="38"/>
      <c r="L478" s="41"/>
      <c r="M478" s="41"/>
      <c r="N478" s="42"/>
      <c r="O478" s="80"/>
      <c r="P478" s="80"/>
      <c r="Q478" s="87"/>
      <c r="R478" s="87"/>
      <c r="S478" s="87"/>
      <c r="T478" s="108"/>
      <c r="U478" s="87"/>
      <c r="V478" s="108"/>
      <c r="W478" s="87"/>
      <c r="X478" s="87"/>
      <c r="AH478" s="3" t="str">
        <f>IF(COUNTIF(AB:AB,Z478)*COUNTIF(AD:AD,Z478)*COUNTIF(AF:AF,Z478),Z478,"")</f>
        <v/>
      </c>
      <c r="AI478" s="3" t="str">
        <f t="shared" si="26"/>
        <v/>
      </c>
    </row>
    <row r="479" spans="1:35" x14ac:dyDescent="0.25">
      <c r="A479" s="37"/>
      <c r="B479" s="38"/>
      <c r="C479" s="2"/>
      <c r="D479" s="41"/>
      <c r="E479" s="93"/>
      <c r="F479" s="93"/>
      <c r="G479" s="93"/>
      <c r="H479" s="38"/>
      <c r="I479" s="2"/>
      <c r="J479" s="41"/>
      <c r="K479" s="38"/>
      <c r="L479" s="41"/>
      <c r="M479" s="41"/>
      <c r="N479" s="42"/>
      <c r="O479" s="80"/>
      <c r="P479" s="80"/>
      <c r="Q479" s="87"/>
      <c r="R479" s="87"/>
      <c r="S479" s="87"/>
      <c r="T479" s="108"/>
      <c r="U479" s="87"/>
      <c r="V479" s="108"/>
      <c r="W479" s="87"/>
      <c r="X479" s="87"/>
      <c r="AH479" s="3" t="str">
        <f>IF(COUNTIF(AB:AB,Z479)*COUNTIF(AD:AD,Z479)*COUNTIF(AF:AF,Z479),Z479,"")</f>
        <v/>
      </c>
      <c r="AI479" s="3" t="str">
        <f t="shared" si="26"/>
        <v/>
      </c>
    </row>
    <row r="480" spans="1:35" x14ac:dyDescent="0.25">
      <c r="A480" s="37"/>
      <c r="B480" s="38"/>
      <c r="C480" s="2"/>
      <c r="D480" s="41"/>
      <c r="E480" s="93"/>
      <c r="F480" s="93"/>
      <c r="G480" s="93"/>
      <c r="H480" s="38"/>
      <c r="I480" s="2"/>
      <c r="J480" s="41"/>
      <c r="K480" s="38"/>
      <c r="L480" s="41"/>
      <c r="M480" s="41"/>
      <c r="N480" s="42"/>
      <c r="O480" s="80"/>
      <c r="P480" s="80"/>
      <c r="Q480" s="87"/>
      <c r="R480" s="87"/>
      <c r="S480" s="87"/>
      <c r="T480" s="108"/>
      <c r="U480" s="87"/>
      <c r="V480" s="108"/>
      <c r="W480" s="87"/>
      <c r="X480" s="87"/>
      <c r="AH480" s="3" t="str">
        <f>IF(COUNTIF(AB:AB,Z480)*COUNTIF(AD:AD,Z480)*COUNTIF(AF:AF,Z480),Z480,"")</f>
        <v/>
      </c>
      <c r="AI480" s="3" t="str">
        <f t="shared" si="26"/>
        <v/>
      </c>
    </row>
    <row r="481" spans="1:35" x14ac:dyDescent="0.25">
      <c r="A481" s="37"/>
      <c r="B481" s="38"/>
      <c r="C481" s="2"/>
      <c r="D481" s="41"/>
      <c r="E481" s="93"/>
      <c r="F481" s="93"/>
      <c r="G481" s="93"/>
      <c r="H481" s="38"/>
      <c r="I481" s="2"/>
      <c r="J481" s="41"/>
      <c r="K481" s="38"/>
      <c r="L481" s="41"/>
      <c r="M481" s="41"/>
      <c r="N481" s="42"/>
      <c r="O481" s="80"/>
      <c r="P481" s="80"/>
      <c r="Q481" s="87"/>
      <c r="R481" s="87"/>
      <c r="S481" s="87"/>
      <c r="T481" s="108"/>
      <c r="U481" s="87"/>
      <c r="V481" s="108"/>
      <c r="W481" s="87"/>
      <c r="X481" s="87"/>
      <c r="AH481" s="3" t="str">
        <f>IF(COUNTIF(AB:AB,Z481)*COUNTIF(AD:AD,Z481)*COUNTIF(AF:AF,Z481),Z481,"")</f>
        <v/>
      </c>
      <c r="AI481" s="3" t="str">
        <f t="shared" si="26"/>
        <v/>
      </c>
    </row>
    <row r="482" spans="1:35" x14ac:dyDescent="0.25">
      <c r="A482" s="37"/>
      <c r="B482" s="38"/>
      <c r="C482" s="2"/>
      <c r="D482" s="41"/>
      <c r="E482" s="93"/>
      <c r="F482" s="93"/>
      <c r="G482" s="93"/>
      <c r="H482" s="38"/>
      <c r="I482" s="2"/>
      <c r="J482" s="41"/>
      <c r="K482" s="38"/>
      <c r="L482" s="41"/>
      <c r="M482" s="41"/>
      <c r="N482" s="42"/>
      <c r="O482" s="80"/>
      <c r="P482" s="80"/>
      <c r="Q482" s="87"/>
      <c r="R482" s="87"/>
      <c r="S482" s="87"/>
      <c r="T482" s="108"/>
      <c r="U482" s="87"/>
      <c r="V482" s="108"/>
      <c r="W482" s="87"/>
      <c r="X482" s="87"/>
      <c r="AH482" s="3" t="str">
        <f>IF(COUNTIF(AB:AB,Z482)*COUNTIF(AD:AD,Z482)*COUNTIF(AF:AF,Z482),Z482,"")</f>
        <v/>
      </c>
      <c r="AI482" s="3" t="str">
        <f t="shared" si="26"/>
        <v/>
      </c>
    </row>
    <row r="483" spans="1:35" x14ac:dyDescent="0.25">
      <c r="A483" s="37"/>
      <c r="B483" s="38"/>
      <c r="C483" s="2"/>
      <c r="D483" s="41"/>
      <c r="E483" s="93"/>
      <c r="F483" s="93"/>
      <c r="G483" s="93"/>
      <c r="H483" s="38"/>
      <c r="I483" s="2"/>
      <c r="J483" s="41"/>
      <c r="K483" s="38"/>
      <c r="L483" s="41"/>
      <c r="M483" s="41"/>
      <c r="N483" s="42"/>
      <c r="O483" s="80"/>
      <c r="P483" s="80"/>
      <c r="Q483" s="87"/>
      <c r="R483" s="87"/>
      <c r="S483" s="87"/>
      <c r="T483" s="108"/>
      <c r="U483" s="87"/>
      <c r="V483" s="108"/>
      <c r="W483" s="87"/>
      <c r="X483" s="87"/>
      <c r="AH483" s="3" t="str">
        <f>IF(COUNTIF(AB:AB,Z483)*COUNTIF(AD:AD,Z483)*COUNTIF(AF:AF,Z483),Z483,"")</f>
        <v/>
      </c>
      <c r="AI483" s="3" t="str">
        <f t="shared" si="26"/>
        <v/>
      </c>
    </row>
    <row r="484" spans="1:35" x14ac:dyDescent="0.25">
      <c r="A484" s="37"/>
      <c r="B484" s="38"/>
      <c r="C484" s="2"/>
      <c r="D484" s="41"/>
      <c r="E484" s="93"/>
      <c r="F484" s="93"/>
      <c r="G484" s="93"/>
      <c r="H484" s="38"/>
      <c r="I484" s="2"/>
      <c r="J484" s="41"/>
      <c r="K484" s="38"/>
      <c r="L484" s="41"/>
      <c r="M484" s="41"/>
      <c r="N484" s="42"/>
      <c r="O484" s="80"/>
      <c r="P484" s="80"/>
      <c r="Q484" s="87"/>
      <c r="R484" s="87"/>
      <c r="S484" s="87"/>
      <c r="T484" s="108"/>
      <c r="U484" s="87"/>
      <c r="V484" s="108"/>
      <c r="W484" s="87"/>
      <c r="X484" s="87"/>
      <c r="AH484" s="3" t="str">
        <f>IF(COUNTIF(AB:AB,Z484)*COUNTIF(AD:AD,Z484)*COUNTIF(AF:AF,Z484),Z484,"")</f>
        <v/>
      </c>
      <c r="AI484" s="3" t="str">
        <f t="shared" si="26"/>
        <v/>
      </c>
    </row>
    <row r="485" spans="1:35" x14ac:dyDescent="0.25">
      <c r="A485" s="37"/>
      <c r="B485" s="38"/>
      <c r="C485" s="2"/>
      <c r="D485" s="41"/>
      <c r="E485" s="93"/>
      <c r="F485" s="93"/>
      <c r="G485" s="93"/>
      <c r="H485" s="38"/>
      <c r="I485" s="2"/>
      <c r="J485" s="41"/>
      <c r="K485" s="38"/>
      <c r="L485" s="41"/>
      <c r="M485" s="41"/>
      <c r="N485" s="42"/>
      <c r="O485" s="80"/>
      <c r="P485" s="80"/>
      <c r="Q485" s="87"/>
      <c r="R485" s="87"/>
      <c r="S485" s="87"/>
      <c r="T485" s="108"/>
      <c r="U485" s="87"/>
      <c r="V485" s="108"/>
      <c r="W485" s="87"/>
      <c r="X485" s="87"/>
      <c r="AH485" s="3" t="str">
        <f>IF(COUNTIF(AB:AB,Z485)*COUNTIF(AD:AD,Z485)*COUNTIF(AF:AF,Z485),Z485,"")</f>
        <v/>
      </c>
      <c r="AI485" s="3" t="str">
        <f t="shared" si="26"/>
        <v/>
      </c>
    </row>
    <row r="486" spans="1:35" x14ac:dyDescent="0.25">
      <c r="A486" s="37"/>
      <c r="B486" s="38"/>
      <c r="C486" s="2"/>
      <c r="D486" s="41"/>
      <c r="E486" s="93"/>
      <c r="F486" s="93"/>
      <c r="G486" s="93"/>
      <c r="H486" s="38"/>
      <c r="I486" s="2"/>
      <c r="J486" s="41"/>
      <c r="K486" s="38"/>
      <c r="L486" s="41"/>
      <c r="M486" s="41"/>
      <c r="N486" s="42"/>
      <c r="O486" s="80"/>
      <c r="P486" s="80"/>
      <c r="Q486" s="87"/>
      <c r="R486" s="87"/>
      <c r="S486" s="87"/>
      <c r="T486" s="108"/>
      <c r="U486" s="87"/>
      <c r="V486" s="108"/>
      <c r="W486" s="87"/>
      <c r="X486" s="87"/>
      <c r="AH486" s="3" t="str">
        <f>IF(COUNTIF(AB:AB,Z486)*COUNTIF(AD:AD,Z486)*COUNTIF(AF:AF,Z486),Z486,"")</f>
        <v/>
      </c>
      <c r="AI486" s="3" t="str">
        <f t="shared" si="26"/>
        <v/>
      </c>
    </row>
    <row r="487" spans="1:35" x14ac:dyDescent="0.25">
      <c r="A487" s="37"/>
      <c r="B487" s="38"/>
      <c r="C487" s="2"/>
      <c r="D487" s="41"/>
      <c r="E487" s="93"/>
      <c r="F487" s="93"/>
      <c r="G487" s="93"/>
      <c r="H487" s="38"/>
      <c r="I487" s="2"/>
      <c r="J487" s="41"/>
      <c r="K487" s="38"/>
      <c r="L487" s="41"/>
      <c r="M487" s="41"/>
      <c r="N487" s="42"/>
      <c r="O487" s="80"/>
      <c r="P487" s="80"/>
      <c r="Q487" s="87"/>
      <c r="R487" s="87"/>
      <c r="S487" s="87"/>
      <c r="T487" s="108"/>
      <c r="U487" s="87"/>
      <c r="V487" s="108"/>
      <c r="W487" s="87"/>
      <c r="X487" s="87"/>
      <c r="AH487" s="3" t="str">
        <f>IF(COUNTIF(AB:AB,Z487)*COUNTIF(AD:AD,Z487)*COUNTIF(AF:AF,Z487),Z487,"")</f>
        <v/>
      </c>
      <c r="AI487" s="3" t="str">
        <f t="shared" si="26"/>
        <v/>
      </c>
    </row>
    <row r="488" spans="1:35" x14ac:dyDescent="0.25">
      <c r="A488" s="37"/>
      <c r="B488" s="38"/>
      <c r="C488" s="2"/>
      <c r="D488" s="41"/>
      <c r="E488" s="93"/>
      <c r="F488" s="93"/>
      <c r="G488" s="93"/>
      <c r="H488" s="38"/>
      <c r="I488" s="2"/>
      <c r="J488" s="41"/>
      <c r="K488" s="38"/>
      <c r="L488" s="41"/>
      <c r="M488" s="41"/>
      <c r="N488" s="42"/>
      <c r="O488" s="80"/>
      <c r="P488" s="80"/>
      <c r="Q488" s="87"/>
      <c r="R488" s="87"/>
      <c r="S488" s="87"/>
      <c r="T488" s="108"/>
      <c r="U488" s="87"/>
      <c r="V488" s="108"/>
      <c r="W488" s="87"/>
      <c r="X488" s="87"/>
      <c r="AH488" s="3" t="str">
        <f>IF(COUNTIF(AB:AB,Z488)*COUNTIF(AD:AD,Z488)*COUNTIF(AF:AF,Z488),Z488,"")</f>
        <v/>
      </c>
      <c r="AI488" s="3" t="str">
        <f t="shared" si="26"/>
        <v/>
      </c>
    </row>
    <row r="489" spans="1:35" x14ac:dyDescent="0.25">
      <c r="A489" s="37"/>
      <c r="B489" s="38"/>
      <c r="C489" s="2"/>
      <c r="D489" s="41"/>
      <c r="E489" s="93"/>
      <c r="F489" s="93"/>
      <c r="G489" s="93"/>
      <c r="H489" s="38"/>
      <c r="I489" s="2"/>
      <c r="J489" s="41"/>
      <c r="K489" s="38"/>
      <c r="L489" s="41"/>
      <c r="M489" s="41"/>
      <c r="N489" s="42"/>
      <c r="O489" s="80"/>
      <c r="P489" s="80"/>
      <c r="Q489" s="87"/>
      <c r="R489" s="87"/>
      <c r="S489" s="87"/>
      <c r="T489" s="108"/>
      <c r="U489" s="87"/>
      <c r="V489" s="108"/>
      <c r="W489" s="87"/>
      <c r="X489" s="87"/>
      <c r="AH489" s="3" t="str">
        <f>IF(COUNTIF(AB:AB,Z489)*COUNTIF(AD:AD,Z489)*COUNTIF(AF:AF,Z489),Z489,"")</f>
        <v/>
      </c>
      <c r="AI489" s="3" t="str">
        <f t="shared" si="26"/>
        <v/>
      </c>
    </row>
    <row r="490" spans="1:35" x14ac:dyDescent="0.25">
      <c r="A490" s="37"/>
      <c r="B490" s="38"/>
      <c r="C490" s="2"/>
      <c r="D490" s="41"/>
      <c r="E490" s="93"/>
      <c r="F490" s="93"/>
      <c r="G490" s="93"/>
      <c r="H490" s="38"/>
      <c r="I490" s="2"/>
      <c r="J490" s="41"/>
      <c r="K490" s="38"/>
      <c r="L490" s="41"/>
      <c r="M490" s="41"/>
      <c r="N490" s="42"/>
      <c r="O490" s="80"/>
      <c r="P490" s="80"/>
      <c r="Q490" s="87"/>
      <c r="R490" s="87"/>
      <c r="S490" s="87"/>
      <c r="T490" s="108"/>
      <c r="U490" s="87"/>
      <c r="V490" s="108"/>
      <c r="W490" s="87"/>
      <c r="X490" s="87"/>
      <c r="AH490" s="3" t="str">
        <f>IF(COUNTIF(AB:AB,Z490)*COUNTIF(AD:AD,Z490)*COUNTIF(AF:AF,Z490),Z490,"")</f>
        <v/>
      </c>
      <c r="AI490" s="3" t="str">
        <f t="shared" si="26"/>
        <v/>
      </c>
    </row>
    <row r="491" spans="1:35" x14ac:dyDescent="0.25">
      <c r="A491" s="37"/>
      <c r="B491" s="38"/>
      <c r="C491" s="2"/>
      <c r="D491" s="41"/>
      <c r="E491" s="93"/>
      <c r="F491" s="93"/>
      <c r="G491" s="93"/>
      <c r="H491" s="38"/>
      <c r="I491" s="2"/>
      <c r="J491" s="41"/>
      <c r="K491" s="38"/>
      <c r="L491" s="41"/>
      <c r="M491" s="41"/>
      <c r="N491" s="42"/>
      <c r="O491" s="80"/>
      <c r="P491" s="80"/>
      <c r="Q491" s="87"/>
      <c r="R491" s="87"/>
      <c r="S491" s="87"/>
      <c r="T491" s="108"/>
      <c r="U491" s="87"/>
      <c r="V491" s="108"/>
      <c r="W491" s="87"/>
      <c r="X491" s="87"/>
      <c r="AH491" s="3" t="str">
        <f>IF(COUNTIF(AB:AB,Z491)*COUNTIF(AD:AD,Z491)*COUNTIF(AF:AF,Z491),Z491,"")</f>
        <v/>
      </c>
      <c r="AI491" s="3" t="str">
        <f t="shared" si="26"/>
        <v/>
      </c>
    </row>
    <row r="492" spans="1:35" x14ac:dyDescent="0.25">
      <c r="A492" s="37"/>
      <c r="B492" s="38"/>
      <c r="C492" s="2"/>
      <c r="D492" s="41"/>
      <c r="E492" s="93"/>
      <c r="F492" s="93"/>
      <c r="G492" s="93"/>
      <c r="H492" s="38"/>
      <c r="I492" s="2"/>
      <c r="J492" s="41"/>
      <c r="K492" s="38"/>
      <c r="L492" s="41"/>
      <c r="M492" s="41"/>
      <c r="N492" s="42"/>
      <c r="O492" s="80"/>
      <c r="P492" s="80"/>
      <c r="Q492" s="87"/>
      <c r="R492" s="87"/>
      <c r="S492" s="87"/>
      <c r="T492" s="108"/>
      <c r="U492" s="87"/>
      <c r="V492" s="108"/>
      <c r="W492" s="87"/>
      <c r="X492" s="87"/>
      <c r="AH492" s="3" t="str">
        <f>IF(COUNTIF(AB:AB,Z492)*COUNTIF(AD:AD,Z492)*COUNTIF(AF:AF,Z492),Z492,"")</f>
        <v/>
      </c>
      <c r="AI492" s="3" t="str">
        <f t="shared" si="26"/>
        <v/>
      </c>
    </row>
    <row r="493" spans="1:35" x14ac:dyDescent="0.25">
      <c r="A493" s="37"/>
      <c r="B493" s="38"/>
      <c r="C493" s="2"/>
      <c r="D493" s="41"/>
      <c r="E493" s="93"/>
      <c r="F493" s="93"/>
      <c r="G493" s="93"/>
      <c r="H493" s="38"/>
      <c r="I493" s="2"/>
      <c r="J493" s="41"/>
      <c r="K493" s="38"/>
      <c r="L493" s="41"/>
      <c r="M493" s="41"/>
      <c r="N493" s="42"/>
      <c r="O493" s="80"/>
      <c r="P493" s="80"/>
      <c r="Q493" s="87"/>
      <c r="R493" s="87"/>
      <c r="S493" s="87"/>
      <c r="T493" s="108"/>
      <c r="U493" s="87"/>
      <c r="V493" s="108"/>
      <c r="W493" s="87"/>
      <c r="X493" s="87"/>
      <c r="AH493" s="3" t="str">
        <f>IF(COUNTIF(AB:AB,Z493)*COUNTIF(AD:AD,Z493)*COUNTIF(AF:AF,Z493),Z493,"")</f>
        <v/>
      </c>
      <c r="AI493" s="3" t="str">
        <f t="shared" si="26"/>
        <v/>
      </c>
    </row>
    <row r="494" spans="1:35" x14ac:dyDescent="0.25">
      <c r="A494" s="37"/>
      <c r="B494" s="38"/>
      <c r="C494" s="2"/>
      <c r="D494" s="41"/>
      <c r="E494" s="93"/>
      <c r="F494" s="93"/>
      <c r="G494" s="93"/>
      <c r="H494" s="38"/>
      <c r="I494" s="2"/>
      <c r="J494" s="41"/>
      <c r="K494" s="38"/>
      <c r="L494" s="41"/>
      <c r="M494" s="41"/>
      <c r="N494" s="42"/>
      <c r="O494" s="80"/>
      <c r="P494" s="80"/>
      <c r="Q494" s="87"/>
      <c r="R494" s="87"/>
      <c r="S494" s="87"/>
      <c r="T494" s="108"/>
      <c r="U494" s="87"/>
      <c r="V494" s="108"/>
      <c r="W494" s="87"/>
      <c r="X494" s="87"/>
      <c r="AH494" s="3" t="str">
        <f>IF(COUNTIF(AB:AB,Z494)*COUNTIF(AD:AD,Z494)*COUNTIF(AF:AF,Z494),Z494,"")</f>
        <v/>
      </c>
      <c r="AI494" s="3" t="str">
        <f t="shared" si="26"/>
        <v/>
      </c>
    </row>
    <row r="495" spans="1:35" x14ac:dyDescent="0.25">
      <c r="A495" s="37"/>
      <c r="B495" s="38"/>
      <c r="C495" s="2"/>
      <c r="D495" s="41"/>
      <c r="E495" s="93"/>
      <c r="F495" s="93"/>
      <c r="G495" s="93"/>
      <c r="H495" s="38"/>
      <c r="I495" s="2"/>
      <c r="J495" s="41"/>
      <c r="K495" s="38"/>
      <c r="L495" s="41"/>
      <c r="M495" s="41"/>
      <c r="N495" s="42"/>
      <c r="O495" s="80"/>
      <c r="P495" s="80"/>
      <c r="Q495" s="87"/>
      <c r="R495" s="87"/>
      <c r="S495" s="87"/>
      <c r="T495" s="108"/>
      <c r="U495" s="87"/>
      <c r="V495" s="108"/>
      <c r="W495" s="87"/>
      <c r="X495" s="87"/>
      <c r="AH495" s="3" t="str">
        <f>IF(COUNTIF(AB:AB,Z495)*COUNTIF(AD:AD,Z495)*COUNTIF(AF:AF,Z495),Z495,"")</f>
        <v/>
      </c>
      <c r="AI495" s="3" t="str">
        <f t="shared" si="26"/>
        <v/>
      </c>
    </row>
    <row r="496" spans="1:35" x14ac:dyDescent="0.25">
      <c r="A496" s="37"/>
      <c r="B496" s="38"/>
      <c r="C496" s="2"/>
      <c r="D496" s="41"/>
      <c r="E496" s="93"/>
      <c r="F496" s="93"/>
      <c r="G496" s="93"/>
      <c r="H496" s="38"/>
      <c r="I496" s="2"/>
      <c r="J496" s="41"/>
      <c r="K496" s="38"/>
      <c r="L496" s="41"/>
      <c r="M496" s="41"/>
      <c r="N496" s="42"/>
      <c r="O496" s="80"/>
      <c r="P496" s="80"/>
      <c r="Q496" s="87"/>
      <c r="R496" s="87"/>
      <c r="S496" s="87"/>
      <c r="T496" s="108"/>
      <c r="U496" s="87"/>
      <c r="V496" s="108"/>
      <c r="W496" s="87"/>
      <c r="X496" s="87"/>
      <c r="AH496" s="3" t="str">
        <f>IF(COUNTIF(AB:AB,Z496)*COUNTIF(AD:AD,Z496)*COUNTIF(AF:AF,Z496),Z496,"")</f>
        <v/>
      </c>
      <c r="AI496" s="3" t="str">
        <f t="shared" si="26"/>
        <v/>
      </c>
    </row>
    <row r="497" spans="1:35" x14ac:dyDescent="0.25">
      <c r="A497" s="37"/>
      <c r="B497" s="38"/>
      <c r="C497" s="2"/>
      <c r="D497" s="41"/>
      <c r="E497" s="93"/>
      <c r="F497" s="93"/>
      <c r="G497" s="93"/>
      <c r="H497" s="38"/>
      <c r="I497" s="2"/>
      <c r="J497" s="41"/>
      <c r="K497" s="38"/>
      <c r="L497" s="41"/>
      <c r="M497" s="41"/>
      <c r="N497" s="42"/>
      <c r="O497" s="80"/>
      <c r="P497" s="80"/>
      <c r="Q497" s="87"/>
      <c r="R497" s="87"/>
      <c r="S497" s="87"/>
      <c r="T497" s="108"/>
      <c r="U497" s="87"/>
      <c r="V497" s="108"/>
      <c r="W497" s="87"/>
      <c r="X497" s="87"/>
      <c r="AH497" s="3" t="str">
        <f>IF(COUNTIF(AB:AB,Z497)*COUNTIF(AD:AD,Z497)*COUNTIF(AF:AF,Z497),Z497,"")</f>
        <v/>
      </c>
      <c r="AI497" s="3" t="str">
        <f t="shared" si="26"/>
        <v/>
      </c>
    </row>
    <row r="498" spans="1:35" x14ac:dyDescent="0.25">
      <c r="A498" s="37"/>
      <c r="B498" s="38"/>
      <c r="C498" s="2"/>
      <c r="D498" s="41"/>
      <c r="E498" s="93"/>
      <c r="F498" s="93"/>
      <c r="G498" s="93"/>
      <c r="H498" s="38"/>
      <c r="I498" s="2"/>
      <c r="J498" s="41"/>
      <c r="K498" s="38"/>
      <c r="L498" s="41"/>
      <c r="M498" s="41"/>
      <c r="N498" s="42"/>
      <c r="O498" s="80"/>
      <c r="P498" s="80"/>
      <c r="Q498" s="87"/>
      <c r="R498" s="87"/>
      <c r="S498" s="87"/>
      <c r="T498" s="108"/>
      <c r="U498" s="87"/>
      <c r="V498" s="108"/>
      <c r="W498" s="87"/>
      <c r="X498" s="87"/>
      <c r="AH498" s="3" t="str">
        <f>IF(COUNTIF(AB:AB,Z498)*COUNTIF(AD:AD,Z498)*COUNTIF(AF:AF,Z498),Z498,"")</f>
        <v/>
      </c>
      <c r="AI498" s="3" t="str">
        <f t="shared" si="26"/>
        <v/>
      </c>
    </row>
    <row r="499" spans="1:35" x14ac:dyDescent="0.25">
      <c r="A499" s="37"/>
      <c r="B499" s="38"/>
      <c r="C499" s="2"/>
      <c r="D499" s="41"/>
      <c r="E499" s="93"/>
      <c r="F499" s="93"/>
      <c r="G499" s="93"/>
      <c r="H499" s="38"/>
      <c r="I499" s="2"/>
      <c r="J499" s="41"/>
      <c r="K499" s="38"/>
      <c r="L499" s="41"/>
      <c r="M499" s="41"/>
      <c r="N499" s="42"/>
      <c r="O499" s="80"/>
      <c r="P499" s="80"/>
      <c r="Q499" s="87"/>
      <c r="R499" s="87"/>
      <c r="S499" s="87"/>
      <c r="T499" s="108"/>
      <c r="U499" s="87"/>
      <c r="V499" s="108"/>
      <c r="W499" s="87"/>
      <c r="X499" s="87"/>
      <c r="AH499" s="3" t="str">
        <f>IF(COUNTIF(AB:AB,Z499)*COUNTIF(AD:AD,Z499)*COUNTIF(AF:AF,Z499),Z499,"")</f>
        <v/>
      </c>
      <c r="AI499" s="3" t="str">
        <f t="shared" si="26"/>
        <v/>
      </c>
    </row>
    <row r="500" spans="1:35" x14ac:dyDescent="0.25">
      <c r="A500" s="37"/>
      <c r="B500" s="38"/>
      <c r="C500" s="2"/>
      <c r="D500" s="41"/>
      <c r="E500" s="93"/>
      <c r="F500" s="93"/>
      <c r="G500" s="93"/>
      <c r="H500" s="38"/>
      <c r="I500" s="2"/>
      <c r="J500" s="41"/>
      <c r="K500" s="38"/>
      <c r="L500" s="41"/>
      <c r="M500" s="41"/>
      <c r="N500" s="42"/>
      <c r="O500" s="80"/>
      <c r="P500" s="80"/>
      <c r="Q500" s="87"/>
      <c r="R500" s="87"/>
      <c r="S500" s="87"/>
      <c r="T500" s="108"/>
      <c r="U500" s="87"/>
      <c r="V500" s="108"/>
      <c r="W500" s="87"/>
      <c r="X500" s="87"/>
      <c r="AH500" s="3" t="str">
        <f>IF(COUNTIF(AB:AB,Z500)*COUNTIF(AD:AD,Z500)*COUNTIF(AF:AF,Z500),Z500,"")</f>
        <v/>
      </c>
      <c r="AI500" s="3" t="str">
        <f t="shared" si="26"/>
        <v/>
      </c>
    </row>
    <row r="501" spans="1:35" x14ac:dyDescent="0.25">
      <c r="A501" s="37"/>
      <c r="B501" s="38"/>
      <c r="C501" s="2"/>
      <c r="D501" s="41"/>
      <c r="E501" s="93"/>
      <c r="F501" s="93"/>
      <c r="G501" s="93"/>
      <c r="H501" s="38"/>
      <c r="I501" s="2"/>
      <c r="J501" s="41"/>
      <c r="K501" s="38"/>
      <c r="L501" s="41"/>
      <c r="M501" s="41"/>
      <c r="N501" s="42"/>
      <c r="O501" s="80"/>
      <c r="P501" s="80"/>
      <c r="Q501" s="87"/>
      <c r="R501" s="87"/>
      <c r="S501" s="87"/>
      <c r="T501" s="108"/>
      <c r="U501" s="87"/>
      <c r="V501" s="108"/>
      <c r="W501" s="87"/>
      <c r="X501" s="87"/>
      <c r="AH501" s="3" t="str">
        <f>IF(COUNTIF(AB:AB,Z501)*COUNTIF(AD:AD,Z501)*COUNTIF(AF:AF,Z501),Z501,"")</f>
        <v/>
      </c>
      <c r="AI501" s="3" t="str">
        <f t="shared" si="26"/>
        <v/>
      </c>
    </row>
    <row r="502" spans="1:35" x14ac:dyDescent="0.25">
      <c r="A502" s="37"/>
      <c r="B502" s="38"/>
      <c r="C502" s="2"/>
      <c r="D502" s="41"/>
      <c r="E502" s="93"/>
      <c r="F502" s="93"/>
      <c r="G502" s="93"/>
      <c r="H502" s="38"/>
      <c r="I502" s="2"/>
      <c r="J502" s="41"/>
      <c r="K502" s="38"/>
      <c r="L502" s="41"/>
      <c r="M502" s="41"/>
      <c r="N502" s="42"/>
      <c r="O502" s="80"/>
      <c r="P502" s="80"/>
      <c r="Q502" s="87"/>
      <c r="R502" s="87"/>
      <c r="S502" s="87"/>
      <c r="T502" s="108"/>
      <c r="U502" s="87"/>
      <c r="V502" s="108"/>
      <c r="W502" s="87"/>
      <c r="X502" s="87"/>
      <c r="AH502" s="3" t="str">
        <f>IF(COUNTIF(AB:AB,Z502)*COUNTIF(AD:AD,Z502)*COUNTIF(AF:AF,Z502),Z502,"")</f>
        <v/>
      </c>
      <c r="AI502" s="3" t="str">
        <f t="shared" si="26"/>
        <v/>
      </c>
    </row>
    <row r="503" spans="1:35" x14ac:dyDescent="0.25">
      <c r="A503" s="37"/>
      <c r="B503" s="38"/>
      <c r="C503" s="2"/>
      <c r="D503" s="41"/>
      <c r="E503" s="93"/>
      <c r="F503" s="93"/>
      <c r="G503" s="93"/>
      <c r="H503" s="38"/>
      <c r="I503" s="2"/>
      <c r="J503" s="41"/>
      <c r="K503" s="38"/>
      <c r="L503" s="41"/>
      <c r="M503" s="41"/>
      <c r="N503" s="42"/>
      <c r="O503" s="80"/>
      <c r="P503" s="80"/>
      <c r="Q503" s="87"/>
      <c r="R503" s="87"/>
      <c r="S503" s="87"/>
      <c r="T503" s="108"/>
      <c r="U503" s="87"/>
      <c r="V503" s="108"/>
      <c r="W503" s="87"/>
      <c r="X503" s="87"/>
      <c r="AH503" s="3" t="str">
        <f>IF(COUNTIF(AB:AB,Z503)*COUNTIF(AD:AD,Z503)*COUNTIF(AF:AF,Z503),Z503,"")</f>
        <v/>
      </c>
      <c r="AI503" s="3" t="str">
        <f t="shared" si="26"/>
        <v/>
      </c>
    </row>
    <row r="504" spans="1:35" x14ac:dyDescent="0.25">
      <c r="A504" s="37"/>
      <c r="B504" s="38"/>
      <c r="C504" s="2"/>
      <c r="D504" s="41"/>
      <c r="E504" s="93"/>
      <c r="F504" s="93"/>
      <c r="G504" s="93"/>
      <c r="H504" s="38"/>
      <c r="I504" s="2"/>
      <c r="J504" s="41"/>
      <c r="K504" s="38"/>
      <c r="L504" s="41"/>
      <c r="M504" s="41"/>
      <c r="N504" s="42"/>
      <c r="O504" s="80"/>
      <c r="P504" s="80"/>
      <c r="Q504" s="87"/>
      <c r="R504" s="87"/>
      <c r="S504" s="87"/>
      <c r="T504" s="108"/>
      <c r="U504" s="87"/>
      <c r="V504" s="108"/>
      <c r="W504" s="87"/>
      <c r="X504" s="87"/>
      <c r="AH504" s="3" t="str">
        <f>IF(COUNTIF(AB:AB,Z504)*COUNTIF(AD:AD,Z504)*COUNTIF(AF:AF,Z504),Z504,"")</f>
        <v/>
      </c>
      <c r="AI504" s="3" t="str">
        <f t="shared" si="26"/>
        <v/>
      </c>
    </row>
    <row r="505" spans="1:35" x14ac:dyDescent="0.25">
      <c r="A505" s="37"/>
      <c r="B505" s="38"/>
      <c r="C505" s="2"/>
      <c r="D505" s="41"/>
      <c r="E505" s="93"/>
      <c r="F505" s="93"/>
      <c r="G505" s="93"/>
      <c r="H505" s="38"/>
      <c r="I505" s="2"/>
      <c r="J505" s="41"/>
      <c r="K505" s="38"/>
      <c r="L505" s="41"/>
      <c r="M505" s="41"/>
      <c r="N505" s="42"/>
      <c r="O505" s="80"/>
      <c r="P505" s="80"/>
      <c r="Q505" s="87"/>
      <c r="R505" s="87"/>
      <c r="S505" s="87"/>
      <c r="T505" s="108"/>
      <c r="U505" s="87"/>
      <c r="V505" s="108"/>
      <c r="W505" s="87"/>
      <c r="X505" s="87"/>
      <c r="AH505" s="3" t="str">
        <f>IF(COUNTIF(AB:AB,Z505)*COUNTIF(AD:AD,Z505)*COUNTIF(AF:AF,Z505),Z505,"")</f>
        <v/>
      </c>
      <c r="AI505" s="3" t="str">
        <f t="shared" si="26"/>
        <v/>
      </c>
    </row>
    <row r="506" spans="1:35" x14ac:dyDescent="0.25">
      <c r="A506" s="37"/>
      <c r="B506" s="38"/>
      <c r="C506" s="2"/>
      <c r="D506" s="41"/>
      <c r="E506" s="93"/>
      <c r="F506" s="93"/>
      <c r="G506" s="93"/>
      <c r="H506" s="38"/>
      <c r="I506" s="2"/>
      <c r="J506" s="41"/>
      <c r="K506" s="38"/>
      <c r="L506" s="41"/>
      <c r="M506" s="41"/>
      <c r="N506" s="42"/>
      <c r="O506" s="80"/>
      <c r="P506" s="80"/>
      <c r="Q506" s="87"/>
      <c r="R506" s="87"/>
      <c r="S506" s="87"/>
      <c r="T506" s="108"/>
      <c r="U506" s="87"/>
      <c r="V506" s="108"/>
      <c r="W506" s="87"/>
      <c r="X506" s="87"/>
      <c r="AH506" s="3" t="str">
        <f>IF(COUNTIF(AB:AB,Z506)*COUNTIF(AD:AD,Z506)*COUNTIF(AF:AF,Z506),Z506,"")</f>
        <v/>
      </c>
      <c r="AI506" s="3" t="str">
        <f t="shared" si="26"/>
        <v/>
      </c>
    </row>
    <row r="507" spans="1:35" x14ac:dyDescent="0.25">
      <c r="A507" s="37"/>
      <c r="B507" s="38"/>
      <c r="C507" s="2"/>
      <c r="D507" s="41"/>
      <c r="E507" s="93"/>
      <c r="F507" s="93"/>
      <c r="G507" s="93"/>
      <c r="H507" s="38"/>
      <c r="I507" s="2"/>
      <c r="J507" s="41"/>
      <c r="K507" s="38"/>
      <c r="L507" s="41"/>
      <c r="M507" s="41"/>
      <c r="N507" s="42"/>
      <c r="O507" s="80"/>
      <c r="P507" s="80"/>
      <c r="Q507" s="87"/>
      <c r="R507" s="87"/>
      <c r="S507" s="87"/>
      <c r="T507" s="108"/>
      <c r="U507" s="87"/>
      <c r="V507" s="108"/>
      <c r="W507" s="87"/>
      <c r="X507" s="87"/>
      <c r="AH507" s="3" t="str">
        <f>IF(COUNTIF(AB:AB,Z507)*COUNTIF(AD:AD,Z507)*COUNTIF(AF:AF,Z507),Z507,"")</f>
        <v/>
      </c>
      <c r="AI507" s="3" t="str">
        <f t="shared" si="26"/>
        <v/>
      </c>
    </row>
    <row r="508" spans="1:35" x14ac:dyDescent="0.25">
      <c r="A508" s="37"/>
      <c r="B508" s="38"/>
      <c r="C508" s="2"/>
      <c r="D508" s="41"/>
      <c r="E508" s="93"/>
      <c r="F508" s="93"/>
      <c r="G508" s="93"/>
      <c r="H508" s="38"/>
      <c r="I508" s="2"/>
      <c r="J508" s="41"/>
      <c r="K508" s="38"/>
      <c r="L508" s="41"/>
      <c r="M508" s="41"/>
      <c r="N508" s="42"/>
      <c r="O508" s="80"/>
      <c r="P508" s="80"/>
      <c r="Q508" s="87"/>
      <c r="R508" s="87"/>
      <c r="S508" s="87"/>
      <c r="T508" s="108"/>
      <c r="U508" s="87"/>
      <c r="V508" s="108"/>
      <c r="W508" s="87"/>
      <c r="X508" s="87"/>
      <c r="AH508" s="3" t="str">
        <f>IF(COUNTIF(AB:AB,Z508)*COUNTIF(AD:AD,Z508)*COUNTIF(AF:AF,Z508),Z508,"")</f>
        <v/>
      </c>
      <c r="AI508" s="3" t="str">
        <f t="shared" si="26"/>
        <v/>
      </c>
    </row>
    <row r="509" spans="1:35" x14ac:dyDescent="0.25">
      <c r="A509" s="37"/>
      <c r="B509" s="38"/>
      <c r="C509" s="2"/>
      <c r="D509" s="41"/>
      <c r="E509" s="93"/>
      <c r="F509" s="93"/>
      <c r="G509" s="93"/>
      <c r="H509" s="38"/>
      <c r="I509" s="2"/>
      <c r="J509" s="41"/>
      <c r="K509" s="38"/>
      <c r="L509" s="41"/>
      <c r="M509" s="41"/>
      <c r="N509" s="42"/>
      <c r="O509" s="80"/>
      <c r="P509" s="80"/>
      <c r="Q509" s="87"/>
      <c r="R509" s="87"/>
      <c r="S509" s="87"/>
      <c r="T509" s="108"/>
      <c r="U509" s="87"/>
      <c r="V509" s="108"/>
      <c r="W509" s="87"/>
      <c r="X509" s="87"/>
      <c r="AH509" s="3" t="str">
        <f>IF(COUNTIF(AB:AB,Z509)*COUNTIF(AD:AD,Z509)*COUNTIF(AF:AF,Z509),Z509,"")</f>
        <v/>
      </c>
      <c r="AI509" s="3" t="str">
        <f t="shared" si="26"/>
        <v/>
      </c>
    </row>
    <row r="510" spans="1:35" x14ac:dyDescent="0.25">
      <c r="A510" s="37"/>
      <c r="B510" s="38"/>
      <c r="C510" s="2"/>
      <c r="D510" s="41"/>
      <c r="E510" s="93"/>
      <c r="F510" s="93"/>
      <c r="G510" s="93"/>
      <c r="H510" s="38"/>
      <c r="I510" s="2"/>
      <c r="J510" s="41"/>
      <c r="K510" s="38"/>
      <c r="L510" s="41"/>
      <c r="M510" s="41"/>
      <c r="N510" s="42"/>
      <c r="O510" s="80"/>
      <c r="P510" s="80"/>
      <c r="Q510" s="87"/>
      <c r="R510" s="87"/>
      <c r="S510" s="87"/>
      <c r="T510" s="108"/>
      <c r="U510" s="87"/>
      <c r="V510" s="108"/>
      <c r="W510" s="87"/>
      <c r="X510" s="87"/>
      <c r="AH510" s="3" t="str">
        <f>IF(COUNTIF(AB:AB,Z510)*COUNTIF(AD:AD,Z510)*COUNTIF(AF:AF,Z510),Z510,"")</f>
        <v/>
      </c>
      <c r="AI510" s="3" t="str">
        <f t="shared" si="26"/>
        <v/>
      </c>
    </row>
    <row r="511" spans="1:35" x14ac:dyDescent="0.25">
      <c r="A511" s="37"/>
      <c r="B511" s="38"/>
      <c r="C511" s="2"/>
      <c r="D511" s="41"/>
      <c r="E511" s="93"/>
      <c r="F511" s="93"/>
      <c r="G511" s="93"/>
      <c r="H511" s="38"/>
      <c r="I511" s="2"/>
      <c r="J511" s="41"/>
      <c r="K511" s="38"/>
      <c r="L511" s="41"/>
      <c r="M511" s="41"/>
      <c r="N511" s="42"/>
      <c r="O511" s="80"/>
      <c r="P511" s="80"/>
      <c r="Q511" s="87"/>
      <c r="R511" s="87"/>
      <c r="S511" s="87"/>
      <c r="T511" s="108"/>
      <c r="U511" s="87"/>
      <c r="V511" s="108"/>
      <c r="W511" s="87"/>
      <c r="X511" s="87"/>
      <c r="AH511" s="3" t="str">
        <f>IF(COUNTIF(AB:AB,Z511)*COUNTIF(AD:AD,Z511)*COUNTIF(AF:AF,Z511),Z511,"")</f>
        <v/>
      </c>
      <c r="AI511" s="3" t="str">
        <f t="shared" si="26"/>
        <v/>
      </c>
    </row>
    <row r="512" spans="1:35" x14ac:dyDescent="0.25">
      <c r="A512" s="37"/>
      <c r="B512" s="38"/>
      <c r="C512" s="2"/>
      <c r="D512" s="41"/>
      <c r="E512" s="93"/>
      <c r="F512" s="93"/>
      <c r="G512" s="93"/>
      <c r="H512" s="38"/>
      <c r="I512" s="2"/>
      <c r="J512" s="41"/>
      <c r="K512" s="38"/>
      <c r="L512" s="41"/>
      <c r="M512" s="41"/>
      <c r="N512" s="42"/>
      <c r="O512" s="80"/>
      <c r="P512" s="80"/>
      <c r="Q512" s="87"/>
      <c r="R512" s="87"/>
      <c r="S512" s="87"/>
      <c r="T512" s="108"/>
      <c r="U512" s="87"/>
      <c r="V512" s="108"/>
      <c r="W512" s="87"/>
      <c r="X512" s="87"/>
      <c r="AH512" s="3" t="str">
        <f>IF(COUNTIF(AB:AB,Z512)*COUNTIF(AD:AD,Z512)*COUNTIF(AF:AF,Z512),Z512,"")</f>
        <v/>
      </c>
      <c r="AI512" s="3" t="str">
        <f t="shared" si="26"/>
        <v/>
      </c>
    </row>
    <row r="513" spans="1:35" x14ac:dyDescent="0.25">
      <c r="A513" s="37"/>
      <c r="B513" s="38"/>
      <c r="C513" s="2"/>
      <c r="D513" s="41"/>
      <c r="E513" s="93"/>
      <c r="F513" s="93"/>
      <c r="G513" s="93"/>
      <c r="H513" s="38"/>
      <c r="I513" s="2"/>
      <c r="J513" s="41"/>
      <c r="K513" s="38"/>
      <c r="L513" s="41"/>
      <c r="M513" s="41"/>
      <c r="N513" s="42"/>
      <c r="O513" s="80"/>
      <c r="P513" s="80"/>
      <c r="Q513" s="87"/>
      <c r="R513" s="87"/>
      <c r="S513" s="87"/>
      <c r="T513" s="108"/>
      <c r="U513" s="87"/>
      <c r="V513" s="108"/>
      <c r="W513" s="87"/>
      <c r="X513" s="87"/>
      <c r="AH513" s="3" t="str">
        <f>IF(COUNTIF(AB:AB,Z513)*COUNTIF(AD:AD,Z513)*COUNTIF(AF:AF,Z513),Z513,"")</f>
        <v/>
      </c>
      <c r="AI513" s="3" t="str">
        <f t="shared" si="26"/>
        <v/>
      </c>
    </row>
    <row r="514" spans="1:35" x14ac:dyDescent="0.25">
      <c r="A514" s="37"/>
      <c r="B514" s="38"/>
      <c r="C514" s="2"/>
      <c r="D514" s="41"/>
      <c r="E514" s="93"/>
      <c r="F514" s="93"/>
      <c r="G514" s="93"/>
      <c r="H514" s="38"/>
      <c r="I514" s="2"/>
      <c r="J514" s="41"/>
      <c r="K514" s="38"/>
      <c r="L514" s="41"/>
      <c r="M514" s="41"/>
      <c r="N514" s="42"/>
      <c r="O514" s="80"/>
      <c r="P514" s="80"/>
      <c r="Q514" s="87"/>
      <c r="R514" s="87"/>
      <c r="S514" s="87"/>
      <c r="T514" s="108"/>
      <c r="U514" s="87"/>
      <c r="V514" s="108"/>
      <c r="W514" s="87"/>
      <c r="X514" s="87"/>
      <c r="AH514" s="3" t="str">
        <f>IF(COUNTIF(AB:AB,Z514)*COUNTIF(AD:AD,Z514)*COUNTIF(AF:AF,Z514),Z514,"")</f>
        <v/>
      </c>
      <c r="AI514" s="3" t="str">
        <f t="shared" si="26"/>
        <v/>
      </c>
    </row>
    <row r="515" spans="1:35" x14ac:dyDescent="0.25">
      <c r="A515" s="37"/>
      <c r="B515" s="38"/>
      <c r="C515" s="2"/>
      <c r="D515" s="41"/>
      <c r="E515" s="93"/>
      <c r="F515" s="93"/>
      <c r="G515" s="93"/>
      <c r="H515" s="38"/>
      <c r="I515" s="2"/>
      <c r="J515" s="41"/>
      <c r="K515" s="38"/>
      <c r="L515" s="41"/>
      <c r="M515" s="41"/>
      <c r="N515" s="42"/>
      <c r="O515" s="80"/>
      <c r="P515" s="80"/>
      <c r="Q515" s="87"/>
      <c r="R515" s="87"/>
      <c r="S515" s="87"/>
      <c r="T515" s="108"/>
      <c r="U515" s="87"/>
      <c r="V515" s="108"/>
      <c r="W515" s="87"/>
      <c r="X515" s="87"/>
      <c r="AH515" s="3" t="str">
        <f>IF(COUNTIF(AB:AB,Z515)*COUNTIF(AD:AD,Z515)*COUNTIF(AF:AF,Z515),Z515,"")</f>
        <v/>
      </c>
      <c r="AI515" s="3" t="str">
        <f t="shared" si="26"/>
        <v/>
      </c>
    </row>
    <row r="516" spans="1:35" x14ac:dyDescent="0.25">
      <c r="A516" s="37"/>
      <c r="B516" s="38"/>
      <c r="C516" s="2"/>
      <c r="D516" s="41"/>
      <c r="E516" s="93"/>
      <c r="F516" s="93"/>
      <c r="G516" s="93"/>
      <c r="H516" s="38"/>
      <c r="I516" s="2"/>
      <c r="J516" s="41"/>
      <c r="K516" s="38"/>
      <c r="L516" s="41"/>
      <c r="M516" s="41"/>
      <c r="N516" s="42"/>
      <c r="O516" s="80"/>
      <c r="P516" s="80"/>
      <c r="Q516" s="87"/>
      <c r="R516" s="87"/>
      <c r="S516" s="87"/>
      <c r="T516" s="108"/>
      <c r="U516" s="87"/>
      <c r="V516" s="108"/>
      <c r="W516" s="87"/>
      <c r="X516" s="87"/>
      <c r="AH516" s="3" t="str">
        <f>IF(COUNTIF(AB:AB,Z516)*COUNTIF(AD:AD,Z516)*COUNTIF(AF:AF,Z516),Z516,"")</f>
        <v/>
      </c>
      <c r="AI516" s="3" t="str">
        <f t="shared" ref="AI516:AI569" si="27">IF(AH516&gt;=$A$14,AH516,"")</f>
        <v/>
      </c>
    </row>
    <row r="517" spans="1:35" x14ac:dyDescent="0.25">
      <c r="A517" s="37"/>
      <c r="B517" s="38"/>
      <c r="C517" s="2"/>
      <c r="D517" s="41"/>
      <c r="E517" s="93"/>
      <c r="F517" s="93"/>
      <c r="G517" s="93"/>
      <c r="H517" s="38"/>
      <c r="I517" s="2"/>
      <c r="J517" s="41"/>
      <c r="K517" s="38"/>
      <c r="L517" s="41"/>
      <c r="M517" s="41"/>
      <c r="N517" s="42"/>
      <c r="O517" s="80"/>
      <c r="P517" s="80"/>
      <c r="Q517" s="87"/>
      <c r="R517" s="87"/>
      <c r="S517" s="87"/>
      <c r="T517" s="108"/>
      <c r="U517" s="87"/>
      <c r="V517" s="108"/>
      <c r="W517" s="87"/>
      <c r="X517" s="87"/>
      <c r="AH517" s="3" t="str">
        <f>IF(COUNTIF(AB:AB,Z517)*COUNTIF(AD:AD,Z517)*COUNTIF(AF:AF,Z517),Z517,"")</f>
        <v/>
      </c>
      <c r="AI517" s="3" t="str">
        <f t="shared" si="27"/>
        <v/>
      </c>
    </row>
    <row r="518" spans="1:35" x14ac:dyDescent="0.25">
      <c r="A518" s="37"/>
      <c r="B518" s="38"/>
      <c r="C518" s="2"/>
      <c r="D518" s="41"/>
      <c r="E518" s="93"/>
      <c r="F518" s="93"/>
      <c r="G518" s="93"/>
      <c r="H518" s="38"/>
      <c r="I518" s="2"/>
      <c r="J518" s="41"/>
      <c r="K518" s="38"/>
      <c r="L518" s="41"/>
      <c r="M518" s="41"/>
      <c r="N518" s="42"/>
      <c r="O518" s="80"/>
      <c r="P518" s="80"/>
      <c r="Q518" s="87"/>
      <c r="R518" s="87"/>
      <c r="S518" s="87"/>
      <c r="T518" s="108"/>
      <c r="U518" s="87"/>
      <c r="V518" s="108"/>
      <c r="W518" s="87"/>
      <c r="X518" s="87"/>
      <c r="AH518" s="3" t="str">
        <f>IF(COUNTIF(AB:AB,Z518)*COUNTIF(AD:AD,Z518)*COUNTIF(AF:AF,Z518),Z518,"")</f>
        <v/>
      </c>
      <c r="AI518" s="3" t="str">
        <f t="shared" si="27"/>
        <v/>
      </c>
    </row>
    <row r="519" spans="1:35" x14ac:dyDescent="0.25">
      <c r="A519" s="37"/>
      <c r="B519" s="38"/>
      <c r="C519" s="2"/>
      <c r="D519" s="41"/>
      <c r="E519" s="93"/>
      <c r="F519" s="93"/>
      <c r="G519" s="93"/>
      <c r="H519" s="38"/>
      <c r="I519" s="2"/>
      <c r="J519" s="41"/>
      <c r="K519" s="38"/>
      <c r="L519" s="41"/>
      <c r="M519" s="41"/>
      <c r="N519" s="42"/>
      <c r="O519" s="80"/>
      <c r="P519" s="80"/>
      <c r="Q519" s="87"/>
      <c r="R519" s="87"/>
      <c r="S519" s="87"/>
      <c r="T519" s="108"/>
      <c r="U519" s="87"/>
      <c r="V519" s="108"/>
      <c r="W519" s="87"/>
      <c r="X519" s="87"/>
      <c r="AH519" s="3" t="str">
        <f>IF(COUNTIF(AB:AB,Z519)*COUNTIF(AD:AD,Z519)*COUNTIF(AF:AF,Z519),Z519,"")</f>
        <v/>
      </c>
      <c r="AI519" s="3" t="str">
        <f t="shared" si="27"/>
        <v/>
      </c>
    </row>
    <row r="520" spans="1:35" x14ac:dyDescent="0.25">
      <c r="A520" s="37"/>
      <c r="B520" s="38"/>
      <c r="C520" s="2"/>
      <c r="D520" s="41"/>
      <c r="E520" s="93"/>
      <c r="F520" s="93"/>
      <c r="G520" s="93"/>
      <c r="H520" s="38"/>
      <c r="I520" s="2"/>
      <c r="J520" s="41"/>
      <c r="K520" s="38"/>
      <c r="L520" s="41"/>
      <c r="M520" s="41"/>
      <c r="N520" s="42"/>
      <c r="O520" s="80"/>
      <c r="P520" s="80"/>
      <c r="Q520" s="87"/>
      <c r="R520" s="87"/>
      <c r="S520" s="87"/>
      <c r="T520" s="108"/>
      <c r="U520" s="87"/>
      <c r="V520" s="108"/>
      <c r="W520" s="87"/>
      <c r="X520" s="87"/>
      <c r="AH520" s="3" t="str">
        <f>IF(COUNTIF(AB:AB,Z520)*COUNTIF(AD:AD,Z520)*COUNTIF(AF:AF,Z520),Z520,"")</f>
        <v/>
      </c>
      <c r="AI520" s="3" t="str">
        <f t="shared" si="27"/>
        <v/>
      </c>
    </row>
    <row r="521" spans="1:35" x14ac:dyDescent="0.25">
      <c r="A521" s="37"/>
      <c r="B521" s="38"/>
      <c r="C521" s="2"/>
      <c r="D521" s="41"/>
      <c r="E521" s="93"/>
      <c r="F521" s="93"/>
      <c r="G521" s="93"/>
      <c r="H521" s="38"/>
      <c r="I521" s="2"/>
      <c r="J521" s="41"/>
      <c r="K521" s="38"/>
      <c r="L521" s="41"/>
      <c r="M521" s="41"/>
      <c r="N521" s="42"/>
      <c r="O521" s="80"/>
      <c r="P521" s="80"/>
      <c r="Q521" s="87"/>
      <c r="R521" s="87"/>
      <c r="S521" s="87"/>
      <c r="T521" s="108"/>
      <c r="U521" s="87"/>
      <c r="V521" s="108"/>
      <c r="W521" s="87"/>
      <c r="X521" s="87"/>
      <c r="AH521" s="3" t="str">
        <f>IF(COUNTIF(AB:AB,Z521)*COUNTIF(AD:AD,Z521)*COUNTIF(AF:AF,Z521),Z521,"")</f>
        <v/>
      </c>
      <c r="AI521" s="3" t="str">
        <f t="shared" si="27"/>
        <v/>
      </c>
    </row>
    <row r="522" spans="1:35" x14ac:dyDescent="0.25">
      <c r="A522" s="37"/>
      <c r="B522" s="38"/>
      <c r="C522" s="2"/>
      <c r="D522" s="41"/>
      <c r="E522" s="93"/>
      <c r="F522" s="93"/>
      <c r="G522" s="93"/>
      <c r="H522" s="38"/>
      <c r="I522" s="2"/>
      <c r="J522" s="41"/>
      <c r="K522" s="38"/>
      <c r="L522" s="41"/>
      <c r="M522" s="41"/>
      <c r="N522" s="42"/>
      <c r="O522" s="80"/>
      <c r="P522" s="80"/>
      <c r="Q522" s="87"/>
      <c r="R522" s="87"/>
      <c r="S522" s="87"/>
      <c r="T522" s="108"/>
      <c r="U522" s="87"/>
      <c r="V522" s="108"/>
      <c r="W522" s="87"/>
      <c r="X522" s="87"/>
      <c r="AH522" s="3" t="str">
        <f>IF(COUNTIF(AB:AB,Z522)*COUNTIF(AD:AD,Z522)*COUNTIF(AF:AF,Z522),Z522,"")</f>
        <v/>
      </c>
      <c r="AI522" s="3" t="str">
        <f t="shared" si="27"/>
        <v/>
      </c>
    </row>
    <row r="523" spans="1:35" x14ac:dyDescent="0.25">
      <c r="A523" s="37"/>
      <c r="B523" s="38"/>
      <c r="C523" s="2"/>
      <c r="D523" s="41"/>
      <c r="E523" s="93"/>
      <c r="F523" s="93"/>
      <c r="G523" s="93"/>
      <c r="H523" s="38"/>
      <c r="I523" s="2"/>
      <c r="J523" s="41"/>
      <c r="K523" s="38"/>
      <c r="L523" s="41"/>
      <c r="M523" s="41"/>
      <c r="N523" s="42"/>
      <c r="O523" s="80"/>
      <c r="P523" s="80"/>
      <c r="Q523" s="87"/>
      <c r="R523" s="87"/>
      <c r="S523" s="87"/>
      <c r="T523" s="108"/>
      <c r="U523" s="87"/>
      <c r="V523" s="108"/>
      <c r="W523" s="87"/>
      <c r="X523" s="87"/>
      <c r="AH523" s="3" t="str">
        <f>IF(COUNTIF(AB:AB,Z523)*COUNTIF(AD:AD,Z523)*COUNTIF(AF:AF,Z523),Z523,"")</f>
        <v/>
      </c>
      <c r="AI523" s="3" t="str">
        <f t="shared" si="27"/>
        <v/>
      </c>
    </row>
    <row r="524" spans="1:35" x14ac:dyDescent="0.25">
      <c r="A524" s="37"/>
      <c r="B524" s="38"/>
      <c r="C524" s="2"/>
      <c r="D524" s="41"/>
      <c r="E524" s="93"/>
      <c r="F524" s="93"/>
      <c r="G524" s="93"/>
      <c r="H524" s="38"/>
      <c r="I524" s="2"/>
      <c r="J524" s="41"/>
      <c r="K524" s="38"/>
      <c r="L524" s="41"/>
      <c r="M524" s="41"/>
      <c r="N524" s="42"/>
      <c r="O524" s="80"/>
      <c r="P524" s="80"/>
      <c r="Q524" s="87"/>
      <c r="R524" s="87"/>
      <c r="S524" s="87"/>
      <c r="T524" s="108"/>
      <c r="U524" s="87"/>
      <c r="V524" s="108"/>
      <c r="W524" s="87"/>
      <c r="X524" s="87"/>
      <c r="AH524" s="3" t="str">
        <f>IF(COUNTIF(AB:AB,Z524)*COUNTIF(AD:AD,Z524)*COUNTIF(AF:AF,Z524),Z524,"")</f>
        <v/>
      </c>
      <c r="AI524" s="3" t="str">
        <f t="shared" si="27"/>
        <v/>
      </c>
    </row>
    <row r="525" spans="1:35" x14ac:dyDescent="0.25">
      <c r="A525" s="37"/>
      <c r="B525" s="38"/>
      <c r="C525" s="2"/>
      <c r="D525" s="41"/>
      <c r="E525" s="93"/>
      <c r="F525" s="93"/>
      <c r="G525" s="93"/>
      <c r="H525" s="38"/>
      <c r="I525" s="2"/>
      <c r="J525" s="41"/>
      <c r="K525" s="38"/>
      <c r="L525" s="41"/>
      <c r="M525" s="41"/>
      <c r="N525" s="42"/>
      <c r="O525" s="80"/>
      <c r="P525" s="80"/>
      <c r="Q525" s="87"/>
      <c r="R525" s="87"/>
      <c r="S525" s="87"/>
      <c r="T525" s="108"/>
      <c r="U525" s="87"/>
      <c r="V525" s="108"/>
      <c r="W525" s="87"/>
      <c r="X525" s="87"/>
      <c r="AH525" s="3" t="str">
        <f>IF(COUNTIF(AB:AB,Z525)*COUNTIF(AD:AD,Z525)*COUNTIF(AF:AF,Z525),Z525,"")</f>
        <v/>
      </c>
      <c r="AI525" s="3" t="str">
        <f t="shared" si="27"/>
        <v/>
      </c>
    </row>
    <row r="526" spans="1:35" x14ac:dyDescent="0.25">
      <c r="A526" s="37"/>
      <c r="B526" s="38"/>
      <c r="C526" s="2"/>
      <c r="D526" s="41"/>
      <c r="E526" s="93"/>
      <c r="F526" s="93"/>
      <c r="G526" s="93"/>
      <c r="H526" s="38"/>
      <c r="I526" s="2"/>
      <c r="J526" s="41"/>
      <c r="K526" s="38"/>
      <c r="L526" s="41"/>
      <c r="M526" s="41"/>
      <c r="N526" s="42"/>
      <c r="O526" s="80"/>
      <c r="P526" s="80"/>
      <c r="Q526" s="87"/>
      <c r="R526" s="87"/>
      <c r="S526" s="87"/>
      <c r="T526" s="108"/>
      <c r="U526" s="87"/>
      <c r="V526" s="108"/>
      <c r="W526" s="87"/>
      <c r="X526" s="87"/>
      <c r="AH526" s="3" t="str">
        <f>IF(COUNTIF(AB:AB,Z526)*COUNTIF(AD:AD,Z526)*COUNTIF(AF:AF,Z526),Z526,"")</f>
        <v/>
      </c>
      <c r="AI526" s="3" t="str">
        <f t="shared" si="27"/>
        <v/>
      </c>
    </row>
    <row r="527" spans="1:35" x14ac:dyDescent="0.25">
      <c r="A527" s="37"/>
      <c r="B527" s="38"/>
      <c r="C527" s="2"/>
      <c r="D527" s="41"/>
      <c r="E527" s="93"/>
      <c r="F527" s="93"/>
      <c r="G527" s="93"/>
      <c r="H527" s="38"/>
      <c r="I527" s="2"/>
      <c r="J527" s="41"/>
      <c r="K527" s="38"/>
      <c r="L527" s="41"/>
      <c r="M527" s="41"/>
      <c r="N527" s="42"/>
      <c r="O527" s="80"/>
      <c r="P527" s="80"/>
      <c r="Q527" s="87"/>
      <c r="R527" s="87"/>
      <c r="S527" s="87"/>
      <c r="T527" s="108"/>
      <c r="U527" s="87"/>
      <c r="V527" s="108"/>
      <c r="W527" s="87"/>
      <c r="X527" s="87"/>
      <c r="AH527" s="3" t="str">
        <f>IF(COUNTIF(AB:AB,Z527)*COUNTIF(AD:AD,Z527)*COUNTIF(AF:AF,Z527),Z527,"")</f>
        <v/>
      </c>
      <c r="AI527" s="3" t="str">
        <f t="shared" si="27"/>
        <v/>
      </c>
    </row>
    <row r="528" spans="1:35" x14ac:dyDescent="0.25">
      <c r="A528" s="37"/>
      <c r="B528" s="38"/>
      <c r="C528" s="2"/>
      <c r="D528" s="41"/>
      <c r="E528" s="93"/>
      <c r="F528" s="93"/>
      <c r="G528" s="93"/>
      <c r="H528" s="38"/>
      <c r="I528" s="2"/>
      <c r="J528" s="41"/>
      <c r="K528" s="38"/>
      <c r="L528" s="41"/>
      <c r="M528" s="41"/>
      <c r="N528" s="42"/>
      <c r="O528" s="80"/>
      <c r="P528" s="80"/>
      <c r="Q528" s="87"/>
      <c r="R528" s="87"/>
      <c r="S528" s="87"/>
      <c r="T528" s="108"/>
      <c r="U528" s="87"/>
      <c r="V528" s="108"/>
      <c r="W528" s="87"/>
      <c r="X528" s="87"/>
      <c r="AH528" s="3" t="str">
        <f>IF(COUNTIF(AB:AB,Z528)*COUNTIF(AD:AD,Z528)*COUNTIF(AF:AF,Z528),Z528,"")</f>
        <v/>
      </c>
      <c r="AI528" s="3" t="str">
        <f t="shared" si="27"/>
        <v/>
      </c>
    </row>
    <row r="529" spans="1:35" x14ac:dyDescent="0.25">
      <c r="A529" s="37"/>
      <c r="B529" s="38"/>
      <c r="C529" s="2"/>
      <c r="D529" s="41"/>
      <c r="E529" s="93"/>
      <c r="F529" s="93"/>
      <c r="G529" s="93"/>
      <c r="H529" s="38"/>
      <c r="I529" s="2"/>
      <c r="J529" s="41"/>
      <c r="K529" s="38"/>
      <c r="L529" s="41"/>
      <c r="M529" s="41"/>
      <c r="N529" s="42"/>
      <c r="O529" s="80"/>
      <c r="P529" s="80"/>
      <c r="Q529" s="87"/>
      <c r="R529" s="87"/>
      <c r="S529" s="87"/>
      <c r="T529" s="108"/>
      <c r="U529" s="87"/>
      <c r="V529" s="108"/>
      <c r="W529" s="87"/>
      <c r="X529" s="87"/>
      <c r="AH529" s="3" t="str">
        <f>IF(COUNTIF(AB:AB,Z529)*COUNTIF(AD:AD,Z529)*COUNTIF(AF:AF,Z529),Z529,"")</f>
        <v/>
      </c>
      <c r="AI529" s="3" t="str">
        <f t="shared" si="27"/>
        <v/>
      </c>
    </row>
    <row r="530" spans="1:35" x14ac:dyDescent="0.25">
      <c r="A530" s="37"/>
      <c r="B530" s="38"/>
      <c r="C530" s="2"/>
      <c r="D530" s="41"/>
      <c r="E530" s="93"/>
      <c r="F530" s="93"/>
      <c r="G530" s="93"/>
      <c r="H530" s="38"/>
      <c r="I530" s="2"/>
      <c r="J530" s="41"/>
      <c r="K530" s="38"/>
      <c r="L530" s="41"/>
      <c r="M530" s="41"/>
      <c r="N530" s="42"/>
      <c r="O530" s="80"/>
      <c r="P530" s="80"/>
      <c r="Q530" s="87"/>
      <c r="R530" s="87"/>
      <c r="S530" s="87"/>
      <c r="T530" s="108"/>
      <c r="U530" s="87"/>
      <c r="V530" s="108"/>
      <c r="W530" s="87"/>
      <c r="X530" s="87"/>
      <c r="AH530" s="3" t="str">
        <f>IF(COUNTIF(AB:AB,Z530)*COUNTIF(AD:AD,Z530)*COUNTIF(AF:AF,Z530),Z530,"")</f>
        <v/>
      </c>
      <c r="AI530" s="3" t="str">
        <f t="shared" si="27"/>
        <v/>
      </c>
    </row>
    <row r="531" spans="1:35" x14ac:dyDescent="0.25">
      <c r="A531" s="37"/>
      <c r="B531" s="38"/>
      <c r="C531" s="2"/>
      <c r="D531" s="41"/>
      <c r="E531" s="93"/>
      <c r="F531" s="93"/>
      <c r="G531" s="93"/>
      <c r="H531" s="38"/>
      <c r="I531" s="2"/>
      <c r="J531" s="41"/>
      <c r="K531" s="38"/>
      <c r="L531" s="41"/>
      <c r="M531" s="41"/>
      <c r="N531" s="42"/>
      <c r="O531" s="80"/>
      <c r="P531" s="80"/>
      <c r="Q531" s="87"/>
      <c r="R531" s="87"/>
      <c r="S531" s="87"/>
      <c r="T531" s="108"/>
      <c r="U531" s="87"/>
      <c r="V531" s="108"/>
      <c r="W531" s="87"/>
      <c r="X531" s="87"/>
      <c r="AH531" s="3" t="str">
        <f>IF(COUNTIF(AB:AB,Z531)*COUNTIF(AD:AD,Z531)*COUNTIF(AF:AF,Z531),Z531,"")</f>
        <v/>
      </c>
      <c r="AI531" s="3" t="str">
        <f t="shared" si="27"/>
        <v/>
      </c>
    </row>
    <row r="532" spans="1:35" x14ac:dyDescent="0.25">
      <c r="A532" s="37"/>
      <c r="B532" s="38"/>
      <c r="C532" s="2"/>
      <c r="D532" s="41"/>
      <c r="E532" s="93"/>
      <c r="F532" s="93"/>
      <c r="G532" s="93"/>
      <c r="H532" s="38"/>
      <c r="I532" s="2"/>
      <c r="J532" s="41"/>
      <c r="K532" s="38"/>
      <c r="L532" s="41"/>
      <c r="M532" s="41"/>
      <c r="N532" s="42"/>
      <c r="O532" s="80"/>
      <c r="P532" s="80"/>
      <c r="Q532" s="87"/>
      <c r="R532" s="87"/>
      <c r="S532" s="87"/>
      <c r="T532" s="108"/>
      <c r="U532" s="87"/>
      <c r="V532" s="108"/>
      <c r="W532" s="87"/>
      <c r="X532" s="87"/>
      <c r="AH532" s="3" t="str">
        <f>IF(COUNTIF(AB:AB,Z532)*COUNTIF(AD:AD,Z532)*COUNTIF(AF:AF,Z532),Z532,"")</f>
        <v/>
      </c>
      <c r="AI532" s="3" t="str">
        <f t="shared" si="27"/>
        <v/>
      </c>
    </row>
    <row r="533" spans="1:35" x14ac:dyDescent="0.25">
      <c r="A533" s="37"/>
      <c r="B533" s="38"/>
      <c r="C533" s="2"/>
      <c r="D533" s="41"/>
      <c r="E533" s="93"/>
      <c r="F533" s="93"/>
      <c r="G533" s="93"/>
      <c r="H533" s="38"/>
      <c r="I533" s="2"/>
      <c r="J533" s="41"/>
      <c r="K533" s="38"/>
      <c r="L533" s="41"/>
      <c r="M533" s="41"/>
      <c r="N533" s="42"/>
      <c r="O533" s="80"/>
      <c r="P533" s="80"/>
      <c r="Q533" s="87"/>
      <c r="R533" s="87"/>
      <c r="S533" s="87"/>
      <c r="T533" s="108"/>
      <c r="U533" s="87"/>
      <c r="V533" s="108"/>
      <c r="W533" s="87"/>
      <c r="X533" s="87"/>
      <c r="AH533" s="3" t="str">
        <f>IF(COUNTIF(AB:AB,Z533)*COUNTIF(AD:AD,Z533)*COUNTIF(AF:AF,Z533),Z533,"")</f>
        <v/>
      </c>
      <c r="AI533" s="3" t="str">
        <f t="shared" si="27"/>
        <v/>
      </c>
    </row>
    <row r="534" spans="1:35" x14ac:dyDescent="0.25">
      <c r="A534" s="37"/>
      <c r="B534" s="38"/>
      <c r="C534" s="2"/>
      <c r="D534" s="41"/>
      <c r="E534" s="93"/>
      <c r="F534" s="93"/>
      <c r="G534" s="93"/>
      <c r="H534" s="38"/>
      <c r="I534" s="2"/>
      <c r="J534" s="41"/>
      <c r="K534" s="38"/>
      <c r="L534" s="41"/>
      <c r="M534" s="41"/>
      <c r="N534" s="42"/>
      <c r="O534" s="80"/>
      <c r="P534" s="80"/>
      <c r="Q534" s="87"/>
      <c r="R534" s="87"/>
      <c r="S534" s="87"/>
      <c r="T534" s="108"/>
      <c r="U534" s="87"/>
      <c r="V534" s="108"/>
      <c r="W534" s="87"/>
      <c r="X534" s="87"/>
      <c r="AH534" s="3" t="str">
        <f>IF(COUNTIF(AB:AB,Z534)*COUNTIF(AD:AD,Z534)*COUNTIF(AF:AF,Z534),Z534,"")</f>
        <v/>
      </c>
      <c r="AI534" s="3" t="str">
        <f t="shared" si="27"/>
        <v/>
      </c>
    </row>
    <row r="535" spans="1:35" x14ac:dyDescent="0.25">
      <c r="A535" s="37"/>
      <c r="B535" s="38"/>
      <c r="C535" s="2"/>
      <c r="D535" s="41"/>
      <c r="E535" s="93"/>
      <c r="F535" s="93"/>
      <c r="G535" s="93"/>
      <c r="H535" s="38"/>
      <c r="I535" s="2"/>
      <c r="J535" s="41"/>
      <c r="K535" s="38"/>
      <c r="L535" s="41"/>
      <c r="M535" s="41"/>
      <c r="N535" s="42"/>
      <c r="O535" s="80"/>
      <c r="P535" s="80"/>
      <c r="Q535" s="87"/>
      <c r="R535" s="87"/>
      <c r="S535" s="87"/>
      <c r="T535" s="108"/>
      <c r="U535" s="87"/>
      <c r="V535" s="108"/>
      <c r="W535" s="87"/>
      <c r="X535" s="87"/>
      <c r="AH535" s="3" t="str">
        <f>IF(COUNTIF(AB:AB,Z535)*COUNTIF(AD:AD,Z535)*COUNTIF(AF:AF,Z535),Z535,"")</f>
        <v/>
      </c>
      <c r="AI535" s="3" t="str">
        <f t="shared" si="27"/>
        <v/>
      </c>
    </row>
    <row r="536" spans="1:35" x14ac:dyDescent="0.25">
      <c r="A536" s="37"/>
      <c r="B536" s="38"/>
      <c r="C536" s="2"/>
      <c r="D536" s="41"/>
      <c r="E536" s="93"/>
      <c r="F536" s="93"/>
      <c r="G536" s="93"/>
      <c r="H536" s="38"/>
      <c r="I536" s="2"/>
      <c r="J536" s="41"/>
      <c r="K536" s="38"/>
      <c r="L536" s="41"/>
      <c r="M536" s="41"/>
      <c r="N536" s="42"/>
      <c r="O536" s="80"/>
      <c r="P536" s="80"/>
      <c r="Q536" s="87"/>
      <c r="R536" s="87"/>
      <c r="S536" s="87"/>
      <c r="T536" s="108"/>
      <c r="U536" s="87"/>
      <c r="V536" s="108"/>
      <c r="W536" s="87"/>
      <c r="X536" s="87"/>
      <c r="AH536" s="3" t="str">
        <f>IF(COUNTIF(AB:AB,Z536)*COUNTIF(AD:AD,Z536)*COUNTIF(AF:AF,Z536),Z536,"")</f>
        <v/>
      </c>
      <c r="AI536" s="3" t="str">
        <f t="shared" si="27"/>
        <v/>
      </c>
    </row>
    <row r="537" spans="1:35" x14ac:dyDescent="0.25">
      <c r="A537" s="37"/>
      <c r="B537" s="38"/>
      <c r="C537" s="2"/>
      <c r="D537" s="41"/>
      <c r="E537" s="93"/>
      <c r="F537" s="93"/>
      <c r="G537" s="93"/>
      <c r="H537" s="38"/>
      <c r="I537" s="2"/>
      <c r="J537" s="41"/>
      <c r="K537" s="38"/>
      <c r="L537" s="41"/>
      <c r="M537" s="41"/>
      <c r="N537" s="42"/>
      <c r="O537" s="80"/>
      <c r="P537" s="80"/>
      <c r="Q537" s="87"/>
      <c r="R537" s="87"/>
      <c r="S537" s="87"/>
      <c r="T537" s="108"/>
      <c r="U537" s="87"/>
      <c r="V537" s="108"/>
      <c r="W537" s="87"/>
      <c r="X537" s="87"/>
      <c r="AH537" s="3" t="str">
        <f>IF(COUNTIF(AB:AB,Z537)*COUNTIF(AD:AD,Z537)*COUNTIF(AF:AF,Z537),Z537,"")</f>
        <v/>
      </c>
      <c r="AI537" s="3" t="str">
        <f t="shared" si="27"/>
        <v/>
      </c>
    </row>
    <row r="538" spans="1:35" x14ac:dyDescent="0.25">
      <c r="A538" s="37"/>
      <c r="B538" s="38"/>
      <c r="C538" s="2"/>
      <c r="D538" s="41"/>
      <c r="E538" s="93"/>
      <c r="F538" s="93"/>
      <c r="G538" s="93"/>
      <c r="H538" s="38"/>
      <c r="I538" s="2"/>
      <c r="J538" s="41"/>
      <c r="K538" s="38"/>
      <c r="L538" s="41"/>
      <c r="M538" s="41"/>
      <c r="N538" s="42"/>
      <c r="O538" s="80"/>
      <c r="P538" s="80"/>
      <c r="Q538" s="87"/>
      <c r="R538" s="87"/>
      <c r="S538" s="87"/>
      <c r="T538" s="108"/>
      <c r="U538" s="87"/>
      <c r="V538" s="108"/>
      <c r="W538" s="87"/>
      <c r="X538" s="87"/>
      <c r="AH538" s="3" t="str">
        <f>IF(COUNTIF(AB:AB,Z538)*COUNTIF(AD:AD,Z538)*COUNTIF(AF:AF,Z538),Z538,"")</f>
        <v/>
      </c>
      <c r="AI538" s="3" t="str">
        <f t="shared" si="27"/>
        <v/>
      </c>
    </row>
    <row r="539" spans="1:35" x14ac:dyDescent="0.25">
      <c r="A539" s="37"/>
      <c r="B539" s="38"/>
      <c r="C539" s="2"/>
      <c r="D539" s="41"/>
      <c r="E539" s="93"/>
      <c r="F539" s="93"/>
      <c r="G539" s="93"/>
      <c r="H539" s="38"/>
      <c r="I539" s="2"/>
      <c r="J539" s="41"/>
      <c r="K539" s="38"/>
      <c r="L539" s="41"/>
      <c r="M539" s="41"/>
      <c r="N539" s="42"/>
      <c r="O539" s="80"/>
      <c r="P539" s="80"/>
      <c r="Q539" s="87"/>
      <c r="R539" s="87"/>
      <c r="S539" s="87"/>
      <c r="T539" s="108"/>
      <c r="U539" s="87"/>
      <c r="V539" s="108"/>
      <c r="W539" s="87"/>
      <c r="X539" s="87"/>
      <c r="AH539" s="3" t="str">
        <f>IF(COUNTIF(AB:AB,Z539)*COUNTIF(AD:AD,Z539)*COUNTIF(AF:AF,Z539),Z539,"")</f>
        <v/>
      </c>
      <c r="AI539" s="3" t="str">
        <f t="shared" si="27"/>
        <v/>
      </c>
    </row>
    <row r="540" spans="1:35" x14ac:dyDescent="0.25">
      <c r="A540" s="37"/>
      <c r="B540" s="38"/>
      <c r="C540" s="2"/>
      <c r="D540" s="41"/>
      <c r="E540" s="93"/>
      <c r="F540" s="93"/>
      <c r="G540" s="93"/>
      <c r="H540" s="38"/>
      <c r="I540" s="2"/>
      <c r="J540" s="41"/>
      <c r="K540" s="38"/>
      <c r="L540" s="41"/>
      <c r="M540" s="41"/>
      <c r="N540" s="42"/>
      <c r="O540" s="80"/>
      <c r="P540" s="80"/>
      <c r="Q540" s="87"/>
      <c r="R540" s="87"/>
      <c r="S540" s="87"/>
      <c r="T540" s="108"/>
      <c r="U540" s="87"/>
      <c r="V540" s="108"/>
      <c r="W540" s="87"/>
      <c r="X540" s="87"/>
      <c r="AH540" s="3" t="str">
        <f>IF(COUNTIF(AB:AB,Z540)*COUNTIF(AD:AD,Z540)*COUNTIF(AF:AF,Z540),Z540,"")</f>
        <v/>
      </c>
      <c r="AI540" s="3" t="str">
        <f t="shared" si="27"/>
        <v/>
      </c>
    </row>
    <row r="541" spans="1:35" x14ac:dyDescent="0.25">
      <c r="A541" s="37"/>
      <c r="B541" s="38"/>
      <c r="C541" s="2"/>
      <c r="D541" s="41"/>
      <c r="E541" s="93"/>
      <c r="F541" s="93"/>
      <c r="G541" s="93"/>
      <c r="H541" s="38"/>
      <c r="I541" s="2"/>
      <c r="J541" s="41"/>
      <c r="K541" s="38"/>
      <c r="L541" s="41"/>
      <c r="M541" s="41"/>
      <c r="N541" s="42"/>
      <c r="O541" s="80"/>
      <c r="P541" s="80"/>
      <c r="Q541" s="87"/>
      <c r="R541" s="87"/>
      <c r="S541" s="87"/>
      <c r="T541" s="108"/>
      <c r="U541" s="87"/>
      <c r="V541" s="108"/>
      <c r="W541" s="87"/>
      <c r="X541" s="87"/>
      <c r="AH541" s="3" t="str">
        <f>IF(COUNTIF(AB:AB,Z541)*COUNTIF(AD:AD,Z541)*COUNTIF(AF:AF,Z541),Z541,"")</f>
        <v/>
      </c>
      <c r="AI541" s="3" t="str">
        <f t="shared" si="27"/>
        <v/>
      </c>
    </row>
    <row r="542" spans="1:35" x14ac:dyDescent="0.25">
      <c r="A542" s="37"/>
      <c r="B542" s="38"/>
      <c r="C542" s="2"/>
      <c r="D542" s="41"/>
      <c r="E542" s="93"/>
      <c r="F542" s="93"/>
      <c r="G542" s="93"/>
      <c r="H542" s="38"/>
      <c r="I542" s="2"/>
      <c r="J542" s="41"/>
      <c r="K542" s="38"/>
      <c r="L542" s="41"/>
      <c r="M542" s="41"/>
      <c r="N542" s="42"/>
      <c r="O542" s="80"/>
      <c r="P542" s="80"/>
      <c r="Q542" s="87"/>
      <c r="R542" s="87"/>
      <c r="S542" s="87"/>
      <c r="T542" s="108"/>
      <c r="U542" s="87"/>
      <c r="V542" s="108"/>
      <c r="W542" s="87"/>
      <c r="X542" s="87"/>
      <c r="AH542" s="3" t="str">
        <f>IF(COUNTIF(AB:AB,Z542)*COUNTIF(AD:AD,Z542)*COUNTIF(AF:AF,Z542),Z542,"")</f>
        <v/>
      </c>
      <c r="AI542" s="3" t="str">
        <f t="shared" si="27"/>
        <v/>
      </c>
    </row>
    <row r="543" spans="1:35" x14ac:dyDescent="0.25">
      <c r="A543" s="37"/>
      <c r="B543" s="38"/>
      <c r="C543" s="2"/>
      <c r="D543" s="41"/>
      <c r="E543" s="93"/>
      <c r="F543" s="93"/>
      <c r="G543" s="93"/>
      <c r="H543" s="38"/>
      <c r="I543" s="2"/>
      <c r="J543" s="41"/>
      <c r="K543" s="38"/>
      <c r="L543" s="41"/>
      <c r="M543" s="41"/>
      <c r="N543" s="42"/>
      <c r="O543" s="80"/>
      <c r="P543" s="80"/>
      <c r="Q543" s="87"/>
      <c r="R543" s="87"/>
      <c r="S543" s="87"/>
      <c r="T543" s="108"/>
      <c r="U543" s="87"/>
      <c r="V543" s="108"/>
      <c r="W543" s="87"/>
      <c r="X543" s="87"/>
      <c r="AH543" s="3" t="str">
        <f>IF(COUNTIF(AB:AB,Z543)*COUNTIF(AD:AD,Z543)*COUNTIF(AF:AF,Z543),Z543,"")</f>
        <v/>
      </c>
      <c r="AI543" s="3" t="str">
        <f t="shared" si="27"/>
        <v/>
      </c>
    </row>
    <row r="544" spans="1:35" x14ac:dyDescent="0.25">
      <c r="A544" s="37"/>
      <c r="B544" s="38"/>
      <c r="C544" s="2"/>
      <c r="D544" s="41"/>
      <c r="E544" s="93"/>
      <c r="F544" s="93"/>
      <c r="G544" s="93"/>
      <c r="H544" s="38"/>
      <c r="I544" s="2"/>
      <c r="J544" s="41"/>
      <c r="K544" s="38"/>
      <c r="L544" s="41"/>
      <c r="M544" s="41"/>
      <c r="N544" s="42"/>
      <c r="O544" s="80"/>
      <c r="P544" s="80"/>
      <c r="Q544" s="87"/>
      <c r="R544" s="87"/>
      <c r="S544" s="87"/>
      <c r="T544" s="108"/>
      <c r="U544" s="87"/>
      <c r="V544" s="108"/>
      <c r="W544" s="87"/>
      <c r="X544" s="87"/>
      <c r="AH544" s="3" t="str">
        <f>IF(COUNTIF(AB:AB,Z544)*COUNTIF(AD:AD,Z544)*COUNTIF(AF:AF,Z544),Z544,"")</f>
        <v/>
      </c>
      <c r="AI544" s="3" t="str">
        <f t="shared" si="27"/>
        <v/>
      </c>
    </row>
    <row r="545" spans="1:35" x14ac:dyDescent="0.25">
      <c r="A545" s="37"/>
      <c r="B545" s="38"/>
      <c r="C545" s="2"/>
      <c r="D545" s="41"/>
      <c r="E545" s="93"/>
      <c r="F545" s="93"/>
      <c r="G545" s="93"/>
      <c r="H545" s="38"/>
      <c r="I545" s="2"/>
      <c r="J545" s="41"/>
      <c r="K545" s="38"/>
      <c r="L545" s="41"/>
      <c r="M545" s="41"/>
      <c r="N545" s="42"/>
      <c r="O545" s="80"/>
      <c r="P545" s="80"/>
      <c r="Q545" s="87"/>
      <c r="R545" s="87"/>
      <c r="S545" s="87"/>
      <c r="T545" s="108"/>
      <c r="U545" s="87"/>
      <c r="V545" s="108"/>
      <c r="W545" s="87"/>
      <c r="X545" s="87"/>
      <c r="AH545" s="3" t="str">
        <f>IF(COUNTIF(AB:AB,Z545)*COUNTIF(AD:AD,Z545)*COUNTIF(AF:AF,Z545),Z545,"")</f>
        <v/>
      </c>
      <c r="AI545" s="3" t="str">
        <f t="shared" si="27"/>
        <v/>
      </c>
    </row>
    <row r="546" spans="1:35" x14ac:dyDescent="0.25">
      <c r="A546" s="37"/>
      <c r="B546" s="38"/>
      <c r="C546" s="2"/>
      <c r="D546" s="41"/>
      <c r="E546" s="93"/>
      <c r="F546" s="93"/>
      <c r="G546" s="93"/>
      <c r="H546" s="38"/>
      <c r="I546" s="2"/>
      <c r="J546" s="41"/>
      <c r="K546" s="38"/>
      <c r="L546" s="41"/>
      <c r="M546" s="41"/>
      <c r="N546" s="42"/>
      <c r="O546" s="80"/>
      <c r="P546" s="80"/>
      <c r="Q546" s="87"/>
      <c r="R546" s="87"/>
      <c r="S546" s="87"/>
      <c r="T546" s="108"/>
      <c r="U546" s="87"/>
      <c r="V546" s="108"/>
      <c r="W546" s="87"/>
      <c r="X546" s="87"/>
      <c r="AH546" s="3" t="str">
        <f>IF(COUNTIF(AB:AB,Z546)*COUNTIF(AD:AD,Z546)*COUNTIF(AF:AF,Z546),Z546,"")</f>
        <v/>
      </c>
      <c r="AI546" s="3" t="str">
        <f t="shared" si="27"/>
        <v/>
      </c>
    </row>
    <row r="547" spans="1:35" x14ac:dyDescent="0.25">
      <c r="A547" s="37"/>
      <c r="B547" s="38"/>
      <c r="C547" s="2"/>
      <c r="D547" s="41"/>
      <c r="E547" s="93"/>
      <c r="F547" s="93"/>
      <c r="G547" s="93"/>
      <c r="H547" s="38"/>
      <c r="I547" s="2"/>
      <c r="J547" s="41"/>
      <c r="K547" s="38"/>
      <c r="L547" s="41"/>
      <c r="M547" s="41"/>
      <c r="N547" s="42"/>
      <c r="O547" s="80"/>
      <c r="P547" s="80"/>
      <c r="Q547" s="87"/>
      <c r="R547" s="87"/>
      <c r="S547" s="87"/>
      <c r="T547" s="108"/>
      <c r="U547" s="87"/>
      <c r="V547" s="108"/>
      <c r="W547" s="87"/>
      <c r="X547" s="87"/>
      <c r="AH547" s="3" t="str">
        <f>IF(COUNTIF(AB:AB,Z547)*COUNTIF(AD:AD,Z547)*COUNTIF(AF:AF,Z547),Z547,"")</f>
        <v/>
      </c>
      <c r="AI547" s="3" t="str">
        <f t="shared" si="27"/>
        <v/>
      </c>
    </row>
    <row r="548" spans="1:35" x14ac:dyDescent="0.25">
      <c r="A548" s="37"/>
      <c r="B548" s="38"/>
      <c r="C548" s="2"/>
      <c r="D548" s="41"/>
      <c r="E548" s="93"/>
      <c r="F548" s="93"/>
      <c r="G548" s="93"/>
      <c r="H548" s="38"/>
      <c r="I548" s="2"/>
      <c r="J548" s="41"/>
      <c r="K548" s="38"/>
      <c r="L548" s="41"/>
      <c r="M548" s="41"/>
      <c r="N548" s="42"/>
      <c r="O548" s="80"/>
      <c r="P548" s="80"/>
      <c r="Q548" s="87"/>
      <c r="R548" s="87"/>
      <c r="S548" s="87"/>
      <c r="T548" s="108"/>
      <c r="U548" s="87"/>
      <c r="V548" s="108"/>
      <c r="W548" s="87"/>
      <c r="X548" s="87"/>
      <c r="AH548" s="3" t="str">
        <f>IF(COUNTIF(AB:AB,Z548)*COUNTIF(AD:AD,Z548)*COUNTIF(AF:AF,Z548),Z548,"")</f>
        <v/>
      </c>
      <c r="AI548" s="3" t="str">
        <f t="shared" si="27"/>
        <v/>
      </c>
    </row>
    <row r="549" spans="1:35" x14ac:dyDescent="0.25">
      <c r="A549" s="37"/>
      <c r="B549" s="38"/>
      <c r="C549" s="2"/>
      <c r="D549" s="41"/>
      <c r="E549" s="93"/>
      <c r="F549" s="93"/>
      <c r="G549" s="93"/>
      <c r="H549" s="38"/>
      <c r="I549" s="2"/>
      <c r="J549" s="41"/>
      <c r="K549" s="38"/>
      <c r="L549" s="41"/>
      <c r="M549" s="41"/>
      <c r="N549" s="42"/>
      <c r="O549" s="80"/>
      <c r="P549" s="80"/>
      <c r="Q549" s="87"/>
      <c r="R549" s="87"/>
      <c r="S549" s="87"/>
      <c r="T549" s="108"/>
      <c r="U549" s="87"/>
      <c r="V549" s="108"/>
      <c r="W549" s="87"/>
      <c r="X549" s="87"/>
      <c r="AH549" s="3" t="str">
        <f>IF(COUNTIF(AB:AB,Z549)*COUNTIF(AD:AD,Z549)*COUNTIF(AF:AF,Z549),Z549,"")</f>
        <v/>
      </c>
      <c r="AI549" s="3" t="str">
        <f t="shared" si="27"/>
        <v/>
      </c>
    </row>
    <row r="550" spans="1:35" x14ac:dyDescent="0.25">
      <c r="A550" s="37"/>
      <c r="B550" s="38"/>
      <c r="C550" s="2"/>
      <c r="D550" s="41"/>
      <c r="E550" s="93"/>
      <c r="F550" s="93"/>
      <c r="G550" s="93"/>
      <c r="H550" s="38"/>
      <c r="I550" s="2"/>
      <c r="J550" s="41"/>
      <c r="K550" s="38"/>
      <c r="L550" s="41"/>
      <c r="M550" s="41"/>
      <c r="N550" s="42"/>
      <c r="O550" s="80"/>
      <c r="P550" s="80"/>
      <c r="Q550" s="87"/>
      <c r="R550" s="87"/>
      <c r="S550" s="87"/>
      <c r="T550" s="108"/>
      <c r="U550" s="87"/>
      <c r="V550" s="108"/>
      <c r="W550" s="87"/>
      <c r="X550" s="87"/>
      <c r="AH550" s="3" t="str">
        <f>IF(COUNTIF(AB:AB,Z550)*COUNTIF(AD:AD,Z550)*COUNTIF(AF:AF,Z550),Z550,"")</f>
        <v/>
      </c>
      <c r="AI550" s="3" t="str">
        <f t="shared" si="27"/>
        <v/>
      </c>
    </row>
    <row r="551" spans="1:35" x14ac:dyDescent="0.25">
      <c r="A551" s="37"/>
      <c r="B551" s="38"/>
      <c r="C551" s="2"/>
      <c r="D551" s="41"/>
      <c r="E551" s="93"/>
      <c r="F551" s="93"/>
      <c r="G551" s="93"/>
      <c r="H551" s="38"/>
      <c r="I551" s="2"/>
      <c r="J551" s="41"/>
      <c r="K551" s="38"/>
      <c r="L551" s="41"/>
      <c r="M551" s="41"/>
      <c r="N551" s="42"/>
      <c r="O551" s="80"/>
      <c r="P551" s="80"/>
      <c r="Q551" s="87"/>
      <c r="R551" s="87"/>
      <c r="S551" s="87"/>
      <c r="T551" s="108"/>
      <c r="U551" s="87"/>
      <c r="V551" s="108"/>
      <c r="W551" s="87"/>
      <c r="X551" s="87"/>
      <c r="AH551" s="3" t="str">
        <f>IF(COUNTIF(AB:AB,Z551)*COUNTIF(AD:AD,Z551)*COUNTIF(AF:AF,Z551),Z551,"")</f>
        <v/>
      </c>
      <c r="AI551" s="3" t="str">
        <f t="shared" si="27"/>
        <v/>
      </c>
    </row>
    <row r="552" spans="1:35" x14ac:dyDescent="0.25">
      <c r="A552" s="37"/>
      <c r="B552" s="38"/>
      <c r="C552" s="2"/>
      <c r="D552" s="41"/>
      <c r="E552" s="93"/>
      <c r="F552" s="93"/>
      <c r="G552" s="93"/>
      <c r="H552" s="38"/>
      <c r="I552" s="2"/>
      <c r="J552" s="41"/>
      <c r="K552" s="38"/>
      <c r="L552" s="41"/>
      <c r="M552" s="41"/>
      <c r="N552" s="42"/>
      <c r="O552" s="80"/>
      <c r="P552" s="80"/>
      <c r="Q552" s="87"/>
      <c r="R552" s="87"/>
      <c r="S552" s="87"/>
      <c r="T552" s="108"/>
      <c r="U552" s="87"/>
      <c r="V552" s="108"/>
      <c r="W552" s="87"/>
      <c r="X552" s="87"/>
      <c r="AH552" s="3" t="str">
        <f>IF(COUNTIF(AB:AB,Z552)*COUNTIF(AD:AD,Z552)*COUNTIF(AF:AF,Z552),Z552,"")</f>
        <v/>
      </c>
      <c r="AI552" s="3" t="str">
        <f t="shared" si="27"/>
        <v/>
      </c>
    </row>
    <row r="553" spans="1:35" x14ac:dyDescent="0.25">
      <c r="A553" s="37"/>
      <c r="B553" s="38"/>
      <c r="C553" s="2"/>
      <c r="D553" s="41"/>
      <c r="E553" s="93"/>
      <c r="F553" s="93"/>
      <c r="G553" s="93"/>
      <c r="H553" s="38"/>
      <c r="I553" s="2"/>
      <c r="J553" s="41"/>
      <c r="K553" s="38"/>
      <c r="L553" s="41"/>
      <c r="M553" s="41"/>
      <c r="N553" s="42"/>
      <c r="O553" s="80"/>
      <c r="P553" s="80"/>
      <c r="Q553" s="87"/>
      <c r="R553" s="87"/>
      <c r="S553" s="87"/>
      <c r="T553" s="108"/>
      <c r="U553" s="87"/>
      <c r="V553" s="108"/>
      <c r="W553" s="87"/>
      <c r="X553" s="87"/>
      <c r="AH553" s="3" t="str">
        <f>IF(COUNTIF(AB:AB,Z553)*COUNTIF(AD:AD,Z553)*COUNTIF(AF:AF,Z553),Z553,"")</f>
        <v/>
      </c>
      <c r="AI553" s="3" t="str">
        <f t="shared" si="27"/>
        <v/>
      </c>
    </row>
    <row r="554" spans="1:35" x14ac:dyDescent="0.25">
      <c r="A554" s="37"/>
      <c r="B554" s="38"/>
      <c r="C554" s="2"/>
      <c r="D554" s="41"/>
      <c r="E554" s="93"/>
      <c r="F554" s="93"/>
      <c r="G554" s="93"/>
      <c r="H554" s="38"/>
      <c r="I554" s="2"/>
      <c r="J554" s="41"/>
      <c r="K554" s="38"/>
      <c r="L554" s="41"/>
      <c r="M554" s="41"/>
      <c r="N554" s="42"/>
      <c r="O554" s="80"/>
      <c r="P554" s="80"/>
      <c r="Q554" s="87"/>
      <c r="R554" s="87"/>
      <c r="S554" s="87"/>
      <c r="T554" s="108"/>
      <c r="U554" s="87"/>
      <c r="V554" s="108"/>
      <c r="W554" s="87"/>
      <c r="X554" s="87"/>
      <c r="AH554" s="3" t="str">
        <f>IF(COUNTIF(AB:AB,Z554)*COUNTIF(AD:AD,Z554)*COUNTIF(AF:AF,Z554),Z554,"")</f>
        <v/>
      </c>
      <c r="AI554" s="3" t="str">
        <f t="shared" si="27"/>
        <v/>
      </c>
    </row>
    <row r="555" spans="1:35" x14ac:dyDescent="0.25">
      <c r="A555" s="37"/>
      <c r="B555" s="38"/>
      <c r="C555" s="2"/>
      <c r="D555" s="41"/>
      <c r="E555" s="93"/>
      <c r="F555" s="93"/>
      <c r="G555" s="93"/>
      <c r="H555" s="38"/>
      <c r="I555" s="2"/>
      <c r="J555" s="41"/>
      <c r="K555" s="38"/>
      <c r="L555" s="41"/>
      <c r="M555" s="41"/>
      <c r="N555" s="42"/>
      <c r="O555" s="80"/>
      <c r="P555" s="80"/>
      <c r="Q555" s="87"/>
      <c r="R555" s="87"/>
      <c r="S555" s="87"/>
      <c r="T555" s="108"/>
      <c r="U555" s="87"/>
      <c r="V555" s="108"/>
      <c r="W555" s="87"/>
      <c r="X555" s="87"/>
      <c r="AH555" s="3" t="str">
        <f>IF(COUNTIF(AB:AB,Z555)*COUNTIF(AD:AD,Z555)*COUNTIF(AF:AF,Z555),Z555,"")</f>
        <v/>
      </c>
      <c r="AI555" s="3" t="str">
        <f t="shared" si="27"/>
        <v/>
      </c>
    </row>
    <row r="556" spans="1:35" x14ac:dyDescent="0.25">
      <c r="AH556" s="3" t="str">
        <f>IF(COUNTIF(AB:AB,Z556)*COUNTIF(AD:AD,Z556)*COUNTIF(AF:AF,Z556),Z556,"")</f>
        <v/>
      </c>
      <c r="AI556" s="3" t="str">
        <f t="shared" si="27"/>
        <v/>
      </c>
    </row>
    <row r="557" spans="1:35" x14ac:dyDescent="0.25">
      <c r="AH557" s="3" t="str">
        <f>IF(COUNTIF(AB:AB,Z557)*COUNTIF(AD:AD,Z557)*COUNTIF(AF:AF,Z557),Z557,"")</f>
        <v/>
      </c>
      <c r="AI557" s="3" t="str">
        <f t="shared" si="27"/>
        <v/>
      </c>
    </row>
    <row r="558" spans="1:35" x14ac:dyDescent="0.25">
      <c r="AH558" s="3" t="str">
        <f>IF(COUNTIF(AB:AB,Z558)*COUNTIF(AD:AD,Z558)*COUNTIF(AF:AF,Z558),Z558,"")</f>
        <v/>
      </c>
      <c r="AI558" s="3" t="str">
        <f t="shared" si="27"/>
        <v/>
      </c>
    </row>
    <row r="559" spans="1:35" x14ac:dyDescent="0.25">
      <c r="AH559" s="3" t="str">
        <f>IF(COUNTIF(AB:AB,Z559)*COUNTIF(AD:AD,Z559)*COUNTIF(AF:AF,Z559),Z559,"")</f>
        <v/>
      </c>
      <c r="AI559" s="3" t="str">
        <f t="shared" si="27"/>
        <v/>
      </c>
    </row>
    <row r="560" spans="1:35" x14ac:dyDescent="0.25">
      <c r="AH560" s="3" t="str">
        <f>IF(COUNTIF(AB:AB,Z560)*COUNTIF(AD:AD,Z560)*COUNTIF(AF:AF,Z560),Z560,"")</f>
        <v/>
      </c>
      <c r="AI560" s="3" t="str">
        <f t="shared" si="27"/>
        <v/>
      </c>
    </row>
    <row r="561" spans="34:35" x14ac:dyDescent="0.25">
      <c r="AH561" s="3" t="str">
        <f>IF(COUNTIF(AB:AB,Z561)*COUNTIF(AD:AD,Z561)*COUNTIF(AF:AF,Z561),Z561,"")</f>
        <v/>
      </c>
      <c r="AI561" s="3" t="str">
        <f t="shared" si="27"/>
        <v/>
      </c>
    </row>
    <row r="562" spans="34:35" x14ac:dyDescent="0.25">
      <c r="AH562" s="3" t="str">
        <f>IF(COUNTIF(AB:AB,Z562)*COUNTIF(AD:AD,Z562)*COUNTIF(AF:AF,Z562),Z562,"")</f>
        <v/>
      </c>
      <c r="AI562" s="3" t="str">
        <f t="shared" si="27"/>
        <v/>
      </c>
    </row>
    <row r="563" spans="34:35" x14ac:dyDescent="0.25">
      <c r="AH563" s="3" t="str">
        <f>IF(COUNTIF(AB:AB,Z563)*COUNTIF(AD:AD,Z563)*COUNTIF(AF:AF,Z563),Z563,"")</f>
        <v/>
      </c>
      <c r="AI563" s="3" t="str">
        <f t="shared" si="27"/>
        <v/>
      </c>
    </row>
    <row r="564" spans="34:35" x14ac:dyDescent="0.25">
      <c r="AH564" s="3" t="str">
        <f>IF(COUNTIF(AB:AB,Z564)*COUNTIF(AD:AD,Z564)*COUNTIF(AF:AF,Z564),Z564,"")</f>
        <v/>
      </c>
      <c r="AI564" s="3" t="str">
        <f t="shared" si="27"/>
        <v/>
      </c>
    </row>
    <row r="565" spans="34:35" x14ac:dyDescent="0.25">
      <c r="AH565" s="3" t="str">
        <f>IF(COUNTIF(AB:AB,Z565)*COUNTIF(AD:AD,Z565)*COUNTIF(AF:AF,Z565),Z565,"")</f>
        <v/>
      </c>
      <c r="AI565" s="3" t="str">
        <f t="shared" si="27"/>
        <v/>
      </c>
    </row>
    <row r="566" spans="34:35" x14ac:dyDescent="0.25">
      <c r="AH566" s="3" t="str">
        <f>IF(COUNTIF(AB:AB,Z566)*COUNTIF(AD:AD,Z566)*COUNTIF(AF:AF,Z566),Z566,"")</f>
        <v/>
      </c>
      <c r="AI566" s="3" t="str">
        <f t="shared" si="27"/>
        <v/>
      </c>
    </row>
    <row r="567" spans="34:35" x14ac:dyDescent="0.25">
      <c r="AH567" s="3" t="str">
        <f>IF(COUNTIF(AB:AB,Z567)*COUNTIF(AD:AD,Z567)*COUNTIF(AF:AF,Z567),Z567,"")</f>
        <v/>
      </c>
      <c r="AI567" s="3" t="str">
        <f t="shared" si="27"/>
        <v/>
      </c>
    </row>
    <row r="568" spans="34:35" x14ac:dyDescent="0.25">
      <c r="AH568" s="3" t="str">
        <f>IF(COUNTIF(AB:AB,Z568)*COUNTIF(AD:AD,Z568)*COUNTIF(AF:AF,Z568),Z568,"")</f>
        <v/>
      </c>
      <c r="AI568" s="3" t="str">
        <f t="shared" si="27"/>
        <v/>
      </c>
    </row>
    <row r="569" spans="34:35" x14ac:dyDescent="0.25">
      <c r="AH569" s="3" t="str">
        <f>IF(COUNTIF(AB:AB,Z569)*COUNTIF(AD:AD,Z569)*COUNTIF(AF:AF,Z569),Z569,"")</f>
        <v/>
      </c>
      <c r="AI569" s="3" t="str">
        <f t="shared" si="27"/>
        <v/>
      </c>
    </row>
  </sheetData>
  <mergeCells count="6">
    <mergeCell ref="B12:D12"/>
    <mergeCell ref="H12:J12"/>
    <mergeCell ref="K12:L12"/>
    <mergeCell ref="B11:D11"/>
    <mergeCell ref="E11:G11"/>
    <mergeCell ref="I1:I2"/>
  </mergeCells>
  <conditionalFormatting sqref="Y1 Y7:Y11 N205:X555 Y50:Y100 AV63:AV77 Y116:Y1048576 X12:X53 N12:S15 P16:S53 P54:X204 N16:O204">
    <cfRule type="cellIs" dxfId="1" priority="1" operator="lessThan">
      <formula>0</formula>
    </cfRule>
  </conditionalFormatting>
  <hyperlinks>
    <hyperlink ref="C4" r:id="rId1" xr:uid="{CB751132-5246-43CD-BFAA-C0739AF72ACE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5FF2B-A136-4375-A71D-1974A3C1B0E3}">
  <dimension ref="A1:AW569"/>
  <sheetViews>
    <sheetView zoomScale="90" zoomScaleNormal="90" workbookViewId="0">
      <selection activeCell="B15" sqref="B15"/>
    </sheetView>
  </sheetViews>
  <sheetFormatPr defaultColWidth="9.140625" defaultRowHeight="15" x14ac:dyDescent="0.25"/>
  <cols>
    <col min="1" max="1" width="16.5703125" style="3" bestFit="1" customWidth="1"/>
    <col min="2" max="2" width="13.42578125" style="4" bestFit="1" customWidth="1"/>
    <col min="3" max="3" width="16" style="4" bestFit="1" customWidth="1"/>
    <col min="4" max="4" width="17" style="44" bestFit="1" customWidth="1"/>
    <col min="5" max="8" width="17" style="44" customWidth="1"/>
    <col min="9" max="9" width="17" style="4" customWidth="1"/>
    <col min="10" max="10" width="12.85546875" style="4" bestFit="1" customWidth="1"/>
    <col min="11" max="11" width="10.5703125" style="4" bestFit="1" customWidth="1"/>
    <col min="12" max="12" width="18" style="4" bestFit="1" customWidth="1"/>
    <col min="13" max="13" width="10.42578125" style="4" customWidth="1"/>
    <col min="14" max="14" width="9.5703125" style="4" bestFit="1" customWidth="1"/>
    <col min="15" max="17" width="16.5703125" style="4" customWidth="1"/>
    <col min="18" max="20" width="12.28515625" style="84" customWidth="1"/>
    <col min="21" max="21" width="17.140625" style="109" hidden="1" customWidth="1"/>
    <col min="22" max="22" width="12.28515625" style="84" hidden="1" customWidth="1"/>
    <col min="23" max="23" width="17.140625" style="109" hidden="1" customWidth="1"/>
    <col min="24" max="25" width="12.28515625" style="84" hidden="1" customWidth="1"/>
    <col min="26" max="26" width="12" style="7" hidden="1" customWidth="1"/>
    <col min="27" max="27" width="17.140625" style="3" bestFit="1" customWidth="1"/>
    <col min="28" max="28" width="6.5703125" style="4" bestFit="1" customWidth="1"/>
    <col min="29" max="29" width="17.140625" style="3" bestFit="1" customWidth="1"/>
    <col min="30" max="30" width="8.7109375" style="4" bestFit="1" customWidth="1"/>
    <col min="31" max="31" width="17.140625" style="3" bestFit="1" customWidth="1"/>
    <col min="32" max="32" width="8.7109375" style="4" bestFit="1" customWidth="1"/>
    <col min="33" max="33" width="17.140625" style="3" bestFit="1" customWidth="1"/>
    <col min="34" max="34" width="8.7109375" style="4" customWidth="1"/>
    <col min="35" max="38" width="17.140625" style="3" bestFit="1" customWidth="1"/>
    <col min="39" max="39" width="7.140625" style="5" bestFit="1" customWidth="1"/>
    <col min="40" max="40" width="17.140625" style="3" bestFit="1" customWidth="1"/>
    <col min="41" max="41" width="9.85546875" style="4" bestFit="1" customWidth="1"/>
    <col min="42" max="42" width="11.5703125" style="4" bestFit="1" customWidth="1"/>
    <col min="43" max="43" width="7.7109375" style="4" bestFit="1" customWidth="1"/>
    <col min="44" max="44" width="11.5703125" style="6" bestFit="1" customWidth="1"/>
    <col min="45" max="45" width="16.42578125" style="4" bestFit="1" customWidth="1"/>
    <col min="46" max="46" width="11.5703125" style="4" bestFit="1" customWidth="1"/>
    <col min="47" max="16384" width="9.140625" style="4"/>
  </cols>
  <sheetData>
    <row r="1" spans="1:46" ht="15.75" thickBot="1" x14ac:dyDescent="0.3">
      <c r="A1" s="1"/>
      <c r="B1" s="1"/>
      <c r="C1" s="1"/>
      <c r="D1" s="2" t="s">
        <v>0</v>
      </c>
      <c r="E1" s="2"/>
      <c r="F1" s="2"/>
      <c r="G1" s="2"/>
      <c r="H1" s="2"/>
      <c r="I1" s="110" t="s">
        <v>35</v>
      </c>
      <c r="J1" s="1"/>
      <c r="M1" s="1"/>
      <c r="N1" s="1"/>
      <c r="O1" s="1"/>
      <c r="P1" s="1"/>
      <c r="Q1" s="1"/>
      <c r="R1" s="1"/>
      <c r="S1" s="83"/>
      <c r="T1" s="83"/>
      <c r="U1" s="107"/>
      <c r="V1" s="83"/>
      <c r="W1" s="107"/>
      <c r="X1" s="83"/>
      <c r="Y1" s="83"/>
      <c r="Z1" s="1"/>
      <c r="AK1" s="3" cm="1">
        <f t="array" ref="AK1">LOOKUP(2,1/(AK:AK&lt;&gt;""),AK:AK)</f>
        <v>46197.625</v>
      </c>
      <c r="AS1" s="7" t="s">
        <v>1</v>
      </c>
      <c r="AT1" s="6" cm="1">
        <f t="array" ref="AT1">LOOKUP(2,1/(AR:AR&lt;&gt;""),AR:AR)</f>
        <v>46198</v>
      </c>
    </row>
    <row r="2" spans="1:46" ht="15.75" thickBot="1" x14ac:dyDescent="0.3">
      <c r="A2" s="8"/>
      <c r="B2" s="9" t="s">
        <v>2</v>
      </c>
      <c r="C2" s="10" t="s">
        <v>3</v>
      </c>
      <c r="D2" s="11" t="s">
        <v>3</v>
      </c>
      <c r="E2" s="9" t="s">
        <v>2</v>
      </c>
      <c r="F2" s="94"/>
      <c r="G2" s="4"/>
      <c r="H2" s="1" t="s">
        <v>34</v>
      </c>
      <c r="I2" s="110"/>
      <c r="J2" s="1" t="s">
        <v>36</v>
      </c>
      <c r="O2" s="21" t="s">
        <v>39</v>
      </c>
      <c r="P2" s="88"/>
      <c r="Q2" s="13" t="s">
        <v>4</v>
      </c>
      <c r="R2" s="2">
        <f>B5/B14</f>
        <v>335833.42662039626</v>
      </c>
      <c r="U2" s="3" cm="1">
        <f t="array" ref="U2:V53">_xll.BDH(O2, "LAST_PRICE", "01/26/2026 15:00:00", "06/16/2026 16:00:00", "BarSize=60", "BarType=T", "RecurDaily=True", "TZ=London")</f>
        <v>46094.625</v>
      </c>
      <c r="V2" s="4">
        <v>306.42</v>
      </c>
      <c r="W2" s="3" cm="1">
        <f t="array" ref="W2:X7">_xll.BDH(O3, "LAST_PRICE", "06/16/2026 15:00:00", "01/26/2035 16:00:00", "BarSize=60", "BarType=T", "RecurDaily=True", "TZ=London")</f>
        <v>46189.625</v>
      </c>
      <c r="X2" s="4">
        <v>315.8</v>
      </c>
      <c r="Z2" s="4"/>
      <c r="AA2" s="14" t="s">
        <v>2</v>
      </c>
      <c r="AC2" s="15" t="s">
        <v>3</v>
      </c>
      <c r="AE2" s="16" t="s">
        <v>3</v>
      </c>
      <c r="AG2" s="16" t="s">
        <v>70</v>
      </c>
      <c r="AK2" s="4" cm="1">
        <f t="array" ref="AK2:AK52">_xlfn.UNIQUE(AJ:AJ)</f>
        <v>0</v>
      </c>
      <c r="AS2" s="4" t="s">
        <v>5</v>
      </c>
      <c r="AT2" s="4">
        <f>VLOOKUP(AT1,AP:AQ,2)</f>
        <v>247.30699999999999</v>
      </c>
    </row>
    <row r="3" spans="1:46" x14ac:dyDescent="0.25">
      <c r="A3" s="8" t="s">
        <v>6</v>
      </c>
      <c r="B3" s="17" t="s">
        <v>7</v>
      </c>
      <c r="C3" s="18" t="s">
        <v>8</v>
      </c>
      <c r="D3" s="8" t="s">
        <v>9</v>
      </c>
      <c r="E3" s="17" t="s">
        <v>74</v>
      </c>
      <c r="F3" s="78"/>
      <c r="G3" s="4" t="s">
        <v>38</v>
      </c>
      <c r="H3" s="1">
        <v>200</v>
      </c>
      <c r="I3" s="4">
        <f>200*H4</f>
        <v>61000</v>
      </c>
      <c r="J3" s="2">
        <f>INT(C5/I3)</f>
        <v>426</v>
      </c>
      <c r="O3" s="21" t="s">
        <v>69</v>
      </c>
      <c r="P3" s="88"/>
      <c r="R3" s="4" t="s">
        <v>10</v>
      </c>
      <c r="U3" s="3">
        <v>46097.625</v>
      </c>
      <c r="V3" s="4">
        <v>306.38</v>
      </c>
      <c r="W3" s="3">
        <v>46190.625</v>
      </c>
      <c r="X3" s="4">
        <v>315.42</v>
      </c>
      <c r="Z3" s="4"/>
      <c r="AA3" s="3" cm="1">
        <f t="array" ref="AA3:AB104">_xll.BDH(B4, "LAST_PRICE", "01/26/2026 15:00:00", "01/26/2035 16:00:00", "BarSize=60", "BarType=T", "RecurDaily=True", "TZ=London")</f>
        <v>46048.625</v>
      </c>
      <c r="AB3" s="4">
        <v>93.62</v>
      </c>
      <c r="AC3" s="3" cm="1">
        <f t="array" ref="AC3:AD108">_xll.BDH(C4, "LAST_PRICE", "01/26/2026 15:00:00", "01/01/2035 16:00:00", "BarSize=60", "BarType=T", "RecurDaily=True", "TZ=London")</f>
        <v>46048.625</v>
      </c>
      <c r="AD3" s="4">
        <v>100.566</v>
      </c>
      <c r="AE3" s="3" cm="1">
        <f t="array" ref="AE3:AF107">_xll.BDH(D4, "LAST_PRICE", "01/26/2026 15:00:00", "01/01/2035 16:00:00", "BarSize=60", "BarType=T", "RecurDaily=True", "TZ=London")</f>
        <v>46048.625</v>
      </c>
      <c r="AF3" s="4">
        <v>242.32900000000001</v>
      </c>
      <c r="AG3" s="3" cm="1">
        <f t="array" ref="AG3:AH54">_xll.BDH(O2, "LAST_PRICE", "01/26/2026 15:00:00", "06/16/2026 16:00:00", "BarSize=60", "BarType=T", "RecurDaily=True", "TZ=London")</f>
        <v>46094.625</v>
      </c>
      <c r="AH3" s="4">
        <v>306.42</v>
      </c>
      <c r="AI3" s="3" t="str">
        <f>IF(COUNTIF(AC:AC,AA3)*COUNTIF(AE:AE,AA3)*COUNTIF(AG:AG,AA3),AA3,"")</f>
        <v/>
      </c>
      <c r="AJ3" s="3" t="str">
        <f>IF(AI3&gt;=$A$14,AI3,"")</f>
        <v/>
      </c>
      <c r="AK3" s="3" t="str">
        <v/>
      </c>
      <c r="AN3" s="3" cm="1">
        <f t="array" ref="AN3:AO293">_xll.BDH(D1, "LAST_PRICE", "05/01/2025","")</f>
        <v>45778</v>
      </c>
      <c r="AO3" s="4">
        <v>231.3922</v>
      </c>
      <c r="AP3" s="74" cm="1">
        <f t="array" ref="AP3:AQ294">_xll.BDH(D4, "LAST_PRICE", "05/01/2025", "")</f>
        <v>45778</v>
      </c>
      <c r="AQ3" s="4">
        <v>343.69900000000001</v>
      </c>
      <c r="AR3" s="6">
        <f>IF(COUNTIF(AP:AP,AN3),AN3,"")</f>
        <v>45778</v>
      </c>
      <c r="AS3" s="7" t="s">
        <v>11</v>
      </c>
      <c r="AT3" s="4">
        <f>VLOOKUP(AT1,AN:AO,2)</f>
        <v>255.54130000000001</v>
      </c>
    </row>
    <row r="4" spans="1:46" ht="30" customHeight="1" x14ac:dyDescent="0.25">
      <c r="A4" s="17" t="s">
        <v>12</v>
      </c>
      <c r="B4" s="21" t="s">
        <v>13</v>
      </c>
      <c r="C4" s="22" t="s">
        <v>14</v>
      </c>
      <c r="D4" s="21" t="s">
        <v>15</v>
      </c>
      <c r="E4" s="21" t="s">
        <v>69</v>
      </c>
      <c r="F4" s="88"/>
      <c r="G4" s="88" t="s">
        <v>75</v>
      </c>
      <c r="H4" s="88">
        <f>IF(COUNTIF($U$2:U999,A14)=1,VLOOKUP(A14,U:V,2), "")</f>
        <v>305</v>
      </c>
      <c r="R4" s="6">
        <v>46100</v>
      </c>
      <c r="U4" s="3">
        <v>46098.625</v>
      </c>
      <c r="V4" s="4">
        <v>307.76</v>
      </c>
      <c r="W4" s="3">
        <v>46191.625</v>
      </c>
      <c r="X4" s="4">
        <v>315.68</v>
      </c>
      <c r="Z4" s="4"/>
      <c r="AA4" s="3">
        <v>46049.625</v>
      </c>
      <c r="AB4" s="4">
        <v>93.74</v>
      </c>
      <c r="AC4" s="3">
        <v>46049.625</v>
      </c>
      <c r="AD4" s="4">
        <v>100.59</v>
      </c>
      <c r="AE4" s="3">
        <v>46049.625</v>
      </c>
      <c r="AF4" s="4">
        <v>241.37200000000001</v>
      </c>
      <c r="AG4" s="3">
        <v>46097.625</v>
      </c>
      <c r="AH4" s="4">
        <v>306.38</v>
      </c>
      <c r="AI4" s="3" t="str">
        <f>IF(COUNTIF(AC:AC,AA4)*COUNTIF(AE:AE,AA4)*COUNTIF(AG:AG,AA4),AA4,"")</f>
        <v/>
      </c>
      <c r="AJ4" s="3" t="str">
        <f t="shared" ref="AJ4:AJ67" si="0">IF(AI4&gt;=$A$14,AI4,"")</f>
        <v/>
      </c>
      <c r="AK4" s="3">
        <v>46104.625</v>
      </c>
      <c r="AL4" s="3" cm="1">
        <f t="array" ref="AL4:AM110">_xll.BDH("ERIXILXO Index", "PX_LAST", "01/22/2026", "")</f>
        <v>46044</v>
      </c>
      <c r="AM4" s="5">
        <v>264.16109999999998</v>
      </c>
      <c r="AN4" s="3">
        <v>45779</v>
      </c>
      <c r="AO4" s="4">
        <v>232.4699</v>
      </c>
      <c r="AP4" s="74">
        <v>45779</v>
      </c>
      <c r="AQ4" s="4">
        <v>333.964</v>
      </c>
      <c r="AR4" s="6">
        <f t="shared" ref="AR4:AR67" si="1">IF(COUNTIF(AP:AP,AN4),AN4,"")</f>
        <v>45779</v>
      </c>
      <c r="AS4" s="4" t="s">
        <v>16</v>
      </c>
      <c r="AT4" s="5">
        <f ca="1">INT(NOW())-INT(AT1)</f>
        <v>1</v>
      </c>
    </row>
    <row r="5" spans="1:46" x14ac:dyDescent="0.25">
      <c r="A5" s="17" t="s">
        <v>17</v>
      </c>
      <c r="B5" s="23">
        <f>30*10^6</f>
        <v>30000000</v>
      </c>
      <c r="C5" s="24">
        <f>26*10^6</f>
        <v>26000000</v>
      </c>
      <c r="D5" s="23">
        <f>18.7*10^6</f>
        <v>18700000</v>
      </c>
      <c r="E5" s="23">
        <f>30*10^6</f>
        <v>30000000</v>
      </c>
      <c r="F5" s="89"/>
      <c r="G5" s="89" t="s">
        <v>76</v>
      </c>
      <c r="H5" s="91">
        <f>AH55-AH54</f>
        <v>1.6399999999999864</v>
      </c>
      <c r="U5" s="3">
        <v>46099.625</v>
      </c>
      <c r="V5" s="4">
        <v>307.33999999999997</v>
      </c>
      <c r="W5" s="3">
        <v>46192.625</v>
      </c>
      <c r="X5" s="4">
        <v>315.88</v>
      </c>
      <c r="Z5" s="4"/>
      <c r="AA5" s="3">
        <v>46050.625</v>
      </c>
      <c r="AB5" s="4">
        <v>93.63</v>
      </c>
      <c r="AC5" s="3">
        <v>46050.625</v>
      </c>
      <c r="AD5" s="4">
        <v>100.65</v>
      </c>
      <c r="AE5" s="3">
        <v>46050.625</v>
      </c>
      <c r="AF5" s="4">
        <v>244.39099999999999</v>
      </c>
      <c r="AG5" s="3">
        <v>46098.625</v>
      </c>
      <c r="AH5" s="4">
        <v>307.76</v>
      </c>
      <c r="AI5" s="3" t="str">
        <f>IF(COUNTIF(AC:AC,AA5)*COUNTIF(AE:AE,AA5)*COUNTIF(AG:AG,AA5),AA5,"")</f>
        <v/>
      </c>
      <c r="AJ5" s="3" t="str">
        <f t="shared" si="0"/>
        <v/>
      </c>
      <c r="AK5" s="3">
        <v>46105.625</v>
      </c>
      <c r="AL5" s="3">
        <v>46045</v>
      </c>
      <c r="AM5" s="5">
        <v>263.94619999999998</v>
      </c>
      <c r="AN5" s="3">
        <v>45783</v>
      </c>
      <c r="AO5" s="4">
        <v>232.7954</v>
      </c>
      <c r="AP5" s="74">
        <v>45783</v>
      </c>
      <c r="AQ5" s="4">
        <v>331.25700000000001</v>
      </c>
      <c r="AR5" s="6">
        <f t="shared" si="1"/>
        <v>45783</v>
      </c>
    </row>
    <row r="6" spans="1:46" x14ac:dyDescent="0.25">
      <c r="A6" s="17" t="s">
        <v>18</v>
      </c>
      <c r="B6" s="25">
        <v>0</v>
      </c>
      <c r="C6" s="26">
        <v>2.4E-2</v>
      </c>
      <c r="D6" s="27">
        <v>0.05</v>
      </c>
      <c r="E6" s="25">
        <v>0</v>
      </c>
      <c r="F6" s="90"/>
      <c r="G6" s="90"/>
      <c r="H6" s="90"/>
      <c r="U6" s="3">
        <v>46100.625</v>
      </c>
      <c r="V6" s="4">
        <v>306.06</v>
      </c>
      <c r="W6" s="3">
        <v>46196.625</v>
      </c>
      <c r="X6" s="4">
        <v>315.56</v>
      </c>
      <c r="Z6" s="4"/>
      <c r="AA6" s="3">
        <v>46051.625</v>
      </c>
      <c r="AB6" s="4">
        <v>93.53</v>
      </c>
      <c r="AC6" s="3">
        <v>46051.625</v>
      </c>
      <c r="AD6" s="4">
        <v>100.706</v>
      </c>
      <c r="AE6" s="3">
        <v>46051.625</v>
      </c>
      <c r="AF6" s="4">
        <v>249.25</v>
      </c>
      <c r="AG6" s="3">
        <v>46099.625</v>
      </c>
      <c r="AH6" s="4">
        <v>307.33999999999997</v>
      </c>
      <c r="AI6" s="3" t="str">
        <f>IF(COUNTIF(AC:AC,AA6)*COUNTIF(AE:AE,AA6)*COUNTIF(AG:AG,AA6),AA6,"")</f>
        <v/>
      </c>
      <c r="AJ6" s="3" t="str">
        <f t="shared" si="0"/>
        <v/>
      </c>
      <c r="AK6" s="3">
        <v>46106.625</v>
      </c>
      <c r="AL6" s="3">
        <v>46048</v>
      </c>
      <c r="AM6" s="5">
        <v>264.02949999999998</v>
      </c>
      <c r="AN6" s="3">
        <v>45784</v>
      </c>
      <c r="AO6" s="4">
        <v>232.8287</v>
      </c>
      <c r="AP6" s="74">
        <v>45784</v>
      </c>
      <c r="AQ6" s="4">
        <v>330.31900000000002</v>
      </c>
      <c r="AR6" s="6">
        <f t="shared" si="1"/>
        <v>45784</v>
      </c>
    </row>
    <row r="7" spans="1:46" x14ac:dyDescent="0.25">
      <c r="A7" s="17" t="s">
        <v>19</v>
      </c>
      <c r="B7" s="26" cm="1">
        <f t="array" ref="B7">_xll.BDP("EURR002W INDEX","PX_LAST")/100+0.25/100</f>
        <v>2.6499999999999999E-2</v>
      </c>
      <c r="C7" s="26" cm="1">
        <f t="array" ref="C7">_xll.BDP("EURR002W INDEX","PX_LAST")/100</f>
        <v>2.4E-2</v>
      </c>
      <c r="D7" s="27">
        <v>0</v>
      </c>
      <c r="E7" s="111">
        <v>0</v>
      </c>
      <c r="F7" s="90"/>
      <c r="G7" s="90"/>
      <c r="H7" s="90"/>
      <c r="I7" s="1"/>
      <c r="L7" s="1"/>
      <c r="U7" s="3">
        <v>46101.625</v>
      </c>
      <c r="V7" s="4">
        <v>304.02</v>
      </c>
      <c r="W7" s="3">
        <v>46197.625</v>
      </c>
      <c r="X7" s="4">
        <v>315.52</v>
      </c>
      <c r="Z7" s="4"/>
      <c r="AA7" s="3">
        <v>46052.625</v>
      </c>
      <c r="AB7" s="4">
        <v>93.62</v>
      </c>
      <c r="AC7" s="3">
        <v>46052.625</v>
      </c>
      <c r="AD7" s="4">
        <v>100.675</v>
      </c>
      <c r="AE7" s="3">
        <v>46052.625</v>
      </c>
      <c r="AF7" s="4">
        <v>246.12</v>
      </c>
      <c r="AG7" s="3">
        <v>46100.625</v>
      </c>
      <c r="AH7" s="4">
        <v>306.06</v>
      </c>
      <c r="AI7" s="3" t="str">
        <f>IF(COUNTIF(AC:AC,AA7)*COUNTIF(AE:AE,AA7)*COUNTIF(AG:AG,AA7),AA7,"")</f>
        <v/>
      </c>
      <c r="AJ7" s="3" t="str">
        <f t="shared" si="0"/>
        <v/>
      </c>
      <c r="AK7" s="3">
        <v>46107.625</v>
      </c>
      <c r="AL7" s="3">
        <v>46049</v>
      </c>
      <c r="AM7" s="5">
        <v>264.17689999999999</v>
      </c>
      <c r="AN7" s="3">
        <v>45785</v>
      </c>
      <c r="AO7" s="4">
        <v>233.9237</v>
      </c>
      <c r="AP7" s="74">
        <v>45785</v>
      </c>
      <c r="AQ7" s="4">
        <v>319.94200000000001</v>
      </c>
      <c r="AR7" s="6">
        <f t="shared" si="1"/>
        <v>45785</v>
      </c>
    </row>
    <row r="8" spans="1:46" x14ac:dyDescent="0.25">
      <c r="A8" s="17" t="s">
        <v>20</v>
      </c>
      <c r="B8" s="17" t="s">
        <v>21</v>
      </c>
      <c r="C8" s="18" t="s">
        <v>21</v>
      </c>
      <c r="D8" s="17">
        <v>4.859</v>
      </c>
      <c r="E8" s="17" t="s">
        <v>21</v>
      </c>
      <c r="F8" s="78"/>
      <c r="G8" s="78"/>
      <c r="H8" s="78"/>
      <c r="I8" s="1"/>
      <c r="J8" s="1"/>
      <c r="K8" s="1"/>
      <c r="L8" s="1"/>
      <c r="M8" s="1"/>
      <c r="N8" s="1"/>
      <c r="O8" s="1"/>
      <c r="P8" s="1"/>
      <c r="Q8" s="1"/>
      <c r="R8" s="83"/>
      <c r="S8" s="83"/>
      <c r="T8" s="83"/>
      <c r="U8" s="3">
        <v>46104.625</v>
      </c>
      <c r="V8" s="4">
        <v>305</v>
      </c>
      <c r="W8" s="3"/>
      <c r="X8" s="4"/>
      <c r="Y8" s="83"/>
      <c r="Z8" s="1"/>
      <c r="AA8" s="3">
        <v>46055.625</v>
      </c>
      <c r="AB8" s="4">
        <v>93.64</v>
      </c>
      <c r="AC8" s="3">
        <v>46055.625</v>
      </c>
      <c r="AD8" s="4">
        <v>100.607</v>
      </c>
      <c r="AE8" s="3">
        <v>46055.625</v>
      </c>
      <c r="AF8" s="4">
        <v>243.642</v>
      </c>
      <c r="AG8" s="3">
        <v>46101.625</v>
      </c>
      <c r="AH8" s="4">
        <v>304.02</v>
      </c>
      <c r="AI8" s="3" t="str">
        <f>IF(COUNTIF(AC:AC,AA8)*COUNTIF(AE:AE,AA8)*COUNTIF(AG:AG,AA8),AA8,"")</f>
        <v/>
      </c>
      <c r="AJ8" s="3" t="str">
        <f t="shared" si="0"/>
        <v/>
      </c>
      <c r="AK8" s="3">
        <v>46108.625</v>
      </c>
      <c r="AL8" s="3">
        <v>46050</v>
      </c>
      <c r="AM8" s="5">
        <v>263.77480000000003</v>
      </c>
      <c r="AN8" s="3">
        <v>45786</v>
      </c>
      <c r="AO8" s="4">
        <v>233.92679999999999</v>
      </c>
      <c r="AP8" s="74">
        <v>45786</v>
      </c>
      <c r="AQ8" s="4">
        <v>320.065</v>
      </c>
      <c r="AR8" s="6">
        <f t="shared" si="1"/>
        <v>45786</v>
      </c>
    </row>
    <row r="9" spans="1:46" x14ac:dyDescent="0.25">
      <c r="A9" s="17" t="s">
        <v>22</v>
      </c>
      <c r="B9" s="28" cm="1">
        <f t="array" ref="B9">_xll.BDP(B4,"PX_LAST")</f>
        <v>91.07</v>
      </c>
      <c r="C9" s="28" cm="1">
        <f t="array" ref="C9">_xll.BDP(C4,"PX_LAST")</f>
        <v>99.774000000000001</v>
      </c>
      <c r="D9" s="28" cm="1">
        <f t="array" ref="D9">_xll.BDP(D4,"PX_LAST")</f>
        <v>249.3082</v>
      </c>
      <c r="E9" s="28" cm="1">
        <f t="array" ref="E9">_xll.BDP(E4,"PX_LAST")</f>
        <v>315.95999999999998</v>
      </c>
      <c r="F9" s="91"/>
      <c r="G9" s="91"/>
      <c r="H9" s="91"/>
      <c r="I9" s="1"/>
      <c r="J9" s="1"/>
      <c r="K9" s="1"/>
      <c r="L9" s="1"/>
      <c r="M9" s="1"/>
      <c r="N9" s="1"/>
      <c r="O9" s="1"/>
      <c r="P9" s="1"/>
      <c r="Q9" s="1"/>
      <c r="R9" s="83"/>
      <c r="S9" s="83"/>
      <c r="T9" s="83"/>
      <c r="U9" s="3">
        <v>46105.625</v>
      </c>
      <c r="V9" s="4">
        <v>304.52</v>
      </c>
      <c r="W9" s="3"/>
      <c r="X9" s="4"/>
      <c r="Y9" s="83"/>
      <c r="Z9" s="1"/>
      <c r="AA9" s="3">
        <v>46056.625</v>
      </c>
      <c r="AB9" s="4">
        <v>93.64</v>
      </c>
      <c r="AC9" s="3">
        <v>46056.625</v>
      </c>
      <c r="AD9" s="4">
        <v>100.57599999999999</v>
      </c>
      <c r="AE9" s="3">
        <v>46056.625</v>
      </c>
      <c r="AF9" s="4">
        <v>243.64</v>
      </c>
      <c r="AG9" s="3">
        <v>46104.625</v>
      </c>
      <c r="AH9" s="4">
        <v>305</v>
      </c>
      <c r="AI9" s="3" t="str">
        <f>IF(COUNTIF(AC:AC,AA9)*COUNTIF(AE:AE,AA9)*COUNTIF(AG:AG,AA9),AA9,"")</f>
        <v/>
      </c>
      <c r="AJ9" s="3" t="str">
        <f t="shared" si="0"/>
        <v/>
      </c>
      <c r="AK9" s="3">
        <v>46111.625</v>
      </c>
      <c r="AL9" s="3">
        <v>46051</v>
      </c>
      <c r="AM9" s="5">
        <v>263.46510000000001</v>
      </c>
      <c r="AN9" s="3">
        <v>45789</v>
      </c>
      <c r="AO9" s="4">
        <v>235.58269999999999</v>
      </c>
      <c r="AP9" s="74">
        <v>45789</v>
      </c>
      <c r="AQ9" s="4">
        <v>306.82</v>
      </c>
      <c r="AR9" s="6">
        <f t="shared" si="1"/>
        <v>45789</v>
      </c>
    </row>
    <row r="10" spans="1:46" ht="15.75" thickBot="1" x14ac:dyDescent="0.3">
      <c r="A10" s="29" t="s">
        <v>23</v>
      </c>
      <c r="B10" s="95"/>
      <c r="C10" s="96"/>
      <c r="D10" s="112"/>
      <c r="E10" s="95"/>
      <c r="F10" s="92"/>
      <c r="G10" s="92"/>
      <c r="H10" s="92"/>
      <c r="I10" s="1"/>
      <c r="J10" s="1"/>
      <c r="K10" s="1"/>
      <c r="L10" s="1"/>
      <c r="M10" s="1"/>
      <c r="N10" s="1"/>
      <c r="O10" s="1"/>
      <c r="P10" s="1"/>
      <c r="Q10" s="1"/>
      <c r="R10" s="83"/>
      <c r="S10" s="83"/>
      <c r="T10" s="83"/>
      <c r="U10" s="3">
        <v>46106.625</v>
      </c>
      <c r="V10" s="4">
        <v>306.12</v>
      </c>
      <c r="W10" s="3"/>
      <c r="X10" s="4"/>
      <c r="Y10" s="83"/>
      <c r="Z10" s="1"/>
      <c r="AA10" s="3">
        <v>46057.625</v>
      </c>
      <c r="AB10" s="4">
        <v>93.61</v>
      </c>
      <c r="AC10" s="3">
        <v>46057.625</v>
      </c>
      <c r="AD10" s="4">
        <v>100.637</v>
      </c>
      <c r="AE10" s="3">
        <v>46057.625</v>
      </c>
      <c r="AF10" s="4">
        <v>244.55699999999999</v>
      </c>
      <c r="AG10" s="3">
        <v>46105.625</v>
      </c>
      <c r="AH10" s="4">
        <v>304.52</v>
      </c>
      <c r="AI10" s="3" t="str">
        <f>IF(COUNTIF(AC:AC,AA10)*COUNTIF(AE:AE,AA10)*COUNTIF(AG:AG,AA10),AA10,"")</f>
        <v/>
      </c>
      <c r="AJ10" s="3" t="str">
        <f t="shared" si="0"/>
        <v/>
      </c>
      <c r="AK10" s="3">
        <v>46112.625</v>
      </c>
      <c r="AL10" s="3">
        <v>46052</v>
      </c>
      <c r="AM10" s="5">
        <v>263.61529999999999</v>
      </c>
      <c r="AN10" s="3">
        <v>45790</v>
      </c>
      <c r="AO10" s="4">
        <v>236.78129999999999</v>
      </c>
      <c r="AP10" s="74">
        <v>45790</v>
      </c>
      <c r="AQ10" s="4">
        <v>295.55200000000002</v>
      </c>
      <c r="AR10" s="6">
        <f t="shared" si="1"/>
        <v>45790</v>
      </c>
    </row>
    <row r="11" spans="1:46" ht="15.75" thickBot="1" x14ac:dyDescent="0.3">
      <c r="A11" s="1"/>
      <c r="B11" s="97" t="s">
        <v>7</v>
      </c>
      <c r="C11" s="98"/>
      <c r="D11" s="99"/>
      <c r="E11" s="100" t="s">
        <v>71</v>
      </c>
      <c r="F11" s="101"/>
      <c r="G11" s="101"/>
      <c r="H11" s="102"/>
      <c r="I11" s="1"/>
      <c r="J11" s="1"/>
      <c r="K11" s="1"/>
      <c r="L11" s="1"/>
      <c r="M11" s="1"/>
      <c r="N11" s="1"/>
      <c r="O11" s="1"/>
      <c r="P11" s="1"/>
      <c r="Q11" s="1"/>
      <c r="R11" s="83"/>
      <c r="S11" s="83"/>
      <c r="T11" s="83"/>
      <c r="U11" s="3">
        <v>46107.625</v>
      </c>
      <c r="V11" s="4">
        <v>304.82</v>
      </c>
      <c r="W11" s="3"/>
      <c r="X11" s="4"/>
      <c r="Y11" s="83"/>
      <c r="Z11" s="1"/>
      <c r="AA11" s="3">
        <v>46058.625</v>
      </c>
      <c r="AB11" s="4">
        <v>93.49</v>
      </c>
      <c r="AC11" s="3">
        <v>46058.625</v>
      </c>
      <c r="AD11" s="4">
        <v>100.67</v>
      </c>
      <c r="AE11" s="3">
        <v>46058.625</v>
      </c>
      <c r="AF11" s="4">
        <v>249.851</v>
      </c>
      <c r="AG11" s="3">
        <v>46106.625</v>
      </c>
      <c r="AH11" s="4">
        <v>306.12</v>
      </c>
      <c r="AI11" s="3" t="str">
        <f>IF(COUNTIF(AC:AC,AA11)*COUNTIF(AE:AE,AA11)*COUNTIF(AG:AG,AA11),AA11,"")</f>
        <v/>
      </c>
      <c r="AJ11" s="3" t="str">
        <f t="shared" si="0"/>
        <v/>
      </c>
      <c r="AK11" s="3">
        <v>46113.625</v>
      </c>
      <c r="AL11" s="3">
        <v>46055</v>
      </c>
      <c r="AM11" s="5">
        <v>264.12970000000001</v>
      </c>
      <c r="AN11" s="3">
        <v>45791</v>
      </c>
      <c r="AO11" s="4">
        <v>236.41579999999999</v>
      </c>
      <c r="AP11" s="74">
        <v>45791</v>
      </c>
      <c r="AQ11" s="4">
        <v>299.07799999999997</v>
      </c>
      <c r="AR11" s="6">
        <f t="shared" si="1"/>
        <v>45791</v>
      </c>
    </row>
    <row r="12" spans="1:46" ht="15.75" thickBot="1" x14ac:dyDescent="0.3">
      <c r="A12" s="33" t="s">
        <v>24</v>
      </c>
      <c r="B12" s="65" t="s">
        <v>2</v>
      </c>
      <c r="C12" s="66"/>
      <c r="D12" s="67"/>
      <c r="E12" s="64"/>
      <c r="F12" s="64"/>
      <c r="G12" s="64"/>
      <c r="H12" s="64"/>
      <c r="I12" s="68" t="s">
        <v>3</v>
      </c>
      <c r="J12" s="69"/>
      <c r="K12" s="70"/>
      <c r="L12" s="71" t="s">
        <v>3</v>
      </c>
      <c r="M12" s="73"/>
      <c r="N12" s="11" t="s">
        <v>25</v>
      </c>
      <c r="O12" s="33" t="s">
        <v>26</v>
      </c>
      <c r="P12" s="77"/>
      <c r="Q12" s="77"/>
      <c r="R12" s="85"/>
      <c r="S12" s="85"/>
      <c r="T12" s="85"/>
      <c r="U12" s="3">
        <v>46108.625</v>
      </c>
      <c r="V12" s="4">
        <v>303.5</v>
      </c>
      <c r="W12" s="3"/>
      <c r="X12" s="4"/>
      <c r="Y12" s="85"/>
      <c r="AA12" s="3">
        <v>46059.625</v>
      </c>
      <c r="AB12" s="4">
        <v>93.62</v>
      </c>
      <c r="AC12" s="3">
        <v>46059.625</v>
      </c>
      <c r="AD12" s="4">
        <v>100.67</v>
      </c>
      <c r="AE12" s="3">
        <v>46059.625</v>
      </c>
      <c r="AF12" s="4">
        <v>244.11</v>
      </c>
      <c r="AG12" s="3">
        <v>46107.625</v>
      </c>
      <c r="AH12" s="4">
        <v>304.82</v>
      </c>
      <c r="AI12" s="3" t="str">
        <f>IF(COUNTIF(AC:AC,AA12)*COUNTIF(AE:AE,AA12)*COUNTIF(AG:AG,AA12),AA12,"")</f>
        <v/>
      </c>
      <c r="AJ12" s="3" t="str">
        <f t="shared" si="0"/>
        <v/>
      </c>
      <c r="AK12" s="3">
        <v>46114.625</v>
      </c>
      <c r="AL12" s="3">
        <v>46056</v>
      </c>
      <c r="AM12" s="5">
        <v>264</v>
      </c>
      <c r="AN12" s="3">
        <v>45792</v>
      </c>
      <c r="AO12" s="4">
        <v>236.27610000000001</v>
      </c>
      <c r="AP12" s="74">
        <v>45792</v>
      </c>
      <c r="AQ12" s="4">
        <v>300.10700000000003</v>
      </c>
      <c r="AR12" s="6">
        <f t="shared" si="1"/>
        <v>45792</v>
      </c>
    </row>
    <row r="13" spans="1:46" ht="15.75" thickBot="1" x14ac:dyDescent="0.3">
      <c r="A13" s="29"/>
      <c r="B13" s="34" t="s">
        <v>27</v>
      </c>
      <c r="C13" s="35" t="s">
        <v>28</v>
      </c>
      <c r="D13" s="36" t="s">
        <v>29</v>
      </c>
      <c r="E13" s="35" t="s">
        <v>72</v>
      </c>
      <c r="F13" s="35" t="s">
        <v>73</v>
      </c>
      <c r="G13" s="35"/>
      <c r="H13" s="35" t="s">
        <v>28</v>
      </c>
      <c r="I13" s="34" t="s">
        <v>27</v>
      </c>
      <c r="J13" s="35" t="s">
        <v>28</v>
      </c>
      <c r="K13" s="36" t="s">
        <v>29</v>
      </c>
      <c r="L13" s="34" t="s">
        <v>31</v>
      </c>
      <c r="M13" s="36" t="s">
        <v>33</v>
      </c>
      <c r="N13" s="36"/>
      <c r="O13" s="29"/>
      <c r="P13" s="78"/>
      <c r="Q13" s="78"/>
      <c r="R13" s="85"/>
      <c r="S13" s="85"/>
      <c r="T13" s="85"/>
      <c r="U13" s="3">
        <v>46111.625</v>
      </c>
      <c r="V13" s="4">
        <v>302.92</v>
      </c>
      <c r="W13" s="3"/>
      <c r="X13" s="4"/>
      <c r="Y13" s="85"/>
      <c r="AA13" s="3">
        <v>46062.625</v>
      </c>
      <c r="AB13" s="4">
        <v>93.76</v>
      </c>
      <c r="AC13" s="3">
        <v>46062.625</v>
      </c>
      <c r="AD13" s="4">
        <v>100.702</v>
      </c>
      <c r="AE13" s="3">
        <v>46062.625</v>
      </c>
      <c r="AF13" s="4">
        <v>241.44</v>
      </c>
      <c r="AG13" s="3">
        <v>46108.625</v>
      </c>
      <c r="AH13" s="4">
        <v>303.5</v>
      </c>
      <c r="AI13" s="3" t="str">
        <f>IF(COUNTIF(AC:AC,AA13)*COUNTIF(AE:AE,AA13)*COUNTIF(AG:AG,AA13),AA13,"")</f>
        <v/>
      </c>
      <c r="AJ13" s="3" t="str">
        <f t="shared" si="0"/>
        <v/>
      </c>
      <c r="AK13" s="3">
        <v>46119.625</v>
      </c>
      <c r="AL13" s="3">
        <v>46057</v>
      </c>
      <c r="AM13" s="5">
        <v>263.81950000000001</v>
      </c>
      <c r="AN13" s="3">
        <v>45793</v>
      </c>
      <c r="AO13" s="4">
        <v>236.29159999999999</v>
      </c>
      <c r="AP13" s="74">
        <v>45793</v>
      </c>
      <c r="AQ13" s="4">
        <v>301.29500000000002</v>
      </c>
      <c r="AR13" s="6">
        <f t="shared" si="1"/>
        <v>45793</v>
      </c>
    </row>
    <row r="14" spans="1:46" x14ac:dyDescent="0.25">
      <c r="A14" s="37">
        <v>46104.625</v>
      </c>
      <c r="B14" s="38">
        <f>IF(COUNTIF($AK$2:AK999,A14)=1,VLOOKUP(A14,AA:AB,2), IF(COUNTIF($AK$2:AK999,A14)=0,$B$9,""))</f>
        <v>89.33</v>
      </c>
      <c r="C14" s="2"/>
      <c r="D14" s="18"/>
      <c r="E14" s="78">
        <f>IF(COUNTIF($U$2:U999,A14)=1,VLOOKUP(A14,U:V,2), "")</f>
        <v>305</v>
      </c>
      <c r="F14" s="78"/>
      <c r="G14" s="91">
        <f>E14+$H$5</f>
        <v>306.64</v>
      </c>
      <c r="H14" s="78"/>
      <c r="I14" s="38">
        <f>IF(COUNTIF($AK$2:AK999,A14)=1,VLOOKUP(A14,AC:AD,2), IF(COUNTIF($AK$2:AK999,A14)=0,$C$9,""))</f>
        <v>99.53</v>
      </c>
      <c r="J14" s="1"/>
      <c r="K14" s="18"/>
      <c r="L14" s="38">
        <f>IF(COUNTIF($AK$2:AK999,A14)=1,VLOOKUP(A14,AN:AO,2), IF(COUNTIF($AK$2:AK999,A14)=0,$D$9,""))</f>
        <v>242.08969999999999</v>
      </c>
      <c r="M14" s="18"/>
      <c r="N14" s="18"/>
      <c r="O14" s="40">
        <v>0</v>
      </c>
      <c r="P14" s="79"/>
      <c r="Q14" s="79"/>
      <c r="R14" s="86"/>
      <c r="S14" s="86"/>
      <c r="T14" s="86"/>
      <c r="U14" s="3">
        <v>46112.625</v>
      </c>
      <c r="V14" s="4">
        <v>304.16000000000003</v>
      </c>
      <c r="W14" s="3"/>
      <c r="X14" s="4"/>
      <c r="Y14" s="86"/>
      <c r="AA14" s="3">
        <v>46064.625</v>
      </c>
      <c r="AB14" s="4">
        <v>93.63</v>
      </c>
      <c r="AC14" s="3">
        <v>46063.625</v>
      </c>
      <c r="AD14" s="4">
        <v>100.736</v>
      </c>
      <c r="AE14" s="3">
        <v>46063.625</v>
      </c>
      <c r="AF14" s="4">
        <v>241.98599999999999</v>
      </c>
      <c r="AG14" s="3">
        <v>46111.625</v>
      </c>
      <c r="AH14" s="4">
        <v>302.92</v>
      </c>
      <c r="AI14" s="3" t="str">
        <f>IF(COUNTIF(AC:AC,AA14)*COUNTIF(AE:AE,AA14)*COUNTIF(AG:AG,AA14),AA14,"")</f>
        <v/>
      </c>
      <c r="AJ14" s="3" t="str">
        <f t="shared" si="0"/>
        <v/>
      </c>
      <c r="AK14" s="3">
        <v>46120.625</v>
      </c>
      <c r="AL14" s="3">
        <v>46058</v>
      </c>
      <c r="AM14" s="5">
        <v>263.54730000000001</v>
      </c>
      <c r="AN14" s="3">
        <v>45796</v>
      </c>
      <c r="AO14" s="4">
        <v>236.34809999999999</v>
      </c>
      <c r="AP14" s="74">
        <v>45796</v>
      </c>
      <c r="AQ14" s="4">
        <v>299.93799999999999</v>
      </c>
      <c r="AR14" s="6">
        <f t="shared" si="1"/>
        <v>45796</v>
      </c>
    </row>
    <row r="15" spans="1:46" x14ac:dyDescent="0.25">
      <c r="A15" s="37">
        <f ca="1">IF(AND(ISBLANK(AK4), A14 = $AK$1),NOW(),IF(ISBLANK(AK4),"",AK4))</f>
        <v>46104.625</v>
      </c>
      <c r="B15" s="38">
        <f ca="1">IF(COUNTIF($AK$2:AK1000,A15)=1,VLOOKUP(A15,AA:AB,2), IF(COUNTIF($AK$2:AK1000,A15)=0,$B$9,""))</f>
        <v>89.33</v>
      </c>
      <c r="C15" s="2">
        <f ca="1">IF(ISERROR(B15-2),"",(B15/$B$14-1)*$B$5)</f>
        <v>0</v>
      </c>
      <c r="D15" s="41">
        <f ca="1">IF(ISERROR(B15-2),"",-1*(INT(A15)-INT($A$14))/360*$B$7*$B$5)</f>
        <v>0</v>
      </c>
      <c r="E15" s="78">
        <f ca="1">IF(COUNTIF($U$2:U1000,A15)=1,VLOOKUP(A15,U:V,2), "")</f>
        <v>305</v>
      </c>
      <c r="F15" s="78"/>
      <c r="G15" s="91">
        <f t="shared" ref="G15:G57" ca="1" si="2">E15+$H$5</f>
        <v>306.64</v>
      </c>
      <c r="H15" s="93">
        <f ca="1">IF(ISERROR(B15-2),"",(E15-$E$14)*$H$3*$J$3)</f>
        <v>0</v>
      </c>
      <c r="I15" s="38">
        <f ca="1">IF(COUNTIF($AK$2:AK1000,A15)=1,VLOOKUP(A15,AC:AD,2), IF(COUNTIF($AK$2:AK1000,A15)=0,$C$9,""))</f>
        <v>99.53</v>
      </c>
      <c r="J15" s="2">
        <f ca="1">IF(ISERROR(B15-2),"",(I15-$I$14)/100*$C$5)</f>
        <v>0</v>
      </c>
      <c r="K15" s="41">
        <f ca="1">IF(ISERROR(B15-2),"",(INT(A15)-INT($A$14))/360*$C$6*$C$5-(INT(A15)-INT($A$14))/360*$C$7*$C$5*$I$14/100)</f>
        <v>0</v>
      </c>
      <c r="L15" s="38">
        <f ca="1">IF(COUNTIF($AK$2:AK1000,A15)=1,VLOOKUP(A15,AN:AO,2), IF(COUNTIF($AK$2:AK1000,A15)=0,$D$9,""))</f>
        <v>242.08969999999999</v>
      </c>
      <c r="M15" s="41">
        <f ca="1">IF(ISERROR(L15-2),"",(L15/$L$14-1)*$D$5)</f>
        <v>0</v>
      </c>
      <c r="N15" s="41" t="str">
        <f ca="1">IF($A15="","",IF(COUNTIFS(Dividends!$G:$G,"&gt;"&amp;INT($A14),Dividends!$G:$G,"&lt;="&amp;INT($A15))=0,"",$R$2*SUMIFS(Dividends!$H:$H,Dividends!$G:$G,"&gt;"&amp;INT($A14),Dividends!$G:$G,"&lt;="&amp;INT($A15))))</f>
        <v/>
      </c>
      <c r="O15" s="42">
        <f ca="1">IF(ISERROR(B15-2),"",C15+D15-J15-K15-M15+SUM($N$14:N15))</f>
        <v>0</v>
      </c>
      <c r="P15" s="80"/>
      <c r="Q15" s="80"/>
      <c r="R15" s="87"/>
      <c r="S15" s="87"/>
      <c r="T15" s="87"/>
      <c r="U15" s="3">
        <v>46113.625</v>
      </c>
      <c r="V15" s="4">
        <v>306.24</v>
      </c>
      <c r="W15" s="3"/>
      <c r="X15" s="4"/>
      <c r="Y15" s="87"/>
      <c r="AA15" s="3">
        <v>46065.625</v>
      </c>
      <c r="AB15" s="4">
        <v>93.65</v>
      </c>
      <c r="AC15" s="3">
        <v>46064.625</v>
      </c>
      <c r="AD15" s="4">
        <v>100.73</v>
      </c>
      <c r="AE15" s="3">
        <v>46064.625</v>
      </c>
      <c r="AF15" s="4">
        <v>242.79599999999999</v>
      </c>
      <c r="AG15" s="3">
        <v>46112.625</v>
      </c>
      <c r="AH15" s="4">
        <v>304.16000000000003</v>
      </c>
      <c r="AI15" s="3" t="str">
        <f>IF(COUNTIF(AC:AC,AA15)*COUNTIF(AE:AE,AA15)*COUNTIF(AG:AG,AA15),AA15,"")</f>
        <v/>
      </c>
      <c r="AJ15" s="3" t="str">
        <f t="shared" si="0"/>
        <v/>
      </c>
      <c r="AK15" s="3">
        <v>46122.625</v>
      </c>
      <c r="AL15" s="3">
        <v>46059</v>
      </c>
      <c r="AM15" s="5">
        <v>264.17489999999998</v>
      </c>
      <c r="AN15" s="3">
        <v>45797</v>
      </c>
      <c r="AO15" s="4">
        <v>236.8784</v>
      </c>
      <c r="AP15" s="74">
        <v>45797</v>
      </c>
      <c r="AQ15" s="4">
        <v>295.73700000000002</v>
      </c>
      <c r="AR15" s="6">
        <f t="shared" si="1"/>
        <v>45797</v>
      </c>
    </row>
    <row r="16" spans="1:46" x14ac:dyDescent="0.25">
      <c r="A16" s="37">
        <f ca="1">IF(AND(ISBLANK(AK5), A15 = $AK$1),NOW(),IF(ISBLANK(AK5),"",AK5))</f>
        <v>46105.625</v>
      </c>
      <c r="B16" s="38">
        <f ca="1">IF(COUNTIF($AK$2:AK1001,A16)=1,VLOOKUP(A16,AA:AB,2), IF(COUNTIF($AK$2:AK1001,A16)=0,$B$9,""))</f>
        <v>89.26</v>
      </c>
      <c r="C16" s="2">
        <f t="shared" ref="C16:C79" ca="1" si="3">IF(ISERROR(B16-2),"",(B16/$B$14-1)*$B$5)</f>
        <v>-23508.339863423931</v>
      </c>
      <c r="D16" s="41">
        <f t="shared" ref="D16:D79" ca="1" si="4">IF(ISERROR(B16-2),"",-1*(INT(A16)-INT($A$14))/360*$B$7*$B$5)</f>
        <v>-2208.3333333333335</v>
      </c>
      <c r="E16" s="78">
        <f ca="1">IF(COUNTIF($U$2:U1001,A16)=1,VLOOKUP(A16,U:V,2), "")</f>
        <v>304.52</v>
      </c>
      <c r="F16" s="78"/>
      <c r="G16" s="91">
        <f t="shared" ca="1" si="2"/>
        <v>306.15999999999997</v>
      </c>
      <c r="H16" s="93">
        <f ca="1">IF(ISERROR(B16-2),"",(E16-$E$14)*$H$3*$J$3)</f>
        <v>-40896.00000000155</v>
      </c>
      <c r="I16" s="38">
        <f ca="1">IF(COUNTIF($AK$2:AK1001,A16)=1,VLOOKUP(A16,AC:AD,2), IF(COUNTIF($AK$2:AK1001,A16)=0,$C$9,""))</f>
        <v>99.400999999999996</v>
      </c>
      <c r="J16" s="2">
        <f t="shared" ref="J16:J79" ca="1" si="5">IF(ISERROR(B16-2),"",(I16-$I$14)/100*$C$5)</f>
        <v>-33540.000000001273</v>
      </c>
      <c r="K16" s="41">
        <f t="shared" ref="K16:K79" ca="1" si="6">IF(ISERROR(B16-2),"",(INT(A16)-INT($A$14))/360*$C$6*$C$5-(INT(A16)-INT($A$14))/360*$C$7*$C$5*$I$14/100)</f>
        <v>8.1466666666665333</v>
      </c>
      <c r="L16" s="38">
        <f ca="1">IF(COUNTIF($AK$2:AK1001,A16)=1,VLOOKUP(A16,AN:AO,2), IF(COUNTIF($AK$2:AK1001,A16)=0,$D$9,""))</f>
        <v>242.32900000000001</v>
      </c>
      <c r="M16" s="41">
        <f ca="1">IF(ISERROR(L16-2),"",(L16/$L$14-1)*$D$5)</f>
        <v>18484.512145705678</v>
      </c>
      <c r="N16" s="41" t="str">
        <f ca="1">IF($A16="","",IF(COUNTIFS(Dividends!$G:$G,"&gt;"&amp;INT($A15),Dividends!$G:$G,"&lt;="&amp;INT($A16))=0,"",$R$2*SUMIFS(Dividends!$H:$H,Dividends!$G:$G,"&gt;"&amp;INT($A15),Dividends!$G:$G,"&lt;="&amp;INT($A16))))</f>
        <v/>
      </c>
      <c r="O16" s="42">
        <f ca="1">IF(ISERROR(B16-2),"",C16+D16-J16-K16-M16+SUM($N$14:N16))</f>
        <v>-10669.332009128335</v>
      </c>
      <c r="P16" s="80"/>
      <c r="Q16" s="80"/>
      <c r="R16" s="87"/>
      <c r="S16" s="87"/>
      <c r="T16" s="87"/>
      <c r="U16" s="3">
        <v>46114.625</v>
      </c>
      <c r="V16" s="4">
        <v>306.5</v>
      </c>
      <c r="W16" s="3"/>
      <c r="X16" s="4"/>
      <c r="Y16" s="87"/>
      <c r="AA16" s="3">
        <v>46066.625</v>
      </c>
      <c r="AB16" s="4">
        <v>93.55</v>
      </c>
      <c r="AC16" s="3">
        <v>46065.625</v>
      </c>
      <c r="AD16" s="4">
        <v>100.751</v>
      </c>
      <c r="AE16" s="3">
        <v>46065.625</v>
      </c>
      <c r="AF16" s="4">
        <v>244.61799999999999</v>
      </c>
      <c r="AG16" s="3">
        <v>46113.625</v>
      </c>
      <c r="AH16" s="4">
        <v>306.24</v>
      </c>
      <c r="AI16" s="3" t="str">
        <f>IF(COUNTIF(AC:AC,AA16)*COUNTIF(AE:AE,AA16)*COUNTIF(AG:AG,AA16),AA16,"")</f>
        <v/>
      </c>
      <c r="AJ16" s="3" t="str">
        <f t="shared" si="0"/>
        <v/>
      </c>
      <c r="AK16" s="3">
        <v>46126.625</v>
      </c>
      <c r="AL16" s="3">
        <v>46062</v>
      </c>
      <c r="AM16" s="5">
        <v>264.56029999999998</v>
      </c>
      <c r="AN16" s="3">
        <v>45798</v>
      </c>
      <c r="AO16" s="4">
        <v>236.62629999999999</v>
      </c>
      <c r="AP16" s="74">
        <v>45798</v>
      </c>
      <c r="AQ16" s="4">
        <v>298.613</v>
      </c>
      <c r="AR16" s="6">
        <f t="shared" si="1"/>
        <v>45798</v>
      </c>
    </row>
    <row r="17" spans="1:44" x14ac:dyDescent="0.25">
      <c r="A17" s="37">
        <f ca="1">IF(AND(ISBLANK(AK6), A16 = $AK$1),NOW(),IF(ISBLANK(AK6),"",AK6))</f>
        <v>46106.625</v>
      </c>
      <c r="B17" s="38">
        <f ca="1">IF(COUNTIF($AK$2:AK1002,A17)=1,VLOOKUP(A17,AA:AB,2), IF(COUNTIF($AK$2:AK1002,A17)=0,$B$9,""))</f>
        <v>89.54</v>
      </c>
      <c r="C17" s="2">
        <f t="shared" ca="1" si="3"/>
        <v>70525.019590288444</v>
      </c>
      <c r="D17" s="41">
        <f t="shared" ca="1" si="4"/>
        <v>-4416.666666666667</v>
      </c>
      <c r="E17" s="78">
        <f ca="1">IF(COUNTIF($U$2:U1002,A17)=1,VLOOKUP(A17,U:V,2), "")</f>
        <v>306.12</v>
      </c>
      <c r="F17" s="78"/>
      <c r="G17" s="91">
        <f t="shared" ca="1" si="2"/>
        <v>307.76</v>
      </c>
      <c r="H17" s="93">
        <f ca="1">IF(ISERROR(B17-2),"",(E17-$E$14)*$H$3*$J$3)</f>
        <v>95424.000000000393</v>
      </c>
      <c r="I17" s="38">
        <f ca="1">IF(COUNTIF($AK$2:AK1002,A17)=1,VLOOKUP(A17,AC:AD,2), IF(COUNTIF($AK$2:AK1002,A17)=0,$C$9,""))</f>
        <v>99.501000000000005</v>
      </c>
      <c r="J17" s="2">
        <f t="shared" ca="1" si="5"/>
        <v>-7539.9999999990541</v>
      </c>
      <c r="K17" s="41">
        <f t="shared" ca="1" si="6"/>
        <v>16.293333333333067</v>
      </c>
      <c r="L17" s="38">
        <f ca="1">IF(COUNTIF($AK$2:AK1002,A17)=1,VLOOKUP(A17,AN:AO,2), IF(COUNTIF($AK$2:AK1002,A17)=0,$D$9,""))</f>
        <v>243.4736</v>
      </c>
      <c r="M17" s="41">
        <f ca="1">IF(ISERROR(L17-2),"",(L17/$L$14-1)*$D$5)</f>
        <v>106898.10429770623</v>
      </c>
      <c r="N17" s="41" t="str">
        <f ca="1">IF($A17="","",IF(COUNTIFS(Dividends!$G:$G,"&gt;"&amp;INT($A16),Dividends!$G:$G,"&lt;="&amp;INT($A17))=0,"",$R$2*SUMIFS(Dividends!$H:$H,Dividends!$G:$G,"&gt;"&amp;INT($A16),Dividends!$G:$G,"&lt;="&amp;INT($A17))))</f>
        <v/>
      </c>
      <c r="O17" s="42">
        <f ca="1">IF(ISERROR(B17-2),"",C17+D17-J17-K17-M17+SUM($N$14:N17))</f>
        <v>-33266.04470741874</v>
      </c>
      <c r="P17" s="80"/>
      <c r="Q17" s="80"/>
      <c r="R17" s="87"/>
      <c r="S17" s="87"/>
      <c r="T17" s="87"/>
      <c r="U17" s="3">
        <v>46119.625</v>
      </c>
      <c r="V17" s="4">
        <v>305.86</v>
      </c>
      <c r="W17" s="3"/>
      <c r="X17" s="4"/>
      <c r="Y17" s="87"/>
      <c r="AA17" s="3">
        <v>46069.625</v>
      </c>
      <c r="AB17" s="4">
        <v>93.55</v>
      </c>
      <c r="AC17" s="3">
        <v>46066.625</v>
      </c>
      <c r="AD17" s="4">
        <v>100.819</v>
      </c>
      <c r="AE17" s="3">
        <v>46066.625</v>
      </c>
      <c r="AF17" s="4">
        <v>247.57300000000001</v>
      </c>
      <c r="AG17" s="3">
        <v>46114.625</v>
      </c>
      <c r="AH17" s="4">
        <v>306.5</v>
      </c>
      <c r="AI17" s="3" t="str">
        <f>IF(COUNTIF(AC:AC,AA17)*COUNTIF(AE:AE,AA17)*COUNTIF(AG:AG,AA17),AA17,"")</f>
        <v/>
      </c>
      <c r="AJ17" s="3" t="str">
        <f t="shared" si="0"/>
        <v/>
      </c>
      <c r="AK17" s="3">
        <v>46127.625</v>
      </c>
      <c r="AL17" s="3">
        <v>46063</v>
      </c>
      <c r="AM17" s="5">
        <v>264.46800000000002</v>
      </c>
      <c r="AN17" s="3">
        <v>45799</v>
      </c>
      <c r="AO17" s="4">
        <v>236.15270000000001</v>
      </c>
      <c r="AP17" s="74">
        <v>45799</v>
      </c>
      <c r="AQ17" s="4">
        <v>302.62099999999998</v>
      </c>
      <c r="AR17" s="6">
        <f t="shared" si="1"/>
        <v>45799</v>
      </c>
    </row>
    <row r="18" spans="1:44" x14ac:dyDescent="0.25">
      <c r="A18" s="37">
        <f ca="1">IF(AND(ISBLANK(AK7), A17 = $AK$1),NOW(),IF(ISBLANK(AK7),"",AK7))</f>
        <v>46107.625</v>
      </c>
      <c r="B18" s="38">
        <f ca="1">IF(COUNTIF($AK$2:AK1003,A18)=1,VLOOKUP(A18,AA:AB,2), IF(COUNTIF($AK$2:AK1003,A18)=0,$B$9,""))</f>
        <v>89.29</v>
      </c>
      <c r="C18" s="2">
        <f t="shared" ca="1" si="3"/>
        <v>-13433.3370648132</v>
      </c>
      <c r="D18" s="41">
        <f t="shared" ca="1" si="4"/>
        <v>-6625</v>
      </c>
      <c r="E18" s="78">
        <f ca="1">IF(COUNTIF($U$2:U1003,A18)=1,VLOOKUP(A18,U:V,2), "")</f>
        <v>304.82</v>
      </c>
      <c r="F18" s="78"/>
      <c r="G18" s="91">
        <f t="shared" ca="1" si="2"/>
        <v>306.45999999999998</v>
      </c>
      <c r="H18" s="93">
        <f ca="1">IF(ISERROR(B18-2),"",(E18-$E$14)*$H$3*$J$3)</f>
        <v>-15336.000000000582</v>
      </c>
      <c r="I18" s="38">
        <f ca="1">IF(COUNTIF($AK$2:AK1003,A18)=1,VLOOKUP(A18,AC:AD,2), IF(COUNTIF($AK$2:AK1003,A18)=0,$C$9,""))</f>
        <v>99.313000000000002</v>
      </c>
      <c r="J18" s="2">
        <f t="shared" ca="1" si="5"/>
        <v>-56419.999999999673</v>
      </c>
      <c r="K18" s="41">
        <f t="shared" ca="1" si="6"/>
        <v>24.4399999999996</v>
      </c>
      <c r="L18" s="38">
        <f ca="1">IF(COUNTIF($AK$2:AK1003,A18)=1,VLOOKUP(A18,AN:AO,2), IF(COUNTIF($AK$2:AK1003,A18)=0,$D$9,""))</f>
        <v>241.38650000000001</v>
      </c>
      <c r="M18" s="41">
        <f ca="1">IF(ISERROR(L18-2),"",(L18/$L$14-1)*$D$5)</f>
        <v>-54318.048227575986</v>
      </c>
      <c r="N18" s="41" t="str">
        <f ca="1">IF($A18="","",IF(COUNTIFS(Dividends!$G:$G,"&gt;"&amp;INT($A17),Dividends!$G:$G,"&lt;="&amp;INT($A18))=0,"",$R$2*SUMIFS(Dividends!$H:$H,Dividends!$G:$G,"&gt;"&amp;INT($A17),Dividends!$G:$G,"&lt;="&amp;INT($A18))))</f>
        <v/>
      </c>
      <c r="O18" s="42">
        <f ca="1">IF(ISERROR(B18-2),"",C18+D18-J18-K18-M18+SUM($N$14:N18))</f>
        <v>90655.271162762452</v>
      </c>
      <c r="P18" s="80"/>
      <c r="Q18" s="80"/>
      <c r="R18" s="87"/>
      <c r="S18" s="87"/>
      <c r="T18" s="87"/>
      <c r="U18" s="3">
        <v>46120.625</v>
      </c>
      <c r="V18" s="4">
        <v>309.58</v>
      </c>
      <c r="W18" s="3"/>
      <c r="X18" s="4"/>
      <c r="Y18" s="87"/>
      <c r="AA18" s="3">
        <v>46070.625</v>
      </c>
      <c r="AB18" s="4">
        <v>93.48</v>
      </c>
      <c r="AC18" s="3">
        <v>46069.625</v>
      </c>
      <c r="AD18" s="4">
        <v>100.827</v>
      </c>
      <c r="AE18" s="3">
        <v>46069.625</v>
      </c>
      <c r="AF18" s="4">
        <v>248.94900000000001</v>
      </c>
      <c r="AG18" s="3">
        <v>46119.625</v>
      </c>
      <c r="AH18" s="4">
        <v>305.86</v>
      </c>
      <c r="AI18" s="3" t="str">
        <f>IF(COUNTIF(AC:AC,AA18)*COUNTIF(AE:AE,AA18)*COUNTIF(AG:AG,AA18),AA18,"")</f>
        <v/>
      </c>
      <c r="AJ18" s="3" t="str">
        <f t="shared" si="0"/>
        <v/>
      </c>
      <c r="AK18" s="3">
        <v>46128.625</v>
      </c>
      <c r="AL18" s="3">
        <v>46064</v>
      </c>
      <c r="AM18" s="5">
        <v>264.35489999999999</v>
      </c>
      <c r="AN18" s="3">
        <v>45800</v>
      </c>
      <c r="AO18" s="4">
        <v>234.8886</v>
      </c>
      <c r="AP18" s="74">
        <v>45800</v>
      </c>
      <c r="AQ18" s="4">
        <v>315.95499999999998</v>
      </c>
      <c r="AR18" s="6">
        <f t="shared" si="1"/>
        <v>45800</v>
      </c>
    </row>
    <row r="19" spans="1:44" x14ac:dyDescent="0.25">
      <c r="A19" s="37">
        <f ca="1">IF(AND(ISBLANK(AK8), A18 = $AK$1),NOW(),IF(ISBLANK(AK8),"",AK8))</f>
        <v>46108.625</v>
      </c>
      <c r="B19" s="38">
        <f ca="1">IF(COUNTIF($AK$2:AK1004,A19)=1,VLOOKUP(A19,AA:AB,2), IF(COUNTIF($AK$2:AK1004,A19)=0,$B$9,""))</f>
        <v>88.99</v>
      </c>
      <c r="C19" s="2">
        <f t="shared" ca="1" si="3"/>
        <v>-114183.36505093718</v>
      </c>
      <c r="D19" s="41">
        <f t="shared" ca="1" si="4"/>
        <v>-8833.3333333333339</v>
      </c>
      <c r="E19" s="78">
        <f ca="1">IF(COUNTIF($U$2:U1004,A19)=1,VLOOKUP(A19,U:V,2), "")</f>
        <v>303.5</v>
      </c>
      <c r="F19" s="78"/>
      <c r="G19" s="91">
        <f t="shared" ca="1" si="2"/>
        <v>305.14</v>
      </c>
      <c r="H19" s="93">
        <f ca="1">IF(ISERROR(B19-2),"",(E19-$E$14)*$H$3*$J$3)</f>
        <v>-127800</v>
      </c>
      <c r="I19" s="38">
        <f ca="1">IF(COUNTIF($AK$2:AK1004,A19)=1,VLOOKUP(A19,AC:AD,2), IF(COUNTIF($AK$2:AK1004,A19)=0,$C$9,""))</f>
        <v>99.304000000000002</v>
      </c>
      <c r="J19" s="2">
        <f t="shared" ca="1" si="5"/>
        <v>-58759.99999999976</v>
      </c>
      <c r="K19" s="41">
        <f t="shared" ca="1" si="6"/>
        <v>32.586666666666133</v>
      </c>
      <c r="L19" s="38">
        <f ca="1">IF(COUNTIF($AK$2:AK1004,A19)=1,VLOOKUP(A19,AN:AO,2), IF(COUNTIF($AK$2:AK1004,A19)=0,$D$9,""))</f>
        <v>240.04679999999999</v>
      </c>
      <c r="M19" s="41">
        <f ca="1">IF(ISERROR(L19-2),"",(L19/$L$14-1)*$D$5)</f>
        <v>-157801.96348708848</v>
      </c>
      <c r="N19" s="41" t="str">
        <f ca="1">IF($A19="","",IF(COUNTIFS(Dividends!$G:$G,"&gt;"&amp;INT($A18),Dividends!$G:$G,"&lt;="&amp;INT($A19))=0,"",$R$2*SUMIFS(Dividends!$H:$H,Dividends!$G:$G,"&gt;"&amp;INT($A18),Dividends!$G:$G,"&lt;="&amp;INT($A19))))</f>
        <v/>
      </c>
      <c r="O19" s="42">
        <f ca="1">IF(ISERROR(B19-2),"",C19+D19-J19-K19-M19+SUM($N$14:N19))</f>
        <v>93512.678436151065</v>
      </c>
      <c r="P19" s="80"/>
      <c r="Q19" s="80"/>
      <c r="R19" s="87"/>
      <c r="S19" s="87"/>
      <c r="T19" s="87"/>
      <c r="U19" s="3">
        <v>46122.625</v>
      </c>
      <c r="V19" s="4">
        <v>309.45999999999998</v>
      </c>
      <c r="W19" s="3"/>
      <c r="X19" s="4"/>
      <c r="Y19" s="87"/>
      <c r="AA19" s="3">
        <v>46071.625</v>
      </c>
      <c r="AB19" s="4">
        <v>93.67</v>
      </c>
      <c r="AC19" s="3">
        <v>46070.625</v>
      </c>
      <c r="AD19" s="4">
        <v>100.84399999999999</v>
      </c>
      <c r="AE19" s="3">
        <v>46070.625</v>
      </c>
      <c r="AF19" s="4">
        <v>252.08199999999999</v>
      </c>
      <c r="AG19" s="3">
        <v>46120.625</v>
      </c>
      <c r="AH19" s="4">
        <v>309.58</v>
      </c>
      <c r="AI19" s="3" t="str">
        <f>IF(COUNTIF(AC:AC,AA19)*COUNTIF(AE:AE,AA19)*COUNTIF(AG:AG,AA19),AA19,"")</f>
        <v/>
      </c>
      <c r="AJ19" s="3" t="str">
        <f t="shared" si="0"/>
        <v/>
      </c>
      <c r="AK19" s="3">
        <v>46129.625</v>
      </c>
      <c r="AL19" s="3">
        <v>46065</v>
      </c>
      <c r="AM19" s="5">
        <v>264.04489999999998</v>
      </c>
      <c r="AN19" s="3">
        <v>45804</v>
      </c>
      <c r="AO19" s="4">
        <v>236.60339999999999</v>
      </c>
      <c r="AP19" s="74">
        <v>45804</v>
      </c>
      <c r="AQ19" s="4">
        <v>300.10899999999998</v>
      </c>
      <c r="AR19" s="6">
        <f t="shared" si="1"/>
        <v>45804</v>
      </c>
    </row>
    <row r="20" spans="1:44" x14ac:dyDescent="0.25">
      <c r="A20" s="37">
        <f ca="1">IF(AND(ISBLANK(AK9), A19 = $AK$1),NOW(),IF(ISBLANK(AK9),"",AK9))</f>
        <v>46111.625</v>
      </c>
      <c r="B20" s="38">
        <f ca="1">IF(COUNTIF($AK$2:AK1005,A20)=1,VLOOKUP(A20,AA:AB,2), IF(COUNTIF($AK$2:AK1005,A20)=0,$B$9,""))</f>
        <v>88.85</v>
      </c>
      <c r="C20" s="2">
        <f t="shared" ca="1" si="3"/>
        <v>-161200.04477779171</v>
      </c>
      <c r="D20" s="41">
        <f t="shared" ca="1" si="4"/>
        <v>-15458.333333333334</v>
      </c>
      <c r="E20" s="78">
        <f ca="1">IF(COUNTIF($U$2:U1005,A20)=1,VLOOKUP(A20,U:V,2), "")</f>
        <v>302.92</v>
      </c>
      <c r="F20" s="78"/>
      <c r="G20" s="91">
        <f t="shared" ca="1" si="2"/>
        <v>304.56</v>
      </c>
      <c r="H20" s="93">
        <f ca="1">IF(ISERROR(B20-2),"",(E20-$E$14)*$H$3*$J$3)</f>
        <v>-177215.99999999863</v>
      </c>
      <c r="I20" s="38">
        <f ca="1">IF(COUNTIF($AK$2:AK1005,A20)=1,VLOOKUP(A20,AC:AD,2), IF(COUNTIF($AK$2:AK1005,A20)=0,$C$9,""))</f>
        <v>99.466999999999999</v>
      </c>
      <c r="J20" s="2">
        <f t="shared" ca="1" si="5"/>
        <v>-16380.00000000062</v>
      </c>
      <c r="K20" s="41">
        <f t="shared" ca="1" si="6"/>
        <v>57.026666666666642</v>
      </c>
      <c r="L20" s="38">
        <f ca="1">IF(COUNTIF($AK$2:AK1005,A20)=1,VLOOKUP(A20,AN:AO,2), IF(COUNTIF($AK$2:AK1005,A20)=0,$D$9,""))</f>
        <v>240.15790000000001</v>
      </c>
      <c r="M20" s="41">
        <f ca="1">IF(ISERROR(L20-2),"",(L20/$L$14-1)*$D$5)</f>
        <v>-149220.14443406626</v>
      </c>
      <c r="N20" s="41" t="str">
        <f ca="1">IF($A20="","",IF(COUNTIFS(Dividends!$G:$G,"&gt;"&amp;INT($A19),Dividends!$G:$G,"&lt;="&amp;INT($A20))=0,"",$R$2*SUMIFS(Dividends!$H:$H,Dividends!$G:$G,"&gt;"&amp;INT($A19),Dividends!$G:$G,"&lt;="&amp;INT($A20))))</f>
        <v/>
      </c>
      <c r="O20" s="42">
        <f ca="1">IF(ISERROR(B20-2),"",C20+D20-J20-K20-M20+SUM($N$14:N20))</f>
        <v>-11115.260343724862</v>
      </c>
      <c r="P20" s="80"/>
      <c r="Q20" s="80"/>
      <c r="R20" s="87"/>
      <c r="S20" s="87"/>
      <c r="T20" s="87"/>
      <c r="U20" s="3">
        <v>46126.625</v>
      </c>
      <c r="V20" s="4">
        <v>309.89999999999998</v>
      </c>
      <c r="W20" s="3"/>
      <c r="X20" s="4"/>
      <c r="Y20" s="87"/>
      <c r="AA20" s="3">
        <v>46072.625</v>
      </c>
      <c r="AB20" s="4">
        <v>93.64</v>
      </c>
      <c r="AC20" s="3">
        <v>46071.625</v>
      </c>
      <c r="AD20" s="4">
        <v>100.795</v>
      </c>
      <c r="AE20" s="3">
        <v>46071.625</v>
      </c>
      <c r="AF20" s="4">
        <v>245.43600000000001</v>
      </c>
      <c r="AG20" s="3">
        <v>46122.625</v>
      </c>
      <c r="AH20" s="4">
        <v>309.45999999999998</v>
      </c>
      <c r="AI20" s="3" t="str">
        <f>IF(COUNTIF(AC:AC,AA20)*COUNTIF(AE:AE,AA20)*COUNTIF(AG:AG,AA20),AA20,"")</f>
        <v/>
      </c>
      <c r="AJ20" s="3" t="str">
        <f t="shared" si="0"/>
        <v/>
      </c>
      <c r="AK20" s="3">
        <v>46132.625</v>
      </c>
      <c r="AL20" s="3">
        <v>46066</v>
      </c>
      <c r="AM20" s="5">
        <v>263.8886</v>
      </c>
      <c r="AN20" s="3">
        <v>45805</v>
      </c>
      <c r="AO20" s="4">
        <v>236.68979999999999</v>
      </c>
      <c r="AP20" s="74">
        <v>45805</v>
      </c>
      <c r="AQ20" s="4">
        <v>300.60399999999998</v>
      </c>
      <c r="AR20" s="6">
        <f t="shared" si="1"/>
        <v>45805</v>
      </c>
    </row>
    <row r="21" spans="1:44" x14ac:dyDescent="0.25">
      <c r="A21" s="37">
        <f ca="1">IF(AND(ISBLANK(AK10), A20 = $AK$1),NOW(),IF(ISBLANK(AK10),"",AK10))</f>
        <v>46112.625</v>
      </c>
      <c r="B21" s="38">
        <f ca="1">IF(COUNTIF($AK$2:AK1006,A21)=1,VLOOKUP(A21,AA:AB,2), IF(COUNTIF($AK$2:AK1006,A21)=0,$B$9,""))</f>
        <v>89.12</v>
      </c>
      <c r="C21" s="2">
        <f t="shared" ca="1" si="3"/>
        <v>-70525.019590281794</v>
      </c>
      <c r="D21" s="41">
        <f t="shared" ca="1" si="4"/>
        <v>-17666.666666666668</v>
      </c>
      <c r="E21" s="78">
        <f ca="1">IF(COUNTIF($U$2:U1006,A21)=1,VLOOKUP(A21,U:V,2), "")</f>
        <v>304.16000000000003</v>
      </c>
      <c r="F21" s="78"/>
      <c r="G21" s="91">
        <f t="shared" ca="1" si="2"/>
        <v>305.8</v>
      </c>
      <c r="H21" s="93">
        <f ca="1">IF(ISERROR(B21-2),"",(E21-$E$14)*$H$3*$J$3)</f>
        <v>-71567.999999997875</v>
      </c>
      <c r="I21" s="38">
        <f ca="1">IF(COUNTIF($AK$2:AK1006,A21)=1,VLOOKUP(A21,AC:AD,2), IF(COUNTIF($AK$2:AK1006,A21)=0,$C$9,""))</f>
        <v>99.444000000000003</v>
      </c>
      <c r="J21" s="2">
        <f t="shared" ca="1" si="5"/>
        <v>-22359.999999999614</v>
      </c>
      <c r="K21" s="41">
        <f t="shared" ca="1" si="6"/>
        <v>65.173333333332266</v>
      </c>
      <c r="L21" s="38">
        <f ca="1">IF(COUNTIF($AK$2:AK1006,A21)=1,VLOOKUP(A21,AN:AO,2), IF(COUNTIF($AK$2:AK1006,A21)=0,$D$9,""))</f>
        <v>241.21780000000001</v>
      </c>
      <c r="M21" s="41">
        <f ca="1">IF(ISERROR(L21-2),"",(L21/$L$14-1)*$D$5)</f>
        <v>-67349.127203676326</v>
      </c>
      <c r="N21" s="41" t="str">
        <f ca="1">IF($A21="","",IF(COUNTIFS(Dividends!$G:$G,"&gt;"&amp;INT($A20),Dividends!$G:$G,"&lt;="&amp;INT($A21))=0,"",$R$2*SUMIFS(Dividends!$H:$H,Dividends!$G:$G,"&gt;"&amp;INT($A20),Dividends!$G:$G,"&lt;="&amp;INT($A21))))</f>
        <v/>
      </c>
      <c r="O21" s="42">
        <f ca="1">IF(ISERROR(B21-2),"",C21+D21-J21-K21-M21+SUM($N$14:N21))</f>
        <v>1452.2676133941277</v>
      </c>
      <c r="P21" s="80"/>
      <c r="Q21" s="80"/>
      <c r="R21" s="87"/>
      <c r="S21" s="87"/>
      <c r="T21" s="87"/>
      <c r="U21" s="3">
        <v>46127.625</v>
      </c>
      <c r="V21" s="4">
        <v>310.42</v>
      </c>
      <c r="W21" s="3"/>
      <c r="X21" s="4"/>
      <c r="Y21" s="87"/>
      <c r="AA21" s="3">
        <v>46073.625</v>
      </c>
      <c r="AB21" s="4">
        <v>93.75</v>
      </c>
      <c r="AC21" s="3">
        <v>46072.625</v>
      </c>
      <c r="AD21" s="4">
        <v>100.789</v>
      </c>
      <c r="AE21" s="3">
        <v>46072.625</v>
      </c>
      <c r="AF21" s="4">
        <v>249.529</v>
      </c>
      <c r="AG21" s="3">
        <v>46126.625</v>
      </c>
      <c r="AH21" s="4">
        <v>309.89999999999998</v>
      </c>
      <c r="AI21" s="3" t="str">
        <f>IF(COUNTIF(AC:AC,AA21)*COUNTIF(AE:AE,AA21)*COUNTIF(AG:AG,AA21),AA21,"")</f>
        <v/>
      </c>
      <c r="AJ21" s="3" t="str">
        <f t="shared" si="0"/>
        <v/>
      </c>
      <c r="AK21" s="3">
        <v>46133.625</v>
      </c>
      <c r="AL21" s="3">
        <v>46069</v>
      </c>
      <c r="AM21" s="5">
        <v>263.76089999999999</v>
      </c>
      <c r="AN21" s="3">
        <v>45806</v>
      </c>
      <c r="AO21" s="4">
        <v>236.84520000000001</v>
      </c>
      <c r="AP21" s="74">
        <v>45806</v>
      </c>
      <c r="AQ21" s="4">
        <v>300.02</v>
      </c>
      <c r="AR21" s="6">
        <f t="shared" si="1"/>
        <v>45806</v>
      </c>
    </row>
    <row r="22" spans="1:44" x14ac:dyDescent="0.25">
      <c r="A22" s="37">
        <f ca="1">IF(AND(ISBLANK(AK11), A21 = $AK$1),NOW(),IF(ISBLANK(AK11),"",AK11))</f>
        <v>46113.625</v>
      </c>
      <c r="B22" s="38">
        <f ca="1">IF(COUNTIF($AK$2:AK1007,A22)=1,VLOOKUP(A22,AA:AB,2), IF(COUNTIF($AK$2:AK1007,A22)=0,$B$9,""))</f>
        <v>89.8</v>
      </c>
      <c r="C22" s="2">
        <f t="shared" ca="1" si="3"/>
        <v>157841.7105115859</v>
      </c>
      <c r="D22" s="41">
        <f t="shared" ca="1" si="4"/>
        <v>-19875</v>
      </c>
      <c r="E22" s="78">
        <f ca="1">IF(COUNTIF($U$2:U1007,A22)=1,VLOOKUP(A22,U:V,2), "")</f>
        <v>306.24</v>
      </c>
      <c r="F22" s="78"/>
      <c r="G22" s="91">
        <f t="shared" ca="1" si="2"/>
        <v>307.88</v>
      </c>
      <c r="H22" s="93">
        <f ca="1">IF(ISERROR(B22-2),"",(E22-$E$14)*$H$3*$J$3)</f>
        <v>105648.00000000077</v>
      </c>
      <c r="I22" s="38">
        <f ca="1">IF(COUNTIF($AK$2:AK1007,A22)=1,VLOOKUP(A22,AC:AD,2), IF(COUNTIF($AK$2:AK1007,A22)=0,$C$9,""))</f>
        <v>99.510999999999996</v>
      </c>
      <c r="J22" s="2">
        <f t="shared" ca="1" si="5"/>
        <v>-4940.0000000014188</v>
      </c>
      <c r="K22" s="41">
        <f t="shared" ca="1" si="6"/>
        <v>73.319999999999709</v>
      </c>
      <c r="L22" s="38">
        <f ca="1">IF(COUNTIF($AK$2:AK1007,A22)=1,VLOOKUP(A22,AN:AO,2), IF(COUNTIF($AK$2:AK1007,A22)=0,$D$9,""))</f>
        <v>244.02869999999999</v>
      </c>
      <c r="M22" s="41">
        <f ca="1">IF(ISERROR(L22-2),"",(L22/$L$14-1)*$D$5)</f>
        <v>149776.30192444974</v>
      </c>
      <c r="N22" s="41" t="str">
        <f ca="1">IF($A22="","",IF(COUNTIFS(Dividends!$G:$G,"&gt;"&amp;INT($A21),Dividends!$G:$G,"&lt;="&amp;INT($A22))=0,"",$R$2*SUMIFS(Dividends!$H:$H,Dividends!$G:$G,"&gt;"&amp;INT($A21),Dividends!$G:$G,"&lt;="&amp;INT($A22))))</f>
        <v/>
      </c>
      <c r="O22" s="42">
        <f ca="1">IF(ISERROR(B22-2),"",C22+D22-J22-K22-M22+SUM($N$14:N22))</f>
        <v>-6942.9114128624205</v>
      </c>
      <c r="P22" s="80"/>
      <c r="Q22" s="80"/>
      <c r="R22" s="87"/>
      <c r="S22" s="87"/>
      <c r="T22" s="87"/>
      <c r="U22" s="3">
        <v>46128.625</v>
      </c>
      <c r="V22" s="4">
        <v>310.64</v>
      </c>
      <c r="W22" s="3"/>
      <c r="X22" s="4"/>
      <c r="Y22" s="87"/>
      <c r="AA22" s="3">
        <v>46076.625</v>
      </c>
      <c r="AB22" s="4">
        <v>93.75</v>
      </c>
      <c r="AC22" s="3">
        <v>46073.625</v>
      </c>
      <c r="AD22" s="4">
        <v>100.77500000000001</v>
      </c>
      <c r="AE22" s="3">
        <v>46073.625</v>
      </c>
      <c r="AF22" s="4">
        <v>246.54499999999999</v>
      </c>
      <c r="AG22" s="3">
        <v>46127.625</v>
      </c>
      <c r="AH22" s="4">
        <v>310.42</v>
      </c>
      <c r="AI22" s="3" t="str">
        <f>IF(COUNTIF(AC:AC,AA22)*COUNTIF(AE:AE,AA22)*COUNTIF(AG:AG,AA22),AA22,"")</f>
        <v/>
      </c>
      <c r="AJ22" s="3" t="str">
        <f t="shared" si="0"/>
        <v/>
      </c>
      <c r="AK22" s="3">
        <v>46134.625</v>
      </c>
      <c r="AL22" s="3">
        <v>46070</v>
      </c>
      <c r="AM22" s="5">
        <v>263.60289999999998</v>
      </c>
      <c r="AN22" s="3">
        <v>45807</v>
      </c>
      <c r="AO22" s="4">
        <v>236.70660000000001</v>
      </c>
      <c r="AP22" s="74">
        <v>45807</v>
      </c>
      <c r="AQ22" s="4">
        <v>300.04899999999998</v>
      </c>
      <c r="AR22" s="6">
        <f t="shared" si="1"/>
        <v>45807</v>
      </c>
    </row>
    <row r="23" spans="1:44" ht="14.45" customHeight="1" x14ac:dyDescent="0.25">
      <c r="A23" s="37">
        <f ca="1">IF(AND(ISBLANK(AK12), A22 = $AK$1),NOW(),IF(ISBLANK(AK12),"",AK12))</f>
        <v>46114.625</v>
      </c>
      <c r="B23" s="38">
        <f ca="1">IF(COUNTIF($AK$2:AK1008,A23)=1,VLOOKUP(A23,AA:AB,2), IF(COUNTIF($AK$2:AK1008,A23)=0,$B$9,""))</f>
        <v>89.7</v>
      </c>
      <c r="C23" s="2">
        <f t="shared" ca="1" si="3"/>
        <v>124258.36784954791</v>
      </c>
      <c r="D23" s="41">
        <f t="shared" ca="1" si="4"/>
        <v>-22083.333333333332</v>
      </c>
      <c r="E23" s="78">
        <f ca="1">IF(COUNTIF($U$2:U1008,A23)=1,VLOOKUP(A23,U:V,2), "")</f>
        <v>306.5</v>
      </c>
      <c r="F23" s="78"/>
      <c r="G23" s="91">
        <f t="shared" ca="1" si="2"/>
        <v>308.14</v>
      </c>
      <c r="H23" s="93">
        <f ca="1">IF(ISERROR(B23-2),"",(E23-$E$14)*$H$3*$J$3)</f>
        <v>127800</v>
      </c>
      <c r="I23" s="38">
        <f ca="1">IF(COUNTIF($AK$2:AK1008,A23)=1,VLOOKUP(A23,AC:AD,2), IF(COUNTIF($AK$2:AK1008,A23)=0,$C$9,""))</f>
        <v>99.484999999999999</v>
      </c>
      <c r="J23" s="2">
        <f t="shared" ca="1" si="5"/>
        <v>-11700.000000000444</v>
      </c>
      <c r="K23" s="41">
        <f t="shared" ca="1" si="6"/>
        <v>81.466666666667152</v>
      </c>
      <c r="L23" s="38">
        <f ca="1">IF(COUNTIF($AK$2:AK1008,A23)=1,VLOOKUP(A23,AN:AO,2), IF(COUNTIF($AK$2:AK1008,A23)=0,$D$9,""))</f>
        <v>244.23920000000001</v>
      </c>
      <c r="M23" s="41">
        <f ca="1">IF(ISERROR(L23-2),"",(L23/$L$14-1)*$D$5)</f>
        <v>166036.18410861737</v>
      </c>
      <c r="N23" s="41" t="str">
        <f ca="1">IF($A23="","",IF(COUNTIFS(Dividends!$G:$G,"&gt;"&amp;INT($A22),Dividends!$G:$G,"&lt;="&amp;INT($A23))=0,"",$R$2*SUMIFS(Dividends!$H:$H,Dividends!$G:$G,"&gt;"&amp;INT($A22),Dividends!$G:$G,"&lt;="&amp;INT($A23))))</f>
        <v/>
      </c>
      <c r="O23" s="42">
        <f ca="1">IF(ISERROR(B23-2),"",C23+D23-J23-K23-M23+SUM($N$14:N23))</f>
        <v>-52242.616259069007</v>
      </c>
      <c r="P23" s="80"/>
      <c r="Q23" s="80"/>
      <c r="R23" s="87"/>
      <c r="S23" s="87"/>
      <c r="T23" s="87"/>
      <c r="U23" s="3">
        <v>46129.625</v>
      </c>
      <c r="V23" s="4">
        <v>312.38</v>
      </c>
      <c r="W23" s="3"/>
      <c r="X23" s="4"/>
      <c r="Y23" s="87"/>
      <c r="AA23" s="3">
        <v>46077.625</v>
      </c>
      <c r="AB23" s="4">
        <v>93.71</v>
      </c>
      <c r="AC23" s="3">
        <v>46076.625</v>
      </c>
      <c r="AD23" s="4">
        <v>100.827</v>
      </c>
      <c r="AE23" s="3">
        <v>46076.625</v>
      </c>
      <c r="AF23" s="4">
        <v>249.63800000000001</v>
      </c>
      <c r="AG23" s="3">
        <v>46128.625</v>
      </c>
      <c r="AH23" s="4">
        <v>310.64</v>
      </c>
      <c r="AI23" s="3" t="str">
        <f>IF(COUNTIF(AC:AC,AA23)*COUNTIF(AE:AE,AA23)*COUNTIF(AG:AG,AA23),AA23,"")</f>
        <v/>
      </c>
      <c r="AJ23" s="3" t="str">
        <f t="shared" si="0"/>
        <v/>
      </c>
      <c r="AK23" s="3">
        <v>46136.625</v>
      </c>
      <c r="AL23" s="3">
        <v>46071</v>
      </c>
      <c r="AM23" s="5">
        <v>264.26510000000002</v>
      </c>
      <c r="AN23" s="3">
        <v>45810</v>
      </c>
      <c r="AO23" s="4">
        <v>236.80029999999999</v>
      </c>
      <c r="AP23" s="74">
        <v>45810</v>
      </c>
      <c r="AQ23" s="4">
        <v>299.90899999999999</v>
      </c>
      <c r="AR23" s="6">
        <f t="shared" si="1"/>
        <v>45810</v>
      </c>
    </row>
    <row r="24" spans="1:44" ht="14.45" customHeight="1" x14ac:dyDescent="0.25">
      <c r="A24" s="37">
        <f ca="1">IF(AND(ISBLANK(AK13), A23 = $AK$1),NOW(),IF(ISBLANK(AK13),"",AK13))</f>
        <v>46119.625</v>
      </c>
      <c r="B24" s="38">
        <f ca="1">IF(COUNTIF($AK$2:AK1009,A24)=1,VLOOKUP(A24,AA:AB,2), IF(COUNTIF($AK$2:AK1009,A24)=0,$B$9,""))</f>
        <v>89.6</v>
      </c>
      <c r="C24" s="2">
        <f t="shared" ca="1" si="3"/>
        <v>90675.025187503255</v>
      </c>
      <c r="D24" s="41">
        <f t="shared" ca="1" si="4"/>
        <v>-33124.999999999993</v>
      </c>
      <c r="E24" s="78">
        <f ca="1">IF(COUNTIF($U$2:U1009,A24)=1,VLOOKUP(A24,U:V,2), "")</f>
        <v>305.86</v>
      </c>
      <c r="F24" s="78"/>
      <c r="G24" s="91">
        <f t="shared" ca="1" si="2"/>
        <v>307.5</v>
      </c>
      <c r="H24" s="93">
        <f ca="1">IF(ISERROR(B24-2),"",(E24-$E$14)*$H$3*$J$3)</f>
        <v>73272.000000001164</v>
      </c>
      <c r="I24" s="38">
        <f ca="1">IF(COUNTIF($AK$2:AK1009,A24)=1,VLOOKUP(A24,AC:AD,2), IF(COUNTIF($AK$2:AK1009,A24)=0,$C$9,""))</f>
        <v>99.212999999999994</v>
      </c>
      <c r="J24" s="2">
        <f t="shared" ca="1" si="5"/>
        <v>-82420.000000001892</v>
      </c>
      <c r="K24" s="41">
        <f t="shared" ca="1" si="6"/>
        <v>122.20000000000073</v>
      </c>
      <c r="L24" s="38">
        <f ca="1">IF(COUNTIF($AK$2:AK1009,A24)=1,VLOOKUP(A24,AN:AO,2), IF(COUNTIF($AK$2:AK1009,A24)=0,$D$9,""))</f>
        <v>243.34200000000001</v>
      </c>
      <c r="M24" s="41">
        <f ca="1">IF(ISERROR(L24-2),"",(L24/$L$14-1)*$D$5)</f>
        <v>96732.78127900546</v>
      </c>
      <c r="N24" s="41" t="str">
        <f ca="1">IF($A24="","",IF(COUNTIFS(Dividends!$G:$G,"&gt;"&amp;INT($A23),Dividends!$G:$G,"&lt;="&amp;INT($A24))=0,"",$R$2*SUMIFS(Dividends!$H:$H,Dividends!$G:$G,"&gt;"&amp;INT($A23),Dividends!$G:$G,"&lt;="&amp;INT($A24))))</f>
        <v/>
      </c>
      <c r="O24" s="42">
        <f ca="1">IF(ISERROR(B24-2),"",C24+D24-J24-K24-M24+SUM($N$14:N24))</f>
        <v>43115.043908499676</v>
      </c>
      <c r="P24" s="80"/>
      <c r="Q24" s="80"/>
      <c r="R24" s="87"/>
      <c r="S24" s="87"/>
      <c r="T24" s="87"/>
      <c r="U24" s="3">
        <v>46132.625</v>
      </c>
      <c r="V24" s="4">
        <v>311.66000000000003</v>
      </c>
      <c r="W24" s="3"/>
      <c r="X24" s="4"/>
      <c r="Y24" s="87"/>
      <c r="AA24" s="3">
        <v>46078.625</v>
      </c>
      <c r="AB24" s="4">
        <v>93.78</v>
      </c>
      <c r="AC24" s="3">
        <v>46077.625</v>
      </c>
      <c r="AD24" s="4">
        <v>100.815</v>
      </c>
      <c r="AE24" s="3">
        <v>46077.625</v>
      </c>
      <c r="AF24" s="4">
        <v>252.33600000000001</v>
      </c>
      <c r="AG24" s="3">
        <v>46129.625</v>
      </c>
      <c r="AH24" s="4">
        <v>312.38</v>
      </c>
      <c r="AI24" s="3" t="str">
        <f>IF(COUNTIF(AC:AC,AA24)*COUNTIF(AE:AE,AA24)*COUNTIF(AG:AG,AA24),AA24,"")</f>
        <v/>
      </c>
      <c r="AJ24" s="3" t="str">
        <f t="shared" si="0"/>
        <v/>
      </c>
      <c r="AK24" s="3">
        <v>46139.625</v>
      </c>
      <c r="AL24" s="3">
        <v>46072</v>
      </c>
      <c r="AM24" s="5">
        <v>263.74880000000002</v>
      </c>
      <c r="AN24" s="3">
        <v>45811</v>
      </c>
      <c r="AO24" s="4">
        <v>237.24459999999999</v>
      </c>
      <c r="AP24" s="74">
        <v>45811</v>
      </c>
      <c r="AQ24" s="4">
        <v>295.49799999999999</v>
      </c>
      <c r="AR24" s="6">
        <f t="shared" si="1"/>
        <v>45811</v>
      </c>
    </row>
    <row r="25" spans="1:44" ht="14.45" customHeight="1" x14ac:dyDescent="0.25">
      <c r="A25" s="37">
        <f ca="1">IF(AND(ISBLANK(AK14), A24 = $AK$1),NOW(),IF(ISBLANK(AK14),"",AK14))</f>
        <v>46120.625</v>
      </c>
      <c r="B25" s="38">
        <f ca="1">IF(COUNTIF($AK$2:AK1010,A25)=1,VLOOKUP(A25,AA:AB,2), IF(COUNTIF($AK$2:AK1010,A25)=0,$B$9,""))</f>
        <v>90.56</v>
      </c>
      <c r="C25" s="2">
        <f t="shared" ca="1" si="3"/>
        <v>413075.11474308668</v>
      </c>
      <c r="D25" s="41">
        <f t="shared" ca="1" si="4"/>
        <v>-35333.333333333336</v>
      </c>
      <c r="E25" s="78">
        <f ca="1">IF(COUNTIF($U$2:U1010,A25)=1,VLOOKUP(A25,U:V,2), "")</f>
        <v>309.58</v>
      </c>
      <c r="F25" s="78"/>
      <c r="G25" s="91">
        <f t="shared" ca="1" si="2"/>
        <v>311.21999999999997</v>
      </c>
      <c r="H25" s="93">
        <f ca="1">IF(ISERROR(B25-2),"",(E25-$E$14)*$H$3*$J$3)</f>
        <v>390215.99999999866</v>
      </c>
      <c r="I25" s="38">
        <f ca="1">IF(COUNTIF($AK$2:AK1010,A25)=1,VLOOKUP(A25,AC:AD,2), IF(COUNTIF($AK$2:AK1010,A25)=0,$C$9,""))</f>
        <v>99.777000000000001</v>
      </c>
      <c r="J25" s="2">
        <f t="shared" ca="1" si="5"/>
        <v>64219.999999999964</v>
      </c>
      <c r="K25" s="41">
        <f t="shared" ca="1" si="6"/>
        <v>130.34666666666453</v>
      </c>
      <c r="L25" s="38">
        <f ca="1">IF(COUNTIF($AK$2:AK1010,A25)=1,VLOOKUP(A25,AN:AO,2), IF(COUNTIF($AK$2:AK1010,A25)=0,$D$9,""))</f>
        <v>247.41990000000001</v>
      </c>
      <c r="M25" s="41">
        <f ca="1">IF(ISERROR(L25-2),"",(L25/$L$14-1)*$D$5)</f>
        <v>411726.47989567806</v>
      </c>
      <c r="N25" s="41" t="str">
        <f ca="1">IF($A25="","",IF(COUNTIFS(Dividends!$G:$G,"&gt;"&amp;INT($A24),Dividends!$G:$G,"&lt;="&amp;INT($A25))=0,"",$R$2*SUMIFS(Dividends!$H:$H,Dividends!$G:$G,"&gt;"&amp;INT($A24),Dividends!$G:$G,"&lt;="&amp;INT($A25))))</f>
        <v/>
      </c>
      <c r="O25" s="42">
        <f ca="1">IF(ISERROR(B25-2),"",C25+D25-J25-K25-M25+SUM($N$14:N25))</f>
        <v>-98335.045152591309</v>
      </c>
      <c r="P25" s="80"/>
      <c r="Q25" s="80"/>
      <c r="R25" s="87"/>
      <c r="S25" s="87"/>
      <c r="T25" s="87"/>
      <c r="U25" s="3">
        <v>46133.625</v>
      </c>
      <c r="V25" s="4">
        <v>311.39999999999998</v>
      </c>
      <c r="W25" s="3"/>
      <c r="X25" s="4"/>
      <c r="Y25" s="87"/>
      <c r="AA25" s="3">
        <v>46079.625</v>
      </c>
      <c r="AB25" s="4">
        <v>93.67</v>
      </c>
      <c r="AC25" s="3">
        <v>46078.625</v>
      </c>
      <c r="AD25" s="4">
        <v>100.824</v>
      </c>
      <c r="AE25" s="3">
        <v>46078.625</v>
      </c>
      <c r="AF25" s="4">
        <v>251.27199999999999</v>
      </c>
      <c r="AG25" s="3">
        <v>46132.625</v>
      </c>
      <c r="AH25" s="4">
        <v>311.66000000000003</v>
      </c>
      <c r="AI25" s="3" t="str">
        <f>IF(COUNTIF(AC:AC,AA25)*COUNTIF(AE:AE,AA25)*COUNTIF(AG:AG,AA25),AA25,"")</f>
        <v/>
      </c>
      <c r="AJ25" s="3" t="str">
        <f t="shared" si="0"/>
        <v/>
      </c>
      <c r="AK25" s="3">
        <v>46140.625</v>
      </c>
      <c r="AL25" s="3">
        <v>46073</v>
      </c>
      <c r="AM25" s="5">
        <v>264.06599999999997</v>
      </c>
      <c r="AN25" s="3">
        <v>45812</v>
      </c>
      <c r="AO25" s="4">
        <v>237.52590000000001</v>
      </c>
      <c r="AP25" s="74">
        <v>45812</v>
      </c>
      <c r="AQ25" s="4">
        <v>294.68200000000002</v>
      </c>
      <c r="AR25" s="6">
        <f t="shared" si="1"/>
        <v>45812</v>
      </c>
    </row>
    <row r="26" spans="1:44" ht="14.45" customHeight="1" x14ac:dyDescent="0.25">
      <c r="A26" s="37">
        <f ca="1">IF(AND(ISBLANK(AK15), A25 = $AK$1),NOW(),IF(ISBLANK(AK15),"",AK15))</f>
        <v>46122.625</v>
      </c>
      <c r="B26" s="38">
        <f ca="1">IF(COUNTIF($AK$2:AK1011,A26)=1,VLOOKUP(A26,AA:AB,2), IF(COUNTIF($AK$2:AK1011,A26)=0,$B$9,""))</f>
        <v>90.75</v>
      </c>
      <c r="C26" s="2">
        <f t="shared" ca="1" si="3"/>
        <v>476883.46580096352</v>
      </c>
      <c r="D26" s="41">
        <f t="shared" ca="1" si="4"/>
        <v>-39750</v>
      </c>
      <c r="E26" s="78">
        <f ca="1">IF(COUNTIF($U$2:U1011,A26)=1,VLOOKUP(A26,U:V,2), "")</f>
        <v>309.45999999999998</v>
      </c>
      <c r="F26" s="78"/>
      <c r="G26" s="91">
        <f t="shared" ca="1" si="2"/>
        <v>311.09999999999997</v>
      </c>
      <c r="H26" s="93">
        <f ca="1">IF(ISERROR(B26-2),"",(E26-$E$14)*$H$3*$J$3)</f>
        <v>379991.99999999825</v>
      </c>
      <c r="I26" s="38">
        <f ca="1">IF(COUNTIF($AK$2:AK1011,A26)=1,VLOOKUP(A26,AC:AD,2), IF(COUNTIF($AK$2:AK1011,A26)=0,$C$9,""))</f>
        <v>99.55</v>
      </c>
      <c r="J26" s="2">
        <f t="shared" ca="1" si="5"/>
        <v>5199.9999999989659</v>
      </c>
      <c r="K26" s="41">
        <f t="shared" ca="1" si="6"/>
        <v>146.63999999999942</v>
      </c>
      <c r="L26" s="38">
        <f ca="1">IF(COUNTIF($AK$2:AK1011,A26)=1,VLOOKUP(A26,AN:AO,2), IF(COUNTIF($AK$2:AK1011,A26)=0,$D$9,""))</f>
        <v>248.2782</v>
      </c>
      <c r="M26" s="41">
        <f ca="1">IF(ISERROR(L26-2),"",(L26/$L$14-1)*$D$5)</f>
        <v>478025.08739529137</v>
      </c>
      <c r="N26" s="41" t="str">
        <f ca="1">IF($A26="","",IF(COUNTIFS(Dividends!$G:$G,"&gt;"&amp;INT($A25),Dividends!$G:$G,"&lt;="&amp;INT($A26))=0,"",$R$2*SUMIFS(Dividends!$H:$H,Dividends!$G:$G,"&gt;"&amp;INT($A25),Dividends!$G:$G,"&lt;="&amp;INT($A26))))</f>
        <v/>
      </c>
      <c r="O26" s="42">
        <f ca="1">IF(ISERROR(B26-2),"",C26+D26-J26-K26-M26+SUM($N$14:N26))</f>
        <v>-46238.261594326817</v>
      </c>
      <c r="P26" s="80"/>
      <c r="Q26" s="80"/>
      <c r="R26" s="87"/>
      <c r="S26" s="87"/>
      <c r="T26" s="87"/>
      <c r="U26" s="3">
        <v>46134.625</v>
      </c>
      <c r="V26" s="4">
        <v>310.62</v>
      </c>
      <c r="W26" s="3"/>
      <c r="X26" s="4"/>
      <c r="Y26" s="87"/>
      <c r="AA26" s="3">
        <v>46080.625</v>
      </c>
      <c r="AB26" s="4">
        <v>93.58</v>
      </c>
      <c r="AC26" s="3">
        <v>46079.625</v>
      </c>
      <c r="AD26" s="4">
        <v>100.834</v>
      </c>
      <c r="AE26" s="3">
        <v>46079.625</v>
      </c>
      <c r="AF26" s="4">
        <v>252.99199999999999</v>
      </c>
      <c r="AG26" s="3">
        <v>46133.625</v>
      </c>
      <c r="AH26" s="4">
        <v>311.39999999999998</v>
      </c>
      <c r="AI26" s="3" t="str">
        <f>IF(COUNTIF(AC:AC,AA26)*COUNTIF(AE:AE,AA26)*COUNTIF(AG:AG,AA26),AA26,"")</f>
        <v/>
      </c>
      <c r="AJ26" s="3" t="str">
        <f t="shared" si="0"/>
        <v/>
      </c>
      <c r="AK26" s="3">
        <v>46141.625</v>
      </c>
      <c r="AL26" s="3">
        <v>46076</v>
      </c>
      <c r="AM26" s="5">
        <v>263.87049999999999</v>
      </c>
      <c r="AN26" s="3">
        <v>45813</v>
      </c>
      <c r="AO26" s="4">
        <v>237.58510000000001</v>
      </c>
      <c r="AP26" s="74">
        <v>45813</v>
      </c>
      <c r="AQ26" s="4">
        <v>292.91399999999999</v>
      </c>
      <c r="AR26" s="6">
        <f t="shared" si="1"/>
        <v>45813</v>
      </c>
    </row>
    <row r="27" spans="1:44" ht="14.45" customHeight="1" x14ac:dyDescent="0.25">
      <c r="A27" s="37">
        <f ca="1">IF(AND(ISBLANK(AK16), A26 = $AK$1),NOW(),IF(ISBLANK(AK16),"",AK16))</f>
        <v>46126.625</v>
      </c>
      <c r="B27" s="38">
        <f ca="1">IF(COUNTIF($AK$2:AK1012,A27)=1,VLOOKUP(A27,AA:AB,2), IF(COUNTIF($AK$2:AK1012,A27)=0,$B$9,""))</f>
        <v>90.75</v>
      </c>
      <c r="C27" s="2">
        <f t="shared" ca="1" si="3"/>
        <v>476883.46580096352</v>
      </c>
      <c r="D27" s="41">
        <f t="shared" ca="1" si="4"/>
        <v>-48583.333333333328</v>
      </c>
      <c r="E27" s="78">
        <f ca="1">IF(COUNTIF($U$2:U1012,A27)=1,VLOOKUP(A27,U:V,2), "")</f>
        <v>309.89999999999998</v>
      </c>
      <c r="F27" s="78"/>
      <c r="G27" s="91">
        <f t="shared" ca="1" si="2"/>
        <v>311.53999999999996</v>
      </c>
      <c r="H27" s="93">
        <f ca="1">IF(ISERROR(B27-2),"",(E27-$E$14)*$H$3*$J$3)</f>
        <v>417479.99999999808</v>
      </c>
      <c r="I27" s="38">
        <f ca="1">IF(COUNTIF($AK$2:AK1012,A27)=1,VLOOKUP(A27,AC:AD,2), IF(COUNTIF($AK$2:AK1012,A27)=0,$C$9,""))</f>
        <v>99.619</v>
      </c>
      <c r="J27" s="2">
        <f t="shared" ca="1" si="5"/>
        <v>23139.999999999647</v>
      </c>
      <c r="K27" s="41">
        <f t="shared" ca="1" si="6"/>
        <v>179.22666666666919</v>
      </c>
      <c r="L27" s="38">
        <f ca="1">IF(COUNTIF($AK$2:AK1012,A27)=1,VLOOKUP(A27,AN:AO,2), IF(COUNTIF($AK$2:AK1012,A27)=0,$D$9,""))</f>
        <v>249.5992</v>
      </c>
      <c r="M27" s="41">
        <f ca="1">IF(ISERROR(L27-2),"",(L27/$L$14-1)*$D$5)</f>
        <v>580064.53806171811</v>
      </c>
      <c r="N27" s="41" t="str">
        <f ca="1">IF($A27="","",IF(COUNTIFS(Dividends!$G:$G,"&gt;"&amp;INT($A26),Dividends!$G:$G,"&lt;="&amp;INT($A27))=0,"",$R$2*SUMIFS(Dividends!$H:$H,Dividends!$G:$G,"&gt;"&amp;INT($A26),Dividends!$G:$G,"&lt;="&amp;INT($A27))))</f>
        <v/>
      </c>
      <c r="O27" s="42">
        <f ca="1">IF(ISERROR(B27-2),"",C27+D27-J27-K27-M27+SUM($N$14:N27))</f>
        <v>-175083.63226075424</v>
      </c>
      <c r="P27" s="80"/>
      <c r="Q27" s="80"/>
      <c r="R27" s="87"/>
      <c r="S27" s="87"/>
      <c r="T27" s="87"/>
      <c r="U27" s="3">
        <v>46136.625</v>
      </c>
      <c r="V27" s="4">
        <v>310.48</v>
      </c>
      <c r="W27" s="3"/>
      <c r="X27" s="4"/>
      <c r="Y27" s="87"/>
      <c r="AA27" s="3">
        <v>46083.625</v>
      </c>
      <c r="AB27" s="4">
        <v>93.24</v>
      </c>
      <c r="AC27" s="3">
        <v>46080.625</v>
      </c>
      <c r="AD27" s="4">
        <v>100.923</v>
      </c>
      <c r="AE27" s="3">
        <v>46080.625</v>
      </c>
      <c r="AF27" s="4">
        <v>260.255</v>
      </c>
      <c r="AG27" s="3">
        <v>46134.625</v>
      </c>
      <c r="AH27" s="4">
        <v>310.62</v>
      </c>
      <c r="AI27" s="3" t="str">
        <f>IF(COUNTIF(AC:AC,AA27)*COUNTIF(AE:AE,AA27)*COUNTIF(AG:AG,AA27),AA27,"")</f>
        <v/>
      </c>
      <c r="AJ27" s="3" t="str">
        <f t="shared" si="0"/>
        <v/>
      </c>
      <c r="AK27" s="3">
        <v>46142.625</v>
      </c>
      <c r="AL27" s="3">
        <v>46077</v>
      </c>
      <c r="AM27" s="5">
        <v>263.58609999999999</v>
      </c>
      <c r="AN27" s="3">
        <v>45814</v>
      </c>
      <c r="AO27" s="4">
        <v>238.0478</v>
      </c>
      <c r="AP27" s="74">
        <v>45814</v>
      </c>
      <c r="AQ27" s="4">
        <v>289.43099999999998</v>
      </c>
      <c r="AR27" s="6">
        <f t="shared" si="1"/>
        <v>45814</v>
      </c>
    </row>
    <row r="28" spans="1:44" ht="14.45" customHeight="1" x14ac:dyDescent="0.25">
      <c r="A28" s="37">
        <f ca="1">IF(AND(ISBLANK(AK17), A27 = $AK$1),NOW(),IF(ISBLANK(AK17),"",AK17))</f>
        <v>46127.625</v>
      </c>
      <c r="B28" s="38">
        <f ca="1">IF(COUNTIF($AK$2:AK1013,A28)=1,VLOOKUP(A28,AA:AB,2), IF(COUNTIF($AK$2:AK1013,A28)=0,$B$9,""))</f>
        <v>90.88</v>
      </c>
      <c r="C28" s="2">
        <f t="shared" ca="1" si="3"/>
        <v>520541.81126161228</v>
      </c>
      <c r="D28" s="41">
        <f t="shared" ca="1" si="4"/>
        <v>-50791.666666666657</v>
      </c>
      <c r="E28" s="78">
        <f ca="1">IF(COUNTIF($U$2:U1013,A28)=1,VLOOKUP(A28,U:V,2), "")</f>
        <v>310.42</v>
      </c>
      <c r="F28" s="78"/>
      <c r="G28" s="91">
        <f t="shared" ca="1" si="2"/>
        <v>312.06</v>
      </c>
      <c r="H28" s="93">
        <f ca="1">IF(ISERROR(B28-2),"",(E28-$E$14)*$H$3*$J$3)</f>
        <v>461784.00000000134</v>
      </c>
      <c r="I28" s="38">
        <f ca="1">IF(COUNTIF($AK$2:AK1013,A28)=1,VLOOKUP(A28,AC:AD,2), IF(COUNTIF($AK$2:AK1013,A28)=0,$C$9,""))</f>
        <v>99.653999999999996</v>
      </c>
      <c r="J28" s="2">
        <f t="shared" ca="1" si="5"/>
        <v>32239.999999998759</v>
      </c>
      <c r="K28" s="41">
        <f t="shared" ca="1" si="6"/>
        <v>187.37333333333663</v>
      </c>
      <c r="L28" s="38">
        <f ca="1">IF(COUNTIF($AK$2:AK1013,A28)=1,VLOOKUP(A28,AN:AO,2), IF(COUNTIF($AK$2:AK1013,A28)=0,$D$9,""))</f>
        <v>249.53909999999999</v>
      </c>
      <c r="M28" s="41">
        <f ca="1">IF(ISERROR(L28-2),"",(L28/$L$14-1)*$D$5)</f>
        <v>575422.16789892211</v>
      </c>
      <c r="N28" s="41" t="str">
        <f ca="1">IF($A28="","",IF(COUNTIFS(Dividends!$G:$G,"&gt;"&amp;INT($A27),Dividends!$G:$G,"&lt;="&amp;INT($A28))=0,"",$R$2*SUMIFS(Dividends!$H:$H,Dividends!$G:$G,"&gt;"&amp;INT($A27),Dividends!$G:$G,"&lt;="&amp;INT($A28))))</f>
        <v/>
      </c>
      <c r="O28" s="42">
        <f ca="1">IF(ISERROR(B28-2),"",C28+D28-J28-K28-M28+SUM($N$14:N28))</f>
        <v>-138099.39663730864</v>
      </c>
      <c r="P28" s="80"/>
      <c r="Q28" s="80"/>
      <c r="R28" s="87"/>
      <c r="S28" s="87"/>
      <c r="T28" s="87"/>
      <c r="U28" s="3">
        <v>46139.625</v>
      </c>
      <c r="V28" s="4">
        <v>310.7</v>
      </c>
      <c r="W28" s="3"/>
      <c r="X28" s="4"/>
      <c r="Y28" s="87"/>
      <c r="AA28" s="3">
        <v>46084.625</v>
      </c>
      <c r="AB28" s="4">
        <v>92.69</v>
      </c>
      <c r="AC28" s="3">
        <v>46083.625</v>
      </c>
      <c r="AD28" s="4">
        <v>100.748</v>
      </c>
      <c r="AE28" s="3">
        <v>46083.625</v>
      </c>
      <c r="AF28" s="4">
        <v>267.18200000000002</v>
      </c>
      <c r="AG28" s="3">
        <v>46136.625</v>
      </c>
      <c r="AH28" s="4">
        <v>310.48</v>
      </c>
      <c r="AI28" s="3" t="str">
        <f>IF(COUNTIF(AC:AC,AA28)*COUNTIF(AE:AE,AA28)*COUNTIF(AG:AG,AA28),AA28,"")</f>
        <v/>
      </c>
      <c r="AJ28" s="3" t="str">
        <f t="shared" si="0"/>
        <v/>
      </c>
      <c r="AK28" s="3">
        <v>46147.625</v>
      </c>
      <c r="AL28" s="3">
        <v>46078</v>
      </c>
      <c r="AM28" s="5">
        <v>263.79109999999997</v>
      </c>
      <c r="AN28" s="3">
        <v>45817</v>
      </c>
      <c r="AO28" s="4">
        <v>238.19669999999999</v>
      </c>
      <c r="AP28" s="74">
        <v>45817</v>
      </c>
      <c r="AQ28" s="4">
        <v>288.459</v>
      </c>
      <c r="AR28" s="6">
        <f t="shared" si="1"/>
        <v>45817</v>
      </c>
    </row>
    <row r="29" spans="1:44" ht="14.45" customHeight="1" x14ac:dyDescent="0.25">
      <c r="A29" s="37">
        <f ca="1">IF(AND(ISBLANK(AK18), A28 = $AK$1),NOW(),IF(ISBLANK(AK18),"",AK18))</f>
        <v>46128.625</v>
      </c>
      <c r="B29" s="38">
        <f ca="1">IF(COUNTIF($AK$2:AK1014,A29)=1,VLOOKUP(A29,AA:AB,2), IF(COUNTIF($AK$2:AK1014,A29)=0,$B$9,""))</f>
        <v>90.85</v>
      </c>
      <c r="C29" s="2">
        <f t="shared" ca="1" si="3"/>
        <v>510466.80846300151</v>
      </c>
      <c r="D29" s="41">
        <f t="shared" ca="1" si="4"/>
        <v>-53000</v>
      </c>
      <c r="E29" s="78">
        <f ca="1">IF(COUNTIF($U$2:U1014,A29)=1,VLOOKUP(A29,U:V,2), "")</f>
        <v>310.64</v>
      </c>
      <c r="F29" s="78"/>
      <c r="G29" s="91">
        <f t="shared" ca="1" si="2"/>
        <v>312.27999999999997</v>
      </c>
      <c r="H29" s="93">
        <f ca="1">IF(ISERROR(B29-2),"",(E29-$E$14)*$H$3*$J$3)</f>
        <v>480527.99999999884</v>
      </c>
      <c r="I29" s="38">
        <f ca="1">IF(COUNTIF($AK$2:AK1014,A29)=1,VLOOKUP(A29,AC:AD,2), IF(COUNTIF($AK$2:AK1014,A29)=0,$C$9,""))</f>
        <v>99.677000000000007</v>
      </c>
      <c r="J29" s="2">
        <f t="shared" ca="1" si="5"/>
        <v>38220.000000001448</v>
      </c>
      <c r="K29" s="41">
        <f t="shared" ca="1" si="6"/>
        <v>195.5199999999968</v>
      </c>
      <c r="L29" s="38">
        <f ca="1">IF(COUNTIF($AK$2:AK1014,A29)=1,VLOOKUP(A29,AN:AO,2), IF(COUNTIF($AK$2:AK1014,A29)=0,$D$9,""))</f>
        <v>249.1765</v>
      </c>
      <c r="M29" s="41">
        <f ca="1">IF(ISERROR(L29-2),"",(L29/$L$14-1)*$D$5)</f>
        <v>547413.45873038133</v>
      </c>
      <c r="N29" s="41" t="str">
        <f ca="1">IF($A29="","",IF(COUNTIFS(Dividends!$G:$G,"&gt;"&amp;INT($A28),Dividends!$G:$G,"&lt;="&amp;INT($A29))=0,"",$R$2*SUMIFS(Dividends!$H:$H,Dividends!$G:$G,"&gt;"&amp;INT($A28),Dividends!$G:$G,"&lt;="&amp;INT($A29))))</f>
        <v/>
      </c>
      <c r="O29" s="42">
        <f ca="1">IF(ISERROR(B29-2),"",C29+D29-J29-K29-M29+SUM($N$14:N29))</f>
        <v>-128362.1702673813</v>
      </c>
      <c r="P29" s="80"/>
      <c r="Q29" s="80"/>
      <c r="R29" s="87"/>
      <c r="S29" s="87"/>
      <c r="T29" s="87"/>
      <c r="U29" s="3">
        <v>46140.625</v>
      </c>
      <c r="V29" s="4">
        <v>309.88</v>
      </c>
      <c r="W29" s="3"/>
      <c r="X29" s="4"/>
      <c r="Y29" s="87"/>
      <c r="AA29" s="3">
        <v>46085.625</v>
      </c>
      <c r="AB29" s="4">
        <v>93.3</v>
      </c>
      <c r="AC29" s="3">
        <v>46084.625</v>
      </c>
      <c r="AD29" s="4">
        <v>100.50700000000001</v>
      </c>
      <c r="AE29" s="3">
        <v>46084.625</v>
      </c>
      <c r="AF29" s="4">
        <v>279.875</v>
      </c>
      <c r="AG29" s="3">
        <v>46139.625</v>
      </c>
      <c r="AH29" s="4">
        <v>310.7</v>
      </c>
      <c r="AI29" s="3" t="str">
        <f>IF(COUNTIF(AC:AC,AA29)*COUNTIF(AE:AE,AA29)*COUNTIF(AG:AG,AA29),AA29,"")</f>
        <v/>
      </c>
      <c r="AJ29" s="3" t="str">
        <f t="shared" si="0"/>
        <v/>
      </c>
      <c r="AK29" s="3">
        <v>46148.625</v>
      </c>
      <c r="AL29" s="3">
        <v>46079</v>
      </c>
      <c r="AM29" s="5">
        <v>263.42880000000002</v>
      </c>
      <c r="AN29" s="3">
        <v>45818</v>
      </c>
      <c r="AO29" s="4">
        <v>238.28550000000001</v>
      </c>
      <c r="AP29" s="74">
        <v>45818</v>
      </c>
      <c r="AQ29" s="4">
        <v>287.69299999999998</v>
      </c>
      <c r="AR29" s="6">
        <f t="shared" si="1"/>
        <v>45818</v>
      </c>
    </row>
    <row r="30" spans="1:44" ht="14.45" customHeight="1" x14ac:dyDescent="0.25">
      <c r="A30" s="37">
        <f ca="1">IF(AND(ISBLANK(AK19), A29 = $AK$1),NOW(),IF(ISBLANK(AK19),"",AK19))</f>
        <v>46129.625</v>
      </c>
      <c r="B30" s="38">
        <f ca="1">IF(COUNTIF($AK$2:AK1015,A30)=1,VLOOKUP(A30,AA:AB,2), IF(COUNTIF($AK$2:AK1015,A30)=0,$B$9,""))</f>
        <v>91.4</v>
      </c>
      <c r="C30" s="2">
        <f t="shared" ca="1" si="3"/>
        <v>695175.19310422044</v>
      </c>
      <c r="D30" s="41">
        <f t="shared" ca="1" si="4"/>
        <v>-55208.333333333328</v>
      </c>
      <c r="E30" s="78">
        <f ca="1">IF(COUNTIF($U$2:U1015,A30)=1,VLOOKUP(A30,U:V,2), "")</f>
        <v>312.38</v>
      </c>
      <c r="F30" s="78"/>
      <c r="G30" s="91">
        <f t="shared" ca="1" si="2"/>
        <v>314.02</v>
      </c>
      <c r="H30" s="93">
        <f ca="1">IF(ISERROR(B30-2),"",(E30-$E$14)*$H$3*$J$3)</f>
        <v>628775.99999999965</v>
      </c>
      <c r="I30" s="38">
        <f ca="1">IF(COUNTIF($AK$2:AK1015,A30)=1,VLOOKUP(A30,AC:AD,2), IF(COUNTIF($AK$2:AK1015,A30)=0,$C$9,""))</f>
        <v>99.953999999999994</v>
      </c>
      <c r="J30" s="2">
        <f t="shared" ca="1" si="5"/>
        <v>110239.99999999801</v>
      </c>
      <c r="K30" s="41">
        <f t="shared" ca="1" si="6"/>
        <v>203.66666666666424</v>
      </c>
      <c r="L30" s="38">
        <f ca="1">IF(COUNTIF($AK$2:AK1015,A30)=1,VLOOKUP(A30,AN:AO,2), IF(COUNTIF($AK$2:AK1015,A30)=0,$D$9,""))</f>
        <v>250.45760000000001</v>
      </c>
      <c r="M30" s="41">
        <f ca="1">IF(ISERROR(L30-2),"",(L30/$L$14-1)*$D$5)</f>
        <v>646370.86997092492</v>
      </c>
      <c r="N30" s="41" t="str">
        <f ca="1">IF($A30="","",IF(COUNTIFS(Dividends!$G:$G,"&gt;"&amp;INT($A29),Dividends!$G:$G,"&lt;="&amp;INT($A30))=0,"",$R$2*SUMIFS(Dividends!$H:$H,Dividends!$G:$G,"&gt;"&amp;INT($A29),Dividends!$G:$G,"&lt;="&amp;INT($A30))))</f>
        <v/>
      </c>
      <c r="O30" s="42">
        <f ca="1">IF(ISERROR(B30-2),"",C30+D30-J30-K30-M30+SUM($N$14:N30))</f>
        <v>-116847.6768667025</v>
      </c>
      <c r="P30" s="80"/>
      <c r="Q30" s="80"/>
      <c r="R30" s="87"/>
      <c r="S30" s="87"/>
      <c r="T30" s="87"/>
      <c r="U30" s="3">
        <v>46141.625</v>
      </c>
      <c r="V30" s="4">
        <v>309.58</v>
      </c>
      <c r="W30" s="3"/>
      <c r="X30" s="4"/>
      <c r="Y30" s="87"/>
      <c r="AA30" s="3">
        <v>46087.625</v>
      </c>
      <c r="AB30" s="4">
        <v>92.48</v>
      </c>
      <c r="AC30" s="3">
        <v>46085.625</v>
      </c>
      <c r="AD30" s="4">
        <v>100.57899999999999</v>
      </c>
      <c r="AE30" s="3">
        <v>46085.625</v>
      </c>
      <c r="AF30" s="4">
        <v>265.24</v>
      </c>
      <c r="AG30" s="3">
        <v>46140.625</v>
      </c>
      <c r="AH30" s="4">
        <v>309.88</v>
      </c>
      <c r="AI30" s="3" t="str">
        <f>IF(COUNTIF(AC:AC,AA30)*COUNTIF(AE:AE,AA30)*COUNTIF(AG:AG,AA30),AA30,"")</f>
        <v/>
      </c>
      <c r="AJ30" s="3" t="str">
        <f t="shared" si="0"/>
        <v/>
      </c>
      <c r="AK30" s="3">
        <v>46149.625</v>
      </c>
      <c r="AL30" s="3">
        <v>46080</v>
      </c>
      <c r="AM30" s="5">
        <v>262.72750000000002</v>
      </c>
      <c r="AN30" s="3">
        <v>45819</v>
      </c>
      <c r="AO30" s="4">
        <v>238.56219999999999</v>
      </c>
      <c r="AP30" s="74">
        <v>45819</v>
      </c>
      <c r="AQ30" s="4">
        <v>286.16800000000001</v>
      </c>
      <c r="AR30" s="6">
        <f t="shared" si="1"/>
        <v>45819</v>
      </c>
    </row>
    <row r="31" spans="1:44" ht="14.45" customHeight="1" x14ac:dyDescent="0.25">
      <c r="A31" s="37">
        <f ca="1">IF(AND(ISBLANK(AK20), A30 = $AK$1),NOW(),IF(ISBLANK(AK20),"",AK20))</f>
        <v>46132.625</v>
      </c>
      <c r="B31" s="38">
        <f ca="1">IF(COUNTIF($AK$2:AK1016,A31)=1,VLOOKUP(A31,AA:AB,2), IF(COUNTIF($AK$2:AK1016,A31)=0,$B$9,""))</f>
        <v>91.09</v>
      </c>
      <c r="C31" s="2">
        <f t="shared" ca="1" si="3"/>
        <v>591066.83085190074</v>
      </c>
      <c r="D31" s="41">
        <f t="shared" ca="1" si="4"/>
        <v>-61833.333333333336</v>
      </c>
      <c r="E31" s="78">
        <f ca="1">IF(COUNTIF($U$2:U1016,A31)=1,VLOOKUP(A31,U:V,2), "")</f>
        <v>311.66000000000003</v>
      </c>
      <c r="F31" s="78"/>
      <c r="G31" s="91">
        <f t="shared" ca="1" si="2"/>
        <v>313.3</v>
      </c>
      <c r="H31" s="93">
        <f ca="1">IF(ISERROR(B31-2),"",(E31-$E$14)*$H$3*$J$3)</f>
        <v>567432.0000000021</v>
      </c>
      <c r="I31" s="38">
        <f ca="1">IF(COUNTIF($AK$2:AK1016,A31)=1,VLOOKUP(A31,AC:AD,2), IF(COUNTIF($AK$2:AK1016,A31)=0,$C$9,""))</f>
        <v>99.831000000000003</v>
      </c>
      <c r="J31" s="2">
        <f t="shared" ca="1" si="5"/>
        <v>78260.000000000495</v>
      </c>
      <c r="K31" s="41">
        <f t="shared" ca="1" si="6"/>
        <v>228.10666666666657</v>
      </c>
      <c r="L31" s="38">
        <f ca="1">IF(COUNTIF($AK$2:AK1016,A31)=1,VLOOKUP(A31,AN:AO,2), IF(COUNTIF($AK$2:AK1016,A31)=0,$D$9,""))</f>
        <v>250.11789999999999</v>
      </c>
      <c r="M31" s="41">
        <f ca="1">IF(ISERROR(L31-2),"",(L31/$L$14-1)*$D$5)</f>
        <v>620131.05059818702</v>
      </c>
      <c r="N31" s="41" t="str">
        <f ca="1">IF($A31="","",IF(COUNTIFS(Dividends!$G:$G,"&gt;"&amp;INT($A30),Dividends!$G:$G,"&lt;="&amp;INT($A31))=0,"",$R$2*SUMIFS(Dividends!$H:$H,Dividends!$G:$G,"&gt;"&amp;INT($A30),Dividends!$G:$G,"&lt;="&amp;INT($A31))))</f>
        <v/>
      </c>
      <c r="O31" s="42">
        <f ca="1">IF(ISERROR(B31-2),"",C31+D31-J31-K31-M31+SUM($N$14:N31))</f>
        <v>-169385.65974628681</v>
      </c>
      <c r="P31" s="80"/>
      <c r="Q31" s="80"/>
      <c r="R31" s="87"/>
      <c r="S31" s="87"/>
      <c r="T31" s="87"/>
      <c r="U31" s="3">
        <v>46142.625</v>
      </c>
      <c r="V31" s="4">
        <v>310</v>
      </c>
      <c r="W31" s="3"/>
      <c r="X31" s="4"/>
      <c r="Y31" s="87"/>
      <c r="AA31" s="3">
        <v>46090.625</v>
      </c>
      <c r="AB31" s="4">
        <v>92.3</v>
      </c>
      <c r="AC31" s="3">
        <v>46086.625</v>
      </c>
      <c r="AD31" s="4">
        <v>100.378</v>
      </c>
      <c r="AE31" s="3">
        <v>46086.625</v>
      </c>
      <c r="AF31" s="4">
        <v>272.31599999999997</v>
      </c>
      <c r="AG31" s="3">
        <v>46141.625</v>
      </c>
      <c r="AH31" s="4">
        <v>309.58</v>
      </c>
      <c r="AI31" s="3" t="str">
        <f>IF(COUNTIF(AC:AC,AA31)*COUNTIF(AE:AE,AA31)*COUNTIF(AG:AG,AA31),AA31,"")</f>
        <v/>
      </c>
      <c r="AJ31" s="3" t="str">
        <f t="shared" si="0"/>
        <v/>
      </c>
      <c r="AK31" s="3">
        <v>46150.625</v>
      </c>
      <c r="AL31" s="3">
        <v>46083</v>
      </c>
      <c r="AM31" s="5">
        <v>262.18009999999998</v>
      </c>
      <c r="AN31" s="3">
        <v>45820</v>
      </c>
      <c r="AO31" s="4">
        <v>237.84450000000001</v>
      </c>
      <c r="AP31" s="74">
        <v>45820</v>
      </c>
      <c r="AQ31" s="4">
        <v>292.70299999999997</v>
      </c>
      <c r="AR31" s="6">
        <f t="shared" si="1"/>
        <v>45820</v>
      </c>
    </row>
    <row r="32" spans="1:44" ht="14.45" customHeight="1" x14ac:dyDescent="0.25">
      <c r="A32" s="37">
        <f ca="1">IF(AND(ISBLANK(AK21), A31 = $AK$1),NOW(),IF(ISBLANK(AK21),"",AK21))</f>
        <v>46133.625</v>
      </c>
      <c r="B32" s="38">
        <f ca="1">IF(COUNTIF($AK$2:AK1017,A32)=1,VLOOKUP(A32,AA:AB,2), IF(COUNTIF($AK$2:AK1017,A32)=0,$B$9,""))</f>
        <v>91.01</v>
      </c>
      <c r="C32" s="2">
        <f t="shared" ca="1" si="3"/>
        <v>564200.15672226762</v>
      </c>
      <c r="D32" s="41">
        <f t="shared" ca="1" si="4"/>
        <v>-64041.666666666672</v>
      </c>
      <c r="E32" s="78">
        <f ca="1">IF(COUNTIF($U$2:U1017,A32)=1,VLOOKUP(A32,U:V,2), "")</f>
        <v>311.39999999999998</v>
      </c>
      <c r="F32" s="78"/>
      <c r="G32" s="91">
        <f t="shared" ca="1" si="2"/>
        <v>313.03999999999996</v>
      </c>
      <c r="H32" s="93">
        <f ca="1">IF(ISERROR(B32-2),"",(E32-$E$14)*$H$3*$J$3)</f>
        <v>545279.99999999802</v>
      </c>
      <c r="I32" s="38">
        <f ca="1">IF(COUNTIF($AK$2:AK1017,A32)=1,VLOOKUP(A32,AC:AD,2), IF(COUNTIF($AK$2:AK1017,A32)=0,$C$9,""))</f>
        <v>99.707999999999998</v>
      </c>
      <c r="J32" s="2">
        <f t="shared" ca="1" si="5"/>
        <v>46279.999999999294</v>
      </c>
      <c r="K32" s="41">
        <f t="shared" ca="1" si="6"/>
        <v>236.25333333333401</v>
      </c>
      <c r="L32" s="38">
        <f ca="1">IF(COUNTIF($AK$2:AK1017,A32)=1,VLOOKUP(A32,AN:AO,2), IF(COUNTIF($AK$2:AK1017,A32)=0,$D$9,""))</f>
        <v>249.51689999999999</v>
      </c>
      <c r="M32" s="41">
        <f ca="1">IF(ISERROR(L32-2),"",(L32/$L$14-1)*$D$5)</f>
        <v>573707.34897023591</v>
      </c>
      <c r="N32" s="41" t="str">
        <f ca="1">IF($A32="","",IF(COUNTIFS(Dividends!$G:$G,"&gt;"&amp;INT($A31),Dividends!$G:$G,"&lt;="&amp;INT($A32))=0,"",$R$2*SUMIFS(Dividends!$H:$H,Dividends!$G:$G,"&gt;"&amp;INT($A31),Dividends!$G:$G,"&lt;="&amp;INT($A32))))</f>
        <v/>
      </c>
      <c r="O32" s="42">
        <f ca="1">IF(ISERROR(B32-2),"",C32+D32-J32-K32-M32+SUM($N$14:N32))</f>
        <v>-120065.11224796763</v>
      </c>
      <c r="P32" s="80"/>
      <c r="Q32" s="80"/>
      <c r="R32" s="87"/>
      <c r="S32" s="87"/>
      <c r="T32" s="87"/>
      <c r="U32" s="3">
        <v>46146.625</v>
      </c>
      <c r="V32" s="4">
        <v>310.38</v>
      </c>
      <c r="W32" s="3"/>
      <c r="X32" s="4"/>
      <c r="Y32" s="87"/>
      <c r="AA32" s="3">
        <v>46091.625</v>
      </c>
      <c r="AB32" s="4">
        <v>92.84</v>
      </c>
      <c r="AC32" s="3">
        <v>46087.625</v>
      </c>
      <c r="AD32" s="4">
        <v>100.179</v>
      </c>
      <c r="AE32" s="3">
        <v>46087.625</v>
      </c>
      <c r="AF32" s="4">
        <v>288.95600000000002</v>
      </c>
      <c r="AG32" s="3">
        <v>46142.625</v>
      </c>
      <c r="AH32" s="4">
        <v>310</v>
      </c>
      <c r="AI32" s="3" t="str">
        <f>IF(COUNTIF(AC:AC,AA32)*COUNTIF(AE:AE,AA32)*COUNTIF(AG:AG,AA32),AA32,"")</f>
        <v/>
      </c>
      <c r="AJ32" s="3" t="str">
        <f t="shared" si="0"/>
        <v/>
      </c>
      <c r="AK32" s="3">
        <v>46154.625</v>
      </c>
      <c r="AL32" s="3">
        <v>46084</v>
      </c>
      <c r="AM32" s="5">
        <v>260.81470000000002</v>
      </c>
      <c r="AN32" s="3">
        <v>45821</v>
      </c>
      <c r="AO32" s="4">
        <v>237.1781</v>
      </c>
      <c r="AP32" s="74">
        <v>45821</v>
      </c>
      <c r="AQ32" s="4">
        <v>298.005</v>
      </c>
      <c r="AR32" s="6">
        <f t="shared" si="1"/>
        <v>45821</v>
      </c>
    </row>
    <row r="33" spans="1:44" ht="14.45" customHeight="1" x14ac:dyDescent="0.25">
      <c r="A33" s="37">
        <f ca="1">IF(AND(ISBLANK(AK22), A32 = $AK$1),NOW(),IF(ISBLANK(AK22),"",AK22))</f>
        <v>46134.625</v>
      </c>
      <c r="B33" s="38">
        <f ca="1">IF(COUNTIF($AK$2:AK1018,A33)=1,VLOOKUP(A33,AA:AB,2), IF(COUNTIF($AK$2:AK1018,A33)=0,$B$9,""))</f>
        <v>90.94</v>
      </c>
      <c r="C33" s="2">
        <f t="shared" ca="1" si="3"/>
        <v>540691.81685884041</v>
      </c>
      <c r="D33" s="41">
        <f t="shared" ca="1" si="4"/>
        <v>-66249.999999999985</v>
      </c>
      <c r="E33" s="78">
        <f ca="1">IF(COUNTIF($U$2:U1018,A33)=1,VLOOKUP(A33,U:V,2), "")</f>
        <v>310.62</v>
      </c>
      <c r="F33" s="78"/>
      <c r="G33" s="91">
        <f t="shared" ca="1" si="2"/>
        <v>312.26</v>
      </c>
      <c r="H33" s="93">
        <f ca="1">IF(ISERROR(B33-2),"",(E33-$E$14)*$H$3*$J$3)</f>
        <v>478824.00000000041</v>
      </c>
      <c r="I33" s="38">
        <f ca="1">IF(COUNTIF($AK$2:AK1018,A33)=1,VLOOKUP(A33,AC:AD,2), IF(COUNTIF($AK$2:AK1018,A33)=0,$C$9,""))</f>
        <v>99.655000000000001</v>
      </c>
      <c r="J33" s="2">
        <f t="shared" ca="1" si="5"/>
        <v>32500</v>
      </c>
      <c r="K33" s="41">
        <f t="shared" ca="1" si="6"/>
        <v>244.40000000000146</v>
      </c>
      <c r="L33" s="38">
        <f ca="1">IF(COUNTIF($AK$2:AK1018,A33)=1,VLOOKUP(A33,AN:AO,2), IF(COUNTIF($AK$2:AK1018,A33)=0,$D$9,""))</f>
        <v>249.46960000000001</v>
      </c>
      <c r="M33" s="41">
        <f ca="1">IF(ISERROR(L33-2),"",(L33/$L$14-1)*$D$5)</f>
        <v>570053.7032347949</v>
      </c>
      <c r="N33" s="41" t="str">
        <f ca="1">IF($A33="","",IF(COUNTIFS(Dividends!$G:$G,"&gt;"&amp;INT($A32),Dividends!$G:$G,"&lt;="&amp;INT($A33))=0,"",$R$2*SUMIFS(Dividends!$H:$H,Dividends!$G:$G,"&gt;"&amp;INT($A32),Dividends!$G:$G,"&lt;="&amp;INT($A33))))</f>
        <v/>
      </c>
      <c r="O33" s="42">
        <f ca="1">IF(ISERROR(B33-2),"",C33+D33-J33-K33-M33+SUM($N$14:N33))</f>
        <v>-128356.28637595451</v>
      </c>
      <c r="P33" s="80"/>
      <c r="Q33" s="80"/>
      <c r="R33" s="87"/>
      <c r="S33" s="87"/>
      <c r="T33" s="87"/>
      <c r="U33" s="3">
        <v>46147.625</v>
      </c>
      <c r="V33" s="4">
        <v>310.38</v>
      </c>
      <c r="W33" s="3"/>
      <c r="X33" s="4"/>
      <c r="Y33" s="87"/>
      <c r="AA33" s="3">
        <v>46092.625</v>
      </c>
      <c r="AB33" s="4">
        <v>92.41</v>
      </c>
      <c r="AC33" s="3">
        <v>46090.625</v>
      </c>
      <c r="AD33" s="4">
        <v>100.143</v>
      </c>
      <c r="AE33" s="3">
        <v>46090.625</v>
      </c>
      <c r="AF33" s="4">
        <v>293.44200000000001</v>
      </c>
      <c r="AG33" s="3">
        <v>46146.625</v>
      </c>
      <c r="AH33" s="4">
        <v>310.38</v>
      </c>
      <c r="AI33" s="3" t="str">
        <f>IF(COUNTIF(AC:AC,AA33)*COUNTIF(AE:AE,AA33)*COUNTIF(AG:AG,AA33),AA33,"")</f>
        <v/>
      </c>
      <c r="AJ33" s="3" t="str">
        <f t="shared" si="0"/>
        <v/>
      </c>
      <c r="AK33" s="3">
        <v>46155.625</v>
      </c>
      <c r="AL33" s="3">
        <v>46085</v>
      </c>
      <c r="AM33" s="5">
        <v>262.13139999999999</v>
      </c>
      <c r="AN33" s="3">
        <v>45824</v>
      </c>
      <c r="AO33" s="4">
        <v>238.1482</v>
      </c>
      <c r="AP33" s="74">
        <v>45824</v>
      </c>
      <c r="AQ33" s="4">
        <v>290.95100000000002</v>
      </c>
      <c r="AR33" s="6">
        <f t="shared" si="1"/>
        <v>45824</v>
      </c>
    </row>
    <row r="34" spans="1:44" ht="14.45" customHeight="1" x14ac:dyDescent="0.25">
      <c r="A34" s="37">
        <f ca="1">IF(AND(ISBLANK(AK23), A33 = $AK$1),NOW(),IF(ISBLANK(AK23),"",AK23))</f>
        <v>46136.625</v>
      </c>
      <c r="B34" s="38">
        <f ca="1">IF(COUNTIF($AK$2:AK1019,A34)=1,VLOOKUP(A34,AA:AB,2), IF(COUNTIF($AK$2:AK1019,A34)=0,$B$9,""))</f>
        <v>90.93</v>
      </c>
      <c r="C34" s="2">
        <f t="shared" ca="1" si="3"/>
        <v>537333.48259263462</v>
      </c>
      <c r="D34" s="41">
        <f t="shared" ca="1" si="4"/>
        <v>-70666.666666666672</v>
      </c>
      <c r="E34" s="78">
        <f ca="1">IF(COUNTIF($U$2:U1019,A34)=1,VLOOKUP(A34,U:V,2), "")</f>
        <v>310.48</v>
      </c>
      <c r="F34" s="78"/>
      <c r="G34" s="91">
        <f t="shared" ca="1" si="2"/>
        <v>312.12</v>
      </c>
      <c r="H34" s="93">
        <f ca="1">IF(ISERROR(B34-2),"",(E34-$E$14)*$H$3*$J$3)</f>
        <v>466896.00000000157</v>
      </c>
      <c r="I34" s="38">
        <f ca="1">IF(COUNTIF($AK$2:AK1019,A34)=1,VLOOKUP(A34,AC:AD,2), IF(COUNTIF($AK$2:AK1019,A34)=0,$C$9,""))</f>
        <v>99.637</v>
      </c>
      <c r="J34" s="2">
        <f t="shared" ca="1" si="5"/>
        <v>27819.999999999825</v>
      </c>
      <c r="K34" s="41">
        <f t="shared" ca="1" si="6"/>
        <v>260.69333333332906</v>
      </c>
      <c r="L34" s="38">
        <f ca="1">IF(COUNTIF($AK$2:AK1019,A34)=1,VLOOKUP(A34,AN:AO,2), IF(COUNTIF($AK$2:AK1019,A34)=0,$D$9,""))</f>
        <v>249.20050000000001</v>
      </c>
      <c r="M34" s="41">
        <f ca="1">IF(ISERROR(L34-2),"",(L34/$L$14-1)*$D$5)</f>
        <v>549267.31703166233</v>
      </c>
      <c r="N34" s="41" t="str">
        <f ca="1">IF($A34="","",IF(COUNTIFS(Dividends!$G:$G,"&gt;"&amp;INT($A33),Dividends!$G:$G,"&lt;="&amp;INT($A34))=0,"",$R$2*SUMIFS(Dividends!$H:$H,Dividends!$G:$G,"&gt;"&amp;INT($A33),Dividends!$G:$G,"&lt;="&amp;INT($A34))))</f>
        <v/>
      </c>
      <c r="O34" s="42">
        <f ca="1">IF(ISERROR(B34-2),"",C34+D34-J34-K34-M34+SUM($N$14:N34))</f>
        <v>-110681.19443902757</v>
      </c>
      <c r="P34" s="80"/>
      <c r="Q34" s="80"/>
      <c r="R34" s="87"/>
      <c r="S34" s="87"/>
      <c r="T34" s="87"/>
      <c r="U34" s="3">
        <v>46148.625</v>
      </c>
      <c r="V34" s="4">
        <v>311.94</v>
      </c>
      <c r="W34" s="3"/>
      <c r="X34" s="4"/>
      <c r="Y34" s="87"/>
      <c r="AA34" s="3">
        <v>46093.625</v>
      </c>
      <c r="AB34" s="4">
        <v>92.08</v>
      </c>
      <c r="AC34" s="3">
        <v>46091.625</v>
      </c>
      <c r="AD34" s="4">
        <v>100.342</v>
      </c>
      <c r="AE34" s="3">
        <v>46091.625</v>
      </c>
      <c r="AF34" s="4">
        <v>273.53199999999998</v>
      </c>
      <c r="AG34" s="3">
        <v>46147.625</v>
      </c>
      <c r="AH34" s="4">
        <v>310.38</v>
      </c>
      <c r="AI34" s="3" t="str">
        <f>IF(COUNTIF(AC:AC,AA34)*COUNTIF(AE:AE,AA34)*COUNTIF(AG:AG,AA34),AA34,"")</f>
        <v/>
      </c>
      <c r="AJ34" s="3" t="str">
        <f t="shared" si="0"/>
        <v/>
      </c>
      <c r="AK34" s="3">
        <v>46157.625</v>
      </c>
      <c r="AL34" s="3">
        <v>46086</v>
      </c>
      <c r="AM34" s="5">
        <v>261.02620000000002</v>
      </c>
      <c r="AN34" s="3">
        <v>45825</v>
      </c>
      <c r="AO34" s="4">
        <v>237.51990000000001</v>
      </c>
      <c r="AP34" s="74">
        <v>45825</v>
      </c>
      <c r="AQ34" s="4">
        <v>297.02300000000002</v>
      </c>
      <c r="AR34" s="6">
        <f t="shared" si="1"/>
        <v>45825</v>
      </c>
    </row>
    <row r="35" spans="1:44" ht="14.45" customHeight="1" x14ac:dyDescent="0.25">
      <c r="A35" s="37">
        <f ca="1">IF(AND(ISBLANK(AK24), A34 = $AK$1),NOW(),IF(ISBLANK(AK24),"",AK24))</f>
        <v>46139.625</v>
      </c>
      <c r="B35" s="38">
        <f ca="1">IF(COUNTIF($AK$2:AK1020,A35)=1,VLOOKUP(A35,AA:AB,2), IF(COUNTIF($AK$2:AK1020,A35)=0,$B$9,""))</f>
        <v>90.97</v>
      </c>
      <c r="C35" s="2">
        <f t="shared" ca="1" si="3"/>
        <v>550766.81965745112</v>
      </c>
      <c r="D35" s="41">
        <f t="shared" ca="1" si="4"/>
        <v>-77291.666666666672</v>
      </c>
      <c r="E35" s="78">
        <f ca="1">IF(COUNTIF($U$2:U1020,A35)=1,VLOOKUP(A35,U:V,2), "")</f>
        <v>310.7</v>
      </c>
      <c r="F35" s="78"/>
      <c r="G35" s="91">
        <f t="shared" ca="1" si="2"/>
        <v>312.33999999999997</v>
      </c>
      <c r="H35" s="93">
        <f ca="1">IF(ISERROR(B35-2),"",(E35-$E$14)*$H$3*$J$3)</f>
        <v>485639.99999999901</v>
      </c>
      <c r="I35" s="38">
        <f ca="1">IF(COUNTIF($AK$2:AK1020,A35)=1,VLOOKUP(A35,AC:AD,2), IF(COUNTIF($AK$2:AK1020,A35)=0,$C$9,""))</f>
        <v>99.608000000000004</v>
      </c>
      <c r="J35" s="2">
        <f t="shared" ca="1" si="5"/>
        <v>20280.000000000768</v>
      </c>
      <c r="K35" s="41">
        <f t="shared" ca="1" si="6"/>
        <v>285.13333333333139</v>
      </c>
      <c r="L35" s="38">
        <f ca="1">IF(COUNTIF($AK$2:AK1020,A35)=1,VLOOKUP(A35,AN:AO,2), IF(COUNTIF($AK$2:AK1020,A35)=0,$D$9,""))</f>
        <v>249.10599999999999</v>
      </c>
      <c r="M35" s="41">
        <f ca="1">IF(ISERROR(L35-2),"",(L35/$L$14-1)*$D$5)</f>
        <v>541967.74997036124</v>
      </c>
      <c r="N35" s="41" t="str">
        <f ca="1">IF($A35="","",IF(COUNTIFS(Dividends!$G:$G,"&gt;"&amp;INT($A34),Dividends!$G:$G,"&lt;="&amp;INT($A35))=0,"",$R$2*SUMIFS(Dividends!$H:$H,Dividends!$G:$G,"&gt;"&amp;INT($A34),Dividends!$G:$G,"&lt;="&amp;INT($A35))))</f>
        <v/>
      </c>
      <c r="O35" s="42">
        <f ca="1">IF(ISERROR(B35-2),"",C35+D35-J35-K35-M35+SUM($N$14:N35))</f>
        <v>-89057.730312910862</v>
      </c>
      <c r="P35" s="80"/>
      <c r="Q35" s="80"/>
      <c r="R35" s="87"/>
      <c r="S35" s="87"/>
      <c r="T35" s="87"/>
      <c r="U35" s="3">
        <v>46149.625</v>
      </c>
      <c r="V35" s="4">
        <v>312.06</v>
      </c>
      <c r="W35" s="3"/>
      <c r="X35" s="4"/>
      <c r="Y35" s="87"/>
      <c r="AA35" s="3">
        <v>46094.625</v>
      </c>
      <c r="AB35" s="4">
        <v>91.86</v>
      </c>
      <c r="AC35" s="3">
        <v>46092.625</v>
      </c>
      <c r="AD35" s="4">
        <v>99.995000000000005</v>
      </c>
      <c r="AE35" s="3">
        <v>46092.625</v>
      </c>
      <c r="AF35" s="4">
        <v>289.27199999999999</v>
      </c>
      <c r="AG35" s="3">
        <v>46148.625</v>
      </c>
      <c r="AH35" s="4">
        <v>311.94</v>
      </c>
      <c r="AI35" s="3">
        <f>IF(COUNTIF(AC:AC,AA35)*COUNTIF(AE:AE,AA35)*COUNTIF(AG:AG,AA35),AA35,"")</f>
        <v>46094.625</v>
      </c>
      <c r="AJ35" s="3" t="str">
        <f t="shared" si="0"/>
        <v/>
      </c>
      <c r="AK35" s="3">
        <v>46161.625</v>
      </c>
      <c r="AL35" s="3">
        <v>46087</v>
      </c>
      <c r="AM35" s="5">
        <v>259.30169999999998</v>
      </c>
      <c r="AN35" s="3">
        <v>45826</v>
      </c>
      <c r="AO35" s="4">
        <v>237.07689999999999</v>
      </c>
      <c r="AP35" s="74">
        <v>45826</v>
      </c>
      <c r="AQ35" s="4">
        <v>300.35000000000002</v>
      </c>
      <c r="AR35" s="6">
        <f t="shared" si="1"/>
        <v>45826</v>
      </c>
    </row>
    <row r="36" spans="1:44" ht="14.45" customHeight="1" x14ac:dyDescent="0.25">
      <c r="A36" s="37">
        <f ca="1">IF(AND(ISBLANK(AK25), A35 = $AK$1),NOW(),IF(ISBLANK(AK25),"",AK25))</f>
        <v>46140.625</v>
      </c>
      <c r="B36" s="38">
        <f ca="1">IF(COUNTIF($AK$2:AK1021,A36)=1,VLOOKUP(A36,AA:AB,2), IF(COUNTIF($AK$2:AK1021,A36)=0,$B$9,""))</f>
        <v>90.69</v>
      </c>
      <c r="C36" s="2">
        <f t="shared" ca="1" si="3"/>
        <v>456733.46020374208</v>
      </c>
      <c r="D36" s="41">
        <f t="shared" ca="1" si="4"/>
        <v>-79500</v>
      </c>
      <c r="E36" s="78">
        <f ca="1">IF(COUNTIF($U$2:U1021,A36)=1,VLOOKUP(A36,U:V,2), "")</f>
        <v>309.88</v>
      </c>
      <c r="F36" s="78"/>
      <c r="G36" s="91">
        <f t="shared" ca="1" si="2"/>
        <v>311.52</v>
      </c>
      <c r="H36" s="93">
        <f ca="1">IF(ISERROR(B36-2),"",(E36-$E$14)*$H$3*$J$3)</f>
        <v>415775.99999999959</v>
      </c>
      <c r="I36" s="38">
        <f ca="1">IF(COUNTIF($AK$2:AK1021,A36)=1,VLOOKUP(A36,AC:AD,2), IF(COUNTIF($AK$2:AK1021,A36)=0,$C$9,""))</f>
        <v>99.456000000000003</v>
      </c>
      <c r="J36" s="2">
        <f t="shared" ca="1" si="5"/>
        <v>-19239.999999999498</v>
      </c>
      <c r="K36" s="41">
        <f t="shared" ca="1" si="6"/>
        <v>293.27999999999884</v>
      </c>
      <c r="L36" s="38">
        <f ca="1">IF(COUNTIF($AK$2:AK1021,A36)=1,VLOOKUP(A36,AN:AO,2), IF(COUNTIF($AK$2:AK1021,A36)=0,$D$9,""))</f>
        <v>248.827</v>
      </c>
      <c r="M36" s="41">
        <f ca="1">IF(ISERROR(L36-2),"",(L36/$L$14-1)*$D$5)</f>
        <v>520416.64721795509</v>
      </c>
      <c r="N36" s="41" t="str">
        <f ca="1">IF($A36="","",IF(COUNTIFS(Dividends!$G:$G,"&gt;"&amp;INT($A35),Dividends!$G:$G,"&lt;="&amp;INT($A36))=0,"",$R$2*SUMIFS(Dividends!$H:$H,Dividends!$G:$G,"&gt;"&amp;INT($A35),Dividends!$G:$G,"&lt;="&amp;INT($A36))))</f>
        <v/>
      </c>
      <c r="O36" s="42">
        <f ca="1">IF(ISERROR(B36-2),"",C36+D36-J36-K36-M36+SUM($N$14:N36))</f>
        <v>-124236.46701421356</v>
      </c>
      <c r="P36" s="80"/>
      <c r="Q36" s="80"/>
      <c r="R36" s="87"/>
      <c r="S36" s="87"/>
      <c r="T36" s="87"/>
      <c r="U36" s="3">
        <v>46150.625</v>
      </c>
      <c r="V36" s="4">
        <v>312.38</v>
      </c>
      <c r="W36" s="3"/>
      <c r="X36" s="4"/>
      <c r="Y36" s="87"/>
      <c r="AA36" s="3">
        <v>46097.625</v>
      </c>
      <c r="AB36" s="4">
        <v>91.95</v>
      </c>
      <c r="AC36" s="3">
        <v>46093.625</v>
      </c>
      <c r="AD36" s="4">
        <v>99.95</v>
      </c>
      <c r="AE36" s="3">
        <v>46093.625</v>
      </c>
      <c r="AF36" s="4">
        <v>296.22500000000002</v>
      </c>
      <c r="AG36" s="3">
        <v>46149.625</v>
      </c>
      <c r="AH36" s="4">
        <v>312.06</v>
      </c>
      <c r="AI36" s="3">
        <f>IF(COUNTIF(AC:AC,AA36)*COUNTIF(AE:AE,AA36)*COUNTIF(AG:AG,AA36),AA36,"")</f>
        <v>46097.625</v>
      </c>
      <c r="AJ36" s="3" t="str">
        <f t="shared" si="0"/>
        <v/>
      </c>
      <c r="AK36" s="3">
        <v>46162.625</v>
      </c>
      <c r="AL36" s="3">
        <v>46090</v>
      </c>
      <c r="AM36" s="5">
        <v>259.07319999999999</v>
      </c>
      <c r="AN36" s="3">
        <v>45827</v>
      </c>
      <c r="AO36" s="4">
        <v>235.94069999999999</v>
      </c>
      <c r="AP36" s="74">
        <v>45827</v>
      </c>
      <c r="AQ36" s="4">
        <v>313.43900000000002</v>
      </c>
      <c r="AR36" s="6">
        <f t="shared" si="1"/>
        <v>45827</v>
      </c>
    </row>
    <row r="37" spans="1:44" x14ac:dyDescent="0.25">
      <c r="A37" s="37">
        <f ca="1">IF(AND(ISBLANK(AK26), A36 = $AK$1),NOW(),IF(ISBLANK(AK26),"",AK26))</f>
        <v>46141.625</v>
      </c>
      <c r="B37" s="38">
        <f ca="1">IF(COUNTIF($AK$2:AK1022,A37)=1,VLOOKUP(A37,AA:AB,2), IF(COUNTIF($AK$2:AK1022,A37)=0,$B$9,""))</f>
        <v>90.76</v>
      </c>
      <c r="C37" s="2">
        <f t="shared" ca="1" si="3"/>
        <v>480241.8000671693</v>
      </c>
      <c r="D37" s="41">
        <f t="shared" ca="1" si="4"/>
        <v>-81708.333333333328</v>
      </c>
      <c r="E37" s="78">
        <f ca="1">IF(COUNTIF($U$2:U1022,A37)=1,VLOOKUP(A37,U:V,2), "")</f>
        <v>309.58</v>
      </c>
      <c r="F37" s="78"/>
      <c r="G37" s="91">
        <f t="shared" ca="1" si="2"/>
        <v>311.21999999999997</v>
      </c>
      <c r="H37" s="93">
        <f ca="1">IF(ISERROR(B37-2),"",(E37-$E$14)*$H$3*$J$3)</f>
        <v>390215.99999999866</v>
      </c>
      <c r="I37" s="38">
        <f ca="1">IF(COUNTIF($AK$2:AK1022,A37)=1,VLOOKUP(A37,AC:AD,2), IF(COUNTIF($AK$2:AK1022,A37)=0,$C$9,""))</f>
        <v>99.296000000000006</v>
      </c>
      <c r="J37" s="2">
        <f t="shared" ca="1" si="5"/>
        <v>-60839.999999998618</v>
      </c>
      <c r="K37" s="41">
        <f t="shared" ca="1" si="6"/>
        <v>301.42666666666628</v>
      </c>
      <c r="L37" s="38">
        <f ca="1">IF(COUNTIF($AK$2:AK1022,A37)=1,VLOOKUP(A37,AN:AO,2), IF(COUNTIF($AK$2:AK1022,A37)=0,$D$9,""))</f>
        <v>248.28469999999999</v>
      </c>
      <c r="M37" s="41">
        <f ca="1">IF(ISERROR(L37-2),"",(L37/$L$14-1)*$D$5)</f>
        <v>478527.17401855398</v>
      </c>
      <c r="N37" s="41" t="str">
        <f ca="1">IF($A37="","",IF(COUNTIFS(Dividends!$G:$G,"&gt;"&amp;INT($A36),Dividends!$G:$G,"&lt;="&amp;INT($A37))=0,"",$R$2*SUMIFS(Dividends!$H:$H,Dividends!$G:$G,"&gt;"&amp;INT($A36),Dividends!$G:$G,"&lt;="&amp;INT($A37))))</f>
        <v/>
      </c>
      <c r="O37" s="42">
        <f ca="1">IF(ISERROR(B37-2),"",C37+D37-J37-K37-M37+SUM($N$14:N37))</f>
        <v>-19455.133951386029</v>
      </c>
      <c r="P37" s="80"/>
      <c r="Q37" s="80"/>
      <c r="R37" s="87"/>
      <c r="S37" s="87"/>
      <c r="T37" s="87"/>
      <c r="U37" s="3">
        <v>46154.625</v>
      </c>
      <c r="V37" s="4">
        <v>311.7</v>
      </c>
      <c r="W37" s="3"/>
      <c r="X37" s="4"/>
      <c r="Y37" s="87"/>
      <c r="AA37" s="3">
        <v>46098.625</v>
      </c>
      <c r="AB37" s="4">
        <v>92.21</v>
      </c>
      <c r="AC37" s="3">
        <v>46094.625</v>
      </c>
      <c r="AD37" s="4">
        <v>99.905000000000001</v>
      </c>
      <c r="AE37" s="3">
        <v>46094.625</v>
      </c>
      <c r="AF37" s="4">
        <v>306.91800000000001</v>
      </c>
      <c r="AG37" s="3">
        <v>46150.625</v>
      </c>
      <c r="AH37" s="4">
        <v>312.38</v>
      </c>
      <c r="AI37" s="3">
        <f>IF(COUNTIF(AC:AC,AA37)*COUNTIF(AE:AE,AA37)*COUNTIF(AG:AG,AA37),AA37,"")</f>
        <v>46098.625</v>
      </c>
      <c r="AJ37" s="3" t="str">
        <f t="shared" si="0"/>
        <v/>
      </c>
      <c r="AK37" s="3">
        <v>46163.625</v>
      </c>
      <c r="AL37" s="3">
        <v>46091</v>
      </c>
      <c r="AM37" s="5">
        <v>261.08800000000002</v>
      </c>
      <c r="AN37" s="3">
        <v>45828</v>
      </c>
      <c r="AO37" s="4">
        <v>236.7012</v>
      </c>
      <c r="AP37" s="74">
        <v>45828</v>
      </c>
      <c r="AQ37" s="4">
        <v>304.02</v>
      </c>
      <c r="AR37" s="6">
        <f t="shared" si="1"/>
        <v>45828</v>
      </c>
    </row>
    <row r="38" spans="1:44" x14ac:dyDescent="0.25">
      <c r="A38" s="37">
        <f ca="1">IF(AND(ISBLANK(AK27), A37 = $AK$1),NOW(),IF(ISBLANK(AK27),"",AK27))</f>
        <v>46142.625</v>
      </c>
      <c r="B38" s="38">
        <f ca="1">IF(COUNTIF($AK$2:AK1023,A38)=1,VLOOKUP(A38,AA:AB,2), IF(COUNTIF($AK$2:AK1023,A38)=0,$B$9,""))</f>
        <v>90.81</v>
      </c>
      <c r="C38" s="2">
        <f t="shared" ca="1" si="3"/>
        <v>497033.47139818501</v>
      </c>
      <c r="D38" s="41">
        <f t="shared" ca="1" si="4"/>
        <v>-83916.666666666672</v>
      </c>
      <c r="E38" s="78">
        <f ca="1">IF(COUNTIF($U$2:U1023,A38)=1,VLOOKUP(A38,U:V,2), "")</f>
        <v>310</v>
      </c>
      <c r="F38" s="78"/>
      <c r="G38" s="91">
        <f t="shared" ca="1" si="2"/>
        <v>311.64</v>
      </c>
      <c r="H38" s="93">
        <f ca="1">IF(ISERROR(B38-2),"",(E38-$E$14)*$H$3*$J$3)</f>
        <v>426000</v>
      </c>
      <c r="I38" s="38">
        <f ca="1">IF(COUNTIF($AK$2:AK1023,A38)=1,VLOOKUP(A38,AC:AD,2), IF(COUNTIF($AK$2:AK1023,A38)=0,$C$9,""))</f>
        <v>99.435000000000002</v>
      </c>
      <c r="J38" s="2">
        <f t="shared" ca="1" si="5"/>
        <v>-24699.999999999705</v>
      </c>
      <c r="K38" s="41">
        <f t="shared" ca="1" si="6"/>
        <v>309.57333333333372</v>
      </c>
      <c r="L38" s="38">
        <f ca="1">IF(COUNTIF($AK$2:AK1023,A38)=1,VLOOKUP(A38,AN:AO,2), IF(COUNTIF($AK$2:AK1023,A38)=0,$D$9,""))</f>
        <v>248.685</v>
      </c>
      <c r="M38" s="41">
        <f ca="1">IF(ISERROR(L38-2),"",(L38/$L$14-1)*$D$5)</f>
        <v>509447.98560203006</v>
      </c>
      <c r="N38" s="41" t="str">
        <f ca="1">IF($A38="","",IF(COUNTIFS(Dividends!$G:$G,"&gt;"&amp;INT($A37),Dividends!$G:$G,"&lt;="&amp;INT($A38))=0,"",$R$2*SUMIFS(Dividends!$H:$H,Dividends!$G:$G,"&gt;"&amp;INT($A37),Dividends!$G:$G,"&lt;="&amp;INT($A38))))</f>
        <v/>
      </c>
      <c r="O38" s="42">
        <f ca="1">IF(ISERROR(B38-2),"",C38+D38-J38-K38-M38+SUM($N$14:N38))</f>
        <v>-71940.754203845398</v>
      </c>
      <c r="P38" s="80"/>
      <c r="Q38" s="80"/>
      <c r="R38" s="87"/>
      <c r="S38" s="87"/>
      <c r="T38" s="87"/>
      <c r="U38" s="3">
        <v>46155.625</v>
      </c>
      <c r="V38" s="4">
        <v>311.88</v>
      </c>
      <c r="W38" s="3"/>
      <c r="X38" s="4"/>
      <c r="Y38" s="87"/>
      <c r="AA38" s="3">
        <v>46099.625</v>
      </c>
      <c r="AB38" s="4">
        <v>92.17</v>
      </c>
      <c r="AC38" s="3">
        <v>46097.625</v>
      </c>
      <c r="AD38" s="4">
        <v>99.959000000000003</v>
      </c>
      <c r="AE38" s="3">
        <v>46097.625</v>
      </c>
      <c r="AF38" s="4">
        <v>300.69400000000002</v>
      </c>
      <c r="AG38" s="3">
        <v>46154.625</v>
      </c>
      <c r="AH38" s="4">
        <v>311.7</v>
      </c>
      <c r="AI38" s="3">
        <f>IF(COUNTIF(AC:AC,AA38)*COUNTIF(AE:AE,AA38)*COUNTIF(AG:AG,AA38),AA38,"")</f>
        <v>46099.625</v>
      </c>
      <c r="AJ38" s="3" t="str">
        <f t="shared" si="0"/>
        <v/>
      </c>
      <c r="AK38" s="3">
        <v>46168.625</v>
      </c>
      <c r="AL38" s="3">
        <v>46092</v>
      </c>
      <c r="AM38" s="5">
        <v>259.59120000000001</v>
      </c>
      <c r="AN38" s="3">
        <v>45831</v>
      </c>
      <c r="AO38" s="4">
        <v>236.5609</v>
      </c>
      <c r="AP38" s="74">
        <v>45831</v>
      </c>
      <c r="AQ38" s="4">
        <v>307.142</v>
      </c>
      <c r="AR38" s="6">
        <f t="shared" si="1"/>
        <v>45831</v>
      </c>
    </row>
    <row r="39" spans="1:44" x14ac:dyDescent="0.25">
      <c r="A39" s="37">
        <f ca="1">IF(AND(ISBLANK(AK28), A38 = $AK$1),NOW(),IF(ISBLANK(AK28),"",AK28))</f>
        <v>46147.625</v>
      </c>
      <c r="B39" s="38">
        <f ca="1">IF(COUNTIF($AK$2:AK1024,A39)=1,VLOOKUP(A39,AA:AB,2), IF(COUNTIF($AK$2:AK1024,A39)=0,$B$9,""))</f>
        <v>90.89</v>
      </c>
      <c r="C39" s="2">
        <f t="shared" ca="1" si="3"/>
        <v>523900.14552781807</v>
      </c>
      <c r="D39" s="41">
        <f t="shared" ca="1" si="4"/>
        <v>-94958.333333333328</v>
      </c>
      <c r="E39" s="78">
        <f ca="1">IF(COUNTIF($U$2:U1024,A39)=1,VLOOKUP(A39,U:V,2), "")</f>
        <v>310.38</v>
      </c>
      <c r="F39" s="78"/>
      <c r="G39" s="91">
        <f t="shared" ca="1" si="2"/>
        <v>312.02</v>
      </c>
      <c r="H39" s="93">
        <f ca="1">IF(ISERROR(B39-2),"",(E39-$E$14)*$H$3*$J$3)</f>
        <v>458375.99999999959</v>
      </c>
      <c r="I39" s="38">
        <f ca="1">IF(COUNTIF($AK$2:AK1024,A39)=1,VLOOKUP(A39,AC:AD,2), IF(COUNTIF($AK$2:AK1024,A39)=0,$C$9,""))</f>
        <v>99.343000000000004</v>
      </c>
      <c r="J39" s="2">
        <f t="shared" ca="1" si="5"/>
        <v>-48619.999999999374</v>
      </c>
      <c r="K39" s="41">
        <f t="shared" ca="1" si="6"/>
        <v>350.30666666667094</v>
      </c>
      <c r="L39" s="38">
        <f ca="1">IF(COUNTIF($AK$2:AK1024,A39)=1,VLOOKUP(A39,AN:AO,2), IF(COUNTIF($AK$2:AK1024,A39)=0,$D$9,""))</f>
        <v>249.4753</v>
      </c>
      <c r="M39" s="41">
        <f ca="1">IF(ISERROR(L39-2),"",(L39/$L$14-1)*$D$5)</f>
        <v>570493.99458134721</v>
      </c>
      <c r="N39" s="41" t="str">
        <f ca="1">IF($A39="","",IF(COUNTIFS(Dividends!$G:$G,"&gt;"&amp;INT($A38),Dividends!$G:$G,"&lt;="&amp;INT($A39))=0,"",$R$2*SUMIFS(Dividends!$H:$H,Dividends!$G:$G,"&gt;"&amp;INT($A38),Dividends!$G:$G,"&lt;="&amp;INT($A39))))</f>
        <v/>
      </c>
      <c r="O39" s="42">
        <f ca="1">IF(ISERROR(B39-2),"",C39+D39-J39-K39-M39+SUM($N$14:N39))</f>
        <v>-93282.489053529804</v>
      </c>
      <c r="P39" s="80"/>
      <c r="Q39" s="80"/>
      <c r="R39" s="87"/>
      <c r="S39" s="87"/>
      <c r="T39" s="87"/>
      <c r="U39" s="3">
        <v>46157.625</v>
      </c>
      <c r="V39" s="4">
        <v>311.48</v>
      </c>
      <c r="W39" s="3"/>
      <c r="X39" s="4"/>
      <c r="Y39" s="87"/>
      <c r="AA39" s="3">
        <v>46100.625</v>
      </c>
      <c r="AB39" s="4">
        <v>89.42</v>
      </c>
      <c r="AC39" s="3">
        <v>46098.625</v>
      </c>
      <c r="AD39" s="4">
        <v>99.992999999999995</v>
      </c>
      <c r="AE39" s="3">
        <v>46098.625</v>
      </c>
      <c r="AF39" s="4">
        <v>294.98399999999998</v>
      </c>
      <c r="AG39" s="3">
        <v>46155.625</v>
      </c>
      <c r="AH39" s="4">
        <v>311.88</v>
      </c>
      <c r="AI39" s="3">
        <f>IF(COUNTIF(AC:AC,AA39)*COUNTIF(AE:AE,AA39)*COUNTIF(AG:AG,AA39),AA39,"")</f>
        <v>46100.625</v>
      </c>
      <c r="AJ39" s="3" t="str">
        <f t="shared" si="0"/>
        <v/>
      </c>
      <c r="AK39" s="3">
        <v>46169.625</v>
      </c>
      <c r="AL39" s="3">
        <v>46093</v>
      </c>
      <c r="AM39" s="5">
        <v>258.51130000000001</v>
      </c>
      <c r="AN39" s="3">
        <v>45832</v>
      </c>
      <c r="AO39" s="4">
        <v>238.1567</v>
      </c>
      <c r="AP39" s="74">
        <v>45832</v>
      </c>
      <c r="AQ39" s="4">
        <v>291.75099999999998</v>
      </c>
      <c r="AR39" s="6">
        <f t="shared" si="1"/>
        <v>45832</v>
      </c>
    </row>
    <row r="40" spans="1:44" x14ac:dyDescent="0.25">
      <c r="A40" s="37">
        <f ca="1">IF(AND(ISBLANK(AK29), A39 = $AK$1),NOW(),IF(ISBLANK(AK29),"",AK29))</f>
        <v>46148.625</v>
      </c>
      <c r="B40" s="38">
        <f ca="1">IF(COUNTIF($AK$2:AK1025,A40)=1,VLOOKUP(A40,AA:AB,2), IF(COUNTIF($AK$2:AK1025,A40)=0,$B$9,""))</f>
        <v>91.41</v>
      </c>
      <c r="C40" s="2">
        <f t="shared" ca="1" si="3"/>
        <v>698533.52737042634</v>
      </c>
      <c r="D40" s="41">
        <f t="shared" ca="1" si="4"/>
        <v>-97166.666666666657</v>
      </c>
      <c r="E40" s="78">
        <f ca="1">IF(COUNTIF($U$2:U1025,A40)=1,VLOOKUP(A40,U:V,2), "")</f>
        <v>311.94</v>
      </c>
      <c r="F40" s="78"/>
      <c r="G40" s="91">
        <f t="shared" ca="1" si="2"/>
        <v>313.58</v>
      </c>
      <c r="H40" s="93">
        <f ca="1">IF(ISERROR(B40-2),"",(E40-$E$14)*$H$3*$J$3)</f>
        <v>591287.99999999977</v>
      </c>
      <c r="I40" s="38">
        <f ca="1">IF(COUNTIF($AK$2:AK1025,A40)=1,VLOOKUP(A40,AC:AD,2), IF(COUNTIF($AK$2:AK1025,A40)=0,$C$9,""))</f>
        <v>99.63</v>
      </c>
      <c r="J40" s="2">
        <f t="shared" ca="1" si="5"/>
        <v>25999.999999998523</v>
      </c>
      <c r="K40" s="41">
        <f t="shared" ca="1" si="6"/>
        <v>358.45333333333838</v>
      </c>
      <c r="L40" s="38">
        <f ca="1">IF(COUNTIF($AK$2:AK1025,A40)=1,VLOOKUP(A40,AN:AO,2), IF(COUNTIF($AK$2:AK1025,A40)=0,$D$9,""))</f>
        <v>250.94749999999999</v>
      </c>
      <c r="M40" s="41">
        <f ca="1">IF(ISERROR(L40-2),"",(L40/$L$14-1)*$D$5)</f>
        <v>684212.75254585163</v>
      </c>
      <c r="N40" s="41" t="str">
        <f ca="1">IF($A40="","",IF(COUNTIFS(Dividends!$G:$G,"&gt;"&amp;INT($A39),Dividends!$G:$G,"&lt;="&amp;INT($A40))=0,"",$R$2*SUMIFS(Dividends!$H:$H,Dividends!$G:$G,"&gt;"&amp;INT($A39),Dividends!$G:$G,"&lt;="&amp;INT($A40))))</f>
        <v/>
      </c>
      <c r="O40" s="42">
        <f ca="1">IF(ISERROR(B40-2),"",C40+D40-J40-K40-M40+SUM($N$14:N40))</f>
        <v>-109204.34517542378</v>
      </c>
      <c r="P40" s="80"/>
      <c r="Q40" s="80"/>
      <c r="R40" s="87"/>
      <c r="S40" s="87"/>
      <c r="T40" s="87"/>
      <c r="U40" s="3">
        <v>46161.625</v>
      </c>
      <c r="V40" s="4">
        <v>311.22000000000003</v>
      </c>
      <c r="W40" s="3"/>
      <c r="X40" s="4"/>
      <c r="Y40" s="87"/>
      <c r="AA40" s="3">
        <v>46101.625</v>
      </c>
      <c r="AB40" s="4">
        <v>89.08</v>
      </c>
      <c r="AC40" s="3">
        <v>46099.625</v>
      </c>
      <c r="AD40" s="4">
        <v>99.841999999999999</v>
      </c>
      <c r="AE40" s="3">
        <v>46099.625</v>
      </c>
      <c r="AF40" s="4">
        <v>298.827</v>
      </c>
      <c r="AG40" s="3">
        <v>46157.625</v>
      </c>
      <c r="AH40" s="4">
        <v>311.48</v>
      </c>
      <c r="AI40" s="3">
        <f>IF(COUNTIF(AC:AC,AA40)*COUNTIF(AE:AE,AA40)*COUNTIF(AG:AG,AA40),AA40,"")</f>
        <v>46101.625</v>
      </c>
      <c r="AJ40" s="3" t="str">
        <f t="shared" si="0"/>
        <v/>
      </c>
      <c r="AK40" s="3">
        <v>46170.625</v>
      </c>
      <c r="AL40" s="3">
        <v>46094</v>
      </c>
      <c r="AM40" s="5">
        <v>257.45740000000001</v>
      </c>
      <c r="AN40" s="3">
        <v>45833</v>
      </c>
      <c r="AO40" s="4">
        <v>238.0162</v>
      </c>
      <c r="AP40" s="74">
        <v>45833</v>
      </c>
      <c r="AQ40" s="4">
        <v>292.76</v>
      </c>
      <c r="AR40" s="6">
        <f t="shared" si="1"/>
        <v>45833</v>
      </c>
    </row>
    <row r="41" spans="1:44" x14ac:dyDescent="0.25">
      <c r="A41" s="37">
        <f ca="1">IF(AND(ISBLANK(AK30), A40 = $AK$1),NOW(),IF(ISBLANK(AK30),"",AK30))</f>
        <v>46149.625</v>
      </c>
      <c r="B41" s="38">
        <f ca="1">IF(COUNTIF($AK$2:AK1026,A41)=1,VLOOKUP(A41,AA:AB,2), IF(COUNTIF($AK$2:AK1026,A41)=0,$B$9,""))</f>
        <v>91.39</v>
      </c>
      <c r="C41" s="2">
        <f t="shared" ca="1" si="3"/>
        <v>691816.85883801465</v>
      </c>
      <c r="D41" s="41">
        <f t="shared" ca="1" si="4"/>
        <v>-99375</v>
      </c>
      <c r="E41" s="78">
        <f ca="1">IF(COUNTIF($U$2:U1026,A41)=1,VLOOKUP(A41,U:V,2), "")</f>
        <v>312.06</v>
      </c>
      <c r="F41" s="78"/>
      <c r="G41" s="91">
        <f t="shared" ca="1" si="2"/>
        <v>313.7</v>
      </c>
      <c r="H41" s="93">
        <f ca="1">IF(ISERROR(B41-2),"",(E41-$E$14)*$H$3*$J$3)</f>
        <v>601512.00000000023</v>
      </c>
      <c r="I41" s="38">
        <f ca="1">IF(COUNTIF($AK$2:AK1026,A41)=1,VLOOKUP(A41,AC:AD,2), IF(COUNTIF($AK$2:AK1026,A41)=0,$C$9,""))</f>
        <v>99.650999999999996</v>
      </c>
      <c r="J41" s="2">
        <f t="shared" ca="1" si="5"/>
        <v>31459.99999999873</v>
      </c>
      <c r="K41" s="41">
        <f t="shared" ca="1" si="6"/>
        <v>366.60000000000582</v>
      </c>
      <c r="L41" s="38">
        <f ca="1">IF(COUNTIF($AK$2:AK1026,A41)=1,VLOOKUP(A41,AN:AO,2), IF(COUNTIF($AK$2:AK1026,A41)=0,$D$9,""))</f>
        <v>250.63929999999999</v>
      </c>
      <c r="M41" s="41">
        <f ca="1">IF(ISERROR(L41-2),"",(L41/$L$14-1)*$D$5)</f>
        <v>660406.12219355034</v>
      </c>
      <c r="N41" s="41" t="str">
        <f ca="1">IF($A41="","",IF(COUNTIFS(Dividends!$G:$G,"&gt;"&amp;INT($A40),Dividends!$G:$G,"&lt;="&amp;INT($A41))=0,"",$R$2*SUMIFS(Dividends!$H:$H,Dividends!$G:$G,"&gt;"&amp;INT($A40),Dividends!$G:$G,"&lt;="&amp;INT($A41))))</f>
        <v/>
      </c>
      <c r="O41" s="42">
        <f ca="1">IF(ISERROR(B41-2),"",C41+D41-J41-K41-M41+SUM($N$14:N41))</f>
        <v>-99790.863355534384</v>
      </c>
      <c r="P41" s="80"/>
      <c r="Q41" s="80"/>
      <c r="R41" s="87"/>
      <c r="S41" s="87"/>
      <c r="T41" s="87"/>
      <c r="U41" s="3">
        <v>46162.625</v>
      </c>
      <c r="V41" s="4">
        <v>311.52</v>
      </c>
      <c r="W41" s="3"/>
      <c r="X41" s="4"/>
      <c r="Y41" s="87"/>
      <c r="AA41" s="3">
        <v>46104.625</v>
      </c>
      <c r="AB41" s="4">
        <v>89.33</v>
      </c>
      <c r="AC41" s="3">
        <v>46100.625</v>
      </c>
      <c r="AD41" s="4">
        <v>99.638999999999996</v>
      </c>
      <c r="AE41" s="3">
        <v>46100.625</v>
      </c>
      <c r="AF41" s="4">
        <v>309.03899999999999</v>
      </c>
      <c r="AG41" s="3">
        <v>46161.625</v>
      </c>
      <c r="AH41" s="4">
        <v>311.22000000000003</v>
      </c>
      <c r="AI41" s="3">
        <f>IF(COUNTIF(AC:AC,AA41)*COUNTIF(AE:AE,AA41)*COUNTIF(AG:AG,AA41),AA41,"")</f>
        <v>46104.625</v>
      </c>
      <c r="AJ41" s="3">
        <f t="shared" si="0"/>
        <v>46104.625</v>
      </c>
      <c r="AK41" s="3">
        <v>46171.625</v>
      </c>
      <c r="AL41" s="3">
        <v>46097</v>
      </c>
      <c r="AM41" s="5">
        <v>257.82310000000001</v>
      </c>
      <c r="AN41" s="3">
        <v>45834</v>
      </c>
      <c r="AO41" s="4">
        <v>238.31659999999999</v>
      </c>
      <c r="AP41" s="74">
        <v>45834</v>
      </c>
      <c r="AQ41" s="4">
        <v>290.53100000000001</v>
      </c>
      <c r="AR41" s="6">
        <f t="shared" si="1"/>
        <v>45834</v>
      </c>
    </row>
    <row r="42" spans="1:44" x14ac:dyDescent="0.25">
      <c r="A42" s="37">
        <f ca="1">IF(AND(ISBLANK(AK31), A41 = $AK$1),NOW(),IF(ISBLANK(AK31),"",AK31))</f>
        <v>46150.625</v>
      </c>
      <c r="B42" s="38">
        <f ca="1">IF(COUNTIF($AK$2:AK1027,A42)=1,VLOOKUP(A42,AA:AB,2), IF(COUNTIF($AK$2:AK1027,A42)=0,$B$9,""))</f>
        <v>91.4</v>
      </c>
      <c r="C42" s="2">
        <f t="shared" ca="1" si="3"/>
        <v>695175.19310422044</v>
      </c>
      <c r="D42" s="41">
        <f t="shared" ca="1" si="4"/>
        <v>-101583.33333333331</v>
      </c>
      <c r="E42" s="78">
        <f ca="1">IF(COUNTIF($U$2:U1027,A42)=1,VLOOKUP(A42,U:V,2), "")</f>
        <v>312.38</v>
      </c>
      <c r="F42" s="78"/>
      <c r="G42" s="91">
        <f t="shared" ca="1" si="2"/>
        <v>314.02</v>
      </c>
      <c r="H42" s="93">
        <f ca="1">IF(ISERROR(B42-2),"",(E42-$E$14)*$H$3*$J$3)</f>
        <v>628775.99999999965</v>
      </c>
      <c r="I42" s="38">
        <f ca="1">IF(COUNTIF($AK$2:AK1027,A42)=1,VLOOKUP(A42,AC:AD,2), IF(COUNTIF($AK$2:AK1027,A42)=0,$C$9,""))</f>
        <v>99.58</v>
      </c>
      <c r="J42" s="2">
        <f t="shared" ca="1" si="5"/>
        <v>12999.999999999261</v>
      </c>
      <c r="K42" s="41">
        <f t="shared" ca="1" si="6"/>
        <v>374.74666666667326</v>
      </c>
      <c r="L42" s="38">
        <f ca="1">IF(COUNTIF($AK$2:AK1027,A42)=1,VLOOKUP(A42,AN:AO,2), IF(COUNTIF($AK$2:AK1027,A42)=0,$D$9,""))</f>
        <v>250.6848</v>
      </c>
      <c r="M42" s="41">
        <f ca="1">IF(ISERROR(L42-2),"",(L42/$L$14-1)*$D$5)</f>
        <v>663920.72855640075</v>
      </c>
      <c r="N42" s="41" t="str">
        <f ca="1">IF($A42="","",IF(COUNTIFS(Dividends!$G:$G,"&gt;"&amp;INT($A41),Dividends!$G:$G,"&lt;="&amp;INT($A42))=0,"",$R$2*SUMIFS(Dividends!$H:$H,Dividends!$G:$G,"&gt;"&amp;INT($A41),Dividends!$G:$G,"&lt;="&amp;INT($A42))))</f>
        <v/>
      </c>
      <c r="O42" s="42">
        <f ca="1">IF(ISERROR(B42-2),"",C42+D42-J42-K42-M42+SUM($N$14:N42))</f>
        <v>-83703.615452179685</v>
      </c>
      <c r="P42" s="80"/>
      <c r="Q42" s="80"/>
      <c r="R42" s="87"/>
      <c r="S42" s="87"/>
      <c r="T42" s="87"/>
      <c r="U42" s="3">
        <v>46163.625</v>
      </c>
      <c r="V42" s="4">
        <v>311.18</v>
      </c>
      <c r="W42" s="3"/>
      <c r="X42" s="4"/>
      <c r="Y42" s="87"/>
      <c r="AA42" s="3">
        <v>46105.625</v>
      </c>
      <c r="AB42" s="4">
        <v>89.26</v>
      </c>
      <c r="AC42" s="3">
        <v>46101.625</v>
      </c>
      <c r="AD42" s="4">
        <v>99.41</v>
      </c>
      <c r="AE42" s="3">
        <v>46101.625</v>
      </c>
      <c r="AF42" s="4">
        <v>350.86599999999999</v>
      </c>
      <c r="AG42" s="3">
        <v>46162.625</v>
      </c>
      <c r="AH42" s="4">
        <v>311.52</v>
      </c>
      <c r="AI42" s="3">
        <f>IF(COUNTIF(AC:AC,AA42)*COUNTIF(AE:AE,AA42)*COUNTIF(AG:AG,AA42),AA42,"")</f>
        <v>46105.625</v>
      </c>
      <c r="AJ42" s="3">
        <f t="shared" si="0"/>
        <v>46105.625</v>
      </c>
      <c r="AK42" s="3">
        <v>46174.625</v>
      </c>
      <c r="AL42" s="3">
        <v>46098</v>
      </c>
      <c r="AM42" s="5">
        <v>258.83109999999999</v>
      </c>
      <c r="AN42" s="3">
        <v>45835</v>
      </c>
      <c r="AO42" s="4">
        <v>239.05629999999999</v>
      </c>
      <c r="AP42" s="74">
        <v>45835</v>
      </c>
      <c r="AQ42" s="4">
        <v>284.21499999999997</v>
      </c>
      <c r="AR42" s="6">
        <f t="shared" si="1"/>
        <v>45835</v>
      </c>
    </row>
    <row r="43" spans="1:44" x14ac:dyDescent="0.25">
      <c r="A43" s="37">
        <f ca="1">IF(AND(ISBLANK(AK32), A42 = $AK$1),NOW(),IF(ISBLANK(AK32),"",AK32))</f>
        <v>46154.625</v>
      </c>
      <c r="B43" s="38">
        <f ca="1">IF(COUNTIF($AK$2:AK1028,A43)=1,VLOOKUP(A43,AA:AB,2), IF(COUNTIF($AK$2:AK1028,A43)=0,$B$9,""))</f>
        <v>91.28</v>
      </c>
      <c r="C43" s="2">
        <f t="shared" ca="1" si="3"/>
        <v>654875.18190977094</v>
      </c>
      <c r="D43" s="41">
        <f t="shared" ca="1" si="4"/>
        <v>-110416.66666666666</v>
      </c>
      <c r="E43" s="78">
        <f ca="1">IF(COUNTIF($U$2:U1028,A43)=1,VLOOKUP(A43,U:V,2), "")</f>
        <v>311.7</v>
      </c>
      <c r="F43" s="78"/>
      <c r="G43" s="91">
        <f t="shared" ca="1" si="2"/>
        <v>313.33999999999997</v>
      </c>
      <c r="H43" s="93">
        <f ca="1">IF(ISERROR(B43-2),"",(E43-$E$14)*$H$3*$J$3)</f>
        <v>570839.99999999907</v>
      </c>
      <c r="I43" s="38">
        <f ca="1">IF(COUNTIF($AK$2:AK1028,A43)=1,VLOOKUP(A43,AC:AD,2), IF(COUNTIF($AK$2:AK1028,A43)=0,$C$9,""))</f>
        <v>99.322999999999993</v>
      </c>
      <c r="J43" s="2">
        <f t="shared" ca="1" si="5"/>
        <v>-53820.000000002037</v>
      </c>
      <c r="K43" s="41">
        <f t="shared" ca="1" si="6"/>
        <v>407.33333333332848</v>
      </c>
      <c r="L43" s="38">
        <f ca="1">IF(COUNTIF($AK$2:AK1028,A43)=1,VLOOKUP(A43,AN:AO,2), IF(COUNTIF($AK$2:AK1028,A43)=0,$D$9,""))</f>
        <v>250.0761</v>
      </c>
      <c r="M43" s="41">
        <f ca="1">IF(ISERROR(L43-2),"",(L43/$L$14-1)*$D$5)</f>
        <v>616902.24739011971</v>
      </c>
      <c r="N43" s="41" t="str">
        <f ca="1">IF($A43="","",IF(COUNTIFS(Dividends!$G:$G,"&gt;"&amp;INT($A42),Dividends!$G:$G,"&lt;="&amp;INT($A43))=0,"",$R$2*SUMIFS(Dividends!$H:$H,Dividends!$G:$G,"&gt;"&amp;INT($A42),Dividends!$G:$G,"&lt;="&amp;INT($A43))))</f>
        <v/>
      </c>
      <c r="O43" s="42">
        <f ca="1">IF(ISERROR(B43-2),"",C43+D43-J43-K43-M43+SUM($N$14:N43))</f>
        <v>-19031.065480346791</v>
      </c>
      <c r="P43" s="80"/>
      <c r="Q43" s="80"/>
      <c r="R43" s="87"/>
      <c r="S43" s="87"/>
      <c r="T43" s="87"/>
      <c r="U43" s="3">
        <v>46167.625</v>
      </c>
      <c r="V43" s="4">
        <v>313.02</v>
      </c>
      <c r="W43" s="3"/>
      <c r="X43" s="4"/>
      <c r="Y43" s="87"/>
      <c r="AA43" s="3">
        <v>46106.625</v>
      </c>
      <c r="AB43" s="4">
        <v>89.54</v>
      </c>
      <c r="AC43" s="3">
        <v>46104.625</v>
      </c>
      <c r="AD43" s="4">
        <v>99.53</v>
      </c>
      <c r="AE43" s="3">
        <v>46104.625</v>
      </c>
      <c r="AF43" s="4">
        <v>341.82299999999998</v>
      </c>
      <c r="AG43" s="3">
        <v>46163.625</v>
      </c>
      <c r="AH43" s="4">
        <v>311.18</v>
      </c>
      <c r="AI43" s="3">
        <f>IF(COUNTIF(AC:AC,AA43)*COUNTIF(AE:AE,AA43)*COUNTIF(AG:AG,AA43),AA43,"")</f>
        <v>46106.625</v>
      </c>
      <c r="AJ43" s="3">
        <f t="shared" si="0"/>
        <v>46106.625</v>
      </c>
      <c r="AK43" s="3">
        <v>46176.625</v>
      </c>
      <c r="AL43" s="3">
        <v>46099</v>
      </c>
      <c r="AM43" s="5">
        <v>258.3931</v>
      </c>
      <c r="AN43" s="3">
        <v>45838</v>
      </c>
      <c r="AO43" s="4">
        <v>239.3235</v>
      </c>
      <c r="AP43" s="74">
        <v>45838</v>
      </c>
      <c r="AQ43" s="4">
        <v>282.54000000000002</v>
      </c>
      <c r="AR43" s="6">
        <f t="shared" si="1"/>
        <v>45838</v>
      </c>
    </row>
    <row r="44" spans="1:44" x14ac:dyDescent="0.25">
      <c r="A44" s="37">
        <f ca="1">IF(AND(ISBLANK(AK33), A43 = $AK$1),NOW(),IF(ISBLANK(AK33),"",AK33))</f>
        <v>46155.625</v>
      </c>
      <c r="B44" s="38">
        <f ca="1">IF(COUNTIF($AK$2:AK1029,A44)=1,VLOOKUP(A44,AA:AB,2), IF(COUNTIF($AK$2:AK1029,A44)=0,$B$9,""))</f>
        <v>91.31</v>
      </c>
      <c r="C44" s="2">
        <f t="shared" ca="1" si="3"/>
        <v>664950.18470838829</v>
      </c>
      <c r="D44" s="41">
        <f t="shared" ca="1" si="4"/>
        <v>-112625</v>
      </c>
      <c r="E44" s="78">
        <f ca="1">IF(COUNTIF($U$2:U1029,A44)=1,VLOOKUP(A44,U:V,2), "")</f>
        <v>311.88</v>
      </c>
      <c r="F44" s="78"/>
      <c r="G44" s="91">
        <f t="shared" ca="1" si="2"/>
        <v>313.52</v>
      </c>
      <c r="H44" s="93">
        <f ca="1">IF(ISERROR(B44-2),"",(E44-$E$14)*$H$3*$J$3)</f>
        <v>586175.99999999965</v>
      </c>
      <c r="I44" s="38">
        <f ca="1">IF(COUNTIF($AK$2:AK1029,A44)=1,VLOOKUP(A44,AC:AD,2), IF(COUNTIF($AK$2:AK1029,A44)=0,$C$9,""))</f>
        <v>99.292000000000002</v>
      </c>
      <c r="J44" s="2">
        <f t="shared" ca="1" si="5"/>
        <v>-61879.999999999884</v>
      </c>
      <c r="K44" s="41">
        <f t="shared" ca="1" si="6"/>
        <v>415.47999999999593</v>
      </c>
      <c r="L44" s="38">
        <f ca="1">IF(COUNTIF($AK$2:AK1029,A44)=1,VLOOKUP(A44,AN:AO,2), IF(COUNTIF($AK$2:AK1029,A44)=0,$D$9,""))</f>
        <v>250.61799999999999</v>
      </c>
      <c r="M44" s="41">
        <f ca="1">IF(ISERROR(L44-2),"",(L44/$L$14-1)*$D$5)</f>
        <v>658760.82295116363</v>
      </c>
      <c r="N44" s="41" t="str">
        <f ca="1">IF($A44="","",IF(COUNTIFS(Dividends!$G:$G,"&gt;"&amp;INT($A43),Dividends!$G:$G,"&lt;="&amp;INT($A44))=0,"",$R$2*SUMIFS(Dividends!$H:$H,Dividends!$G:$G,"&gt;"&amp;INT($A43),Dividends!$G:$G,"&lt;="&amp;INT($A44))))</f>
        <v/>
      </c>
      <c r="O44" s="42">
        <f ca="1">IF(ISERROR(B44-2),"",C44+D44-J44-K44-M44+SUM($N$14:N44))</f>
        <v>-44971.118242775439</v>
      </c>
      <c r="P44" s="80"/>
      <c r="Q44" s="80"/>
      <c r="R44" s="87"/>
      <c r="S44" s="87"/>
      <c r="T44" s="87"/>
      <c r="U44" s="3">
        <v>46168.625</v>
      </c>
      <c r="V44" s="4">
        <v>312.5</v>
      </c>
      <c r="W44" s="3"/>
      <c r="X44" s="4"/>
      <c r="Y44" s="87"/>
      <c r="AA44" s="3">
        <v>46107.625</v>
      </c>
      <c r="AB44" s="4">
        <v>89.29</v>
      </c>
      <c r="AC44" s="3">
        <v>46105.625</v>
      </c>
      <c r="AD44" s="4">
        <v>99.400999999999996</v>
      </c>
      <c r="AE44" s="3">
        <v>46105.625</v>
      </c>
      <c r="AF44" s="4">
        <v>342.43400000000003</v>
      </c>
      <c r="AG44" s="3">
        <v>46167.625</v>
      </c>
      <c r="AH44" s="4">
        <v>313.02</v>
      </c>
      <c r="AI44" s="3">
        <f>IF(COUNTIF(AC:AC,AA44)*COUNTIF(AE:AE,AA44)*COUNTIF(AG:AG,AA44),AA44,"")</f>
        <v>46107.625</v>
      </c>
      <c r="AJ44" s="3">
        <f t="shared" si="0"/>
        <v>46107.625</v>
      </c>
      <c r="AK44" s="3">
        <v>46177.625</v>
      </c>
      <c r="AL44" s="3">
        <v>46100</v>
      </c>
      <c r="AM44" s="5">
        <v>257.0634</v>
      </c>
      <c r="AN44" s="3">
        <v>45839</v>
      </c>
      <c r="AO44" s="4">
        <v>239.28819999999999</v>
      </c>
      <c r="AP44" s="74">
        <v>45839</v>
      </c>
      <c r="AQ44" s="4">
        <v>282.95999999999998</v>
      </c>
      <c r="AR44" s="6">
        <f t="shared" si="1"/>
        <v>45839</v>
      </c>
    </row>
    <row r="45" spans="1:44" x14ac:dyDescent="0.25">
      <c r="A45" s="37">
        <f ca="1">IF(AND(ISBLANK(AK34), A44 = $AK$1),NOW(),IF(ISBLANK(AK34),"",AK34))</f>
        <v>46157.625</v>
      </c>
      <c r="B45" s="38">
        <f ca="1">IF(COUNTIF($AK$2:AK1030,A45)=1,VLOOKUP(A45,AA:AB,2), IF(COUNTIF($AK$2:AK1030,A45)=0,$B$9,""))</f>
        <v>91.28</v>
      </c>
      <c r="C45" s="2">
        <f t="shared" ca="1" si="3"/>
        <v>654875.18190977094</v>
      </c>
      <c r="D45" s="41">
        <f t="shared" ca="1" si="4"/>
        <v>-117041.66666666666</v>
      </c>
      <c r="E45" s="78">
        <f ca="1">IF(COUNTIF($U$2:U1030,A45)=1,VLOOKUP(A45,U:V,2), "")</f>
        <v>311.48</v>
      </c>
      <c r="F45" s="78"/>
      <c r="G45" s="91">
        <f t="shared" ca="1" si="2"/>
        <v>313.12</v>
      </c>
      <c r="H45" s="93">
        <f ca="1">IF(ISERROR(B45-2),"",(E45-$E$14)*$H$3*$J$3)</f>
        <v>552096.00000000151</v>
      </c>
      <c r="I45" s="38">
        <f ca="1">IF(COUNTIF($AK$2:AK1030,A45)=1,VLOOKUP(A45,AC:AD,2), IF(COUNTIF($AK$2:AK1030,A45)=0,$C$9,""))</f>
        <v>99.259</v>
      </c>
      <c r="J45" s="2">
        <f t="shared" ca="1" si="5"/>
        <v>-70460.000000000204</v>
      </c>
      <c r="K45" s="41">
        <f t="shared" ca="1" si="6"/>
        <v>431.77333333333081</v>
      </c>
      <c r="L45" s="38">
        <f ca="1">IF(COUNTIF($AK$2:AK1030,A45)=1,VLOOKUP(A45,AN:AO,2), IF(COUNTIF($AK$2:AK1030,A45)=0,$D$9,""))</f>
        <v>250.38300000000001</v>
      </c>
      <c r="M45" s="41">
        <f ca="1">IF(ISERROR(L45-2),"",(L45/$L$14-1)*$D$5)</f>
        <v>640608.46041777276</v>
      </c>
      <c r="N45" s="41" t="str">
        <f ca="1">IF($A45="","",IF(COUNTIFS(Dividends!$G:$G,"&gt;"&amp;INT($A44),Dividends!$G:$G,"&lt;="&amp;INT($A45))=0,"",$R$2*SUMIFS(Dividends!$H:$H,Dividends!$G:$G,"&gt;"&amp;INT($A44),Dividends!$G:$G,"&lt;="&amp;INT($A45))))</f>
        <v/>
      </c>
      <c r="O45" s="42">
        <f ca="1">IF(ISERROR(B45-2),"",C45+D45-J45-K45-M45+SUM($N$14:N45))</f>
        <v>-32746.718508001533</v>
      </c>
      <c r="P45" s="80"/>
      <c r="Q45" s="80"/>
      <c r="R45" s="87"/>
      <c r="S45" s="87"/>
      <c r="T45" s="87"/>
      <c r="U45" s="3">
        <v>46169.625</v>
      </c>
      <c r="V45" s="4">
        <v>312.83999999999997</v>
      </c>
      <c r="W45" s="3"/>
      <c r="X45" s="4"/>
      <c r="Y45" s="87"/>
      <c r="AA45" s="3">
        <v>46108.625</v>
      </c>
      <c r="AB45" s="4">
        <v>88.99</v>
      </c>
      <c r="AC45" s="3">
        <v>46106.625</v>
      </c>
      <c r="AD45" s="4">
        <v>99.501000000000005</v>
      </c>
      <c r="AE45" s="3">
        <v>46106.625</v>
      </c>
      <c r="AF45" s="4">
        <v>334.50400000000002</v>
      </c>
      <c r="AG45" s="3">
        <v>46168.625</v>
      </c>
      <c r="AH45" s="4">
        <v>312.5</v>
      </c>
      <c r="AI45" s="3">
        <f>IF(COUNTIF(AC:AC,AA45)*COUNTIF(AE:AE,AA45)*COUNTIF(AG:AG,AA45),AA45,"")</f>
        <v>46108.625</v>
      </c>
      <c r="AJ45" s="3">
        <f t="shared" si="0"/>
        <v>46108.625</v>
      </c>
      <c r="AK45" s="3">
        <v>46182.625</v>
      </c>
      <c r="AL45" s="3">
        <v>46101</v>
      </c>
      <c r="AM45" s="5">
        <v>255.87119999999999</v>
      </c>
      <c r="AN45" s="3">
        <v>45840</v>
      </c>
      <c r="AO45" s="4">
        <v>239.2792</v>
      </c>
      <c r="AP45" s="74">
        <v>45840</v>
      </c>
      <c r="AQ45" s="4">
        <v>283.459</v>
      </c>
      <c r="AR45" s="6">
        <f t="shared" si="1"/>
        <v>45840</v>
      </c>
    </row>
    <row r="46" spans="1:44" x14ac:dyDescent="0.25">
      <c r="A46" s="37">
        <f ca="1">IF(AND(ISBLANK(AK35), A45 = $AK$1),NOW(),IF(ISBLANK(AK35),"",AK35))</f>
        <v>46161.625</v>
      </c>
      <c r="B46" s="38">
        <f ca="1">IF(COUNTIF($AK$2:AK1031,A46)=1,VLOOKUP(A46,AA:AB,2), IF(COUNTIF($AK$2:AK1031,A46)=0,$B$9,""))</f>
        <v>90.83</v>
      </c>
      <c r="C46" s="2">
        <f t="shared" ca="1" si="3"/>
        <v>503750.13993059658</v>
      </c>
      <c r="D46" s="41">
        <f t="shared" ca="1" si="4"/>
        <v>-125874.99999999999</v>
      </c>
      <c r="E46" s="78">
        <f ca="1">IF(COUNTIF($U$2:U1031,A46)=1,VLOOKUP(A46,U:V,2), "")</f>
        <v>311.22000000000003</v>
      </c>
      <c r="F46" s="78"/>
      <c r="G46" s="91">
        <f t="shared" ca="1" si="2"/>
        <v>312.86</v>
      </c>
      <c r="H46" s="93">
        <f ca="1">IF(ISERROR(B46-2),"",(E46-$E$14)*$H$3*$J$3)</f>
        <v>529944.00000000233</v>
      </c>
      <c r="I46" s="38">
        <f ca="1">IF(COUNTIF($AK$2:AK1031,A46)=1,VLOOKUP(A46,AC:AD,2), IF(COUNTIF($AK$2:AK1031,A46)=0,$C$9,""))</f>
        <v>99.180999999999997</v>
      </c>
      <c r="J46" s="2">
        <f t="shared" ca="1" si="5"/>
        <v>-90740.000000000975</v>
      </c>
      <c r="K46" s="41">
        <f t="shared" ca="1" si="6"/>
        <v>464.36000000000058</v>
      </c>
      <c r="L46" s="38">
        <f ca="1">IF(COUNTIF($AK$2:AK1031,A46)=1,VLOOKUP(A46,AN:AO,2), IF(COUNTIF($AK$2:AK1031,A46)=0,$D$9,""))</f>
        <v>249.98050000000001</v>
      </c>
      <c r="M46" s="41">
        <f ca="1">IF(ISERROR(L46-2),"",(L46/$L$14-1)*$D$5)</f>
        <v>609517.71182334458</v>
      </c>
      <c r="N46" s="41" t="str">
        <f ca="1">IF($A46="","",IF(COUNTIFS(Dividends!$G:$G,"&gt;"&amp;INT($A45),Dividends!$G:$G,"&lt;="&amp;INT($A46))=0,"",$R$2*SUMIFS(Dividends!$H:$H,Dividends!$G:$G,"&gt;"&amp;INT($A45),Dividends!$G:$G,"&lt;="&amp;INT($A46))))</f>
        <v/>
      </c>
      <c r="O46" s="42">
        <f ca="1">IF(ISERROR(B46-2),"",C46+D46-J46-K46-M46+SUM($N$14:N46))</f>
        <v>-141366.931892747</v>
      </c>
      <c r="P46" s="80"/>
      <c r="Q46" s="80"/>
      <c r="R46" s="87"/>
      <c r="S46" s="87"/>
      <c r="T46" s="87"/>
      <c r="U46" s="3">
        <v>46170.625</v>
      </c>
      <c r="V46" s="4">
        <v>312.7</v>
      </c>
      <c r="W46" s="3"/>
      <c r="X46" s="4"/>
      <c r="Y46" s="87"/>
      <c r="AA46" s="3">
        <v>46111.625</v>
      </c>
      <c r="AB46" s="4">
        <v>88.85</v>
      </c>
      <c r="AC46" s="3">
        <v>46107.625</v>
      </c>
      <c r="AD46" s="4">
        <v>99.313000000000002</v>
      </c>
      <c r="AE46" s="3">
        <v>46107.625</v>
      </c>
      <c r="AF46" s="4">
        <v>344.47199999999998</v>
      </c>
      <c r="AG46" s="3">
        <v>46169.625</v>
      </c>
      <c r="AH46" s="4">
        <v>312.83999999999997</v>
      </c>
      <c r="AI46" s="3">
        <f>IF(COUNTIF(AC:AC,AA46)*COUNTIF(AE:AE,AA46)*COUNTIF(AG:AG,AA46),AA46,"")</f>
        <v>46111.625</v>
      </c>
      <c r="AJ46" s="3">
        <f t="shared" si="0"/>
        <v>46111.625</v>
      </c>
      <c r="AK46" s="3">
        <v>46188.625</v>
      </c>
      <c r="AL46" s="3">
        <v>46104</v>
      </c>
      <c r="AM46" s="5">
        <v>256.74209999999999</v>
      </c>
      <c r="AN46" s="3">
        <v>45841</v>
      </c>
      <c r="AO46" s="4">
        <v>239.88030000000001</v>
      </c>
      <c r="AP46" s="74">
        <v>45841</v>
      </c>
      <c r="AQ46" s="4">
        <v>278.322</v>
      </c>
      <c r="AR46" s="6">
        <f t="shared" si="1"/>
        <v>45841</v>
      </c>
    </row>
    <row r="47" spans="1:44" x14ac:dyDescent="0.25">
      <c r="A47" s="37">
        <f ca="1">IF(AND(ISBLANK(AK36), A46 = $AK$1),NOW(),IF(ISBLANK(AK36),"",AK36))</f>
        <v>46162.625</v>
      </c>
      <c r="B47" s="38">
        <f ca="1">IF(COUNTIF($AK$2:AK1032,A47)=1,VLOOKUP(A47,AA:AB,2), IF(COUNTIF($AK$2:AK1032,A47)=0,$B$9,""))</f>
        <v>91.06</v>
      </c>
      <c r="C47" s="2">
        <f t="shared" ca="1" si="3"/>
        <v>580991.82805329002</v>
      </c>
      <c r="D47" s="41">
        <f t="shared" ca="1" si="4"/>
        <v>-128083.33333333334</v>
      </c>
      <c r="E47" s="78">
        <f ca="1">IF(COUNTIF($U$2:U1032,A47)=1,VLOOKUP(A47,U:V,2), "")</f>
        <v>311.52</v>
      </c>
      <c r="F47" s="78"/>
      <c r="G47" s="91">
        <f t="shared" ca="1" si="2"/>
        <v>313.15999999999997</v>
      </c>
      <c r="H47" s="93">
        <f ca="1">IF(ISERROR(B47-2),"",(E47-$E$14)*$H$3*$J$3)</f>
        <v>555503.99999999849</v>
      </c>
      <c r="I47" s="38">
        <f ca="1">IF(COUNTIF($AK$2:AK1032,A47)=1,VLOOKUP(A47,AC:AD,2), IF(COUNTIF($AK$2:AK1032,A47)=0,$C$9,""))</f>
        <v>99.39</v>
      </c>
      <c r="J47" s="2">
        <f t="shared" ca="1" si="5"/>
        <v>-36400.000000000146</v>
      </c>
      <c r="K47" s="41">
        <f t="shared" ca="1" si="6"/>
        <v>472.50666666666802</v>
      </c>
      <c r="L47" s="38">
        <f ca="1">IF(COUNTIF($AK$2:AK1032,A47)=1,VLOOKUP(A47,AN:AO,2), IF(COUNTIF($AK$2:AK1032,A47)=0,$D$9,""))</f>
        <v>251.0129</v>
      </c>
      <c r="M47" s="41">
        <f ca="1">IF(ISERROR(L47-2),"",(L47/$L$14-1)*$D$5)</f>
        <v>689264.51641685108</v>
      </c>
      <c r="N47" s="41" t="str">
        <f ca="1">IF($A47="","",IF(COUNTIFS(Dividends!$G:$G,"&gt;"&amp;INT($A46),Dividends!$G:$G,"&lt;="&amp;INT($A47))=0,"",$R$2*SUMIFS(Dividends!$H:$H,Dividends!$G:$G,"&gt;"&amp;INT($A46),Dividends!$G:$G,"&lt;="&amp;INT($A47))))</f>
        <v/>
      </c>
      <c r="O47" s="42">
        <f ca="1">IF(ISERROR(B47-2),"",C47+D47-J47-K47-M47+SUM($N$14:N47))</f>
        <v>-200428.52836356097</v>
      </c>
      <c r="P47" s="80"/>
      <c r="Q47" s="80"/>
      <c r="R47" s="87"/>
      <c r="S47" s="87"/>
      <c r="T47" s="87"/>
      <c r="U47" s="3">
        <v>46171.625</v>
      </c>
      <c r="V47" s="4">
        <v>313.77999999999997</v>
      </c>
      <c r="W47" s="3"/>
      <c r="X47" s="4"/>
      <c r="Y47" s="87"/>
      <c r="AA47" s="3">
        <v>46112.625</v>
      </c>
      <c r="AB47" s="4">
        <v>89.12</v>
      </c>
      <c r="AC47" s="3">
        <v>46108.625</v>
      </c>
      <c r="AD47" s="4">
        <v>99.304000000000002</v>
      </c>
      <c r="AE47" s="3">
        <v>46108.625</v>
      </c>
      <c r="AF47" s="4">
        <v>361.33</v>
      </c>
      <c r="AG47" s="3">
        <v>46170.625</v>
      </c>
      <c r="AH47" s="4">
        <v>312.7</v>
      </c>
      <c r="AI47" s="3">
        <f>IF(COUNTIF(AC:AC,AA47)*COUNTIF(AE:AE,AA47)*COUNTIF(AG:AG,AA47),AA47,"")</f>
        <v>46112.625</v>
      </c>
      <c r="AJ47" s="3">
        <f t="shared" si="0"/>
        <v>46112.625</v>
      </c>
      <c r="AK47" s="3">
        <v>46189.625</v>
      </c>
      <c r="AL47" s="3">
        <v>46105</v>
      </c>
      <c r="AM47" s="5">
        <v>256.9957</v>
      </c>
      <c r="AN47" s="3">
        <v>45842</v>
      </c>
      <c r="AO47" s="4">
        <v>239.0291</v>
      </c>
      <c r="AP47" s="74">
        <v>45842</v>
      </c>
      <c r="AQ47" s="4">
        <v>286.32499999999999</v>
      </c>
      <c r="AR47" s="6">
        <f t="shared" si="1"/>
        <v>45842</v>
      </c>
    </row>
    <row r="48" spans="1:44" x14ac:dyDescent="0.25">
      <c r="A48" s="37">
        <f ca="1">IF(AND(ISBLANK(AK37), A47 = $AK$1),NOW(),IF(ISBLANK(AK37),"",AK37))</f>
        <v>46163.625</v>
      </c>
      <c r="B48" s="38">
        <f ca="1">IF(COUNTIF($AK$2:AK1033,A48)=1,VLOOKUP(A48,AA:AB,2), IF(COUNTIF($AK$2:AK1033,A48)=0,$B$9,""))</f>
        <v>91.15</v>
      </c>
      <c r="C48" s="2">
        <f t="shared" ca="1" si="3"/>
        <v>611216.83644912217</v>
      </c>
      <c r="D48" s="41">
        <f t="shared" ca="1" si="4"/>
        <v>-130291.66666666667</v>
      </c>
      <c r="E48" s="78">
        <f ca="1">IF(COUNTIF($U$2:U1033,A48)=1,VLOOKUP(A48,U:V,2), "")</f>
        <v>311.18</v>
      </c>
      <c r="F48" s="78"/>
      <c r="G48" s="91">
        <f t="shared" ca="1" si="2"/>
        <v>312.82</v>
      </c>
      <c r="H48" s="93">
        <f ca="1">IF(ISERROR(B48-2),"",(E48-$E$14)*$H$3*$J$3)</f>
        <v>526536.00000000058</v>
      </c>
      <c r="I48" s="38">
        <f ca="1">IF(COUNTIF($AK$2:AK1033,A48)=1,VLOOKUP(A48,AC:AD,2), IF(COUNTIF($AK$2:AK1033,A48)=0,$C$9,""))</f>
        <v>99.37</v>
      </c>
      <c r="J48" s="2">
        <f t="shared" ca="1" si="5"/>
        <v>-41599.999999999112</v>
      </c>
      <c r="K48" s="41">
        <f t="shared" ca="1" si="6"/>
        <v>480.65333333332092</v>
      </c>
      <c r="L48" s="38">
        <f ca="1">IF(COUNTIF($AK$2:AK1033,A48)=1,VLOOKUP(A48,AN:AO,2), IF(COUNTIF($AK$2:AK1033,A48)=0,$D$9,""))</f>
        <v>250.6669</v>
      </c>
      <c r="M48" s="41">
        <f ca="1">IF(ISERROR(L48-2),"",(L48/$L$14-1)*$D$5)</f>
        <v>662538.05924002512</v>
      </c>
      <c r="N48" s="41" t="str">
        <f ca="1">IF($A48="","",IF(COUNTIFS(Dividends!$G:$G,"&gt;"&amp;INT($A47),Dividends!$G:$G,"&lt;="&amp;INT($A48))=0,"",$R$2*SUMIFS(Dividends!$H:$H,Dividends!$G:$G,"&gt;"&amp;INT($A47),Dividends!$G:$G,"&lt;="&amp;INT($A48))))</f>
        <v/>
      </c>
      <c r="O48" s="42">
        <f ca="1">IF(ISERROR(B48-2),"",C48+D48-J48-K48-M48+SUM($N$14:N48))</f>
        <v>-140493.54279090383</v>
      </c>
      <c r="P48" s="80"/>
      <c r="Q48" s="80"/>
      <c r="R48" s="87"/>
      <c r="S48" s="87"/>
      <c r="T48" s="87"/>
      <c r="U48" s="3">
        <v>46174.625</v>
      </c>
      <c r="V48" s="4">
        <v>312.83999999999997</v>
      </c>
      <c r="W48" s="3"/>
      <c r="X48" s="4"/>
      <c r="Y48" s="87"/>
      <c r="AA48" s="3">
        <v>46113.625</v>
      </c>
      <c r="AB48" s="4">
        <v>89.8</v>
      </c>
      <c r="AC48" s="3">
        <v>46111.625</v>
      </c>
      <c r="AD48" s="4">
        <v>99.466999999999999</v>
      </c>
      <c r="AE48" s="3">
        <v>46111.625</v>
      </c>
      <c r="AF48" s="4">
        <v>364.03399999999999</v>
      </c>
      <c r="AG48" s="3">
        <v>46171.625</v>
      </c>
      <c r="AH48" s="4">
        <v>313.77999999999997</v>
      </c>
      <c r="AI48" s="3">
        <f>IF(COUNTIF(AC:AC,AA48)*COUNTIF(AE:AE,AA48)*COUNTIF(AG:AG,AA48),AA48,"")</f>
        <v>46113.625</v>
      </c>
      <c r="AJ48" s="3">
        <f t="shared" si="0"/>
        <v>46113.625</v>
      </c>
      <c r="AK48" s="3">
        <v>46190.625</v>
      </c>
      <c r="AL48" s="3">
        <v>46106</v>
      </c>
      <c r="AM48" s="5">
        <v>258.20859999999999</v>
      </c>
      <c r="AN48" s="3">
        <v>45845</v>
      </c>
      <c r="AO48" s="4">
        <v>239.6181</v>
      </c>
      <c r="AP48" s="74">
        <v>45845</v>
      </c>
      <c r="AQ48" s="4">
        <v>282.00400000000002</v>
      </c>
      <c r="AR48" s="6">
        <f t="shared" si="1"/>
        <v>45845</v>
      </c>
    </row>
    <row r="49" spans="1:49" x14ac:dyDescent="0.25">
      <c r="A49" s="37">
        <f ca="1">IF(AND(ISBLANK(AK38), A48 = $AK$1),NOW(),IF(ISBLANK(AK38),"",AK38))</f>
        <v>46168.625</v>
      </c>
      <c r="B49" s="38">
        <f ca="1">IF(COUNTIF($AK$2:AK1034,A49)=1,VLOOKUP(A49,AA:AB,2), IF(COUNTIF($AK$2:AK1034,A49)=0,$B$9,""))</f>
        <v>91.51</v>
      </c>
      <c r="C49" s="2">
        <f t="shared" ca="1" si="3"/>
        <v>732116.87003246427</v>
      </c>
      <c r="D49" s="41">
        <f t="shared" ca="1" si="4"/>
        <v>-141333.33333333334</v>
      </c>
      <c r="E49" s="78">
        <f ca="1">IF(COUNTIF($U$2:U1034,A49)=1,VLOOKUP(A49,U:V,2), "")</f>
        <v>312.5</v>
      </c>
      <c r="F49" s="78"/>
      <c r="G49" s="91">
        <f t="shared" ca="1" si="2"/>
        <v>314.14</v>
      </c>
      <c r="H49" s="93">
        <f ca="1">IF(ISERROR(B49-2),"",(E49-$E$14)*$H$3*$J$3)</f>
        <v>639000</v>
      </c>
      <c r="I49" s="38">
        <f ca="1">IF(COUNTIF($AK$2:AK1034,A49)=1,VLOOKUP(A49,AC:AD,2), IF(COUNTIF($AK$2:AK1034,A49)=0,$C$9,""))</f>
        <v>99.56</v>
      </c>
      <c r="J49" s="2">
        <f t="shared" ca="1" si="5"/>
        <v>7800.0000000002956</v>
      </c>
      <c r="K49" s="41">
        <f t="shared" ca="1" si="6"/>
        <v>521.38666666665813</v>
      </c>
      <c r="L49" s="38">
        <f ca="1">IF(COUNTIF($AK$2:AK1034,A49)=1,VLOOKUP(A49,AN:AO,2), IF(COUNTIF($AK$2:AK1034,A49)=0,$D$9,""))</f>
        <v>252.1686</v>
      </c>
      <c r="M49" s="41">
        <f ca="1">IF(ISERROR(L49-2),"",(L49/$L$14-1)*$D$5)</f>
        <v>778535.51803319273</v>
      </c>
      <c r="N49" s="41" t="str">
        <f ca="1">IF($A49="","",IF(COUNTIFS(Dividends!$G:$G,"&gt;"&amp;INT($A48),Dividends!$G:$G,"&lt;="&amp;INT($A49))=0,"",$R$2*SUMIFS(Dividends!$H:$H,Dividends!$G:$G,"&gt;"&amp;INT($A48),Dividends!$G:$G,"&lt;="&amp;INT($A49))))</f>
        <v/>
      </c>
      <c r="O49" s="42">
        <f ca="1">IF(ISERROR(B49-2),"",C49+D49-J49-K49-M49+SUM($N$14:N49))</f>
        <v>-196073.36800072878</v>
      </c>
      <c r="P49" s="80"/>
      <c r="Q49" s="80"/>
      <c r="R49" s="87"/>
      <c r="S49" s="87"/>
      <c r="T49" s="87"/>
      <c r="U49" s="3">
        <v>46176.625</v>
      </c>
      <c r="V49" s="4">
        <v>313.08</v>
      </c>
      <c r="W49" s="3"/>
      <c r="X49" s="4"/>
      <c r="Y49" s="87"/>
      <c r="AA49" s="3">
        <v>46114.625</v>
      </c>
      <c r="AB49" s="4">
        <v>89.7</v>
      </c>
      <c r="AC49" s="3">
        <v>46112.625</v>
      </c>
      <c r="AD49" s="4">
        <v>99.444000000000003</v>
      </c>
      <c r="AE49" s="3">
        <v>46112.625</v>
      </c>
      <c r="AF49" s="4">
        <v>355.63</v>
      </c>
      <c r="AG49" s="3">
        <v>46174.625</v>
      </c>
      <c r="AH49" s="4">
        <v>312.83999999999997</v>
      </c>
      <c r="AI49" s="3">
        <f>IF(COUNTIF(AC:AC,AA49)*COUNTIF(AE:AE,AA49)*COUNTIF(AG:AG,AA49),AA49,"")</f>
        <v>46114.625</v>
      </c>
      <c r="AJ49" s="3">
        <f t="shared" si="0"/>
        <v>46114.625</v>
      </c>
      <c r="AK49" s="3">
        <v>46191.625</v>
      </c>
      <c r="AL49" s="3">
        <v>46107</v>
      </c>
      <c r="AM49" s="5">
        <v>255.99350000000001</v>
      </c>
      <c r="AN49" s="3">
        <v>45846</v>
      </c>
      <c r="AO49" s="4">
        <v>239.49889999999999</v>
      </c>
      <c r="AP49" s="74">
        <v>45846</v>
      </c>
      <c r="AQ49" s="4">
        <v>282.16399999999999</v>
      </c>
      <c r="AR49" s="6">
        <f t="shared" si="1"/>
        <v>45846</v>
      </c>
    </row>
    <row r="50" spans="1:49" x14ac:dyDescent="0.25">
      <c r="A50" s="37">
        <f ca="1">IF(AND(ISBLANK(AK39), A49 = $AK$1),NOW(),IF(ISBLANK(AK39),"",AK39))</f>
        <v>46169.625</v>
      </c>
      <c r="B50" s="38">
        <f ca="1">IF(COUNTIF($AK$2:AK1035,A50)=1,VLOOKUP(A50,AA:AB,2), IF(COUNTIF($AK$2:AK1035,A50)=0,$B$9,""))</f>
        <v>91.58</v>
      </c>
      <c r="C50" s="2">
        <f t="shared" ca="1" si="3"/>
        <v>755625.2098958916</v>
      </c>
      <c r="D50" s="41">
        <f t="shared" ca="1" si="4"/>
        <v>-143541.66666666666</v>
      </c>
      <c r="E50" s="78">
        <f ca="1">IF(COUNTIF($U$2:U1035,A50)=1,VLOOKUP(A50,U:V,2), "")</f>
        <v>312.83999999999997</v>
      </c>
      <c r="F50" s="78"/>
      <c r="G50" s="91">
        <f t="shared" ca="1" si="2"/>
        <v>314.47999999999996</v>
      </c>
      <c r="H50" s="93">
        <f ca="1">IF(ISERROR(B50-2),"",(E50-$E$14)*$H$3*$J$3)</f>
        <v>667967.9999999979</v>
      </c>
      <c r="I50" s="38">
        <f ca="1">IF(COUNTIF($AK$2:AK1035,A50)=1,VLOOKUP(A50,AC:AD,2), IF(COUNTIF($AK$2:AK1035,A50)=0,$C$9,""))</f>
        <v>99.588999999999999</v>
      </c>
      <c r="J50" s="2">
        <f t="shared" ca="1" si="5"/>
        <v>15339.999999999349</v>
      </c>
      <c r="K50" s="41">
        <f t="shared" ca="1" si="6"/>
        <v>529.53333333334012</v>
      </c>
      <c r="L50" s="38">
        <f ca="1">IF(COUNTIF($AK$2:AK1035,A50)=1,VLOOKUP(A50,AN:AO,2), IF(COUNTIF($AK$2:AK1035,A50)=0,$D$9,""))</f>
        <v>252.41059999999999</v>
      </c>
      <c r="M50" s="41">
        <f ca="1">IF(ISERROR(L50-2),"",(L50/$L$14-1)*$D$5)</f>
        <v>797228.58923778858</v>
      </c>
      <c r="N50" s="41" t="str">
        <f ca="1">IF($A50="","",IF(COUNTIFS(Dividends!$G:$G,"&gt;"&amp;INT($A49),Dividends!$G:$G,"&lt;="&amp;INT($A50))=0,"",$R$2*SUMIFS(Dividends!$H:$H,Dividends!$G:$G,"&gt;"&amp;INT($A49),Dividends!$G:$G,"&lt;="&amp;INT($A50))))</f>
        <v/>
      </c>
      <c r="O50" s="42">
        <f ca="1">IF(ISERROR(B50-2),"",C50+D50-J50-K50-M50+SUM($N$14:N50))</f>
        <v>-201014.57934189623</v>
      </c>
      <c r="P50" s="80"/>
      <c r="Q50" s="80"/>
      <c r="R50" s="87"/>
      <c r="S50" s="87"/>
      <c r="T50" s="87"/>
      <c r="U50" s="3">
        <v>46177.625</v>
      </c>
      <c r="V50" s="4">
        <v>313.04000000000002</v>
      </c>
      <c r="W50" s="3"/>
      <c r="X50" s="4"/>
      <c r="Y50" s="87"/>
      <c r="AA50" s="3">
        <v>46119.625</v>
      </c>
      <c r="AB50" s="4">
        <v>89.6</v>
      </c>
      <c r="AC50" s="3">
        <v>46113.625</v>
      </c>
      <c r="AD50" s="4">
        <v>99.510999999999996</v>
      </c>
      <c r="AE50" s="3">
        <v>46113.625</v>
      </c>
      <c r="AF50" s="4">
        <v>329.10599999999999</v>
      </c>
      <c r="AG50" s="3">
        <v>46176.625</v>
      </c>
      <c r="AH50" s="4">
        <v>313.08</v>
      </c>
      <c r="AI50" s="3">
        <f>IF(COUNTIF(AC:AC,AA50)*COUNTIF(AE:AE,AA50)*COUNTIF(AG:AG,AA50),AA50,"")</f>
        <v>46119.625</v>
      </c>
      <c r="AJ50" s="3">
        <f t="shared" si="0"/>
        <v>46119.625</v>
      </c>
      <c r="AK50" s="3">
        <v>46192.625</v>
      </c>
      <c r="AL50" s="3">
        <v>46108</v>
      </c>
      <c r="AM50" s="5">
        <v>254.57159999999999</v>
      </c>
      <c r="AN50" s="3">
        <v>45847</v>
      </c>
      <c r="AO50" s="4">
        <v>239.9195</v>
      </c>
      <c r="AP50" s="74">
        <v>45847</v>
      </c>
      <c r="AQ50" s="4">
        <v>278.887</v>
      </c>
      <c r="AR50" s="6">
        <f t="shared" si="1"/>
        <v>45847</v>
      </c>
    </row>
    <row r="51" spans="1:49" x14ac:dyDescent="0.25">
      <c r="A51" s="37">
        <f ca="1">IF(AND(ISBLANK(AK40), A50 = $AK$1),NOW(),IF(ISBLANK(AK40),"",AK40))</f>
        <v>46170.625</v>
      </c>
      <c r="B51" s="38">
        <f ca="1">IF(COUNTIF($AK$2:AK1036,A51)=1,VLOOKUP(A51,AA:AB,2), IF(COUNTIF($AK$2:AK1036,A51)=0,$B$9,""))</f>
        <v>91.7</v>
      </c>
      <c r="C51" s="2">
        <f t="shared" ca="1" si="3"/>
        <v>795925.2210903411</v>
      </c>
      <c r="D51" s="41">
        <f t="shared" ca="1" si="4"/>
        <v>-145749.99999999997</v>
      </c>
      <c r="E51" s="78">
        <f ca="1">IF(COUNTIF($U$2:U1036,A51)=1,VLOOKUP(A51,U:V,2), "")</f>
        <v>312.7</v>
      </c>
      <c r="F51" s="78"/>
      <c r="G51" s="91">
        <f t="shared" ca="1" si="2"/>
        <v>314.33999999999997</v>
      </c>
      <c r="H51" s="93">
        <f ca="1">IF(ISERROR(B51-2),"",(E51-$E$14)*$H$3*$J$3)</f>
        <v>656039.99999999907</v>
      </c>
      <c r="I51" s="38">
        <f ca="1">IF(COUNTIF($AK$2:AK1036,A51)=1,VLOOKUP(A51,AC:AD,2), IF(COUNTIF($AK$2:AK1036,A51)=0,$C$9,""))</f>
        <v>99.653999999999996</v>
      </c>
      <c r="J51" s="2">
        <f t="shared" ca="1" si="5"/>
        <v>32239.999999998759</v>
      </c>
      <c r="K51" s="41">
        <f t="shared" ca="1" si="6"/>
        <v>537.68000000000757</v>
      </c>
      <c r="L51" s="38">
        <f ca="1">IF(COUNTIF($AK$2:AK1036,A51)=1,VLOOKUP(A51,AN:AO,2), IF(COUNTIF($AK$2:AK1036,A51)=0,$D$9,""))</f>
        <v>252.9316</v>
      </c>
      <c r="M51" s="41">
        <f ca="1">IF(ISERROR(L51-2),"",(L51/$L$14-1)*$D$5)</f>
        <v>837472.76319479884</v>
      </c>
      <c r="N51" s="41" t="str">
        <f ca="1">IF($A51="","",IF(COUNTIFS(Dividends!$G:$G,"&gt;"&amp;INT($A50),Dividends!$G:$G,"&lt;="&amp;INT($A51))=0,"",$R$2*SUMIFS(Dividends!$H:$H,Dividends!$G:$G,"&gt;"&amp;INT($A50),Dividends!$G:$G,"&lt;="&amp;INT($A51))))</f>
        <v/>
      </c>
      <c r="O51" s="42">
        <f ca="1">IF(ISERROR(B51-2),"",C51+D51-J51-K51-M51+SUM($N$14:N51))</f>
        <v>-220075.22210445651</v>
      </c>
      <c r="P51" s="80"/>
      <c r="Q51" s="80"/>
      <c r="R51" s="87"/>
      <c r="S51" s="87"/>
      <c r="T51" s="87"/>
      <c r="U51" s="3">
        <v>46182.625</v>
      </c>
      <c r="V51" s="4">
        <v>313.3</v>
      </c>
      <c r="W51" s="3"/>
      <c r="X51" s="4"/>
      <c r="Y51" s="87"/>
      <c r="AA51" s="3">
        <v>46120.625</v>
      </c>
      <c r="AB51" s="4">
        <v>90.56</v>
      </c>
      <c r="AC51" s="3">
        <v>46114.625</v>
      </c>
      <c r="AD51" s="4">
        <v>99.484999999999999</v>
      </c>
      <c r="AE51" s="3">
        <v>46114.625</v>
      </c>
      <c r="AF51" s="4">
        <v>326.72000000000003</v>
      </c>
      <c r="AG51" s="3">
        <v>46177.625</v>
      </c>
      <c r="AH51" s="4">
        <v>313.04000000000002</v>
      </c>
      <c r="AI51" s="3">
        <f>IF(COUNTIF(AC:AC,AA51)*COUNTIF(AE:AE,AA51)*COUNTIF(AG:AG,AA51),AA51,"")</f>
        <v>46120.625</v>
      </c>
      <c r="AJ51" s="3">
        <f t="shared" si="0"/>
        <v>46120.625</v>
      </c>
      <c r="AK51" s="3">
        <v>46196.625</v>
      </c>
      <c r="AL51" s="3">
        <v>46111</v>
      </c>
      <c r="AM51" s="5">
        <v>254.6893</v>
      </c>
      <c r="AN51" s="3">
        <v>45848</v>
      </c>
      <c r="AO51" s="4">
        <v>240.07650000000001</v>
      </c>
      <c r="AP51" s="74">
        <v>45848</v>
      </c>
      <c r="AQ51" s="4">
        <v>277.661</v>
      </c>
      <c r="AR51" s="6">
        <f t="shared" si="1"/>
        <v>45848</v>
      </c>
    </row>
    <row r="52" spans="1:49" x14ac:dyDescent="0.25">
      <c r="A52" s="37">
        <f ca="1">IF(AND(ISBLANK(AK41), A51 = $AK$1),NOW(),IF(ISBLANK(AK41),"",AK41))</f>
        <v>46171.625</v>
      </c>
      <c r="B52" s="38">
        <f ca="1">IF(COUNTIF($AK$2:AK1037,A52)=1,VLOOKUP(A52,AA:AB,2), IF(COUNTIF($AK$2:AK1037,A52)=0,$B$9,""))</f>
        <v>91.85</v>
      </c>
      <c r="C52" s="2">
        <f t="shared" ca="1" si="3"/>
        <v>846300.2350833948</v>
      </c>
      <c r="D52" s="41">
        <f t="shared" ca="1" si="4"/>
        <v>-147958.33333333334</v>
      </c>
      <c r="E52" s="78">
        <f ca="1">IF(COUNTIF($U$2:U1037,A52)=1,VLOOKUP(A52,U:V,2), "")</f>
        <v>313.77999999999997</v>
      </c>
      <c r="F52" s="78"/>
      <c r="G52" s="91">
        <f t="shared" ca="1" si="2"/>
        <v>315.41999999999996</v>
      </c>
      <c r="H52" s="93">
        <f ca="1">IF(ISERROR(B52-2),"",(E52-$E$14)*$H$3*$J$3)</f>
        <v>748055.99999999767</v>
      </c>
      <c r="I52" s="38">
        <f ca="1">IF(COUNTIF($AK$2:AK1037,A52)=1,VLOOKUP(A52,AC:AD,2), IF(COUNTIF($AK$2:AK1037,A52)=0,$C$9,""))</f>
        <v>99.679000000000002</v>
      </c>
      <c r="J52" s="2">
        <f t="shared" ca="1" si="5"/>
        <v>38740.00000000024</v>
      </c>
      <c r="K52" s="41">
        <f t="shared" ca="1" si="6"/>
        <v>545.82666666667501</v>
      </c>
      <c r="L52" s="38">
        <f ca="1">IF(COUNTIF($AK$2:AK1037,A52)=1,VLOOKUP(A52,AN:AO,2), IF(COUNTIF($AK$2:AK1037,A52)=0,$D$9,""))</f>
        <v>253.4469</v>
      </c>
      <c r="M52" s="41">
        <f ca="1">IF(ISERROR(L52-2),"",(L52/$L$14-1)*$D$5)</f>
        <v>877276.6458052526</v>
      </c>
      <c r="N52" s="41" t="str">
        <f ca="1">IF($A52="","",IF(COUNTIFS(Dividends!$G:$G,"&gt;"&amp;INT($A51),Dividends!$G:$G,"&lt;="&amp;INT($A52))=0,"",$R$2*SUMIFS(Dividends!$H:$H,Dividends!$G:$G,"&gt;"&amp;INT($A51),Dividends!$G:$G,"&lt;="&amp;INT($A52))))</f>
        <v/>
      </c>
      <c r="O52" s="42">
        <f ca="1">IF(ISERROR(B52-2),"",C52+D52-J52-K52-M52+SUM($N$14:N52))</f>
        <v>-218220.57072185806</v>
      </c>
      <c r="P52" s="80"/>
      <c r="Q52" s="80"/>
      <c r="R52" s="87"/>
      <c r="S52" s="87"/>
      <c r="T52" s="87"/>
      <c r="U52" s="3">
        <v>46188.625</v>
      </c>
      <c r="V52" s="4">
        <v>314.27999999999997</v>
      </c>
      <c r="W52" s="3"/>
      <c r="X52" s="4"/>
      <c r="Y52" s="87"/>
      <c r="AA52" s="3">
        <v>46121.625</v>
      </c>
      <c r="AB52" s="4">
        <v>90.47</v>
      </c>
      <c r="AC52" s="3">
        <v>46119.625</v>
      </c>
      <c r="AD52" s="4">
        <v>99.212999999999994</v>
      </c>
      <c r="AE52" s="3">
        <v>46119.625</v>
      </c>
      <c r="AF52" s="4">
        <v>333.96699999999998</v>
      </c>
      <c r="AG52" s="3">
        <v>46182.625</v>
      </c>
      <c r="AH52" s="4">
        <v>313.3</v>
      </c>
      <c r="AI52" s="3" t="str">
        <f>IF(COUNTIF(AC:AC,AA52)*COUNTIF(AE:AE,AA52)*COUNTIF(AG:AG,AA52),AA52,"")</f>
        <v/>
      </c>
      <c r="AJ52" s="3" t="str">
        <f t="shared" si="0"/>
        <v/>
      </c>
      <c r="AK52" s="3">
        <v>46197.625</v>
      </c>
      <c r="AL52" s="3">
        <v>46112</v>
      </c>
      <c r="AM52" s="5">
        <v>255.8124</v>
      </c>
      <c r="AN52" s="3">
        <v>45849</v>
      </c>
      <c r="AO52" s="4">
        <v>239.64150000000001</v>
      </c>
      <c r="AP52" s="74">
        <v>45849</v>
      </c>
      <c r="AQ52" s="4">
        <v>281.73500000000001</v>
      </c>
      <c r="AR52" s="6">
        <f t="shared" si="1"/>
        <v>45849</v>
      </c>
    </row>
    <row r="53" spans="1:49" x14ac:dyDescent="0.25">
      <c r="A53" s="37">
        <f ca="1">IF(AND(ISBLANK(AK42), A52 = $AK$1),NOW(),IF(ISBLANK(AK42),"",AK42))</f>
        <v>46174.625</v>
      </c>
      <c r="B53" s="38">
        <f ca="1">IF(COUNTIF($AK$2:AK1038,A53)=1,VLOOKUP(A53,AA:AB,2), IF(COUNTIF($AK$2:AK1038,A53)=0,$B$9,""))</f>
        <v>91.65</v>
      </c>
      <c r="C53" s="2">
        <f t="shared" ca="1" si="3"/>
        <v>779133.54975931882</v>
      </c>
      <c r="D53" s="41">
        <f t="shared" ca="1" si="4"/>
        <v>-154583.33333333334</v>
      </c>
      <c r="E53" s="78">
        <f ca="1">IF(COUNTIF($U$2:U1038,A53)=1,VLOOKUP(A53,U:V,2), "")</f>
        <v>312.83999999999997</v>
      </c>
      <c r="F53" s="78"/>
      <c r="G53" s="91">
        <f t="shared" ca="1" si="2"/>
        <v>314.47999999999996</v>
      </c>
      <c r="H53" s="93">
        <f ca="1">IF(ISERROR(B53-2),"",(E53-$E$14)*$H$3*$J$3)</f>
        <v>667967.9999999979</v>
      </c>
      <c r="I53" s="38">
        <f ca="1">IF(COUNTIF($AK$2:AK1038,A53)=1,VLOOKUP(A53,AC:AD,2), IF(COUNTIF($AK$2:AK1038,A53)=0,$C$9,""))</f>
        <v>99.450999999999993</v>
      </c>
      <c r="J53" s="2">
        <f t="shared" ca="1" si="5"/>
        <v>-20540.000000002012</v>
      </c>
      <c r="K53" s="41">
        <f t="shared" ca="1" si="6"/>
        <v>570.26666666666279</v>
      </c>
      <c r="L53" s="38">
        <f ca="1">IF(COUNTIF($AK$2:AK1038,A53)=1,VLOOKUP(A53,AN:AO,2), IF(COUNTIF($AK$2:AK1038,A53)=0,$D$9,""))</f>
        <v>253.10400000000001</v>
      </c>
      <c r="M53" s="41">
        <f ca="1">IF(ISERROR(L53-2),"",(L53/$L$14-1)*$D$5)</f>
        <v>850789.64532568224</v>
      </c>
      <c r="N53" s="41" t="str">
        <f ca="1">IF($A53="","",IF(COUNTIFS(Dividends!$G:$G,"&gt;"&amp;INT($A52),Dividends!$G:$G,"&lt;="&amp;INT($A53))=0,"",$R$2*SUMIFS(Dividends!$H:$H,Dividends!$G:$G,"&gt;"&amp;INT($A52),Dividends!$G:$G,"&lt;="&amp;INT($A53))))</f>
        <v/>
      </c>
      <c r="O53" s="42">
        <f ca="1">IF(ISERROR(B53-2),"",C53+D53-J53-K53-M53+SUM($N$14:N53))</f>
        <v>-206269.69556636142</v>
      </c>
      <c r="P53" s="80"/>
      <c r="Q53" s="80"/>
      <c r="R53" s="87"/>
      <c r="S53" s="87"/>
      <c r="T53" s="87"/>
      <c r="U53" s="81">
        <v>46189.625</v>
      </c>
      <c r="V53" s="82">
        <v>314.16000000000003</v>
      </c>
      <c r="W53" s="81"/>
      <c r="X53" s="82"/>
      <c r="Y53" s="87"/>
      <c r="AA53" s="3">
        <v>46122.625</v>
      </c>
      <c r="AB53" s="4">
        <v>90.75</v>
      </c>
      <c r="AC53" s="3">
        <v>46120.625</v>
      </c>
      <c r="AD53" s="4">
        <v>99.777000000000001</v>
      </c>
      <c r="AE53" s="3">
        <v>46120.625</v>
      </c>
      <c r="AF53" s="4">
        <v>301.61900000000003</v>
      </c>
      <c r="AG53" s="3">
        <v>46188.625</v>
      </c>
      <c r="AH53" s="4">
        <v>314.27999999999997</v>
      </c>
      <c r="AI53" s="3">
        <f>IF(COUNTIF(AC:AC,AA53)*COUNTIF(AE:AE,AA53)*COUNTIF(AG:AG,AA53),AA53,"")</f>
        <v>46122.625</v>
      </c>
      <c r="AJ53" s="3">
        <f t="shared" si="0"/>
        <v>46122.625</v>
      </c>
      <c r="AL53" s="3">
        <v>46113</v>
      </c>
      <c r="AM53" s="5">
        <v>258.79109999999997</v>
      </c>
      <c r="AN53" s="3">
        <v>45852</v>
      </c>
      <c r="AO53" s="4">
        <v>239.5692</v>
      </c>
      <c r="AP53" s="74">
        <v>45852</v>
      </c>
      <c r="AQ53" s="4">
        <v>282.80599999999998</v>
      </c>
      <c r="AR53" s="6">
        <f t="shared" si="1"/>
        <v>45852</v>
      </c>
    </row>
    <row r="54" spans="1:49" x14ac:dyDescent="0.25">
      <c r="A54" s="37">
        <f ca="1">IF(AND(ISBLANK(AK43), A53 = $AK$1),NOW(),IF(ISBLANK(AK43),"",AK43))</f>
        <v>46176.625</v>
      </c>
      <c r="B54" s="38">
        <f ca="1">IF(COUNTIF($AK$2:AK1039,A54)=1,VLOOKUP(A54,AA:AB,2), IF(COUNTIF($AK$2:AK1039,A54)=0,$B$9,""))</f>
        <v>91.75</v>
      </c>
      <c r="C54" s="2">
        <f t="shared" ca="1" si="3"/>
        <v>812716.89242135675</v>
      </c>
      <c r="D54" s="41">
        <f t="shared" ca="1" si="4"/>
        <v>-159000</v>
      </c>
      <c r="E54" s="78">
        <f ca="1">IF(COUNTIF($U$2:U1039,A54)=1,VLOOKUP(A54,U:V,2), "")</f>
        <v>313.08</v>
      </c>
      <c r="F54" s="78"/>
      <c r="G54" s="91">
        <f t="shared" ca="1" si="2"/>
        <v>314.71999999999997</v>
      </c>
      <c r="H54" s="93">
        <f ca="1">IF(ISERROR(B54-2),"",(E54-$E$14)*$H$3*$J$3)</f>
        <v>688415.9999999986</v>
      </c>
      <c r="I54" s="38">
        <f ca="1">IF(COUNTIF($AK$2:AK1039,A54)=1,VLOOKUP(A54,AC:AD,2), IF(COUNTIF($AK$2:AK1039,A54)=0,$C$9,""))</f>
        <v>99.421999999999997</v>
      </c>
      <c r="J54" s="2">
        <f t="shared" ca="1" si="5"/>
        <v>-28080.000000001066</v>
      </c>
      <c r="K54" s="41">
        <f t="shared" ca="1" si="6"/>
        <v>586.55999999999767</v>
      </c>
      <c r="L54" s="38">
        <f ca="1">IF(COUNTIF($AK$2:AK1039,A54)=1,VLOOKUP(A54,AN:AO,2), IF(COUNTIF($AK$2:AK1039,A54)=0,$D$9,""))</f>
        <v>253.11359999999999</v>
      </c>
      <c r="M54" s="41">
        <f ca="1">IF(ISERROR(L54-2),"",(L54/$L$14-1)*$D$5)</f>
        <v>851531.1886461922</v>
      </c>
      <c r="N54" s="41" t="str">
        <f ca="1">IF($A54="","",IF(COUNTIFS(Dividends!$G:$G,"&gt;"&amp;INT($A53),Dividends!$G:$G,"&lt;="&amp;INT($A54))=0,"",$R$2*SUMIFS(Dividends!$H:$H,Dividends!$G:$G,"&gt;"&amp;INT($A53),Dividends!$G:$G,"&lt;="&amp;INT($A54))))</f>
        <v/>
      </c>
      <c r="O54" s="42">
        <f ca="1">IF(ISERROR(B54-2),"",C54+D54-J54-K54-M54+SUM($N$14:N54))</f>
        <v>-170320.85622483445</v>
      </c>
      <c r="P54" s="80"/>
      <c r="Q54" s="80"/>
      <c r="R54" s="87"/>
      <c r="S54" s="87"/>
      <c r="T54" s="87"/>
      <c r="U54" s="108"/>
      <c r="V54" s="87"/>
      <c r="W54" s="108"/>
      <c r="X54" s="87"/>
      <c r="Y54" s="87"/>
      <c r="AA54" s="3">
        <v>46125.625</v>
      </c>
      <c r="AB54" s="4">
        <v>90.46</v>
      </c>
      <c r="AC54" s="3">
        <v>46121.625</v>
      </c>
      <c r="AD54" s="4">
        <v>99.576999999999998</v>
      </c>
      <c r="AE54" s="3">
        <v>46121.625</v>
      </c>
      <c r="AF54" s="4">
        <v>299.79199999999997</v>
      </c>
      <c r="AG54" s="81">
        <v>46189.625</v>
      </c>
      <c r="AH54" s="82">
        <v>314.16000000000003</v>
      </c>
      <c r="AI54" s="3" t="str">
        <f>IF(COUNTIF(AC:AC,AA54)*COUNTIF(AE:AE,AA54)*COUNTIF(AG:AG,AA54),AA54,"")</f>
        <v/>
      </c>
      <c r="AJ54" s="3" t="str">
        <f t="shared" si="0"/>
        <v/>
      </c>
      <c r="AL54" s="3">
        <v>46114</v>
      </c>
      <c r="AM54" s="5">
        <v>259.01429999999999</v>
      </c>
      <c r="AN54" s="3">
        <v>45853</v>
      </c>
      <c r="AO54" s="4">
        <v>239.57310000000001</v>
      </c>
      <c r="AP54" s="74">
        <v>45853</v>
      </c>
      <c r="AQ54" s="4">
        <v>282.98599999999999</v>
      </c>
      <c r="AR54" s="6">
        <f t="shared" si="1"/>
        <v>45853</v>
      </c>
    </row>
    <row r="55" spans="1:49" x14ac:dyDescent="0.25">
      <c r="A55" s="37">
        <f ca="1">IF(AND(ISBLANK(AK44), A54 = $AK$1),NOW(),IF(ISBLANK(AK44),"",AK44))</f>
        <v>46177.625</v>
      </c>
      <c r="B55" s="38">
        <f ca="1">IF(COUNTIF($AK$2:AK1040,A55)=1,VLOOKUP(A55,AA:AB,2), IF(COUNTIF($AK$2:AK1040,A55)=0,$B$9,""))</f>
        <v>91.74</v>
      </c>
      <c r="C55" s="2">
        <f t="shared" ca="1" si="3"/>
        <v>809358.55815515097</v>
      </c>
      <c r="D55" s="41">
        <f t="shared" ca="1" si="4"/>
        <v>-161208.33333333334</v>
      </c>
      <c r="E55" s="78">
        <f ca="1">IF(COUNTIF($U$2:U1040,A55)=1,VLOOKUP(A55,U:V,2), "")</f>
        <v>313.04000000000002</v>
      </c>
      <c r="F55" s="78"/>
      <c r="G55" s="91">
        <f t="shared" ca="1" si="2"/>
        <v>314.68</v>
      </c>
      <c r="H55" s="93">
        <f ca="1">IF(ISERROR(B55-2),"",(E55-$E$14)*$H$3*$J$3)</f>
        <v>685008.00000000175</v>
      </c>
      <c r="I55" s="38">
        <f ca="1">IF(COUNTIF($AK$2:AK1040,A55)=1,VLOOKUP(A55,AC:AD,2), IF(COUNTIF($AK$2:AK1040,A55)=0,$C$9,""))</f>
        <v>99.430999999999997</v>
      </c>
      <c r="J55" s="2">
        <f t="shared" ca="1" si="5"/>
        <v>-25740.000000000975</v>
      </c>
      <c r="K55" s="41">
        <f t="shared" ca="1" si="6"/>
        <v>594.70666666666511</v>
      </c>
      <c r="L55" s="38">
        <f ca="1">IF(COUNTIF($AK$2:AK1040,A55)=1,VLOOKUP(A55,AN:AO,2), IF(COUNTIF($AK$2:AK1040,A55)=0,$D$9,""))</f>
        <v>253.3374</v>
      </c>
      <c r="M55" s="41">
        <f ca="1">IF(ISERROR(L55-2),"",(L55/$L$14-1)*$D$5)</f>
        <v>868818.41730565287</v>
      </c>
      <c r="N55" s="41" t="str">
        <f ca="1">IF($A55="","",IF(COUNTIFS(Dividends!$G:$G,"&gt;"&amp;INT($A54),Dividends!$G:$G,"&lt;="&amp;INT($A55))=0,"",$R$2*SUMIFS(Dividends!$H:$H,Dividends!$G:$G,"&gt;"&amp;INT($A54),Dividends!$G:$G,"&lt;="&amp;INT($A55))))</f>
        <v/>
      </c>
      <c r="O55" s="42">
        <f ca="1">IF(ISERROR(B55-2),"",C55+D55-J55-K55-M55+SUM($N$14:N55))</f>
        <v>-195522.89915050101</v>
      </c>
      <c r="P55" s="80"/>
      <c r="Q55" s="80"/>
      <c r="R55" s="87"/>
      <c r="S55" s="87"/>
      <c r="T55" s="87"/>
      <c r="U55" s="108"/>
      <c r="V55" s="87"/>
      <c r="W55" s="108"/>
      <c r="X55" s="87"/>
      <c r="Y55" s="87"/>
      <c r="AA55" s="3">
        <v>46126.625</v>
      </c>
      <c r="AB55" s="4">
        <v>90.75</v>
      </c>
      <c r="AC55" s="3">
        <v>46122.625</v>
      </c>
      <c r="AD55" s="4">
        <v>99.55</v>
      </c>
      <c r="AE55" s="3">
        <v>46122.625</v>
      </c>
      <c r="AF55" s="4">
        <v>291.34300000000002</v>
      </c>
      <c r="AG55" s="81" cm="1">
        <f t="array" ref="AG55:AH60">_xll.BDH(O3, "LAST_PRICE", "06/16/2026 15:00:00", "01/26/2035 16:00:00", "BarSize=60", "BarType=T", "RecurDaily=True", "TZ=London")</f>
        <v>46189.625</v>
      </c>
      <c r="AH55" s="82">
        <v>315.8</v>
      </c>
      <c r="AI55" s="3">
        <f>IF(COUNTIF(AC:AC,AA55)*COUNTIF(AE:AE,AA55)*COUNTIF(AG:AG,AA55),AA55,"")</f>
        <v>46126.625</v>
      </c>
      <c r="AJ55" s="3">
        <f t="shared" si="0"/>
        <v>46126.625</v>
      </c>
      <c r="AL55" s="3">
        <v>46119</v>
      </c>
      <c r="AM55" s="5">
        <v>258.06200000000001</v>
      </c>
      <c r="AN55" s="3">
        <v>45854</v>
      </c>
      <c r="AO55" s="4">
        <v>239.2413</v>
      </c>
      <c r="AP55" s="74">
        <v>45854</v>
      </c>
      <c r="AQ55" s="4">
        <v>285.26100000000002</v>
      </c>
      <c r="AR55" s="6">
        <f t="shared" si="1"/>
        <v>45854</v>
      </c>
    </row>
    <row r="56" spans="1:49" x14ac:dyDescent="0.25">
      <c r="A56" s="37">
        <f ca="1">IF(AND(ISBLANK(AK45), A55 = $AK$1),NOW(),IF(ISBLANK(AK45),"",AK45))</f>
        <v>46182.625</v>
      </c>
      <c r="B56" s="38">
        <f ca="1">IF(COUNTIF($AK$2:AK1041,A56)=1,VLOOKUP(A56,AA:AB,2), IF(COUNTIF($AK$2:AK1041,A56)=0,$B$9,""))</f>
        <v>91.63</v>
      </c>
      <c r="C56" s="2">
        <f t="shared" ca="1" si="3"/>
        <v>772416.88122690725</v>
      </c>
      <c r="D56" s="41">
        <f t="shared" ca="1" si="4"/>
        <v>-172250</v>
      </c>
      <c r="E56" s="78">
        <f ca="1">IF(COUNTIF($U$2:U1041,A56)=1,VLOOKUP(A56,U:V,2), "")</f>
        <v>313.3</v>
      </c>
      <c r="F56" s="78"/>
      <c r="G56" s="91">
        <f t="shared" ca="1" si="2"/>
        <v>314.94</v>
      </c>
      <c r="H56" s="93">
        <f ca="1">IF(ISERROR(B56-2),"",(E56-$E$14)*$H$3*$J$3)</f>
        <v>707160.00000000093</v>
      </c>
      <c r="I56" s="38">
        <f ca="1">IF(COUNTIF($AK$2:AK1041,A56)=1,VLOOKUP(A56,AC:AD,2), IF(COUNTIF($AK$2:AK1041,A56)=0,$C$9,""))</f>
        <v>99.396000000000001</v>
      </c>
      <c r="J56" s="2">
        <f t="shared" ca="1" si="5"/>
        <v>-34840.000000000095</v>
      </c>
      <c r="K56" s="41">
        <f t="shared" ca="1" si="6"/>
        <v>635.44000000000233</v>
      </c>
      <c r="L56" s="38">
        <f ca="1">IF(COUNTIF($AK$2:AK1041,A56)=1,VLOOKUP(A56,AN:AO,2), IF(COUNTIF($AK$2:AK1041,A56)=0,$D$9,""))</f>
        <v>253.04320000000001</v>
      </c>
      <c r="M56" s="41">
        <f ca="1">IF(ISERROR(L56-2),"",(L56/$L$14-1)*$D$5)</f>
        <v>846093.20429576538</v>
      </c>
      <c r="N56" s="41" t="str">
        <f ca="1">IF($A56="","",IF(COUNTIFS(Dividends!$G:$G,"&gt;"&amp;INT($A55),Dividends!$G:$G,"&lt;="&amp;INT($A56))=0,"",$R$2*SUMIFS(Dividends!$H:$H,Dividends!$G:$G,"&gt;"&amp;INT($A55),Dividends!$G:$G,"&lt;="&amp;INT($A56))))</f>
        <v/>
      </c>
      <c r="O56" s="42">
        <f ca="1">IF(ISERROR(B56-2),"",C56+D56-J56-K56-M56+SUM($N$14:N56))</f>
        <v>-211721.76306885807</v>
      </c>
      <c r="P56" s="80"/>
      <c r="Q56" s="80"/>
      <c r="R56" s="87"/>
      <c r="S56" s="87"/>
      <c r="T56" s="87"/>
      <c r="U56" s="108"/>
      <c r="V56" s="87"/>
      <c r="W56" s="108"/>
      <c r="X56" s="87"/>
      <c r="Y56" s="87"/>
      <c r="AA56" s="3">
        <v>46127.625</v>
      </c>
      <c r="AB56" s="4">
        <v>90.88</v>
      </c>
      <c r="AC56" s="3">
        <v>46125.625</v>
      </c>
      <c r="AD56" s="4">
        <v>99.418000000000006</v>
      </c>
      <c r="AE56" s="3">
        <v>46125.625</v>
      </c>
      <c r="AF56" s="4">
        <v>294.25299999999999</v>
      </c>
      <c r="AG56" s="3">
        <v>46190.625</v>
      </c>
      <c r="AH56" s="4">
        <v>315.42</v>
      </c>
      <c r="AI56" s="3">
        <f>IF(COUNTIF(AC:AC,AA56)*COUNTIF(AE:AE,AA56)*COUNTIF(AG:AG,AA56),AA56,"")</f>
        <v>46127.625</v>
      </c>
      <c r="AJ56" s="3">
        <f t="shared" si="0"/>
        <v>46127.625</v>
      </c>
      <c r="AL56" s="3">
        <v>46120</v>
      </c>
      <c r="AM56" s="5">
        <v>262.38350000000003</v>
      </c>
      <c r="AN56" s="3">
        <v>45855</v>
      </c>
      <c r="AO56" s="4">
        <v>240.13030000000001</v>
      </c>
      <c r="AP56" s="74">
        <v>45855</v>
      </c>
      <c r="AQ56" s="4">
        <v>278.76799999999997</v>
      </c>
      <c r="AR56" s="6">
        <f t="shared" si="1"/>
        <v>45855</v>
      </c>
    </row>
    <row r="57" spans="1:49" x14ac:dyDescent="0.25">
      <c r="A57" s="37">
        <f ca="1">IF(AND(ISBLANK(AK46), A56 = $AK$1),NOW(),IF(ISBLANK(AK46),"",AK46))</f>
        <v>46188.625</v>
      </c>
      <c r="B57" s="38">
        <f ca="1">IF(COUNTIF($AK$2:AK1042,A57)=1,VLOOKUP(A57,AA:AB,2), IF(COUNTIF($AK$2:AK1042,A57)=0,$B$9,""))</f>
        <v>92.18</v>
      </c>
      <c r="C57" s="2">
        <f t="shared" ca="1" si="3"/>
        <v>957125.26586813282</v>
      </c>
      <c r="D57" s="41">
        <f t="shared" ca="1" si="4"/>
        <v>-185500</v>
      </c>
      <c r="E57" s="78">
        <f ca="1">IF(COUNTIF($U$2:U1042,A57)=1,VLOOKUP(A57,U:V,2), "")</f>
        <v>314.27999999999997</v>
      </c>
      <c r="F57" s="78"/>
      <c r="G57" s="91">
        <f t="shared" ca="1" si="2"/>
        <v>315.91999999999996</v>
      </c>
      <c r="H57" s="93">
        <f ca="1">IF(ISERROR(B57-2),"",(E57-$E$14)*$H$3*$J$3)</f>
        <v>790655.99999999767</v>
      </c>
      <c r="I57" s="38">
        <f ca="1">IF(COUNTIF($AK$2:AK1042,A57)=1,VLOOKUP(A57,AC:AD,2), IF(COUNTIF($AK$2:AK1042,A57)=0,$C$9,""))</f>
        <v>99.631</v>
      </c>
      <c r="J57" s="2">
        <f t="shared" ca="1" si="5"/>
        <v>26259.999999999764</v>
      </c>
      <c r="K57" s="41">
        <f t="shared" ca="1" si="6"/>
        <v>684.32000000000698</v>
      </c>
      <c r="L57" s="38">
        <f ca="1">IF(COUNTIF($AK$2:AK1042,A57)=1,VLOOKUP(A57,AN:AO,2), IF(COUNTIF($AK$2:AK1042,A57)=0,$D$9,""))</f>
        <v>255.0607</v>
      </c>
      <c r="M57" s="41">
        <f ca="1">IF(ISERROR(L57-2),"",(L57/$L$14-1)*$D$5)</f>
        <v>1001933.167747329</v>
      </c>
      <c r="N57" s="41" t="str">
        <f ca="1">IF($A57="","",IF(COUNTIFS(Dividends!$G:$G,"&gt;"&amp;INT($A56),Dividends!$G:$G,"&lt;="&amp;INT($A57))=0,"",$R$2*SUMIFS(Dividends!$H:$H,Dividends!$G:$G,"&gt;"&amp;INT($A56),Dividends!$G:$G,"&lt;="&amp;INT($A57))))</f>
        <v/>
      </c>
      <c r="O57" s="42">
        <f ca="1">IF(ISERROR(B57-2),"",C57+D57-J57-K57-M57+SUM($N$14:N57))</f>
        <v>-257252.22187919589</v>
      </c>
      <c r="P57" s="80"/>
      <c r="Q57" s="80"/>
      <c r="R57" s="87"/>
      <c r="S57" s="87"/>
      <c r="T57" s="87"/>
      <c r="U57" s="108"/>
      <c r="V57" s="87"/>
      <c r="W57" s="108"/>
      <c r="X57" s="87"/>
      <c r="Y57" s="87"/>
      <c r="AA57" s="3">
        <v>46128.625</v>
      </c>
      <c r="AB57" s="4">
        <v>90.85</v>
      </c>
      <c r="AC57" s="3">
        <v>46126.625</v>
      </c>
      <c r="AD57" s="4">
        <v>99.619</v>
      </c>
      <c r="AE57" s="3">
        <v>46126.625</v>
      </c>
      <c r="AF57" s="4">
        <v>282.697</v>
      </c>
      <c r="AG57" s="3">
        <v>46191.625</v>
      </c>
      <c r="AH57" s="4">
        <v>315.68</v>
      </c>
      <c r="AI57" s="3">
        <f>IF(COUNTIF(AC:AC,AA57)*COUNTIF(AE:AE,AA57)*COUNTIF(AG:AG,AA57),AA57,"")</f>
        <v>46128.625</v>
      </c>
      <c r="AJ57" s="3">
        <f t="shared" si="0"/>
        <v>46128.625</v>
      </c>
      <c r="AL57" s="3">
        <v>46121</v>
      </c>
      <c r="AM57" s="5">
        <v>263.26260000000002</v>
      </c>
      <c r="AN57" s="3">
        <v>45856</v>
      </c>
      <c r="AO57" s="4">
        <v>240.32839999999999</v>
      </c>
      <c r="AP57" s="74">
        <v>45856</v>
      </c>
      <c r="AQ57" s="4">
        <v>277.18599999999998</v>
      </c>
      <c r="AR57" s="6">
        <f t="shared" si="1"/>
        <v>45856</v>
      </c>
    </row>
    <row r="58" spans="1:49" x14ac:dyDescent="0.25">
      <c r="A58" s="103">
        <f ca="1">IF(AND(ISBLANK(AK47), A57 = $AK$1),NOW(),IF(ISBLANK(AK47),"",AK47))</f>
        <v>46189.625</v>
      </c>
      <c r="B58" s="104">
        <f ca="1">IF(COUNTIF($AK$2:AK1043,A58)=1,VLOOKUP(A58,AA:AB,2), IF(COUNTIF($AK$2:AK1043,A58)=0,$B$9,""))</f>
        <v>92.15</v>
      </c>
      <c r="C58" s="105">
        <f t="shared" ca="1" si="3"/>
        <v>947050.2630695221</v>
      </c>
      <c r="D58" s="106">
        <f t="shared" ca="1" si="4"/>
        <v>-187708.33333333334</v>
      </c>
      <c r="E58" s="78">
        <f ca="1">IF(COUNTIF($U$2:U1043,A58)=1,VLOOKUP(A58,U:V,2), "")</f>
        <v>314.16000000000003</v>
      </c>
      <c r="F58" s="78">
        <f ca="1">IF(COUNTIF($W$2:W1043,A58)=1,VLOOKUP(A58,W:X,2), IF(COUNTIF($W$2:W1043,A58)=0,$E$9,""))</f>
        <v>315.8</v>
      </c>
      <c r="H58" s="93">
        <f ca="1">IF(ISERROR(B58-2),"",(E58-$E$14)*$H$3*$J$3)</f>
        <v>780432.0000000021</v>
      </c>
      <c r="I58" s="38">
        <f ca="1">IF(COUNTIF($AK$2:AK1043,A58)=1,VLOOKUP(A58,AC:AD,2), IF(COUNTIF($AK$2:AK1043,A58)=0,$C$9,""))</f>
        <v>99.625</v>
      </c>
      <c r="J58" s="2">
        <f t="shared" ca="1" si="5"/>
        <v>24699.999999999705</v>
      </c>
      <c r="K58" s="41">
        <f t="shared" ca="1" si="6"/>
        <v>692.46666666667443</v>
      </c>
      <c r="L58" s="38">
        <f ca="1">IF(COUNTIF($AK$2:AK1043,A58)=1,VLOOKUP(A58,AN:AO,2), IF(COUNTIF($AK$2:AK1043,A58)=0,$D$9,""))</f>
        <v>254.93340000000001</v>
      </c>
      <c r="M58" s="41">
        <f ca="1">IF(ISERROR(L58-2),"",(L58/$L$14-1)*$D$5)</f>
        <v>992099.99434094294</v>
      </c>
      <c r="N58" s="41" t="str">
        <f ca="1">IF($A58="","",IF(COUNTIFS(Dividends!$G:$G,"&gt;"&amp;INT($A57),Dividends!$G:$G,"&lt;="&amp;INT($A58))=0,"",$R$2*SUMIFS(Dividends!$H:$H,Dividends!$G:$G,"&gt;"&amp;INT($A57),Dividends!$G:$G,"&lt;="&amp;INT($A58))))</f>
        <v/>
      </c>
      <c r="O58" s="42">
        <f ca="1">IF(ISERROR(B58-2),"",C58+D58-J58-K58-M58+SUM($N$14:N58))</f>
        <v>-258150.53127142054</v>
      </c>
      <c r="P58" s="80"/>
      <c r="Q58" s="80"/>
      <c r="R58" s="87"/>
      <c r="S58" s="87"/>
      <c r="T58" s="87"/>
      <c r="U58" s="108"/>
      <c r="V58" s="87"/>
      <c r="W58" s="108"/>
      <c r="X58" s="87"/>
      <c r="Y58" s="87"/>
      <c r="AA58" s="3">
        <v>46129.625</v>
      </c>
      <c r="AB58" s="4">
        <v>91.4</v>
      </c>
      <c r="AC58" s="3">
        <v>46127.625</v>
      </c>
      <c r="AD58" s="4">
        <v>99.653999999999996</v>
      </c>
      <c r="AE58" s="3">
        <v>46127.625</v>
      </c>
      <c r="AF58" s="4">
        <v>282.51900000000001</v>
      </c>
      <c r="AG58" s="3">
        <v>46192.625</v>
      </c>
      <c r="AH58" s="4">
        <v>315.88</v>
      </c>
      <c r="AI58" s="3">
        <f>IF(COUNTIF(AC:AC,AA58)*COUNTIF(AE:AE,AA58)*COUNTIF(AG:AG,AA58),AA58,"")</f>
        <v>46129.625</v>
      </c>
      <c r="AJ58" s="3">
        <f t="shared" si="0"/>
        <v>46129.625</v>
      </c>
      <c r="AL58" s="3">
        <v>46122</v>
      </c>
      <c r="AM58" s="5">
        <v>263.29309999999998</v>
      </c>
      <c r="AN58" s="3">
        <v>45859</v>
      </c>
      <c r="AO58" s="4">
        <v>240.33940000000001</v>
      </c>
      <c r="AP58" s="74">
        <v>45859</v>
      </c>
      <c r="AQ58" s="4">
        <v>277.45800000000003</v>
      </c>
      <c r="AR58" s="6">
        <f t="shared" si="1"/>
        <v>45859</v>
      </c>
    </row>
    <row r="59" spans="1:49" x14ac:dyDescent="0.25">
      <c r="A59" s="37">
        <f ca="1">IF(AND(ISBLANK(AK48), A58 = $AK$1),NOW(),IF(ISBLANK(AK48),"",AK48))</f>
        <v>46190.625</v>
      </c>
      <c r="B59" s="38">
        <f ca="1">IF(COUNTIF($AK$2:AK1044,A59)=1,VLOOKUP(A59,AA:AB,2), IF(COUNTIF($AK$2:AK1044,A59)=0,$B$9,""))</f>
        <v>92.16</v>
      </c>
      <c r="C59" s="2">
        <f t="shared" ca="1" si="3"/>
        <v>950408.59733572125</v>
      </c>
      <c r="D59" s="41">
        <f t="shared" ca="1" si="4"/>
        <v>-189916.66666666666</v>
      </c>
      <c r="E59" s="78" t="str">
        <f ca="1">IF(COUNTIF($U$2:U1044,A59)=1,VLOOKUP(A59,U:V,2), "")</f>
        <v/>
      </c>
      <c r="F59" s="78">
        <f ca="1">IF(COUNTIF($W$2:W1044,A59)=1,VLOOKUP(A59,W:X,2), IF(COUNTIF($W$2:W1044,A59)=0,$E$9,""))</f>
        <v>315.42</v>
      </c>
      <c r="G59" s="93"/>
      <c r="H59" s="93"/>
      <c r="I59" s="38">
        <f ca="1">IF(COUNTIF($AK$2:AK1044,A59)=1,VLOOKUP(A59,AC:AD,2), IF(COUNTIF($AK$2:AK1044,A59)=0,$C$9,""))</f>
        <v>99.600999999999999</v>
      </c>
      <c r="J59" s="2">
        <f t="shared" ca="1" si="5"/>
        <v>18459.999999999469</v>
      </c>
      <c r="K59" s="41">
        <f t="shared" ca="1" si="6"/>
        <v>700.61333333334187</v>
      </c>
      <c r="L59" s="38">
        <f ca="1">IF(COUNTIF($AK$2:AK1044,A59)=1,VLOOKUP(A59,AN:AO,2), IF(COUNTIF($AK$2:AK1044,A59)=0,$D$9,""))</f>
        <v>254.77209999999999</v>
      </c>
      <c r="M59" s="41">
        <f ca="1">IF(ISERROR(L59-2),"",(L59/$L$14-1)*$D$5)</f>
        <v>979640.52167440462</v>
      </c>
      <c r="N59" s="41" t="str">
        <f ca="1">IF($A59="","",IF(COUNTIFS(Dividends!$G:$G,"&gt;"&amp;INT($A58),Dividends!$G:$G,"&lt;="&amp;INT($A59))=0,"",$R$2*SUMIFS(Dividends!$H:$H,Dividends!$G:$G,"&gt;"&amp;INT($A58),Dividends!$G:$G,"&lt;="&amp;INT($A59))))</f>
        <v/>
      </c>
      <c r="O59" s="42">
        <f ca="1">IF(ISERROR(B59-2),"",C59+D59-J59-K59-M59+SUM($N$14:N59))</f>
        <v>-238309.20433868282</v>
      </c>
      <c r="P59" s="80"/>
      <c r="Q59" s="80"/>
      <c r="R59" s="87"/>
      <c r="S59" s="87"/>
      <c r="T59" s="87"/>
      <c r="U59" s="108"/>
      <c r="V59" s="87"/>
      <c r="W59" s="108"/>
      <c r="X59" s="87"/>
      <c r="Y59" s="87"/>
      <c r="AA59" s="3">
        <v>46132.625</v>
      </c>
      <c r="AB59" s="4">
        <v>91.09</v>
      </c>
      <c r="AC59" s="3">
        <v>46128.625</v>
      </c>
      <c r="AD59" s="4">
        <v>99.677000000000007</v>
      </c>
      <c r="AE59" s="3">
        <v>46128.625</v>
      </c>
      <c r="AF59" s="4">
        <v>286.733</v>
      </c>
      <c r="AG59" s="3">
        <v>46196.625</v>
      </c>
      <c r="AH59" s="4">
        <v>315.56</v>
      </c>
      <c r="AI59" s="3">
        <f>IF(COUNTIF(AC:AC,AA59)*COUNTIF(AE:AE,AA59)*COUNTIF(AG:AG,AA59),AA59,"")</f>
        <v>46132.625</v>
      </c>
      <c r="AJ59" s="3">
        <f t="shared" si="0"/>
        <v>46132.625</v>
      </c>
      <c r="AL59" s="3">
        <v>46125</v>
      </c>
      <c r="AM59" s="5">
        <v>263.03910000000002</v>
      </c>
      <c r="AN59" s="3">
        <v>45860</v>
      </c>
      <c r="AO59" s="4">
        <v>240.12450000000001</v>
      </c>
      <c r="AP59" s="74">
        <v>45860</v>
      </c>
      <c r="AQ59" s="4">
        <v>279.55700000000002</v>
      </c>
      <c r="AR59" s="6">
        <f t="shared" si="1"/>
        <v>45860</v>
      </c>
    </row>
    <row r="60" spans="1:49" x14ac:dyDescent="0.25">
      <c r="A60" s="37">
        <f ca="1">IF(AND(ISBLANK(AK49), A59 = $AK$1),NOW(),IF(ISBLANK(AK49),"",AK49))</f>
        <v>46191.625</v>
      </c>
      <c r="B60" s="38">
        <f ca="1">IF(COUNTIF($AK$2:AK1045,A60)=1,VLOOKUP(A60,AA:AB,2), IF(COUNTIF($AK$2:AK1045,A60)=0,$B$9,""))</f>
        <v>91.01</v>
      </c>
      <c r="C60" s="2">
        <f t="shared" ca="1" si="3"/>
        <v>564200.15672226762</v>
      </c>
      <c r="D60" s="41">
        <f t="shared" ca="1" si="4"/>
        <v>-192125</v>
      </c>
      <c r="E60" s="78" t="str">
        <f ca="1">IF(COUNTIF($U$2:U1045,A60)=1,VLOOKUP(A60,U:V,2), "")</f>
        <v/>
      </c>
      <c r="F60" s="78">
        <f ca="1">IF(COUNTIF($W$2:W1045,A60)=1,VLOOKUP(A60,W:X,2), IF(COUNTIF($W$2:W1045,A60)=0,$E$9,""))</f>
        <v>315.68</v>
      </c>
      <c r="G60" s="93"/>
      <c r="H60" s="93"/>
      <c r="I60" s="38">
        <f ca="1">IF(COUNTIF($AK$2:AK1045,A60)=1,VLOOKUP(A60,AC:AD,2), IF(COUNTIF($AK$2:AK1045,A60)=0,$C$9,""))</f>
        <v>99.582999999999998</v>
      </c>
      <c r="J60" s="2">
        <f t="shared" ca="1" si="5"/>
        <v>13779.999999999292</v>
      </c>
      <c r="K60" s="41">
        <f t="shared" ca="1" si="6"/>
        <v>708.76000000000931</v>
      </c>
      <c r="L60" s="38">
        <f ca="1">IF(COUNTIF($AK$2:AK1045,A60)=1,VLOOKUP(A60,AN:AO,2), IF(COUNTIF($AK$2:AK1045,A60)=0,$D$9,""))</f>
        <v>255.09270000000001</v>
      </c>
      <c r="M60" s="41">
        <f ca="1">IF(ISERROR(L60-2),"",(L60/$L$14-1)*$D$5)</f>
        <v>1004404.9788157037</v>
      </c>
      <c r="N60" s="41">
        <f ca="1">IF($A60="","",IF(COUNTIFS(Dividends!$G:$G,"&gt;"&amp;INT($A59),Dividends!$G:$G,"&lt;="&amp;INT($A60))=0,"",$R$2*SUMIFS(Dividends!$H:$H,Dividends!$G:$G,"&gt;"&amp;INT($A59),Dividends!$G:$G,"&lt;="&amp;INT($A60))))</f>
        <v>391111.60864211351</v>
      </c>
      <c r="O60" s="42">
        <f ca="1">IF(ISERROR(B60-2),"",C60+D60-J60-K60-M60+SUM($N$14:N60))</f>
        <v>-255706.97345132183</v>
      </c>
      <c r="P60" s="80"/>
      <c r="Q60" s="80"/>
      <c r="R60" s="87"/>
      <c r="S60" s="87"/>
      <c r="T60" s="87"/>
      <c r="U60" s="108"/>
      <c r="V60" s="87"/>
      <c r="W60" s="108"/>
      <c r="X60" s="87"/>
      <c r="Y60" s="87"/>
      <c r="AA60" s="3">
        <v>46133.625</v>
      </c>
      <c r="AB60" s="4">
        <v>91.01</v>
      </c>
      <c r="AC60" s="3">
        <v>46129.625</v>
      </c>
      <c r="AD60" s="4">
        <v>99.953999999999994</v>
      </c>
      <c r="AE60" s="3">
        <v>46129.625</v>
      </c>
      <c r="AF60" s="4">
        <v>275.16800000000001</v>
      </c>
      <c r="AG60" s="3">
        <v>46197.625</v>
      </c>
      <c r="AH60" s="4">
        <v>315.52</v>
      </c>
      <c r="AI60" s="3">
        <f>IF(COUNTIF(AC:AC,AA60)*COUNTIF(AE:AE,AA60)*COUNTIF(AG:AG,AA60),AA60,"")</f>
        <v>46133.625</v>
      </c>
      <c r="AJ60" s="3">
        <f t="shared" si="0"/>
        <v>46133.625</v>
      </c>
      <c r="AL60" s="3">
        <v>46126</v>
      </c>
      <c r="AM60" s="5">
        <v>264.6927</v>
      </c>
      <c r="AN60" s="3">
        <v>45861</v>
      </c>
      <c r="AO60" s="4">
        <v>240.6497</v>
      </c>
      <c r="AP60" s="74">
        <v>45861</v>
      </c>
      <c r="AQ60" s="4">
        <v>273.14100000000002</v>
      </c>
      <c r="AR60" s="6">
        <f t="shared" si="1"/>
        <v>45861</v>
      </c>
    </row>
    <row r="61" spans="1:49" x14ac:dyDescent="0.25">
      <c r="A61" s="37">
        <f ca="1">IF(AND(ISBLANK(AK50), A60 = $AK$1),NOW(),IF(ISBLANK(AK50),"",AK50))</f>
        <v>46192.625</v>
      </c>
      <c r="B61" s="38">
        <f ca="1">IF(COUNTIF($AK$2:AK1046,A61)=1,VLOOKUP(A61,AA:AB,2), IF(COUNTIF($AK$2:AK1046,A61)=0,$B$9,""))</f>
        <v>91.05</v>
      </c>
      <c r="C61" s="2">
        <f t="shared" ca="1" si="3"/>
        <v>577633.49378708412</v>
      </c>
      <c r="D61" s="41">
        <f t="shared" ca="1" si="4"/>
        <v>-194333.33333333331</v>
      </c>
      <c r="E61" s="78" t="str">
        <f ca="1">IF(COUNTIF($U$2:U1046,A61)=1,VLOOKUP(A61,U:V,2), "")</f>
        <v/>
      </c>
      <c r="F61" s="78">
        <f ca="1">IF(COUNTIF($W$2:W1046,A61)=1,VLOOKUP(A61,W:X,2), IF(COUNTIF($W$2:W1046,A61)=0,$E$9,""))</f>
        <v>315.88</v>
      </c>
      <c r="G61" s="93"/>
      <c r="H61" s="93"/>
      <c r="I61" s="38">
        <f ca="1">IF(COUNTIF($AK$2:AK1046,A61)=1,VLOOKUP(A61,AC:AD,2), IF(COUNTIF($AK$2:AK1046,A61)=0,$C$9,""))</f>
        <v>99.489000000000004</v>
      </c>
      <c r="J61" s="2">
        <f t="shared" ca="1" si="5"/>
        <v>-10659.999999999172</v>
      </c>
      <c r="K61" s="41">
        <f t="shared" ca="1" si="6"/>
        <v>716.90666666667676</v>
      </c>
      <c r="L61" s="38">
        <f ca="1">IF(COUNTIF($AK$2:AK1046,A61)=1,VLOOKUP(A61,AN:AO,2), IF(COUNTIF($AK$2:AK1046,A61)=0,$D$9,""))</f>
        <v>255.0326</v>
      </c>
      <c r="M61" s="41">
        <f ca="1">IF(ISERROR(L61-2),"",(L61/$L$14-1)*$D$5)</f>
        <v>999762.60865290766</v>
      </c>
      <c r="N61" s="41" t="str">
        <f ca="1">IF($A61="","",IF(COUNTIFS(Dividends!$G:$G,"&gt;"&amp;INT($A60),Dividends!$G:$G,"&lt;="&amp;INT($A61))=0,"",$R$2*SUMIFS(Dividends!$H:$H,Dividends!$G:$G,"&gt;"&amp;INT($A60),Dividends!$G:$G,"&lt;="&amp;INT($A61))))</f>
        <v/>
      </c>
      <c r="O61" s="42">
        <f ca="1">IF(ISERROR(B61-2),"",C61+D61-J61-K61-M61+SUM($N$14:N61))</f>
        <v>-215407.74622371083</v>
      </c>
      <c r="P61" s="80"/>
      <c r="Q61" s="80"/>
      <c r="R61" s="87"/>
      <c r="S61" s="87"/>
      <c r="T61" s="87"/>
      <c r="U61" s="108"/>
      <c r="V61" s="87"/>
      <c r="W61" s="108"/>
      <c r="X61" s="87"/>
      <c r="Y61" s="87"/>
      <c r="AA61" s="3">
        <v>46134.625</v>
      </c>
      <c r="AB61" s="4">
        <v>90.94</v>
      </c>
      <c r="AC61" s="3">
        <v>46132.625</v>
      </c>
      <c r="AD61" s="4">
        <v>99.831000000000003</v>
      </c>
      <c r="AE61" s="3">
        <v>46132.625</v>
      </c>
      <c r="AF61" s="4">
        <v>280.36399999999998</v>
      </c>
      <c r="AI61" s="3">
        <f>IF(COUNTIF(AC:AC,AA61)*COUNTIF(AE:AE,AA61)*COUNTIF(AG:AG,AA61),AA61,"")</f>
        <v>46134.625</v>
      </c>
      <c r="AJ61" s="3">
        <f t="shared" si="0"/>
        <v>46134.625</v>
      </c>
      <c r="AL61" s="3">
        <v>46127</v>
      </c>
      <c r="AM61" s="5">
        <v>264.62900000000002</v>
      </c>
      <c r="AN61" s="3">
        <v>45862</v>
      </c>
      <c r="AO61" s="4">
        <v>241.25620000000001</v>
      </c>
      <c r="AP61" s="74">
        <v>45862</v>
      </c>
      <c r="AQ61" s="4">
        <v>270.69799999999998</v>
      </c>
      <c r="AR61" s="6">
        <f t="shared" si="1"/>
        <v>45862</v>
      </c>
    </row>
    <row r="62" spans="1:49" x14ac:dyDescent="0.25">
      <c r="A62" s="37">
        <f ca="1">IF(AND(ISBLANK(AK51), A61 = $AK$1),NOW(),IF(ISBLANK(AK51),"",AK51))</f>
        <v>46196.625</v>
      </c>
      <c r="B62" s="38">
        <f ca="1">IF(COUNTIF($AK$2:AK1047,A62)=1,VLOOKUP(A62,AA:AB,2), IF(COUNTIF($AK$2:AK1047,A62)=0,$B$9,""))</f>
        <v>91.08</v>
      </c>
      <c r="C62" s="2">
        <f t="shared" ca="1" si="3"/>
        <v>587708.49658569496</v>
      </c>
      <c r="D62" s="41">
        <f t="shared" ca="1" si="4"/>
        <v>-203166.66666666663</v>
      </c>
      <c r="E62" s="78" t="str">
        <f ca="1">IF(COUNTIF($U$2:U1047,A62)=1,VLOOKUP(A62,U:V,2), "")</f>
        <v/>
      </c>
      <c r="F62" s="78">
        <f ca="1">IF(COUNTIF($W$2:W1047,A62)=1,VLOOKUP(A62,W:X,2), IF(COUNTIF($W$2:W1047,A62)=0,$E$9,""))</f>
        <v>315.56</v>
      </c>
      <c r="G62" s="93"/>
      <c r="H62" s="93"/>
      <c r="I62" s="38">
        <f ca="1">IF(COUNTIF($AK$2:AK1047,A62)=1,VLOOKUP(A62,AC:AD,2), IF(COUNTIF($AK$2:AK1047,A62)=0,$C$9,""))</f>
        <v>99.66</v>
      </c>
      <c r="J62" s="2">
        <f t="shared" ca="1" si="5"/>
        <v>33799.999999998821</v>
      </c>
      <c r="K62" s="41">
        <f t="shared" ca="1" si="6"/>
        <v>749.49333333334653</v>
      </c>
      <c r="L62" s="38">
        <f ca="1">IF(COUNTIF($AK$2:AK1047,A62)=1,VLOOKUP(A62,AN:AO,2), IF(COUNTIF($AK$2:AK1047,A62)=0,$D$9,""))</f>
        <v>255.2808</v>
      </c>
      <c r="M62" s="41">
        <f ca="1">IF(ISERROR(L62-2),"",(L62/$L$14-1)*$D$5)</f>
        <v>1018934.5932520066</v>
      </c>
      <c r="N62" s="41" t="str">
        <f ca="1">IF($A62="","",IF(COUNTIFS(Dividends!$G:$G,"&gt;"&amp;INT($A61),Dividends!$G:$G,"&lt;="&amp;INT($A62))=0,"",$R$2*SUMIFS(Dividends!$H:$H,Dividends!$G:$G,"&gt;"&amp;INT($A61),Dividends!$G:$G,"&lt;="&amp;INT($A62))))</f>
        <v/>
      </c>
      <c r="O62" s="42">
        <f ca="1">IF(ISERROR(B62-2),"",C62+D62-J62-K62-M62+SUM($N$14:N62))</f>
        <v>-277830.64802419685</v>
      </c>
      <c r="P62" s="80"/>
      <c r="Q62" s="80"/>
      <c r="R62" s="87"/>
      <c r="S62" s="87"/>
      <c r="T62" s="87"/>
      <c r="U62" s="108"/>
      <c r="V62" s="87"/>
      <c r="W62" s="108"/>
      <c r="X62" s="87"/>
      <c r="Y62" s="87"/>
      <c r="AA62" s="3">
        <v>46135.625</v>
      </c>
      <c r="AB62" s="4">
        <v>90.99</v>
      </c>
      <c r="AC62" s="3">
        <v>46133.625</v>
      </c>
      <c r="AD62" s="4">
        <v>99.707999999999998</v>
      </c>
      <c r="AE62" s="3">
        <v>46133.625</v>
      </c>
      <c r="AF62" s="4">
        <v>285.44799999999998</v>
      </c>
      <c r="AI62" s="3" t="str">
        <f>IF(COUNTIF(AC:AC,AA62)*COUNTIF(AE:AE,AA62)*COUNTIF(AG:AG,AA62),AA62,"")</f>
        <v/>
      </c>
      <c r="AJ62" s="3" t="str">
        <f t="shared" si="0"/>
        <v/>
      </c>
      <c r="AL62" s="3">
        <v>46128</v>
      </c>
      <c r="AM62" s="5">
        <v>264.24419999999998</v>
      </c>
      <c r="AN62" s="3">
        <v>45863</v>
      </c>
      <c r="AO62" s="4">
        <v>241.32810000000001</v>
      </c>
      <c r="AP62" s="74">
        <v>45863</v>
      </c>
      <c r="AQ62" s="4">
        <v>269.24400000000003</v>
      </c>
      <c r="AR62" s="6">
        <f t="shared" si="1"/>
        <v>45863</v>
      </c>
    </row>
    <row r="63" spans="1:49" x14ac:dyDescent="0.25">
      <c r="A63" s="37">
        <f ca="1">IF(AND(ISBLANK(AK52), A62 = $AK$1),NOW(),IF(ISBLANK(AK52),"",AK52))</f>
        <v>46197.625</v>
      </c>
      <c r="B63" s="38">
        <f ca="1">IF(COUNTIF($AK$2:AK1048,A63)=1,VLOOKUP(A63,AA:AB,2), IF(COUNTIF($AK$2:AK1048,A63)=0,$B$9,""))</f>
        <v>91.03</v>
      </c>
      <c r="C63" s="2">
        <f t="shared" ca="1" si="3"/>
        <v>570916.82525467256</v>
      </c>
      <c r="D63" s="41">
        <f t="shared" ca="1" si="4"/>
        <v>-205375.00000000003</v>
      </c>
      <c r="E63" s="78" t="str">
        <f ca="1">IF(COUNTIF($U$2:U1048,A63)=1,VLOOKUP(A63,U:V,2), "")</f>
        <v/>
      </c>
      <c r="F63" s="78">
        <f ca="1">IF(COUNTIF($W$2:W1048,A63)=1,VLOOKUP(A63,W:X,2), IF(COUNTIF($W$2:W1048,A63)=0,$E$9,""))</f>
        <v>315.52</v>
      </c>
      <c r="G63" s="93"/>
      <c r="H63" s="93"/>
      <c r="I63" s="38">
        <f ca="1">IF(COUNTIF($AK$2:AK1048,A63)=1,VLOOKUP(A63,AC:AD,2), IF(COUNTIF($AK$2:AK1048,A63)=0,$C$9,""))</f>
        <v>99.724999999999994</v>
      </c>
      <c r="J63" s="2">
        <f t="shared" ca="1" si="5"/>
        <v>50699.999999998225</v>
      </c>
      <c r="K63" s="41">
        <f t="shared" ca="1" si="6"/>
        <v>757.63999999998487</v>
      </c>
      <c r="L63" s="38">
        <f ca="1">IF(COUNTIF($AK$2:AK1048,A63)=1,VLOOKUP(A63,AN:AO,2), IF(COUNTIF($AK$2:AK1048,A63)=0,$D$9,""))</f>
        <v>255.37479999999999</v>
      </c>
      <c r="M63" s="41">
        <f ca="1">IF(ISERROR(L63-2),"",(L63/$L$14-1)*$D$5)</f>
        <v>1026195.5382653612</v>
      </c>
      <c r="N63" s="41" t="str">
        <f ca="1">IF($A63="","",IF(COUNTIFS(Dividends!$G:$G,"&gt;"&amp;INT($A62),Dividends!$G:$G,"&lt;="&amp;INT($A63))=0,"",$R$2*SUMIFS(Dividends!$H:$H,Dividends!$G:$G,"&gt;"&amp;INT($A62),Dividends!$G:$G,"&lt;="&amp;INT($A63))))</f>
        <v/>
      </c>
      <c r="O63" s="42">
        <f ca="1">IF(ISERROR(B63-2),"",C63+D63-J63-K63-M63+SUM($N$14:N63))</f>
        <v>-320999.74436857342</v>
      </c>
      <c r="P63" s="80"/>
      <c r="Q63" s="80"/>
      <c r="R63" s="87"/>
      <c r="S63" s="87"/>
      <c r="T63" s="87"/>
      <c r="U63" s="108"/>
      <c r="V63" s="87"/>
      <c r="W63" s="108"/>
      <c r="X63" s="87"/>
      <c r="Y63" s="87"/>
      <c r="AA63" s="3">
        <v>46136.625</v>
      </c>
      <c r="AB63" s="4">
        <v>90.93</v>
      </c>
      <c r="AC63" s="3">
        <v>46134.625</v>
      </c>
      <c r="AD63" s="4">
        <v>99.655000000000001</v>
      </c>
      <c r="AE63" s="3">
        <v>46134.625</v>
      </c>
      <c r="AF63" s="4">
        <v>285.53500000000003</v>
      </c>
      <c r="AI63" s="3">
        <f>IF(COUNTIF(AC:AC,AA63)*COUNTIF(AE:AE,AA63)*COUNTIF(AG:AG,AA63),AA63,"")</f>
        <v>46136.625</v>
      </c>
      <c r="AJ63" s="3">
        <f t="shared" si="0"/>
        <v>46136.625</v>
      </c>
      <c r="AL63" s="3">
        <v>46129</v>
      </c>
      <c r="AM63" s="5">
        <v>265.60180000000003</v>
      </c>
      <c r="AN63" s="3">
        <v>45866</v>
      </c>
      <c r="AO63" s="4">
        <v>241.53149999999999</v>
      </c>
      <c r="AP63" s="74">
        <v>45866</v>
      </c>
      <c r="AQ63" s="4">
        <v>267.81099999999998</v>
      </c>
      <c r="AR63" s="6">
        <f t="shared" si="1"/>
        <v>45866</v>
      </c>
      <c r="AW63" s="7"/>
    </row>
    <row r="64" spans="1:49" x14ac:dyDescent="0.25">
      <c r="A64" s="37">
        <f ca="1">IF(AND(ISBLANK(AK53), A63 = $AK$1),NOW(),IF(ISBLANK(AK53),"",AK53))</f>
        <v>46199.367899884259</v>
      </c>
      <c r="B64" s="38">
        <f ca="1">IF(COUNTIF($AK$2:AK1049,A64)=1,VLOOKUP(A64,AA:AB,2), IF(COUNTIF($AK$2:AK1049,A64)=0,$B$9,""))</f>
        <v>91.07</v>
      </c>
      <c r="C64" s="2">
        <f t="shared" ca="1" si="3"/>
        <v>584350.16231948906</v>
      </c>
      <c r="D64" s="41">
        <f t="shared" ca="1" si="4"/>
        <v>-209791.66666666666</v>
      </c>
      <c r="E64" s="78" t="str">
        <f ca="1">IF(COUNTIF($U$2:U1049,A64)=1,VLOOKUP(A64,U:V,2), "")</f>
        <v/>
      </c>
      <c r="F64" s="78">
        <f ca="1">IF(COUNTIF($W$2:W1049,A64)=1,VLOOKUP(A64,W:X,2), IF(COUNTIF($W$2:W1049,A64)=0,$E$9,""))</f>
        <v>315.95999999999998</v>
      </c>
      <c r="G64" s="93"/>
      <c r="H64" s="93"/>
      <c r="I64" s="38">
        <f ca="1">IF(COUNTIF($AK$2:AK1049,A64)=1,VLOOKUP(A64,AC:AD,2), IF(COUNTIF($AK$2:AK1049,A64)=0,$C$9,""))</f>
        <v>99.774000000000001</v>
      </c>
      <c r="J64" s="2">
        <f t="shared" ca="1" si="5"/>
        <v>63439.999999999942</v>
      </c>
      <c r="K64" s="41">
        <f t="shared" ca="1" si="6"/>
        <v>773.93333333331975</v>
      </c>
      <c r="L64" s="38">
        <f ca="1">IF(COUNTIF($AK$2:AK1049,A64)=1,VLOOKUP(A64,AN:AO,2), IF(COUNTIF($AK$2:AK1049,A64)=0,$D$9,""))</f>
        <v>249.3082</v>
      </c>
      <c r="M64" s="41">
        <f ca="1">IF(ISERROR(L64-2),"",(L64/$L$14-1)*$D$5)</f>
        <v>557586.50615866727</v>
      </c>
      <c r="N64" s="41" t="str">
        <f ca="1">IF($A64="","",IF(COUNTIFS(Dividends!$G:$G,"&gt;"&amp;INT($A63),Dividends!$G:$G,"&lt;="&amp;INT($A64))=0,"",$R$2*SUMIFS(Dividends!$H:$H,Dividends!$G:$G,"&gt;"&amp;INT($A63),Dividends!$G:$G,"&lt;="&amp;INT($A64))))</f>
        <v/>
      </c>
      <c r="O64" s="42">
        <f ca="1">IF(ISERROR(B64-2),"",C64+D64-J64-K64-M64+SUM($N$14:N64))</f>
        <v>143869.66480293544</v>
      </c>
      <c r="P64" s="80"/>
      <c r="Q64" s="80"/>
      <c r="R64" s="87"/>
      <c r="S64" s="87"/>
      <c r="T64" s="87"/>
      <c r="U64" s="108"/>
      <c r="V64" s="87"/>
      <c r="W64" s="108"/>
      <c r="X64" s="87"/>
      <c r="Y64" s="87"/>
      <c r="AA64" s="3">
        <v>46139.625</v>
      </c>
      <c r="AB64" s="4">
        <v>90.97</v>
      </c>
      <c r="AC64" s="3">
        <v>46135.625</v>
      </c>
      <c r="AD64" s="4">
        <v>99.626999999999995</v>
      </c>
      <c r="AE64" s="3">
        <v>46135.625</v>
      </c>
      <c r="AF64" s="4">
        <v>284.40800000000002</v>
      </c>
      <c r="AI64" s="3">
        <f>IF(COUNTIF(AC:AC,AA64)*COUNTIF(AE:AE,AA64)*COUNTIF(AG:AG,AA64),AA64,"")</f>
        <v>46139.625</v>
      </c>
      <c r="AJ64" s="3">
        <f t="shared" si="0"/>
        <v>46139.625</v>
      </c>
      <c r="AL64" s="3">
        <v>46132</v>
      </c>
      <c r="AM64" s="5">
        <v>265.2414</v>
      </c>
      <c r="AN64" s="3">
        <v>45867</v>
      </c>
      <c r="AO64" s="19">
        <v>241.9485</v>
      </c>
      <c r="AP64" s="75">
        <v>45867</v>
      </c>
      <c r="AQ64" s="19">
        <v>264.29199999999997</v>
      </c>
      <c r="AR64" s="6">
        <f t="shared" si="1"/>
        <v>45867</v>
      </c>
      <c r="AS64" s="19"/>
      <c r="AT64" s="19"/>
      <c r="AU64" s="19"/>
      <c r="AV64" s="43"/>
      <c r="AW64" s="7"/>
    </row>
    <row r="65" spans="1:49" x14ac:dyDescent="0.25">
      <c r="A65" s="37" t="str">
        <f ca="1">IF(AND(ISBLANK(AK54), A64 = $AK$1),NOW(),IF(ISBLANK(AK54),"",AK54))</f>
        <v/>
      </c>
      <c r="B65" s="38" t="str">
        <f ca="1">IF(COUNTIF($AK$2:AK1050,A65)=1,VLOOKUP(A65,AA:AB,2), IF(COUNTIF($AK$2:AK1050,A65)=0,$B$9,""))</f>
        <v/>
      </c>
      <c r="C65" s="2" t="str">
        <f t="shared" ca="1" si="3"/>
        <v/>
      </c>
      <c r="D65" s="41" t="str">
        <f t="shared" ca="1" si="4"/>
        <v/>
      </c>
      <c r="E65" s="78" t="str">
        <f ca="1">IF(COUNTIF($U$2:U1050,A65)=1,VLOOKUP(A65,U:V,2), "")</f>
        <v/>
      </c>
      <c r="F65" s="78" t="str">
        <f ca="1">IF(COUNTIF($W$2:W1050,A65)=1,VLOOKUP(A65,W:X,2), IF(COUNTIF($W$2:W1050,A65)=0,$E$9,""))</f>
        <v/>
      </c>
      <c r="G65" s="93"/>
      <c r="H65" s="93"/>
      <c r="I65" s="38" t="str">
        <f ca="1">IF(COUNTIF($AK$2:AK1050,A65)=1,VLOOKUP(A65,AC:AD,2), IF(COUNTIF($AK$2:AK1050,A65)=0,$C$9,""))</f>
        <v/>
      </c>
      <c r="J65" s="2" t="str">
        <f t="shared" ca="1" si="5"/>
        <v/>
      </c>
      <c r="K65" s="41" t="str">
        <f t="shared" ca="1" si="6"/>
        <v/>
      </c>
      <c r="L65" s="38" t="str">
        <f ca="1">IF(COUNTIF($AK$2:AK1050,A65)=1,VLOOKUP(A65,AN:AO,2), IF(COUNTIF($AK$2:AK1050,A65)=0,$D$9,""))</f>
        <v/>
      </c>
      <c r="M65" s="41" t="str">
        <f ca="1">IF(ISERROR(L65-2),"",(L65/$L$14-1)*$D$5)</f>
        <v/>
      </c>
      <c r="N65" s="41" t="str">
        <f ca="1">IF($A65="","",IF(COUNTIFS(Dividends!$G:$G,"&gt;"&amp;INT($A64),Dividends!$G:$G,"&lt;="&amp;INT($A65))=0,"",$R$2*SUMIFS(Dividends!$H:$H,Dividends!$G:$G,"&gt;"&amp;INT($A64),Dividends!$G:$G,"&lt;="&amp;INT($A65))))</f>
        <v/>
      </c>
      <c r="O65" s="42" t="str">
        <f ca="1">IF(ISERROR(B65-2),"",C65+D65-J65-K65-M65+SUM($N$14:N65))</f>
        <v/>
      </c>
      <c r="P65" s="80"/>
      <c r="Q65" s="80"/>
      <c r="R65" s="87"/>
      <c r="S65" s="87"/>
      <c r="T65" s="87"/>
      <c r="U65" s="108"/>
      <c r="V65" s="87"/>
      <c r="W65" s="108"/>
      <c r="X65" s="87"/>
      <c r="Y65" s="87"/>
      <c r="AA65" s="3">
        <v>46140.625</v>
      </c>
      <c r="AB65" s="4">
        <v>90.69</v>
      </c>
      <c r="AC65" s="3">
        <v>46136.625</v>
      </c>
      <c r="AD65" s="4">
        <v>99.637</v>
      </c>
      <c r="AE65" s="3">
        <v>46136.625</v>
      </c>
      <c r="AF65" s="4">
        <v>288.863</v>
      </c>
      <c r="AI65" s="3">
        <f>IF(COUNTIF(AC:AC,AA65)*COUNTIF(AE:AE,AA65)*COUNTIF(AG:AG,AA65),AA65,"")</f>
        <v>46140.625</v>
      </c>
      <c r="AJ65" s="3">
        <f t="shared" si="0"/>
        <v>46140.625</v>
      </c>
      <c r="AL65" s="3">
        <v>46133</v>
      </c>
      <c r="AM65" s="5">
        <v>264.60359999999997</v>
      </c>
      <c r="AN65" s="3">
        <v>45868</v>
      </c>
      <c r="AO65" s="19">
        <v>241.70859999999999</v>
      </c>
      <c r="AP65" s="76">
        <v>45868</v>
      </c>
      <c r="AQ65" s="20">
        <v>266.43200000000002</v>
      </c>
      <c r="AR65" s="6">
        <f t="shared" si="1"/>
        <v>45868</v>
      </c>
      <c r="AS65" s="20"/>
      <c r="AT65" s="20"/>
      <c r="AU65" s="20"/>
      <c r="AV65" s="20"/>
      <c r="AW65" s="7"/>
    </row>
    <row r="66" spans="1:49" x14ac:dyDescent="0.25">
      <c r="A66" s="37" t="str">
        <f ca="1">IF(AND(ISBLANK(AK55), A65 = $AK$1),NOW(),IF(ISBLANK(AK55),"",AK55))</f>
        <v/>
      </c>
      <c r="B66" s="38" t="str">
        <f ca="1">IF(COUNTIF($AK$2:AK1051,A66)=1,VLOOKUP(A66,AA:AB,2), IF(COUNTIF($AK$2:AK1051,A66)=0,$B$9,""))</f>
        <v/>
      </c>
      <c r="C66" s="2" t="str">
        <f t="shared" ca="1" si="3"/>
        <v/>
      </c>
      <c r="D66" s="41" t="str">
        <f t="shared" ca="1" si="4"/>
        <v/>
      </c>
      <c r="E66" s="78" t="str">
        <f ca="1">IF(COUNTIF($U$2:U1051,A66)=1,VLOOKUP(A66,U:V,2), "")</f>
        <v/>
      </c>
      <c r="F66" s="78" t="str">
        <f ca="1">IF(COUNTIF($W$2:W1051,A66)=1,VLOOKUP(A66,W:X,2), IF(COUNTIF($W$2:W1051,A66)=0,$E$9,""))</f>
        <v/>
      </c>
      <c r="G66" s="93"/>
      <c r="H66" s="93"/>
      <c r="I66" s="38" t="str">
        <f ca="1">IF(COUNTIF($AK$2:AK1051,A66)=1,VLOOKUP(A66,AC:AD,2), IF(COUNTIF($AK$2:AK1051,A66)=0,$C$9,""))</f>
        <v/>
      </c>
      <c r="J66" s="2" t="str">
        <f t="shared" ca="1" si="5"/>
        <v/>
      </c>
      <c r="K66" s="41" t="str">
        <f t="shared" ca="1" si="6"/>
        <v/>
      </c>
      <c r="L66" s="38" t="str">
        <f ca="1">IF(COUNTIF($AK$2:AK1051,A66)=1,VLOOKUP(A66,AN:AO,2), IF(COUNTIF($AK$2:AK1051,A66)=0,$D$9,""))</f>
        <v/>
      </c>
      <c r="M66" s="41" t="str">
        <f ca="1">IF(ISERROR(L66-2),"",(L66/$L$14-1)*$D$5)</f>
        <v/>
      </c>
      <c r="N66" s="41" t="str">
        <f ca="1">IF($A66="","",IF(COUNTIFS(Dividends!$G:$G,"&gt;"&amp;INT($A65),Dividends!$G:$G,"&lt;="&amp;INT($A66))=0,"",$R$2*SUMIFS(Dividends!$H:$H,Dividends!$G:$G,"&gt;"&amp;INT($A65),Dividends!$G:$G,"&lt;="&amp;INT($A66))))</f>
        <v/>
      </c>
      <c r="O66" s="42" t="str">
        <f ca="1">IF(ISERROR(B66-2),"",C66+D66-J66-K66-M66+SUM($N$14:N66))</f>
        <v/>
      </c>
      <c r="P66" s="80"/>
      <c r="Q66" s="80"/>
      <c r="R66" s="87"/>
      <c r="S66" s="87"/>
      <c r="T66" s="87"/>
      <c r="U66" s="108"/>
      <c r="V66" s="87"/>
      <c r="W66" s="108"/>
      <c r="X66" s="87"/>
      <c r="Y66" s="87"/>
      <c r="AA66" s="3">
        <v>46141.625</v>
      </c>
      <c r="AB66" s="4">
        <v>90.76</v>
      </c>
      <c r="AC66" s="3">
        <v>46139.625</v>
      </c>
      <c r="AD66" s="4">
        <v>99.608000000000004</v>
      </c>
      <c r="AE66" s="3">
        <v>46139.625</v>
      </c>
      <c r="AF66" s="4">
        <v>289.209</v>
      </c>
      <c r="AI66" s="3">
        <f>IF(COUNTIF(AC:AC,AA66)*COUNTIF(AE:AE,AA66)*COUNTIF(AG:AG,AA66),AA66,"")</f>
        <v>46141.625</v>
      </c>
      <c r="AJ66" s="3">
        <f t="shared" si="0"/>
        <v>46141.625</v>
      </c>
      <c r="AL66" s="3">
        <v>46134</v>
      </c>
      <c r="AM66" s="5">
        <v>264.55340000000001</v>
      </c>
      <c r="AN66" s="3">
        <v>45869</v>
      </c>
      <c r="AO66" s="19">
        <v>241.51009999999999</v>
      </c>
      <c r="AP66" s="76">
        <v>45869</v>
      </c>
      <c r="AQ66" s="20">
        <v>268.46899999999999</v>
      </c>
      <c r="AR66" s="6">
        <f t="shared" si="1"/>
        <v>45869</v>
      </c>
      <c r="AS66" s="20"/>
      <c r="AT66" s="20"/>
      <c r="AU66" s="20"/>
      <c r="AV66" s="20"/>
      <c r="AW66" s="7"/>
    </row>
    <row r="67" spans="1:49" x14ac:dyDescent="0.25">
      <c r="A67" s="37" t="str">
        <f ca="1">IF(AND(ISBLANK(AK56), A66 = $AK$1),NOW(),IF(ISBLANK(AK56),"",AK56))</f>
        <v/>
      </c>
      <c r="B67" s="38" t="str">
        <f ca="1">IF(COUNTIF($AK$2:AK1052,A67)=1,VLOOKUP(A67,AA:AB,2), IF(COUNTIF($AK$2:AK1052,A67)=0,$B$9,""))</f>
        <v/>
      </c>
      <c r="C67" s="2" t="str">
        <f t="shared" ca="1" si="3"/>
        <v/>
      </c>
      <c r="D67" s="41" t="str">
        <f t="shared" ca="1" si="4"/>
        <v/>
      </c>
      <c r="E67" s="78" t="str">
        <f ca="1">IF(COUNTIF($U$2:U1052,A67)=1,VLOOKUP(A67,U:V,2), "")</f>
        <v/>
      </c>
      <c r="F67" s="78" t="str">
        <f ca="1">IF(COUNTIF($W$2:W1052,A67)=1,VLOOKUP(A67,W:X,2), IF(COUNTIF($W$2:W1052,A67)=0,$E$9,""))</f>
        <v/>
      </c>
      <c r="G67" s="93"/>
      <c r="H67" s="93"/>
      <c r="I67" s="38" t="str">
        <f ca="1">IF(COUNTIF($AK$2:AK1052,A67)=1,VLOOKUP(A67,AC:AD,2), IF(COUNTIF($AK$2:AK1052,A67)=0,$C$9,""))</f>
        <v/>
      </c>
      <c r="J67" s="2" t="str">
        <f t="shared" ca="1" si="5"/>
        <v/>
      </c>
      <c r="K67" s="41" t="str">
        <f t="shared" ca="1" si="6"/>
        <v/>
      </c>
      <c r="L67" s="38" t="str">
        <f ca="1">IF(COUNTIF($AK$2:AK1052,A67)=1,VLOOKUP(A67,AN:AO,2), IF(COUNTIF($AK$2:AK1052,A67)=0,$D$9,""))</f>
        <v/>
      </c>
      <c r="M67" s="41" t="str">
        <f ca="1">IF(ISERROR(L67-2),"",(L67/$L$14-1)*$D$5)</f>
        <v/>
      </c>
      <c r="N67" s="41" t="str">
        <f ca="1">IF($A67="","",IF(COUNTIFS(Dividends!$G:$G,"&gt;"&amp;INT($A66),Dividends!$G:$G,"&lt;="&amp;INT($A67))=0,"",$R$2*SUMIFS(Dividends!$H:$H,Dividends!$G:$G,"&gt;"&amp;INT($A66),Dividends!$G:$G,"&lt;="&amp;INT($A67))))</f>
        <v/>
      </c>
      <c r="O67" s="42" t="str">
        <f ca="1">IF(ISERROR(B67-2),"",C67+D67-J67-K67-M67+SUM($N$14:N67))</f>
        <v/>
      </c>
      <c r="P67" s="80"/>
      <c r="Q67" s="80"/>
      <c r="R67" s="87"/>
      <c r="S67" s="87"/>
      <c r="T67" s="87"/>
      <c r="U67" s="108"/>
      <c r="V67" s="87"/>
      <c r="W67" s="108"/>
      <c r="X67" s="87"/>
      <c r="Y67" s="87"/>
      <c r="AA67" s="3">
        <v>46142.625</v>
      </c>
      <c r="AB67" s="4">
        <v>90.81</v>
      </c>
      <c r="AC67" s="3">
        <v>46140.625</v>
      </c>
      <c r="AD67" s="4">
        <v>99.456000000000003</v>
      </c>
      <c r="AE67" s="3">
        <v>46140.625</v>
      </c>
      <c r="AF67" s="4">
        <v>291.65699999999998</v>
      </c>
      <c r="AI67" s="3">
        <f>IF(COUNTIF(AC:AC,AA67)*COUNTIF(AE:AE,AA67)*COUNTIF(AG:AG,AA67),AA67,"")</f>
        <v>46142.625</v>
      </c>
      <c r="AJ67" s="3">
        <f t="shared" si="0"/>
        <v>46142.625</v>
      </c>
      <c r="AL67" s="3">
        <v>46135</v>
      </c>
      <c r="AM67" s="5">
        <v>264.38159999999999</v>
      </c>
      <c r="AN67" s="3">
        <v>45870</v>
      </c>
      <c r="AO67" s="19">
        <v>240.1619</v>
      </c>
      <c r="AP67" s="76">
        <v>45870</v>
      </c>
      <c r="AQ67" s="20">
        <v>279.928</v>
      </c>
      <c r="AR67" s="6">
        <f t="shared" si="1"/>
        <v>45870</v>
      </c>
      <c r="AS67" s="20"/>
      <c r="AT67" s="20"/>
      <c r="AU67" s="20"/>
      <c r="AV67" s="20"/>
      <c r="AW67" s="7"/>
    </row>
    <row r="68" spans="1:49" x14ac:dyDescent="0.25">
      <c r="A68" s="37" t="str">
        <f ca="1">IF(AND(ISBLANK(AK57), A67 = $AK$1),NOW(),IF(ISBLANK(AK57),"",AK57))</f>
        <v/>
      </c>
      <c r="B68" s="38" t="str">
        <f ca="1">IF(COUNTIF($AK$2:AK1053,A68)=1,VLOOKUP(A68,AA:AB,2), IF(COUNTIF($AK$2:AK1053,A68)=0,$B$9,""))</f>
        <v/>
      </c>
      <c r="C68" s="2" t="str">
        <f t="shared" ca="1" si="3"/>
        <v/>
      </c>
      <c r="D68" s="41" t="str">
        <f t="shared" ca="1" si="4"/>
        <v/>
      </c>
      <c r="E68" s="78" t="str">
        <f ca="1">IF(COUNTIF($U$2:U1053,A68)=1,VLOOKUP(A68,U:V,2), "")</f>
        <v/>
      </c>
      <c r="F68" s="78" t="str">
        <f ca="1">IF(COUNTIF($W$2:W1053,A68)=1,VLOOKUP(A68,W:X,2), IF(COUNTIF($W$2:W1053,A68)=0,$E$9,""))</f>
        <v/>
      </c>
      <c r="G68" s="93"/>
      <c r="H68" s="93"/>
      <c r="I68" s="38" t="str">
        <f ca="1">IF(COUNTIF($AK$2:AK1053,A68)=1,VLOOKUP(A68,AC:AD,2), IF(COUNTIF($AK$2:AK1053,A68)=0,$C$9,""))</f>
        <v/>
      </c>
      <c r="J68" s="2" t="str">
        <f t="shared" ca="1" si="5"/>
        <v/>
      </c>
      <c r="K68" s="41" t="str">
        <f t="shared" ca="1" si="6"/>
        <v/>
      </c>
      <c r="L68" s="38" t="str">
        <f ca="1">IF(COUNTIF($AK$2:AK1053,A68)=1,VLOOKUP(A68,AN:AO,2), IF(COUNTIF($AK$2:AK1053,A68)=0,$D$9,""))</f>
        <v/>
      </c>
      <c r="M68" s="41" t="str">
        <f ca="1">IF(ISERROR(L68-2),"",(L68/$L$14-1)*$D$5)</f>
        <v/>
      </c>
      <c r="N68" s="41" t="str">
        <f ca="1">IF($A68="","",IF(COUNTIFS(Dividends!$G:$G,"&gt;"&amp;INT($A67),Dividends!$G:$G,"&lt;="&amp;INT($A68))=0,"",$R$2*SUMIFS(Dividends!$H:$H,Dividends!$G:$G,"&gt;"&amp;INT($A67),Dividends!$G:$G,"&lt;="&amp;INT($A68))))</f>
        <v/>
      </c>
      <c r="O68" s="42" t="str">
        <f ca="1">IF(ISERROR(B68-2),"",C68+D68-J68-K68-M68+SUM($N$14:N68))</f>
        <v/>
      </c>
      <c r="P68" s="80"/>
      <c r="Q68" s="80"/>
      <c r="R68" s="87"/>
      <c r="S68" s="87"/>
      <c r="T68" s="87"/>
      <c r="U68" s="108"/>
      <c r="V68" s="87"/>
      <c r="W68" s="108"/>
      <c r="X68" s="87"/>
      <c r="Y68" s="87"/>
      <c r="AA68" s="3">
        <v>46147.625</v>
      </c>
      <c r="AB68" s="4">
        <v>90.89</v>
      </c>
      <c r="AC68" s="3">
        <v>46141.625</v>
      </c>
      <c r="AD68" s="4">
        <v>99.296000000000006</v>
      </c>
      <c r="AE68" s="3">
        <v>46141.625</v>
      </c>
      <c r="AF68" s="4">
        <v>294.57900000000001</v>
      </c>
      <c r="AI68" s="3">
        <f>IF(COUNTIF(AC:AC,AA68)*COUNTIF(AE:AE,AA68)*COUNTIF(AG:AG,AA68),AA68,"")</f>
        <v>46147.625</v>
      </c>
      <c r="AJ68" s="3">
        <f t="shared" ref="AJ68:AJ131" si="7">IF(AI68&gt;=$A$14,AI68,"")</f>
        <v>46147.625</v>
      </c>
      <c r="AL68" s="3">
        <v>46136</v>
      </c>
      <c r="AM68" s="5">
        <v>264.2679</v>
      </c>
      <c r="AN68" s="3">
        <v>45873</v>
      </c>
      <c r="AO68" s="19">
        <v>240.82929999999999</v>
      </c>
      <c r="AP68" s="76">
        <v>45873</v>
      </c>
      <c r="AQ68" s="20">
        <v>275.71300000000002</v>
      </c>
      <c r="AR68" s="6">
        <f t="shared" ref="AR68:AR131" si="8">IF(COUNTIF(AP:AP,AN68),AN68,"")</f>
        <v>45873</v>
      </c>
      <c r="AS68" s="20"/>
      <c r="AT68" s="20"/>
      <c r="AU68" s="20"/>
      <c r="AV68" s="20"/>
      <c r="AW68" s="7"/>
    </row>
    <row r="69" spans="1:49" x14ac:dyDescent="0.25">
      <c r="A69" s="37" t="str">
        <f ca="1">IF(AND(ISBLANK(AK58), A68 = $AK$1),NOW(),IF(ISBLANK(AK58),"",AK58))</f>
        <v/>
      </c>
      <c r="B69" s="38" t="str">
        <f ca="1">IF(COUNTIF($AK$2:AK1054,A69)=1,VLOOKUP(A69,AA:AB,2), IF(COUNTIF($AK$2:AK1054,A69)=0,$B$9,""))</f>
        <v/>
      </c>
      <c r="C69" s="2" t="str">
        <f t="shared" ca="1" si="3"/>
        <v/>
      </c>
      <c r="D69" s="41" t="str">
        <f t="shared" ca="1" si="4"/>
        <v/>
      </c>
      <c r="E69" s="78" t="str">
        <f ca="1">IF(COUNTIF($U$2:U1054,A69)=1,VLOOKUP(A69,U:V,2), "")</f>
        <v/>
      </c>
      <c r="F69" s="78" t="str">
        <f ca="1">IF(COUNTIF($W$2:W1054,A69)=1,VLOOKUP(A69,W:X,2), IF(COUNTIF($W$2:W1054,A69)=0,$E$9,""))</f>
        <v/>
      </c>
      <c r="G69" s="93"/>
      <c r="H69" s="93"/>
      <c r="I69" s="38" t="str">
        <f ca="1">IF(COUNTIF($AK$2:AK1054,A69)=1,VLOOKUP(A69,AC:AD,2), IF(COUNTIF($AK$2:AK1054,A69)=0,$C$9,""))</f>
        <v/>
      </c>
      <c r="J69" s="2" t="str">
        <f t="shared" ca="1" si="5"/>
        <v/>
      </c>
      <c r="K69" s="41" t="str">
        <f t="shared" ca="1" si="6"/>
        <v/>
      </c>
      <c r="L69" s="38" t="str">
        <f ca="1">IF(COUNTIF($AK$2:AK1054,A69)=1,VLOOKUP(A69,AN:AO,2), IF(COUNTIF($AK$2:AK1054,A69)=0,$D$9,""))</f>
        <v/>
      </c>
      <c r="M69" s="41" t="str">
        <f ca="1">IF(ISERROR(L69-2),"",(L69/$L$14-1)*$D$5)</f>
        <v/>
      </c>
      <c r="N69" s="41" t="str">
        <f ca="1">IF($A69="","",IF(COUNTIFS(Dividends!$G:$G,"&gt;"&amp;INT($A68),Dividends!$G:$G,"&lt;="&amp;INT($A69))=0,"",$R$2*SUMIFS(Dividends!$H:$H,Dividends!$G:$G,"&gt;"&amp;INT($A68),Dividends!$G:$G,"&lt;="&amp;INT($A69))))</f>
        <v/>
      </c>
      <c r="O69" s="42" t="str">
        <f ca="1">IF(ISERROR(B69-2),"",C69+D69-J69-K69-M69+SUM($N$14:N69))</f>
        <v/>
      </c>
      <c r="P69" s="80"/>
      <c r="Q69" s="80"/>
      <c r="R69" s="87"/>
      <c r="S69" s="87"/>
      <c r="T69" s="87"/>
      <c r="U69" s="108"/>
      <c r="V69" s="87"/>
      <c r="W69" s="108"/>
      <c r="X69" s="87"/>
      <c r="Y69" s="87"/>
      <c r="AA69" s="3">
        <v>46148.625</v>
      </c>
      <c r="AB69" s="4">
        <v>91.41</v>
      </c>
      <c r="AC69" s="3">
        <v>46142.625</v>
      </c>
      <c r="AD69" s="4">
        <v>99.435000000000002</v>
      </c>
      <c r="AE69" s="3">
        <v>46142.625</v>
      </c>
      <c r="AF69" s="4">
        <v>292.42099999999999</v>
      </c>
      <c r="AI69" s="3">
        <f>IF(COUNTIF(AC:AC,AA69)*COUNTIF(AE:AE,AA69)*COUNTIF(AG:AG,AA69),AA69,"")</f>
        <v>46148.625</v>
      </c>
      <c r="AJ69" s="3">
        <f t="shared" si="7"/>
        <v>46148.625</v>
      </c>
      <c r="AL69" s="3">
        <v>46139</v>
      </c>
      <c r="AM69" s="5">
        <v>264.16750000000002</v>
      </c>
      <c r="AN69" s="3">
        <v>45874</v>
      </c>
      <c r="AO69" s="19">
        <v>240.89189999999999</v>
      </c>
      <c r="AP69" s="76">
        <v>45874</v>
      </c>
      <c r="AQ69" s="20">
        <v>275.75200000000001</v>
      </c>
      <c r="AR69" s="6">
        <f t="shared" si="8"/>
        <v>45874</v>
      </c>
      <c r="AS69" s="20"/>
      <c r="AT69" s="20"/>
      <c r="AU69" s="20"/>
      <c r="AV69" s="20"/>
      <c r="AW69" s="7"/>
    </row>
    <row r="70" spans="1:49" x14ac:dyDescent="0.25">
      <c r="A70" s="37" t="str">
        <f ca="1">IF(AND(ISBLANK(AK59), A69 = $AK$1),NOW(),IF(ISBLANK(AK59),"",AK59))</f>
        <v/>
      </c>
      <c r="B70" s="38" t="str">
        <f ca="1">IF(COUNTIF($AK$2:AK1055,A70)=1,VLOOKUP(A70,AA:AB,2), IF(COUNTIF($AK$2:AK1055,A70)=0,$B$9,""))</f>
        <v/>
      </c>
      <c r="C70" s="2" t="str">
        <f t="shared" ca="1" si="3"/>
        <v/>
      </c>
      <c r="D70" s="41" t="str">
        <f t="shared" ca="1" si="4"/>
        <v/>
      </c>
      <c r="E70" s="78" t="str">
        <f ca="1">IF(COUNTIF($U$2:U1055,A70)=1,VLOOKUP(A70,U:V,2), "")</f>
        <v/>
      </c>
      <c r="F70" s="78" t="str">
        <f ca="1">IF(COUNTIF($W$2:W1055,A70)=1,VLOOKUP(A70,W:X,2), IF(COUNTIF($W$2:W1055,A70)=0,$E$9,""))</f>
        <v/>
      </c>
      <c r="G70" s="93"/>
      <c r="H70" s="93"/>
      <c r="I70" s="38" t="str">
        <f ca="1">IF(COUNTIF($AK$2:AK1055,A70)=1,VLOOKUP(A70,AC:AD,2), IF(COUNTIF($AK$2:AK1055,A70)=0,$C$9,""))</f>
        <v/>
      </c>
      <c r="J70" s="2" t="str">
        <f t="shared" ca="1" si="5"/>
        <v/>
      </c>
      <c r="K70" s="41" t="str">
        <f t="shared" ca="1" si="6"/>
        <v/>
      </c>
      <c r="L70" s="38" t="str">
        <f ca="1">IF(COUNTIF($AK$2:AK1055,A70)=1,VLOOKUP(A70,AN:AO,2), IF(COUNTIF($AK$2:AK1055,A70)=0,$D$9,""))</f>
        <v/>
      </c>
      <c r="M70" s="41" t="str">
        <f ca="1">IF(ISERROR(L70-2),"",(L70/$L$14-1)*$D$5)</f>
        <v/>
      </c>
      <c r="N70" s="41" t="str">
        <f ca="1">IF($A70="","",IF(COUNTIFS(Dividends!$G:$G,"&gt;"&amp;INT($A69),Dividends!$G:$G,"&lt;="&amp;INT($A70))=0,"",$R$2*SUMIFS(Dividends!$H:$H,Dividends!$G:$G,"&gt;"&amp;INT($A69),Dividends!$G:$G,"&lt;="&amp;INT($A70))))</f>
        <v/>
      </c>
      <c r="O70" s="42" t="str">
        <f ca="1">IF(ISERROR(B70-2),"",C70+D70-J70-K70-M70+SUM($N$14:N70))</f>
        <v/>
      </c>
      <c r="P70" s="80"/>
      <c r="Q70" s="80"/>
      <c r="R70" s="87"/>
      <c r="S70" s="87"/>
      <c r="T70" s="87"/>
      <c r="U70" s="108"/>
      <c r="V70" s="87"/>
      <c r="W70" s="108"/>
      <c r="X70" s="87"/>
      <c r="Y70" s="87"/>
      <c r="AA70" s="3">
        <v>46149.625</v>
      </c>
      <c r="AB70" s="4">
        <v>91.39</v>
      </c>
      <c r="AC70" s="3">
        <v>46146.625</v>
      </c>
      <c r="AD70" s="4">
        <v>99.343999999999994</v>
      </c>
      <c r="AE70" s="3">
        <v>46143.625</v>
      </c>
      <c r="AF70" s="4">
        <v>284.04199999999997</v>
      </c>
      <c r="AI70" s="3">
        <f>IF(COUNTIF(AC:AC,AA70)*COUNTIF(AE:AE,AA70)*COUNTIF(AG:AG,AA70),AA70,"")</f>
        <v>46149.625</v>
      </c>
      <c r="AJ70" s="3">
        <f t="shared" si="7"/>
        <v>46149.625</v>
      </c>
      <c r="AL70" s="3">
        <v>46140</v>
      </c>
      <c r="AM70" s="5">
        <v>263.87139999999999</v>
      </c>
      <c r="AN70" s="3">
        <v>45875</v>
      </c>
      <c r="AO70" s="4">
        <v>240.93029999999999</v>
      </c>
      <c r="AP70" s="74">
        <v>45875</v>
      </c>
      <c r="AQ70" s="4">
        <v>275.17599999999999</v>
      </c>
      <c r="AR70" s="6">
        <f t="shared" si="8"/>
        <v>45875</v>
      </c>
      <c r="AW70" s="7"/>
    </row>
    <row r="71" spans="1:49" x14ac:dyDescent="0.25">
      <c r="A71" s="37" t="str">
        <f ca="1">IF(AND(ISBLANK(AK60), A70 = $AK$1),NOW(),IF(ISBLANK(AK60),"",AK60))</f>
        <v/>
      </c>
      <c r="B71" s="38" t="str">
        <f ca="1">IF(COUNTIF($AK$2:AK1056,A71)=1,VLOOKUP(A71,AA:AB,2), IF(COUNTIF($AK$2:AK1056,A71)=0,$B$9,""))</f>
        <v/>
      </c>
      <c r="C71" s="2" t="str">
        <f t="shared" ca="1" si="3"/>
        <v/>
      </c>
      <c r="D71" s="41" t="str">
        <f t="shared" ca="1" si="4"/>
        <v/>
      </c>
      <c r="E71" s="78" t="str">
        <f ca="1">IF(COUNTIF($U$2:U1056,A71)=1,VLOOKUP(A71,U:V,2), "")</f>
        <v/>
      </c>
      <c r="F71" s="78" t="str">
        <f ca="1">IF(COUNTIF($W$2:W1056,A71)=1,VLOOKUP(A71,W:X,2), IF(COUNTIF($W$2:W1056,A71)=0,$E$9,""))</f>
        <v/>
      </c>
      <c r="G71" s="93"/>
      <c r="H71" s="93"/>
      <c r="I71" s="38" t="str">
        <f ca="1">IF(COUNTIF($AK$2:AK1056,A71)=1,VLOOKUP(A71,AC:AD,2), IF(COUNTIF($AK$2:AK1056,A71)=0,$C$9,""))</f>
        <v/>
      </c>
      <c r="J71" s="2" t="str">
        <f t="shared" ca="1" si="5"/>
        <v/>
      </c>
      <c r="K71" s="41" t="str">
        <f t="shared" ca="1" si="6"/>
        <v/>
      </c>
      <c r="L71" s="38" t="str">
        <f ca="1">IF(COUNTIF($AK$2:AK1056,A71)=1,VLOOKUP(A71,AN:AO,2), IF(COUNTIF($AK$2:AK1056,A71)=0,$D$9,""))</f>
        <v/>
      </c>
      <c r="M71" s="41" t="str">
        <f ca="1">IF(ISERROR(L71-2),"",(L71/$L$14-1)*$D$5)</f>
        <v/>
      </c>
      <c r="N71" s="41" t="str">
        <f ca="1">IF($A71="","",IF(COUNTIFS(Dividends!$G:$G,"&gt;"&amp;INT($A70),Dividends!$G:$G,"&lt;="&amp;INT($A71))=0,"",$R$2*SUMIFS(Dividends!$H:$H,Dividends!$G:$G,"&gt;"&amp;INT($A70),Dividends!$G:$G,"&lt;="&amp;INT($A71))))</f>
        <v/>
      </c>
      <c r="O71" s="42" t="str">
        <f ca="1">IF(ISERROR(B71-2),"",C71+D71-J71-K71-M71+SUM($N$14:N71))</f>
        <v/>
      </c>
      <c r="P71" s="80"/>
      <c r="Q71" s="80"/>
      <c r="R71" s="87"/>
      <c r="S71" s="87"/>
      <c r="T71" s="87"/>
      <c r="U71" s="108"/>
      <c r="V71" s="87"/>
      <c r="W71" s="108"/>
      <c r="X71" s="87"/>
      <c r="Y71" s="87"/>
      <c r="AA71" s="3">
        <v>46150.625</v>
      </c>
      <c r="AB71" s="4">
        <v>91.4</v>
      </c>
      <c r="AC71" s="3">
        <v>46147.625</v>
      </c>
      <c r="AD71" s="4">
        <v>99.343000000000004</v>
      </c>
      <c r="AE71" s="3">
        <v>46147.625</v>
      </c>
      <c r="AF71" s="4">
        <v>287.88900000000001</v>
      </c>
      <c r="AI71" s="3">
        <f>IF(COUNTIF(AC:AC,AA71)*COUNTIF(AE:AE,AA71)*COUNTIF(AG:AG,AA71),AA71,"")</f>
        <v>46150.625</v>
      </c>
      <c r="AJ71" s="3">
        <f t="shared" si="7"/>
        <v>46150.625</v>
      </c>
      <c r="AL71" s="3">
        <v>46141</v>
      </c>
      <c r="AM71" s="5">
        <v>263.29599999999999</v>
      </c>
      <c r="AN71" s="3">
        <v>45876</v>
      </c>
      <c r="AO71" s="4">
        <v>241.5027</v>
      </c>
      <c r="AP71" s="74">
        <v>45876</v>
      </c>
      <c r="AQ71" s="4">
        <v>270.50400000000002</v>
      </c>
      <c r="AR71" s="6">
        <f t="shared" si="8"/>
        <v>45876</v>
      </c>
      <c r="AW71" s="7"/>
    </row>
    <row r="72" spans="1:49" x14ac:dyDescent="0.25">
      <c r="A72" s="37" t="str">
        <f ca="1">IF(AND(ISBLANK(AK61), A71 = $AK$1),NOW(),IF(ISBLANK(AK61),"",AK61))</f>
        <v/>
      </c>
      <c r="B72" s="38" t="str">
        <f ca="1">IF(COUNTIF($AK$2:AK1057,A72)=1,VLOOKUP(A72,AA:AB,2), IF(COUNTIF($AK$2:AK1057,A72)=0,$B$9,""))</f>
        <v/>
      </c>
      <c r="C72" s="2" t="str">
        <f t="shared" ca="1" si="3"/>
        <v/>
      </c>
      <c r="D72" s="41" t="str">
        <f t="shared" ca="1" si="4"/>
        <v/>
      </c>
      <c r="E72" s="78" t="str">
        <f ca="1">IF(COUNTIF($U$2:U1057,A72)=1,VLOOKUP(A72,U:V,2), "")</f>
        <v/>
      </c>
      <c r="F72" s="78" t="str">
        <f ca="1">IF(COUNTIF($W$2:W1057,A72)=1,VLOOKUP(A72,W:X,2), IF(COUNTIF($W$2:W1057,A72)=0,$E$9,""))</f>
        <v/>
      </c>
      <c r="G72" s="93"/>
      <c r="H72" s="93"/>
      <c r="I72" s="38" t="str">
        <f ca="1">IF(COUNTIF($AK$2:AK1057,A72)=1,VLOOKUP(A72,AC:AD,2), IF(COUNTIF($AK$2:AK1057,A72)=0,$C$9,""))</f>
        <v/>
      </c>
      <c r="J72" s="2" t="str">
        <f t="shared" ca="1" si="5"/>
        <v/>
      </c>
      <c r="K72" s="41" t="str">
        <f t="shared" ca="1" si="6"/>
        <v/>
      </c>
      <c r="L72" s="38" t="str">
        <f ca="1">IF(COUNTIF($AK$2:AK1057,A72)=1,VLOOKUP(A72,AN:AO,2), IF(COUNTIF($AK$2:AK1057,A72)=0,$D$9,""))</f>
        <v/>
      </c>
      <c r="M72" s="41" t="str">
        <f ca="1">IF(ISERROR(L72-2),"",(L72/$L$14-1)*$D$5)</f>
        <v/>
      </c>
      <c r="N72" s="41" t="str">
        <f ca="1">IF($A72="","",IF(COUNTIFS(Dividends!$G:$G,"&gt;"&amp;INT($A71),Dividends!$G:$G,"&lt;="&amp;INT($A72))=0,"",$R$2*SUMIFS(Dividends!$H:$H,Dividends!$G:$G,"&gt;"&amp;INT($A71),Dividends!$G:$G,"&lt;="&amp;INT($A72))))</f>
        <v/>
      </c>
      <c r="O72" s="42" t="str">
        <f ca="1">IF(ISERROR(B72-2),"",C72+D72-J72-K72-M72+SUM($N$14:N72))</f>
        <v/>
      </c>
      <c r="P72" s="80"/>
      <c r="Q72" s="80"/>
      <c r="R72" s="87"/>
      <c r="S72" s="87"/>
      <c r="T72" s="87"/>
      <c r="U72" s="108"/>
      <c r="V72" s="87"/>
      <c r="W72" s="108"/>
      <c r="X72" s="87"/>
      <c r="Y72" s="87"/>
      <c r="AA72" s="3">
        <v>46153.625</v>
      </c>
      <c r="AB72" s="4">
        <v>91.44</v>
      </c>
      <c r="AC72" s="3">
        <v>46148.625</v>
      </c>
      <c r="AD72" s="4">
        <v>99.63</v>
      </c>
      <c r="AE72" s="3">
        <v>46148.625</v>
      </c>
      <c r="AF72" s="4">
        <v>275.09699999999998</v>
      </c>
      <c r="AI72" s="3" t="str">
        <f>IF(COUNTIF(AC:AC,AA72)*COUNTIF(AE:AE,AA72)*COUNTIF(AG:AG,AA72),AA72,"")</f>
        <v/>
      </c>
      <c r="AJ72" s="3" t="str">
        <f t="shared" si="7"/>
        <v/>
      </c>
      <c r="AL72" s="3">
        <v>46142</v>
      </c>
      <c r="AM72" s="5">
        <v>263.72019999999998</v>
      </c>
      <c r="AN72" s="3">
        <v>45877</v>
      </c>
      <c r="AO72" s="4">
        <v>241.9376</v>
      </c>
      <c r="AP72" s="74">
        <v>45877</v>
      </c>
      <c r="AQ72" s="4">
        <v>266.57299999999998</v>
      </c>
      <c r="AR72" s="6">
        <f t="shared" si="8"/>
        <v>45877</v>
      </c>
      <c r="AW72" s="7"/>
    </row>
    <row r="73" spans="1:49" x14ac:dyDescent="0.25">
      <c r="A73" s="37" t="str">
        <f ca="1">IF(AND(ISBLANK(AK62), A72 = $AK$1),NOW(),IF(ISBLANK(AK62),"",AK62))</f>
        <v/>
      </c>
      <c r="B73" s="38" t="str">
        <f ca="1">IF(COUNTIF($AK$2:AK1058,A73)=1,VLOOKUP(A73,AA:AB,2), IF(COUNTIF($AK$2:AK1058,A73)=0,$B$9,""))</f>
        <v/>
      </c>
      <c r="C73" s="2" t="str">
        <f t="shared" ca="1" si="3"/>
        <v/>
      </c>
      <c r="D73" s="41" t="str">
        <f t="shared" ca="1" si="4"/>
        <v/>
      </c>
      <c r="E73" s="78" t="str">
        <f ca="1">IF(COUNTIF($U$2:U1058,A73)=1,VLOOKUP(A73,U:V,2), "")</f>
        <v/>
      </c>
      <c r="F73" s="78" t="str">
        <f ca="1">IF(COUNTIF($W$2:W1058,A73)=1,VLOOKUP(A73,W:X,2), IF(COUNTIF($W$2:W1058,A73)=0,$E$9,""))</f>
        <v/>
      </c>
      <c r="G73" s="93"/>
      <c r="H73" s="93"/>
      <c r="I73" s="38" t="str">
        <f ca="1">IF(COUNTIF($AK$2:AK1058,A73)=1,VLOOKUP(A73,AC:AD,2), IF(COUNTIF($AK$2:AK1058,A73)=0,$C$9,""))</f>
        <v/>
      </c>
      <c r="J73" s="2" t="str">
        <f t="shared" ca="1" si="5"/>
        <v/>
      </c>
      <c r="K73" s="41" t="str">
        <f t="shared" ca="1" si="6"/>
        <v/>
      </c>
      <c r="L73" s="38" t="str">
        <f ca="1">IF(COUNTIF($AK$2:AK1058,A73)=1,VLOOKUP(A73,AN:AO,2), IF(COUNTIF($AK$2:AK1058,A73)=0,$D$9,""))</f>
        <v/>
      </c>
      <c r="M73" s="41" t="str">
        <f ca="1">IF(ISERROR(L73-2),"",(L73/$L$14-1)*$D$5)</f>
        <v/>
      </c>
      <c r="N73" s="41" t="str">
        <f ca="1">IF($A73="","",IF(COUNTIFS(Dividends!$G:$G,"&gt;"&amp;INT($A72),Dividends!$G:$G,"&lt;="&amp;INT($A73))=0,"",$R$2*SUMIFS(Dividends!$H:$H,Dividends!$G:$G,"&gt;"&amp;INT($A72),Dividends!$G:$G,"&lt;="&amp;INT($A73))))</f>
        <v/>
      </c>
      <c r="O73" s="42" t="str">
        <f ca="1">IF(ISERROR(B73-2),"",C73+D73-J73-K73-M73+SUM($N$14:N73))</f>
        <v/>
      </c>
      <c r="P73" s="80"/>
      <c r="Q73" s="80"/>
      <c r="R73" s="87"/>
      <c r="S73" s="87"/>
      <c r="T73" s="87"/>
      <c r="U73" s="108"/>
      <c r="V73" s="87"/>
      <c r="W73" s="108"/>
      <c r="X73" s="87"/>
      <c r="Y73" s="87"/>
      <c r="AA73" s="3">
        <v>46154.625</v>
      </c>
      <c r="AB73" s="4">
        <v>91.28</v>
      </c>
      <c r="AC73" s="3">
        <v>46149.625</v>
      </c>
      <c r="AD73" s="4">
        <v>99.650999999999996</v>
      </c>
      <c r="AE73" s="3">
        <v>46149.625</v>
      </c>
      <c r="AF73" s="4">
        <v>275.04599999999999</v>
      </c>
      <c r="AI73" s="3">
        <f>IF(COUNTIF(AC:AC,AA73)*COUNTIF(AE:AE,AA73)*COUNTIF(AG:AG,AA73),AA73,"")</f>
        <v>46154.625</v>
      </c>
      <c r="AJ73" s="3">
        <f t="shared" si="7"/>
        <v>46154.625</v>
      </c>
      <c r="AL73" s="3">
        <v>46143</v>
      </c>
      <c r="AM73" s="5">
        <v>264.85550000000001</v>
      </c>
      <c r="AN73" s="3">
        <v>45880</v>
      </c>
      <c r="AO73" s="4">
        <v>241.95820000000001</v>
      </c>
      <c r="AP73" s="74">
        <v>45880</v>
      </c>
      <c r="AQ73" s="4">
        <v>265.935</v>
      </c>
      <c r="AR73" s="6">
        <f t="shared" si="8"/>
        <v>45880</v>
      </c>
      <c r="AW73" s="7"/>
    </row>
    <row r="74" spans="1:49" x14ac:dyDescent="0.25">
      <c r="A74" s="37" t="str">
        <f ca="1">IF(AND(ISBLANK(AK63), A73 = $AK$1),NOW(),IF(ISBLANK(AK63),"",AK63))</f>
        <v/>
      </c>
      <c r="B74" s="38" t="str">
        <f ca="1">IF(COUNTIF($AK$2:AK1059,A74)=1,VLOOKUP(A74,AA:AB,2), IF(COUNTIF($AK$2:AK1059,A74)=0,$B$9,""))</f>
        <v/>
      </c>
      <c r="C74" s="2" t="str">
        <f t="shared" ca="1" si="3"/>
        <v/>
      </c>
      <c r="D74" s="41" t="str">
        <f t="shared" ca="1" si="4"/>
        <v/>
      </c>
      <c r="E74" s="78" t="str">
        <f ca="1">IF(COUNTIF($U$2:U1059,A74)=1,VLOOKUP(A74,U:V,2), "")</f>
        <v/>
      </c>
      <c r="F74" s="78" t="str">
        <f ca="1">IF(COUNTIF($W$2:W1059,A74)=1,VLOOKUP(A74,W:X,2), IF(COUNTIF($W$2:W1059,A74)=0,$E$9,""))</f>
        <v/>
      </c>
      <c r="G74" s="93"/>
      <c r="H74" s="93"/>
      <c r="I74" s="38" t="str">
        <f ca="1">IF(COUNTIF($AK$2:AK1059,A74)=1,VLOOKUP(A74,AC:AD,2), IF(COUNTIF($AK$2:AK1059,A74)=0,$C$9,""))</f>
        <v/>
      </c>
      <c r="J74" s="2" t="str">
        <f t="shared" ca="1" si="5"/>
        <v/>
      </c>
      <c r="K74" s="41" t="str">
        <f t="shared" ca="1" si="6"/>
        <v/>
      </c>
      <c r="L74" s="38" t="str">
        <f ca="1">IF(COUNTIF($AK$2:AK1059,A74)=1,VLOOKUP(A74,AN:AO,2), IF(COUNTIF($AK$2:AK1059,A74)=0,$D$9,""))</f>
        <v/>
      </c>
      <c r="M74" s="41" t="str">
        <f ca="1">IF(ISERROR(L74-2),"",(L74/$L$14-1)*$D$5)</f>
        <v/>
      </c>
      <c r="N74" s="41" t="str">
        <f ca="1">IF($A74="","",IF(COUNTIFS(Dividends!$G:$G,"&gt;"&amp;INT($A73),Dividends!$G:$G,"&lt;="&amp;INT($A74))=0,"",$R$2*SUMIFS(Dividends!$H:$H,Dividends!$G:$G,"&gt;"&amp;INT($A73),Dividends!$G:$G,"&lt;="&amp;INT($A74))))</f>
        <v/>
      </c>
      <c r="O74" s="42" t="str">
        <f ca="1">IF(ISERROR(B74-2),"",C74+D74-J74-K74-M74+SUM($N$14:N74))</f>
        <v/>
      </c>
      <c r="P74" s="80"/>
      <c r="Q74" s="80"/>
      <c r="R74" s="87"/>
      <c r="S74" s="87"/>
      <c r="T74" s="87"/>
      <c r="U74" s="108"/>
      <c r="V74" s="87"/>
      <c r="W74" s="108"/>
      <c r="X74" s="87"/>
      <c r="Y74" s="87"/>
      <c r="AA74" s="3">
        <v>46155.625</v>
      </c>
      <c r="AB74" s="4">
        <v>91.31</v>
      </c>
      <c r="AC74" s="3">
        <v>46150.625</v>
      </c>
      <c r="AD74" s="4">
        <v>99.58</v>
      </c>
      <c r="AE74" s="3">
        <v>46150.625</v>
      </c>
      <c r="AF74" s="4">
        <v>277.74599999999998</v>
      </c>
      <c r="AI74" s="3">
        <f>IF(COUNTIF(AC:AC,AA74)*COUNTIF(AE:AE,AA74)*COUNTIF(AG:AG,AA74),AA74,"")</f>
        <v>46155.625</v>
      </c>
      <c r="AJ74" s="3">
        <f t="shared" si="7"/>
        <v>46155.625</v>
      </c>
      <c r="AL74" s="3">
        <v>46147</v>
      </c>
      <c r="AM74" s="5">
        <v>264.5573</v>
      </c>
      <c r="AN74" s="3">
        <v>45881</v>
      </c>
      <c r="AO74" s="4">
        <v>242.30109999999999</v>
      </c>
      <c r="AP74" s="74">
        <v>45881</v>
      </c>
      <c r="AQ74" s="4">
        <v>263.49</v>
      </c>
      <c r="AR74" s="6">
        <f t="shared" si="8"/>
        <v>45881</v>
      </c>
      <c r="AW74" s="7"/>
    </row>
    <row r="75" spans="1:49" x14ac:dyDescent="0.25">
      <c r="A75" s="37" t="str">
        <f ca="1">IF(AND(ISBLANK(AK64), A74 = $AK$1),NOW(),IF(ISBLANK(AK64),"",AK64))</f>
        <v/>
      </c>
      <c r="B75" s="38" t="str">
        <f ca="1">IF(COUNTIF($AK$2:AK1060,A75)=1,VLOOKUP(A75,AA:AB,2), IF(COUNTIF($AK$2:AK1060,A75)=0,$B$9,""))</f>
        <v/>
      </c>
      <c r="C75" s="2" t="str">
        <f t="shared" ca="1" si="3"/>
        <v/>
      </c>
      <c r="D75" s="41" t="str">
        <f t="shared" ca="1" si="4"/>
        <v/>
      </c>
      <c r="E75" s="78" t="str">
        <f ca="1">IF(COUNTIF($U$2:U1060,A75)=1,VLOOKUP(A75,U:V,2), "")</f>
        <v/>
      </c>
      <c r="F75" s="78" t="str">
        <f ca="1">IF(COUNTIF($W$2:W1060,A75)=1,VLOOKUP(A75,W:X,2), IF(COUNTIF($W$2:W1060,A75)=0,$E$9,""))</f>
        <v/>
      </c>
      <c r="G75" s="93"/>
      <c r="H75" s="93"/>
      <c r="I75" s="38" t="str">
        <f ca="1">IF(COUNTIF($AK$2:AK1060,A75)=1,VLOOKUP(A75,AC:AD,2), IF(COUNTIF($AK$2:AK1060,A75)=0,$C$9,""))</f>
        <v/>
      </c>
      <c r="J75" s="2" t="str">
        <f t="shared" ca="1" si="5"/>
        <v/>
      </c>
      <c r="K75" s="41" t="str">
        <f t="shared" ca="1" si="6"/>
        <v/>
      </c>
      <c r="L75" s="38" t="str">
        <f ca="1">IF(COUNTIF($AK$2:AK1060,A75)=1,VLOOKUP(A75,AN:AO,2), IF(COUNTIF($AK$2:AK1060,A75)=0,$D$9,""))</f>
        <v/>
      </c>
      <c r="M75" s="41" t="str">
        <f ca="1">IF(ISERROR(L75-2),"",(L75/$L$14-1)*$D$5)</f>
        <v/>
      </c>
      <c r="N75" s="41" t="str">
        <f ca="1">IF($A75="","",IF(COUNTIFS(Dividends!$G:$G,"&gt;"&amp;INT($A74),Dividends!$G:$G,"&lt;="&amp;INT($A75))=0,"",$R$2*SUMIFS(Dividends!$H:$H,Dividends!$G:$G,"&gt;"&amp;INT($A74),Dividends!$G:$G,"&lt;="&amp;INT($A75))))</f>
        <v/>
      </c>
      <c r="O75" s="42" t="str">
        <f ca="1">IF(ISERROR(B75-2),"",C75+D75-J75-K75-M75+SUM($N$14:N75))</f>
        <v/>
      </c>
      <c r="P75" s="80"/>
      <c r="Q75" s="80"/>
      <c r="R75" s="87"/>
      <c r="S75" s="87"/>
      <c r="T75" s="87"/>
      <c r="U75" s="108"/>
      <c r="V75" s="87"/>
      <c r="W75" s="108"/>
      <c r="X75" s="87"/>
      <c r="Y75" s="87"/>
      <c r="AA75" s="3">
        <v>46156.625</v>
      </c>
      <c r="AB75" s="4">
        <v>91.4</v>
      </c>
      <c r="AC75" s="3">
        <v>46153.625</v>
      </c>
      <c r="AD75" s="4">
        <v>99.436999999999998</v>
      </c>
      <c r="AE75" s="3">
        <v>46153.625</v>
      </c>
      <c r="AF75" s="4">
        <v>277.33600000000001</v>
      </c>
      <c r="AI75" s="3" t="str">
        <f>IF(COUNTIF(AC:AC,AA75)*COUNTIF(AE:AE,AA75)*COUNTIF(AG:AG,AA75),AA75,"")</f>
        <v/>
      </c>
      <c r="AJ75" s="3" t="str">
        <f t="shared" si="7"/>
        <v/>
      </c>
      <c r="AL75" s="3">
        <v>46148</v>
      </c>
      <c r="AM75" s="5">
        <v>266.11750000000001</v>
      </c>
      <c r="AN75" s="3">
        <v>45882</v>
      </c>
      <c r="AO75" s="4">
        <v>242.66040000000001</v>
      </c>
      <c r="AP75" s="74">
        <v>45882</v>
      </c>
      <c r="AQ75" s="4">
        <v>261.18700000000001</v>
      </c>
      <c r="AR75" s="6">
        <f t="shared" si="8"/>
        <v>45882</v>
      </c>
      <c r="AW75" s="7"/>
    </row>
    <row r="76" spans="1:49" x14ac:dyDescent="0.25">
      <c r="A76" s="37" t="str">
        <f ca="1">IF(AND(ISBLANK(AK65), A75 = $AK$1),NOW(),IF(ISBLANK(AK65),"",AK65))</f>
        <v/>
      </c>
      <c r="B76" s="38" t="str">
        <f ca="1">IF(COUNTIF($AK$2:AK1061,A76)=1,VLOOKUP(A76,AA:AB,2), IF(COUNTIF($AK$2:AK1061,A76)=0,$B$9,""))</f>
        <v/>
      </c>
      <c r="C76" s="2" t="str">
        <f t="shared" ca="1" si="3"/>
        <v/>
      </c>
      <c r="D76" s="41" t="str">
        <f t="shared" ca="1" si="4"/>
        <v/>
      </c>
      <c r="E76" s="78" t="str">
        <f ca="1">IF(COUNTIF($U$2:U1061,A76)=1,VLOOKUP(A76,U:V,2), "")</f>
        <v/>
      </c>
      <c r="F76" s="78" t="str">
        <f ca="1">IF(COUNTIF($W$2:W1061,A76)=1,VLOOKUP(A76,W:X,2), IF(COUNTIF($W$2:W1061,A76)=0,$E$9,""))</f>
        <v/>
      </c>
      <c r="G76" s="93"/>
      <c r="H76" s="93"/>
      <c r="I76" s="38" t="str">
        <f ca="1">IF(COUNTIF($AK$2:AK1061,A76)=1,VLOOKUP(A76,AC:AD,2), IF(COUNTIF($AK$2:AK1061,A76)=0,$C$9,""))</f>
        <v/>
      </c>
      <c r="J76" s="2" t="str">
        <f t="shared" ca="1" si="5"/>
        <v/>
      </c>
      <c r="K76" s="41" t="str">
        <f t="shared" ca="1" si="6"/>
        <v/>
      </c>
      <c r="L76" s="38" t="str">
        <f ca="1">IF(COUNTIF($AK$2:AK1061,A76)=1,VLOOKUP(A76,AN:AO,2), IF(COUNTIF($AK$2:AK1061,A76)=0,$D$9,""))</f>
        <v/>
      </c>
      <c r="M76" s="41" t="str">
        <f ca="1">IF(ISERROR(L76-2),"",(L76/$L$14-1)*$D$5)</f>
        <v/>
      </c>
      <c r="N76" s="41" t="str">
        <f ca="1">IF($A76="","",IF(COUNTIFS(Dividends!$G:$G,"&gt;"&amp;INT($A75),Dividends!$G:$G,"&lt;="&amp;INT($A76))=0,"",$R$2*SUMIFS(Dividends!$H:$H,Dividends!$G:$G,"&gt;"&amp;INT($A75),Dividends!$G:$G,"&lt;="&amp;INT($A76))))</f>
        <v/>
      </c>
      <c r="O76" s="42" t="str">
        <f ca="1">IF(ISERROR(B76-2),"",C76+D76-J76-K76-M76+SUM($N$14:N76))</f>
        <v/>
      </c>
      <c r="P76" s="80"/>
      <c r="Q76" s="80"/>
      <c r="R76" s="87"/>
      <c r="S76" s="87"/>
      <c r="T76" s="87"/>
      <c r="U76" s="108"/>
      <c r="V76" s="87"/>
      <c r="W76" s="108"/>
      <c r="X76" s="87"/>
      <c r="Y76" s="87"/>
      <c r="AA76" s="3">
        <v>46157.625</v>
      </c>
      <c r="AB76" s="4">
        <v>91.28</v>
      </c>
      <c r="AC76" s="3">
        <v>46154.625</v>
      </c>
      <c r="AD76" s="4">
        <v>99.322999999999993</v>
      </c>
      <c r="AE76" s="3">
        <v>46154.625</v>
      </c>
      <c r="AF76" s="4">
        <v>283.721</v>
      </c>
      <c r="AI76" s="3">
        <f>IF(COUNTIF(AC:AC,AA76)*COUNTIF(AE:AE,AA76)*COUNTIF(AG:AG,AA76),AA76,"")</f>
        <v>46157.625</v>
      </c>
      <c r="AJ76" s="3">
        <f t="shared" si="7"/>
        <v>46157.625</v>
      </c>
      <c r="AL76" s="3">
        <v>46149</v>
      </c>
      <c r="AM76" s="5">
        <v>265.79050000000001</v>
      </c>
      <c r="AN76" s="3">
        <v>45883</v>
      </c>
      <c r="AO76" s="4">
        <v>242.72069999999999</v>
      </c>
      <c r="AP76" s="74">
        <v>45883</v>
      </c>
      <c r="AQ76" s="4">
        <v>260.53300000000002</v>
      </c>
      <c r="AR76" s="6">
        <f t="shared" si="8"/>
        <v>45883</v>
      </c>
      <c r="AW76" s="7"/>
    </row>
    <row r="77" spans="1:49" x14ac:dyDescent="0.25">
      <c r="A77" s="37" t="str">
        <f ca="1">IF(AND(ISBLANK(AK66), A76 = $AK$1),NOW(),IF(ISBLANK(AK66),"",AK66))</f>
        <v/>
      </c>
      <c r="B77" s="38" t="str">
        <f ca="1">IF(COUNTIF($AK$2:AK1062,A77)=1,VLOOKUP(A77,AA:AB,2), IF(COUNTIF($AK$2:AK1062,A77)=0,$B$9,""))</f>
        <v/>
      </c>
      <c r="C77" s="2" t="str">
        <f t="shared" ca="1" si="3"/>
        <v/>
      </c>
      <c r="D77" s="41" t="str">
        <f t="shared" ca="1" si="4"/>
        <v/>
      </c>
      <c r="E77" s="78" t="str">
        <f ca="1">IF(COUNTIF($U$2:U1062,A77)=1,VLOOKUP(A77,U:V,2), "")</f>
        <v/>
      </c>
      <c r="F77" s="78" t="str">
        <f ca="1">IF(COUNTIF($W$2:W1062,A77)=1,VLOOKUP(A77,W:X,2), IF(COUNTIF($W$2:W1062,A77)=0,$E$9,""))</f>
        <v/>
      </c>
      <c r="G77" s="93"/>
      <c r="H77" s="93"/>
      <c r="I77" s="38" t="str">
        <f ca="1">IF(COUNTIF($AK$2:AK1062,A77)=1,VLOOKUP(A77,AC:AD,2), IF(COUNTIF($AK$2:AK1062,A77)=0,$C$9,""))</f>
        <v/>
      </c>
      <c r="J77" s="2" t="str">
        <f t="shared" ca="1" si="5"/>
        <v/>
      </c>
      <c r="K77" s="41" t="str">
        <f t="shared" ca="1" si="6"/>
        <v/>
      </c>
      <c r="L77" s="38" t="str">
        <f ca="1">IF(COUNTIF($AK$2:AK1062,A77)=1,VLOOKUP(A77,AN:AO,2), IF(COUNTIF($AK$2:AK1062,A77)=0,$D$9,""))</f>
        <v/>
      </c>
      <c r="M77" s="41" t="str">
        <f ca="1">IF(ISERROR(L77-2),"",(L77/$L$14-1)*$D$5)</f>
        <v/>
      </c>
      <c r="N77" s="41" t="str">
        <f ca="1">IF($A77="","",IF(COUNTIFS(Dividends!$G:$G,"&gt;"&amp;INT($A76),Dividends!$G:$G,"&lt;="&amp;INT($A77))=0,"",$R$2*SUMIFS(Dividends!$H:$H,Dividends!$G:$G,"&gt;"&amp;INT($A76),Dividends!$G:$G,"&lt;="&amp;INT($A77))))</f>
        <v/>
      </c>
      <c r="O77" s="42" t="str">
        <f ca="1">IF(ISERROR(B77-2),"",C77+D77-J77-K77-M77+SUM($N$14:N77))</f>
        <v/>
      </c>
      <c r="P77" s="80"/>
      <c r="Q77" s="80"/>
      <c r="R77" s="87"/>
      <c r="S77" s="87"/>
      <c r="T77" s="87"/>
      <c r="U77" s="108"/>
      <c r="V77" s="87"/>
      <c r="W77" s="108"/>
      <c r="X77" s="87"/>
      <c r="Y77" s="87"/>
      <c r="AA77" s="3">
        <v>46160.625</v>
      </c>
      <c r="AB77" s="4">
        <v>91.22</v>
      </c>
      <c r="AC77" s="3">
        <v>46155.625</v>
      </c>
      <c r="AD77" s="4">
        <v>99.292000000000002</v>
      </c>
      <c r="AE77" s="3">
        <v>46155.625</v>
      </c>
      <c r="AF77" s="4">
        <v>280.03899999999999</v>
      </c>
      <c r="AI77" s="3" t="str">
        <f>IF(COUNTIF(AC:AC,AA77)*COUNTIF(AE:AE,AA77)*COUNTIF(AG:AG,AA77),AA77,"")</f>
        <v/>
      </c>
      <c r="AJ77" s="3" t="str">
        <f t="shared" si="7"/>
        <v/>
      </c>
      <c r="AL77" s="3">
        <v>46150</v>
      </c>
      <c r="AM77" s="5">
        <v>265.83870000000002</v>
      </c>
      <c r="AN77" s="3">
        <v>45884</v>
      </c>
      <c r="AO77" s="4">
        <v>242.86539999999999</v>
      </c>
      <c r="AP77" s="74">
        <v>45884</v>
      </c>
      <c r="AQ77" s="4">
        <v>259.50799999999998</v>
      </c>
      <c r="AR77" s="6">
        <f t="shared" si="8"/>
        <v>45884</v>
      </c>
      <c r="AW77" s="7"/>
    </row>
    <row r="78" spans="1:49" x14ac:dyDescent="0.25">
      <c r="A78" s="37" t="str">
        <f ca="1">IF(AND(ISBLANK(AK67), A77 = $AK$1),NOW(),IF(ISBLANK(AK67),"",AK67))</f>
        <v/>
      </c>
      <c r="B78" s="38" t="str">
        <f ca="1">IF(COUNTIF($AK$2:AK1063,A78)=1,VLOOKUP(A78,AA:AB,2), IF(COUNTIF($AK$2:AK1063,A78)=0,$B$9,""))</f>
        <v/>
      </c>
      <c r="C78" s="2" t="str">
        <f t="shared" ca="1" si="3"/>
        <v/>
      </c>
      <c r="D78" s="41" t="str">
        <f t="shared" ca="1" si="4"/>
        <v/>
      </c>
      <c r="E78" s="78" t="str">
        <f ca="1">IF(COUNTIF($U$2:U1063,A78)=1,VLOOKUP(A78,U:V,2), "")</f>
        <v/>
      </c>
      <c r="F78" s="78" t="str">
        <f ca="1">IF(COUNTIF($W$2:W1063,A78)=1,VLOOKUP(A78,W:X,2), IF(COUNTIF($W$2:W1063,A78)=0,$E$9,""))</f>
        <v/>
      </c>
      <c r="G78" s="93"/>
      <c r="H78" s="93"/>
      <c r="I78" s="38" t="str">
        <f ca="1">IF(COUNTIF($AK$2:AK1063,A78)=1,VLOOKUP(A78,AC:AD,2), IF(COUNTIF($AK$2:AK1063,A78)=0,$C$9,""))</f>
        <v/>
      </c>
      <c r="J78" s="2" t="str">
        <f t="shared" ca="1" si="5"/>
        <v/>
      </c>
      <c r="K78" s="41" t="str">
        <f t="shared" ca="1" si="6"/>
        <v/>
      </c>
      <c r="L78" s="38" t="str">
        <f ca="1">IF(COUNTIF($AK$2:AK1063,A78)=1,VLOOKUP(A78,AN:AO,2), IF(COUNTIF($AK$2:AK1063,A78)=0,$D$9,""))</f>
        <v/>
      </c>
      <c r="M78" s="41" t="str">
        <f ca="1">IF(ISERROR(L78-2),"",(L78/$L$14-1)*$D$5)</f>
        <v/>
      </c>
      <c r="N78" s="41" t="str">
        <f ca="1">IF($A78="","",IF(COUNTIFS(Dividends!$G:$G,"&gt;"&amp;INT($A77),Dividends!$G:$G,"&lt;="&amp;INT($A78))=0,"",$R$2*SUMIFS(Dividends!$H:$H,Dividends!$G:$G,"&gt;"&amp;INT($A77),Dividends!$G:$G,"&lt;="&amp;INT($A78))))</f>
        <v/>
      </c>
      <c r="O78" s="42" t="str">
        <f ca="1">IF(ISERROR(B78-2),"",C78+D78-J78-K78-M78+SUM($N$14:N78))</f>
        <v/>
      </c>
      <c r="P78" s="80"/>
      <c r="Q78" s="80"/>
      <c r="R78" s="87"/>
      <c r="S78" s="87"/>
      <c r="T78" s="87"/>
      <c r="U78" s="108"/>
      <c r="V78" s="87"/>
      <c r="W78" s="108"/>
      <c r="X78" s="87"/>
      <c r="Y78" s="87"/>
      <c r="AA78" s="3">
        <v>46161.625</v>
      </c>
      <c r="AB78" s="4">
        <v>90.83</v>
      </c>
      <c r="AC78" s="3">
        <v>46156.625</v>
      </c>
      <c r="AD78" s="4">
        <v>99.430999999999997</v>
      </c>
      <c r="AE78" s="3">
        <v>46156.625</v>
      </c>
      <c r="AF78" s="4">
        <v>274.584</v>
      </c>
      <c r="AI78" s="3">
        <f>IF(COUNTIF(AC:AC,AA78)*COUNTIF(AE:AE,AA78)*COUNTIF(AG:AG,AA78),AA78,"")</f>
        <v>46161.625</v>
      </c>
      <c r="AJ78" s="3">
        <f t="shared" si="7"/>
        <v>46161.625</v>
      </c>
      <c r="AL78" s="3">
        <v>46153</v>
      </c>
      <c r="AM78" s="5">
        <v>266.14510000000001</v>
      </c>
      <c r="AN78" s="3">
        <v>45887</v>
      </c>
      <c r="AO78" s="4">
        <v>242.83189999999999</v>
      </c>
      <c r="AP78" s="74">
        <v>45887</v>
      </c>
      <c r="AQ78" s="4">
        <v>259.964</v>
      </c>
      <c r="AR78" s="6">
        <f t="shared" si="8"/>
        <v>45887</v>
      </c>
    </row>
    <row r="79" spans="1:49" x14ac:dyDescent="0.25">
      <c r="A79" s="37" t="str">
        <f ca="1">IF(AND(ISBLANK(AK68), A78 = $AK$1),NOW(),IF(ISBLANK(AK68),"",AK68))</f>
        <v/>
      </c>
      <c r="B79" s="38" t="str">
        <f ca="1">IF(COUNTIF($AK$2:AK1064,A79)=1,VLOOKUP(A79,AA:AB,2), IF(COUNTIF($AK$2:AK1064,A79)=0,$B$9,""))</f>
        <v/>
      </c>
      <c r="C79" s="2" t="str">
        <f t="shared" ca="1" si="3"/>
        <v/>
      </c>
      <c r="D79" s="41" t="str">
        <f t="shared" ca="1" si="4"/>
        <v/>
      </c>
      <c r="E79" s="78" t="str">
        <f ca="1">IF(COUNTIF($U$2:U1064,A79)=1,VLOOKUP(A79,U:V,2), "")</f>
        <v/>
      </c>
      <c r="F79" s="78" t="str">
        <f ca="1">IF(COUNTIF($W$2:W1064,A79)=1,VLOOKUP(A79,W:X,2), IF(COUNTIF($W$2:W1064,A79)=0,$E$9,""))</f>
        <v/>
      </c>
      <c r="G79" s="93"/>
      <c r="H79" s="93"/>
      <c r="I79" s="38" t="str">
        <f ca="1">IF(COUNTIF($AK$2:AK1064,A79)=1,VLOOKUP(A79,AC:AD,2), IF(COUNTIF($AK$2:AK1064,A79)=0,$C$9,""))</f>
        <v/>
      </c>
      <c r="J79" s="2" t="str">
        <f t="shared" ca="1" si="5"/>
        <v/>
      </c>
      <c r="K79" s="41" t="str">
        <f t="shared" ca="1" si="6"/>
        <v/>
      </c>
      <c r="L79" s="38" t="str">
        <f ca="1">IF(COUNTIF($AK$2:AK1064,A79)=1,VLOOKUP(A79,AN:AO,2), IF(COUNTIF($AK$2:AK1064,A79)=0,$D$9,""))</f>
        <v/>
      </c>
      <c r="M79" s="41" t="str">
        <f ca="1">IF(ISERROR(L79-2),"",(L79/$L$14-1)*$D$5)</f>
        <v/>
      </c>
      <c r="N79" s="41" t="str">
        <f ca="1">IF($A79="","",IF(COUNTIFS(Dividends!$G:$G,"&gt;"&amp;INT($A78),Dividends!$G:$G,"&lt;="&amp;INT($A79))=0,"",$R$2*SUMIFS(Dividends!$H:$H,Dividends!$G:$G,"&gt;"&amp;INT($A78),Dividends!$G:$G,"&lt;="&amp;INT($A79))))</f>
        <v/>
      </c>
      <c r="O79" s="42" t="str">
        <f ca="1">IF(ISERROR(B79-2),"",C79+D79-J79-K79-M79+SUM($N$14:N79))</f>
        <v/>
      </c>
      <c r="P79" s="80"/>
      <c r="Q79" s="80"/>
      <c r="R79" s="87"/>
      <c r="S79" s="87"/>
      <c r="T79" s="87"/>
      <c r="U79" s="108"/>
      <c r="V79" s="87"/>
      <c r="W79" s="108"/>
      <c r="X79" s="87"/>
      <c r="Y79" s="87"/>
      <c r="AA79" s="3">
        <v>46162.625</v>
      </c>
      <c r="AB79" s="4">
        <v>91.06</v>
      </c>
      <c r="AC79" s="3">
        <v>46157.625</v>
      </c>
      <c r="AD79" s="4">
        <v>99.259</v>
      </c>
      <c r="AE79" s="3">
        <v>46157.625</v>
      </c>
      <c r="AF79" s="4">
        <v>280.37200000000001</v>
      </c>
      <c r="AI79" s="3">
        <f>IF(COUNTIF(AC:AC,AA79)*COUNTIF(AE:AE,AA79)*COUNTIF(AG:AG,AA79),AA79,"")</f>
        <v>46162.625</v>
      </c>
      <c r="AJ79" s="3">
        <f t="shared" si="7"/>
        <v>46162.625</v>
      </c>
      <c r="AL79" s="3">
        <v>46154</v>
      </c>
      <c r="AM79" s="5">
        <v>265.19240000000002</v>
      </c>
      <c r="AN79" s="3">
        <v>45888</v>
      </c>
      <c r="AO79" s="4">
        <v>242.8905</v>
      </c>
      <c r="AP79" s="74">
        <v>45888</v>
      </c>
      <c r="AQ79" s="4">
        <v>260.928</v>
      </c>
      <c r="AR79" s="6">
        <f t="shared" si="8"/>
        <v>45888</v>
      </c>
    </row>
    <row r="80" spans="1:49" x14ac:dyDescent="0.25">
      <c r="A80" s="37" t="str">
        <f ca="1">IF(AND(ISBLANK(AK69), A79 = $AK$1),NOW(),IF(ISBLANK(AK69),"",AK69))</f>
        <v/>
      </c>
      <c r="B80" s="38" t="str">
        <f ca="1">IF(COUNTIF($AK$2:AK1065,A80)=1,VLOOKUP(A80,AA:AB,2), IF(COUNTIF($AK$2:AK1065,A80)=0,$B$9,""))</f>
        <v/>
      </c>
      <c r="C80" s="2" t="str">
        <f t="shared" ref="C80:C143" ca="1" si="9">IF(ISERROR(B80-2),"",(B80/$B$14-1)*$B$5)</f>
        <v/>
      </c>
      <c r="D80" s="41" t="str">
        <f t="shared" ref="D80:D143" ca="1" si="10">IF(ISERROR(B80-2),"",-1*(INT(A80)-INT($A$14))/360*$B$7*$B$5)</f>
        <v/>
      </c>
      <c r="E80" s="78" t="str">
        <f ca="1">IF(COUNTIF($U$2:U1065,A80)=1,VLOOKUP(A80,U:V,2), "")</f>
        <v/>
      </c>
      <c r="F80" s="78" t="str">
        <f ca="1">IF(COUNTIF($W$2:W1065,A80)=1,VLOOKUP(A80,W:X,2), IF(COUNTIF($W$2:W1065,A80)=0,$E$9,""))</f>
        <v/>
      </c>
      <c r="G80" s="93"/>
      <c r="H80" s="93"/>
      <c r="I80" s="38" t="str">
        <f ca="1">IF(COUNTIF($AK$2:AK1065,A80)=1,VLOOKUP(A80,AC:AD,2), IF(COUNTIF($AK$2:AK1065,A80)=0,$C$9,""))</f>
        <v/>
      </c>
      <c r="J80" s="2" t="str">
        <f t="shared" ref="J80:J143" ca="1" si="11">IF(ISERROR(B80-2),"",(I80-$I$14)/100*$C$5)</f>
        <v/>
      </c>
      <c r="K80" s="41" t="str">
        <f t="shared" ref="K80:K143" ca="1" si="12">IF(ISERROR(B80-2),"",(INT(A80)-INT($A$14))/360*$C$6*$C$5-(INT(A80)-INT($A$14))/360*$C$7*$C$5*$I$14/100)</f>
        <v/>
      </c>
      <c r="L80" s="38" t="str">
        <f ca="1">IF(COUNTIF($AK$2:AK1065,A80)=1,VLOOKUP(A80,AN:AO,2), IF(COUNTIF($AK$2:AK1065,A80)=0,$D$9,""))</f>
        <v/>
      </c>
      <c r="M80" s="41" t="str">
        <f ca="1">IF(ISERROR(L80-2),"",(L80/$L$14-1)*$D$5)</f>
        <v/>
      </c>
      <c r="N80" s="41" t="str">
        <f ca="1">IF($A80="","",IF(COUNTIFS(Dividends!$G:$G,"&gt;"&amp;INT($A79),Dividends!$G:$G,"&lt;="&amp;INT($A80))=0,"",$R$2*SUMIFS(Dividends!$H:$H,Dividends!$G:$G,"&gt;"&amp;INT($A79),Dividends!$G:$G,"&lt;="&amp;INT($A80))))</f>
        <v/>
      </c>
      <c r="O80" s="42" t="str">
        <f ca="1">IF(ISERROR(B80-2),"",C80+D80-J80-K80-M80+SUM($N$14:N80))</f>
        <v/>
      </c>
      <c r="P80" s="80"/>
      <c r="Q80" s="80"/>
      <c r="R80" s="87"/>
      <c r="S80" s="87"/>
      <c r="T80" s="87"/>
      <c r="U80" s="108"/>
      <c r="V80" s="87"/>
      <c r="W80" s="108"/>
      <c r="X80" s="87"/>
      <c r="Y80" s="87"/>
      <c r="AA80" s="3">
        <v>46163.625</v>
      </c>
      <c r="AB80" s="4">
        <v>91.15</v>
      </c>
      <c r="AC80" s="3">
        <v>46160.625</v>
      </c>
      <c r="AD80" s="4">
        <v>99.296000000000006</v>
      </c>
      <c r="AE80" s="3">
        <v>46160.625</v>
      </c>
      <c r="AF80" s="4">
        <v>279.00200000000001</v>
      </c>
      <c r="AI80" s="3">
        <f>IF(COUNTIF(AC:AC,AA80)*COUNTIF(AE:AE,AA80)*COUNTIF(AG:AG,AA80),AA80,"")</f>
        <v>46163.625</v>
      </c>
      <c r="AJ80" s="3">
        <f t="shared" si="7"/>
        <v>46163.625</v>
      </c>
      <c r="AL80" s="3">
        <v>46155</v>
      </c>
      <c r="AM80" s="5">
        <v>265.76659999999998</v>
      </c>
      <c r="AN80" s="3">
        <v>45889</v>
      </c>
      <c r="AO80" s="4">
        <v>242.38249999999999</v>
      </c>
      <c r="AP80" s="74">
        <v>45889</v>
      </c>
      <c r="AQ80" s="4">
        <v>265.03500000000003</v>
      </c>
      <c r="AR80" s="6">
        <f t="shared" si="8"/>
        <v>45889</v>
      </c>
    </row>
    <row r="81" spans="1:44" x14ac:dyDescent="0.25">
      <c r="A81" s="37" t="str">
        <f ca="1">IF(AND(ISBLANK(AK70), A80 = $AK$1),NOW(),IF(ISBLANK(AK70),"",AK70))</f>
        <v/>
      </c>
      <c r="B81" s="38" t="str">
        <f ca="1">IF(COUNTIF($AK$2:AK1066,A81)=1,VLOOKUP(A81,AA:AB,2), IF(COUNTIF($AK$2:AK1066,A81)=0,$B$9,""))</f>
        <v/>
      </c>
      <c r="C81" s="2" t="str">
        <f t="shared" ca="1" si="9"/>
        <v/>
      </c>
      <c r="D81" s="41" t="str">
        <f t="shared" ca="1" si="10"/>
        <v/>
      </c>
      <c r="E81" s="78" t="str">
        <f ca="1">IF(COUNTIF($U$2:U1066,A81)=1,VLOOKUP(A81,U:V,2), "")</f>
        <v/>
      </c>
      <c r="F81" s="78" t="str">
        <f ca="1">IF(COUNTIF($W$2:W1066,A81)=1,VLOOKUP(A81,W:X,2), IF(COUNTIF($W$2:W1066,A81)=0,$E$9,""))</f>
        <v/>
      </c>
      <c r="G81" s="93"/>
      <c r="H81" s="93"/>
      <c r="I81" s="38" t="str">
        <f ca="1">IF(COUNTIF($AK$2:AK1066,A81)=1,VLOOKUP(A81,AC:AD,2), IF(COUNTIF($AK$2:AK1066,A81)=0,$C$9,""))</f>
        <v/>
      </c>
      <c r="J81" s="2" t="str">
        <f t="shared" ca="1" si="11"/>
        <v/>
      </c>
      <c r="K81" s="41" t="str">
        <f t="shared" ca="1" si="12"/>
        <v/>
      </c>
      <c r="L81" s="38" t="str">
        <f ca="1">IF(COUNTIF($AK$2:AK1066,A81)=1,VLOOKUP(A81,AN:AO,2), IF(COUNTIF($AK$2:AK1066,A81)=0,$D$9,""))</f>
        <v/>
      </c>
      <c r="M81" s="41" t="str">
        <f ca="1">IF(ISERROR(L81-2),"",(L81/$L$14-1)*$D$5)</f>
        <v/>
      </c>
      <c r="N81" s="41" t="str">
        <f ca="1">IF($A81="","",IF(COUNTIFS(Dividends!$G:$G,"&gt;"&amp;INT($A80),Dividends!$G:$G,"&lt;="&amp;INT($A81))=0,"",$R$2*SUMIFS(Dividends!$H:$H,Dividends!$G:$G,"&gt;"&amp;INT($A80),Dividends!$G:$G,"&lt;="&amp;INT($A81))))</f>
        <v/>
      </c>
      <c r="O81" s="42" t="str">
        <f ca="1">IF(ISERROR(B81-2),"",C81+D81-J81-K81-M81+SUM($N$14:N81))</f>
        <v/>
      </c>
      <c r="P81" s="80"/>
      <c r="Q81" s="80"/>
      <c r="R81" s="87"/>
      <c r="S81" s="87"/>
      <c r="T81" s="87"/>
      <c r="U81" s="108"/>
      <c r="V81" s="87"/>
      <c r="W81" s="108"/>
      <c r="X81" s="87"/>
      <c r="Y81" s="87"/>
      <c r="AA81" s="3">
        <v>46164.625</v>
      </c>
      <c r="AB81" s="4">
        <v>91.28</v>
      </c>
      <c r="AC81" s="3">
        <v>46161.625</v>
      </c>
      <c r="AD81" s="4">
        <v>99.180999999999997</v>
      </c>
      <c r="AE81" s="3">
        <v>46161.625</v>
      </c>
      <c r="AF81" s="4">
        <v>285.488</v>
      </c>
      <c r="AI81" s="3" t="str">
        <f>IF(COUNTIF(AC:AC,AA81)*COUNTIF(AE:AE,AA81)*COUNTIF(AG:AG,AA81),AA81,"")</f>
        <v/>
      </c>
      <c r="AJ81" s="3" t="str">
        <f t="shared" si="7"/>
        <v/>
      </c>
      <c r="AL81" s="3">
        <v>46156</v>
      </c>
      <c r="AM81" s="5">
        <v>266.41410000000002</v>
      </c>
      <c r="AN81" s="3">
        <v>45890</v>
      </c>
      <c r="AO81" s="4">
        <v>242.1087</v>
      </c>
      <c r="AP81" s="74">
        <v>45890</v>
      </c>
      <c r="AQ81" s="4">
        <v>267.86399999999998</v>
      </c>
      <c r="AR81" s="6">
        <f t="shared" si="8"/>
        <v>45890</v>
      </c>
    </row>
    <row r="82" spans="1:44" x14ac:dyDescent="0.25">
      <c r="A82" s="37" t="str">
        <f ca="1">IF(AND(ISBLANK(AK71), A81 = $AK$1),NOW(),IF(ISBLANK(AK71),"",AK71))</f>
        <v/>
      </c>
      <c r="B82" s="38" t="str">
        <f ca="1">IF(COUNTIF($AK$2:AK1067,A82)=1,VLOOKUP(A82,AA:AB,2), IF(COUNTIF($AK$2:AK1067,A82)=0,$B$9,""))</f>
        <v/>
      </c>
      <c r="C82" s="2" t="str">
        <f t="shared" ca="1" si="9"/>
        <v/>
      </c>
      <c r="D82" s="41" t="str">
        <f t="shared" ca="1" si="10"/>
        <v/>
      </c>
      <c r="E82" s="78" t="str">
        <f ca="1">IF(COUNTIF($U$2:U1067,A82)=1,VLOOKUP(A82,U:V,2), "")</f>
        <v/>
      </c>
      <c r="F82" s="78" t="str">
        <f ca="1">IF(COUNTIF($W$2:W1067,A82)=1,VLOOKUP(A82,W:X,2), IF(COUNTIF($W$2:W1067,A82)=0,$E$9,""))</f>
        <v/>
      </c>
      <c r="G82" s="93"/>
      <c r="H82" s="93"/>
      <c r="I82" s="38" t="str">
        <f ca="1">IF(COUNTIF($AK$2:AK1067,A82)=1,VLOOKUP(A82,AC:AD,2), IF(COUNTIF($AK$2:AK1067,A82)=0,$C$9,""))</f>
        <v/>
      </c>
      <c r="J82" s="2" t="str">
        <f t="shared" ca="1" si="11"/>
        <v/>
      </c>
      <c r="K82" s="41" t="str">
        <f t="shared" ca="1" si="12"/>
        <v/>
      </c>
      <c r="L82" s="38" t="str">
        <f ca="1">IF(COUNTIF($AK$2:AK1067,A82)=1,VLOOKUP(A82,AN:AO,2), IF(COUNTIF($AK$2:AK1067,A82)=0,$D$9,""))</f>
        <v/>
      </c>
      <c r="M82" s="41" t="str">
        <f ca="1">IF(ISERROR(L82-2),"",(L82/$L$14-1)*$D$5)</f>
        <v/>
      </c>
      <c r="N82" s="41" t="str">
        <f ca="1">IF($A82="","",IF(COUNTIFS(Dividends!$G:$G,"&gt;"&amp;INT($A81),Dividends!$G:$G,"&lt;="&amp;INT($A82))=0,"",$R$2*SUMIFS(Dividends!$H:$H,Dividends!$G:$G,"&gt;"&amp;INT($A81),Dividends!$G:$G,"&lt;="&amp;INT($A82))))</f>
        <v/>
      </c>
      <c r="O82" s="42" t="str">
        <f ca="1">IF(ISERROR(B82-2),"",C82+D82-J82-K82-M82+SUM($N$14:N82))</f>
        <v/>
      </c>
      <c r="P82" s="80"/>
      <c r="Q82" s="80"/>
      <c r="R82" s="87"/>
      <c r="S82" s="87"/>
      <c r="T82" s="87"/>
      <c r="U82" s="108"/>
      <c r="V82" s="87"/>
      <c r="W82" s="108"/>
      <c r="X82" s="87"/>
      <c r="Y82" s="87"/>
      <c r="AA82" s="3">
        <v>46168.625</v>
      </c>
      <c r="AB82" s="4">
        <v>91.51</v>
      </c>
      <c r="AC82" s="3">
        <v>46162.625</v>
      </c>
      <c r="AD82" s="4">
        <v>99.39</v>
      </c>
      <c r="AE82" s="3">
        <v>46162.625</v>
      </c>
      <c r="AF82" s="4">
        <v>278.315</v>
      </c>
      <c r="AI82" s="3">
        <f>IF(COUNTIF(AC:AC,AA82)*COUNTIF(AE:AE,AA82)*COUNTIF(AG:AG,AA82),AA82,"")</f>
        <v>46168.625</v>
      </c>
      <c r="AJ82" s="3">
        <f t="shared" si="7"/>
        <v>46168.625</v>
      </c>
      <c r="AL82" s="3">
        <v>46157</v>
      </c>
      <c r="AM82" s="5">
        <v>265.51639999999998</v>
      </c>
      <c r="AN82" s="3">
        <v>45891</v>
      </c>
      <c r="AO82" s="4">
        <v>242.8244</v>
      </c>
      <c r="AP82" s="74">
        <v>45891</v>
      </c>
      <c r="AQ82" s="4">
        <v>260.35599999999999</v>
      </c>
      <c r="AR82" s="6">
        <f t="shared" si="8"/>
        <v>45891</v>
      </c>
    </row>
    <row r="83" spans="1:44" x14ac:dyDescent="0.25">
      <c r="A83" s="37" t="str">
        <f ca="1">IF(AND(ISBLANK(AK72), A82 = $AK$1),NOW(),IF(ISBLANK(AK72),"",AK72))</f>
        <v/>
      </c>
      <c r="B83" s="38" t="str">
        <f ca="1">IF(COUNTIF($AK$2:AK1068,A83)=1,VLOOKUP(A83,AA:AB,2), IF(COUNTIF($AK$2:AK1068,A83)=0,$B$9,""))</f>
        <v/>
      </c>
      <c r="C83" s="2" t="str">
        <f t="shared" ca="1" si="9"/>
        <v/>
      </c>
      <c r="D83" s="41" t="str">
        <f t="shared" ca="1" si="10"/>
        <v/>
      </c>
      <c r="E83" s="78" t="str">
        <f ca="1">IF(COUNTIF($U$2:U1068,A83)=1,VLOOKUP(A83,U:V,2), "")</f>
        <v/>
      </c>
      <c r="F83" s="78" t="str">
        <f ca="1">IF(COUNTIF($W$2:W1068,A83)=1,VLOOKUP(A83,W:X,2), IF(COUNTIF($W$2:W1068,A83)=0,$E$9,""))</f>
        <v/>
      </c>
      <c r="G83" s="93"/>
      <c r="H83" s="93"/>
      <c r="I83" s="38" t="str">
        <f ca="1">IF(COUNTIF($AK$2:AK1068,A83)=1,VLOOKUP(A83,AC:AD,2), IF(COUNTIF($AK$2:AK1068,A83)=0,$C$9,""))</f>
        <v/>
      </c>
      <c r="J83" s="2" t="str">
        <f t="shared" ca="1" si="11"/>
        <v/>
      </c>
      <c r="K83" s="41" t="str">
        <f t="shared" ca="1" si="12"/>
        <v/>
      </c>
      <c r="L83" s="38" t="str">
        <f ca="1">IF(COUNTIF($AK$2:AK1068,A83)=1,VLOOKUP(A83,AN:AO,2), IF(COUNTIF($AK$2:AK1068,A83)=0,$D$9,""))</f>
        <v/>
      </c>
      <c r="M83" s="41" t="str">
        <f ca="1">IF(ISERROR(L83-2),"",(L83/$L$14-1)*$D$5)</f>
        <v/>
      </c>
      <c r="N83" s="41" t="str">
        <f ca="1">IF($A83="","",IF(COUNTIFS(Dividends!$G:$G,"&gt;"&amp;INT($A82),Dividends!$G:$G,"&lt;="&amp;INT($A83))=0,"",$R$2*SUMIFS(Dividends!$H:$H,Dividends!$G:$G,"&gt;"&amp;INT($A82),Dividends!$G:$G,"&lt;="&amp;INT($A83))))</f>
        <v/>
      </c>
      <c r="O83" s="42" t="str">
        <f ca="1">IF(ISERROR(B83-2),"",C83+D83-J83-K83-M83+SUM($N$14:N83))</f>
        <v/>
      </c>
      <c r="P83" s="80"/>
      <c r="Q83" s="80"/>
      <c r="R83" s="87"/>
      <c r="S83" s="87"/>
      <c r="T83" s="87"/>
      <c r="U83" s="108"/>
      <c r="V83" s="87"/>
      <c r="W83" s="108"/>
      <c r="X83" s="87"/>
      <c r="Y83" s="87"/>
      <c r="AA83" s="3">
        <v>46169.625</v>
      </c>
      <c r="AB83" s="4">
        <v>91.58</v>
      </c>
      <c r="AC83" s="3">
        <v>46163.625</v>
      </c>
      <c r="AD83" s="4">
        <v>99.37</v>
      </c>
      <c r="AE83" s="3">
        <v>46163.625</v>
      </c>
      <c r="AF83" s="4">
        <v>279.541</v>
      </c>
      <c r="AI83" s="3">
        <f>IF(COUNTIF(AC:AC,AA83)*COUNTIF(AE:AE,AA83)*COUNTIF(AG:AG,AA83),AA83,"")</f>
        <v>46169.625</v>
      </c>
      <c r="AJ83" s="3">
        <f t="shared" si="7"/>
        <v>46169.625</v>
      </c>
      <c r="AL83" s="3">
        <v>46160</v>
      </c>
      <c r="AM83" s="5">
        <v>265.6705</v>
      </c>
      <c r="AN83" s="3">
        <v>45895</v>
      </c>
      <c r="AO83" s="4">
        <v>242.22980000000001</v>
      </c>
      <c r="AP83" s="74">
        <v>45895</v>
      </c>
      <c r="AQ83" s="4">
        <v>267.541</v>
      </c>
      <c r="AR83" s="6">
        <f t="shared" si="8"/>
        <v>45895</v>
      </c>
    </row>
    <row r="84" spans="1:44" x14ac:dyDescent="0.25">
      <c r="A84" s="37" t="str">
        <f ca="1">IF(AND(ISBLANK(AK73), A83 = $AK$1),NOW(),IF(ISBLANK(AK73),"",AK73))</f>
        <v/>
      </c>
      <c r="B84" s="38" t="str">
        <f ca="1">IF(COUNTIF($AK$2:AK1069,A84)=1,VLOOKUP(A84,AA:AB,2), IF(COUNTIF($AK$2:AK1069,A84)=0,$B$9,""))</f>
        <v/>
      </c>
      <c r="C84" s="2" t="str">
        <f t="shared" ca="1" si="9"/>
        <v/>
      </c>
      <c r="D84" s="41" t="str">
        <f t="shared" ca="1" si="10"/>
        <v/>
      </c>
      <c r="E84" s="78" t="str">
        <f ca="1">IF(COUNTIF($U$2:U1069,A84)=1,VLOOKUP(A84,U:V,2), "")</f>
        <v/>
      </c>
      <c r="F84" s="78" t="str">
        <f ca="1">IF(COUNTIF($W$2:W1069,A84)=1,VLOOKUP(A84,W:X,2), IF(COUNTIF($W$2:W1069,A84)=0,$E$9,""))</f>
        <v/>
      </c>
      <c r="G84" s="93"/>
      <c r="H84" s="93"/>
      <c r="I84" s="38" t="str">
        <f ca="1">IF(COUNTIF($AK$2:AK1069,A84)=1,VLOOKUP(A84,AC:AD,2), IF(COUNTIF($AK$2:AK1069,A84)=0,$C$9,""))</f>
        <v/>
      </c>
      <c r="J84" s="2" t="str">
        <f t="shared" ca="1" si="11"/>
        <v/>
      </c>
      <c r="K84" s="41" t="str">
        <f t="shared" ca="1" si="12"/>
        <v/>
      </c>
      <c r="L84" s="38" t="str">
        <f ca="1">IF(COUNTIF($AK$2:AK1069,A84)=1,VLOOKUP(A84,AN:AO,2), IF(COUNTIF($AK$2:AK1069,A84)=0,$D$9,""))</f>
        <v/>
      </c>
      <c r="M84" s="41" t="str">
        <f ca="1">IF(ISERROR(L84-2),"",(L84/$L$14-1)*$D$5)</f>
        <v/>
      </c>
      <c r="N84" s="41" t="str">
        <f ca="1">IF($A84="","",IF(COUNTIFS(Dividends!$G:$G,"&gt;"&amp;INT($A83),Dividends!$G:$G,"&lt;="&amp;INT($A84))=0,"",$R$2*SUMIFS(Dividends!$H:$H,Dividends!$G:$G,"&gt;"&amp;INT($A83),Dividends!$G:$G,"&lt;="&amp;INT($A84))))</f>
        <v/>
      </c>
      <c r="O84" s="42" t="str">
        <f ca="1">IF(ISERROR(B84-2),"",C84+D84-J84-K84-M84+SUM($N$14:N84))</f>
        <v/>
      </c>
      <c r="P84" s="80"/>
      <c r="Q84" s="80"/>
      <c r="R84" s="87"/>
      <c r="S84" s="87"/>
      <c r="T84" s="87"/>
      <c r="U84" s="108"/>
      <c r="V84" s="87"/>
      <c r="W84" s="108"/>
      <c r="X84" s="87"/>
      <c r="Y84" s="87"/>
      <c r="AA84" s="3">
        <v>46170.625</v>
      </c>
      <c r="AB84" s="4">
        <v>91.7</v>
      </c>
      <c r="AC84" s="3">
        <v>46164.625</v>
      </c>
      <c r="AD84" s="4">
        <v>99.453999999999994</v>
      </c>
      <c r="AE84" s="3">
        <v>46164.625</v>
      </c>
      <c r="AF84" s="4">
        <v>273.86200000000002</v>
      </c>
      <c r="AI84" s="3">
        <f>IF(COUNTIF(AC:AC,AA84)*COUNTIF(AE:AE,AA84)*COUNTIF(AG:AG,AA84),AA84,"")</f>
        <v>46170.625</v>
      </c>
      <c r="AJ84" s="3">
        <f t="shared" si="7"/>
        <v>46170.625</v>
      </c>
      <c r="AL84" s="3">
        <v>46161</v>
      </c>
      <c r="AM84" s="5">
        <v>265.08920000000001</v>
      </c>
      <c r="AN84" s="3">
        <v>45896</v>
      </c>
      <c r="AO84" s="4">
        <v>241.55430000000001</v>
      </c>
      <c r="AP84" s="74">
        <v>45896</v>
      </c>
      <c r="AQ84" s="4">
        <v>274.06099999999998</v>
      </c>
      <c r="AR84" s="6">
        <f t="shared" si="8"/>
        <v>45896</v>
      </c>
    </row>
    <row r="85" spans="1:44" x14ac:dyDescent="0.25">
      <c r="A85" s="37" t="str">
        <f ca="1">IF(AND(ISBLANK(AK74), A84 = $AK$1),NOW(),IF(ISBLANK(AK74),"",AK74))</f>
        <v/>
      </c>
      <c r="B85" s="38" t="str">
        <f ca="1">IF(COUNTIF($AK$2:AK1070,A85)=1,VLOOKUP(A85,AA:AB,2), IF(COUNTIF($AK$2:AK1070,A85)=0,$B$9,""))</f>
        <v/>
      </c>
      <c r="C85" s="2" t="str">
        <f t="shared" ca="1" si="9"/>
        <v/>
      </c>
      <c r="D85" s="41" t="str">
        <f t="shared" ca="1" si="10"/>
        <v/>
      </c>
      <c r="E85" s="78" t="str">
        <f ca="1">IF(COUNTIF($U$2:U1070,A85)=1,VLOOKUP(A85,U:V,2), "")</f>
        <v/>
      </c>
      <c r="F85" s="78" t="str">
        <f ca="1">IF(COUNTIF($W$2:W1070,A85)=1,VLOOKUP(A85,W:X,2), IF(COUNTIF($W$2:W1070,A85)=0,$E$9,""))</f>
        <v/>
      </c>
      <c r="G85" s="93"/>
      <c r="H85" s="93"/>
      <c r="I85" s="38" t="str">
        <f ca="1">IF(COUNTIF($AK$2:AK1070,A85)=1,VLOOKUP(A85,AC:AD,2), IF(COUNTIF($AK$2:AK1070,A85)=0,$C$9,""))</f>
        <v/>
      </c>
      <c r="J85" s="2" t="str">
        <f t="shared" ca="1" si="11"/>
        <v/>
      </c>
      <c r="K85" s="41" t="str">
        <f t="shared" ca="1" si="12"/>
        <v/>
      </c>
      <c r="L85" s="38" t="str">
        <f ca="1">IF(COUNTIF($AK$2:AK1070,A85)=1,VLOOKUP(A85,AN:AO,2), IF(COUNTIF($AK$2:AK1070,A85)=0,$D$9,""))</f>
        <v/>
      </c>
      <c r="M85" s="41" t="str">
        <f ca="1">IF(ISERROR(L85-2),"",(L85/$L$14-1)*$D$5)</f>
        <v/>
      </c>
      <c r="N85" s="41" t="str">
        <f ca="1">IF($A85="","",IF(COUNTIFS(Dividends!$G:$G,"&gt;"&amp;INT($A84),Dividends!$G:$G,"&lt;="&amp;INT($A85))=0,"",$R$2*SUMIFS(Dividends!$H:$H,Dividends!$G:$G,"&gt;"&amp;INT($A84),Dividends!$G:$G,"&lt;="&amp;INT($A85))))</f>
        <v/>
      </c>
      <c r="O85" s="42" t="str">
        <f ca="1">IF(ISERROR(B85-2),"",C85+D85-J85-K85-M85+SUM($N$14:N85))</f>
        <v/>
      </c>
      <c r="P85" s="80"/>
      <c r="Q85" s="80"/>
      <c r="R85" s="87"/>
      <c r="S85" s="87"/>
      <c r="T85" s="87"/>
      <c r="U85" s="108"/>
      <c r="V85" s="87"/>
      <c r="W85" s="108"/>
      <c r="X85" s="87"/>
      <c r="Y85" s="87"/>
      <c r="AA85" s="3">
        <v>46171.625</v>
      </c>
      <c r="AB85" s="4">
        <v>91.85</v>
      </c>
      <c r="AC85" s="3">
        <v>46167.625</v>
      </c>
      <c r="AD85" s="4">
        <v>99.706000000000003</v>
      </c>
      <c r="AE85" s="3">
        <v>46168.625</v>
      </c>
      <c r="AF85" s="4">
        <v>268.83499999999998</v>
      </c>
      <c r="AI85" s="3">
        <f>IF(COUNTIF(AC:AC,AA85)*COUNTIF(AE:AE,AA85)*COUNTIF(AG:AG,AA85),AA85,"")</f>
        <v>46171.625</v>
      </c>
      <c r="AJ85" s="3">
        <f t="shared" si="7"/>
        <v>46171.625</v>
      </c>
      <c r="AL85" s="3">
        <v>46162</v>
      </c>
      <c r="AM85" s="5">
        <v>266.18329999999997</v>
      </c>
      <c r="AN85" s="3">
        <v>45897</v>
      </c>
      <c r="AO85" s="4">
        <v>242.03229999999999</v>
      </c>
      <c r="AP85" s="74">
        <v>45897</v>
      </c>
      <c r="AQ85" s="4">
        <v>262.23500000000001</v>
      </c>
      <c r="AR85" s="6">
        <f t="shared" si="8"/>
        <v>45897</v>
      </c>
    </row>
    <row r="86" spans="1:44" x14ac:dyDescent="0.25">
      <c r="A86" s="37" t="str">
        <f ca="1">IF(AND(ISBLANK(AK75), A85 = $AK$1),NOW(),IF(ISBLANK(AK75),"",AK75))</f>
        <v/>
      </c>
      <c r="B86" s="38" t="str">
        <f ca="1">IF(COUNTIF($AK$2:AK1071,A86)=1,VLOOKUP(A86,AA:AB,2), IF(COUNTIF($AK$2:AK1071,A86)=0,$B$9,""))</f>
        <v/>
      </c>
      <c r="C86" s="2" t="str">
        <f t="shared" ca="1" si="9"/>
        <v/>
      </c>
      <c r="D86" s="41" t="str">
        <f t="shared" ca="1" si="10"/>
        <v/>
      </c>
      <c r="E86" s="78" t="str">
        <f ca="1">IF(COUNTIF($U$2:U1071,A86)=1,VLOOKUP(A86,U:V,2), "")</f>
        <v/>
      </c>
      <c r="F86" s="78" t="str">
        <f ca="1">IF(COUNTIF($W$2:W1071,A86)=1,VLOOKUP(A86,W:X,2), IF(COUNTIF($W$2:W1071,A86)=0,$E$9,""))</f>
        <v/>
      </c>
      <c r="G86" s="93"/>
      <c r="H86" s="93"/>
      <c r="I86" s="38" t="str">
        <f ca="1">IF(COUNTIF($AK$2:AK1071,A86)=1,VLOOKUP(A86,AC:AD,2), IF(COUNTIF($AK$2:AK1071,A86)=0,$C$9,""))</f>
        <v/>
      </c>
      <c r="J86" s="2" t="str">
        <f t="shared" ca="1" si="11"/>
        <v/>
      </c>
      <c r="K86" s="41" t="str">
        <f t="shared" ca="1" si="12"/>
        <v/>
      </c>
      <c r="L86" s="38" t="str">
        <f ca="1">IF(COUNTIF($AK$2:AK1071,A86)=1,VLOOKUP(A86,AN:AO,2), IF(COUNTIF($AK$2:AK1071,A86)=0,$D$9,""))</f>
        <v/>
      </c>
      <c r="M86" s="41" t="str">
        <f ca="1">IF(ISERROR(L86-2),"",(L86/$L$14-1)*$D$5)</f>
        <v/>
      </c>
      <c r="N86" s="41" t="str">
        <f ca="1">IF($A86="","",IF(COUNTIFS(Dividends!$G:$G,"&gt;"&amp;INT($A85),Dividends!$G:$G,"&lt;="&amp;INT($A86))=0,"",$R$2*SUMIFS(Dividends!$H:$H,Dividends!$G:$G,"&gt;"&amp;INT($A85),Dividends!$G:$G,"&lt;="&amp;INT($A86))))</f>
        <v/>
      </c>
      <c r="O86" s="42" t="str">
        <f ca="1">IF(ISERROR(B86-2),"",C86+D86-J86-K86-M86+SUM($N$14:N86))</f>
        <v/>
      </c>
      <c r="P86" s="80"/>
      <c r="Q86" s="80"/>
      <c r="R86" s="87"/>
      <c r="S86" s="87"/>
      <c r="T86" s="87"/>
      <c r="U86" s="108"/>
      <c r="V86" s="87"/>
      <c r="W86" s="108"/>
      <c r="X86" s="87"/>
      <c r="Y86" s="87"/>
      <c r="AA86" s="3">
        <v>46174.625</v>
      </c>
      <c r="AB86" s="4">
        <v>91.65</v>
      </c>
      <c r="AC86" s="3">
        <v>46168.625</v>
      </c>
      <c r="AD86" s="4">
        <v>99.56</v>
      </c>
      <c r="AE86" s="3">
        <v>46169.625</v>
      </c>
      <c r="AF86" s="4">
        <v>266.55900000000003</v>
      </c>
      <c r="AI86" s="3">
        <f>IF(COUNTIF(AC:AC,AA86)*COUNTIF(AE:AE,AA86)*COUNTIF(AG:AG,AA86),AA86,"")</f>
        <v>46174.625</v>
      </c>
      <c r="AJ86" s="3">
        <f t="shared" si="7"/>
        <v>46174.625</v>
      </c>
      <c r="AL86" s="3">
        <v>46163</v>
      </c>
      <c r="AM86" s="5">
        <v>265.81610000000001</v>
      </c>
      <c r="AN86" s="3">
        <v>45898</v>
      </c>
      <c r="AO86" s="4">
        <v>241.4692</v>
      </c>
      <c r="AP86" s="74">
        <v>45898</v>
      </c>
      <c r="AQ86" s="4">
        <v>267.947</v>
      </c>
      <c r="AR86" s="6">
        <f t="shared" si="8"/>
        <v>45898</v>
      </c>
    </row>
    <row r="87" spans="1:44" x14ac:dyDescent="0.25">
      <c r="A87" s="37" t="str">
        <f ca="1">IF(AND(ISBLANK(AK76), A86 = $AK$1),NOW(),IF(ISBLANK(AK76),"",AK76))</f>
        <v/>
      </c>
      <c r="B87" s="38" t="str">
        <f ca="1">IF(COUNTIF($AK$2:AK1072,A87)=1,VLOOKUP(A87,AA:AB,2), IF(COUNTIF($AK$2:AK1072,A87)=0,$B$9,""))</f>
        <v/>
      </c>
      <c r="C87" s="2" t="str">
        <f t="shared" ca="1" si="9"/>
        <v/>
      </c>
      <c r="D87" s="41" t="str">
        <f t="shared" ca="1" si="10"/>
        <v/>
      </c>
      <c r="E87" s="78" t="str">
        <f ca="1">IF(COUNTIF($U$2:U1072,A87)=1,VLOOKUP(A87,U:V,2), "")</f>
        <v/>
      </c>
      <c r="F87" s="78" t="str">
        <f ca="1">IF(COUNTIF($W$2:W1072,A87)=1,VLOOKUP(A87,W:X,2), IF(COUNTIF($W$2:W1072,A87)=0,$E$9,""))</f>
        <v/>
      </c>
      <c r="G87" s="93"/>
      <c r="H87" s="93"/>
      <c r="I87" s="38" t="str">
        <f ca="1">IF(COUNTIF($AK$2:AK1072,A87)=1,VLOOKUP(A87,AC:AD,2), IF(COUNTIF($AK$2:AK1072,A87)=0,$C$9,""))</f>
        <v/>
      </c>
      <c r="J87" s="2" t="str">
        <f t="shared" ca="1" si="11"/>
        <v/>
      </c>
      <c r="K87" s="41" t="str">
        <f t="shared" ca="1" si="12"/>
        <v/>
      </c>
      <c r="L87" s="38" t="str">
        <f ca="1">IF(COUNTIF($AK$2:AK1072,A87)=1,VLOOKUP(A87,AN:AO,2), IF(COUNTIF($AK$2:AK1072,A87)=0,$D$9,""))</f>
        <v/>
      </c>
      <c r="M87" s="41" t="str">
        <f ca="1">IF(ISERROR(L87-2),"",(L87/$L$14-1)*$D$5)</f>
        <v/>
      </c>
      <c r="N87" s="41" t="str">
        <f ca="1">IF($A87="","",IF(COUNTIFS(Dividends!$G:$G,"&gt;"&amp;INT($A86),Dividends!$G:$G,"&lt;="&amp;INT($A87))=0,"",$R$2*SUMIFS(Dividends!$H:$H,Dividends!$G:$G,"&gt;"&amp;INT($A86),Dividends!$G:$G,"&lt;="&amp;INT($A87))))</f>
        <v/>
      </c>
      <c r="O87" s="42" t="str">
        <f ca="1">IF(ISERROR(B87-2),"",C87+D87-J87-K87-M87+SUM($N$14:N87))</f>
        <v/>
      </c>
      <c r="P87" s="80"/>
      <c r="Q87" s="80"/>
      <c r="R87" s="87"/>
      <c r="S87" s="87"/>
      <c r="T87" s="87"/>
      <c r="U87" s="108"/>
      <c r="V87" s="87"/>
      <c r="W87" s="108"/>
      <c r="X87" s="87"/>
      <c r="Y87" s="87"/>
      <c r="AA87" s="3">
        <v>46175.625</v>
      </c>
      <c r="AB87" s="4">
        <v>91.88</v>
      </c>
      <c r="AC87" s="3">
        <v>46169.625</v>
      </c>
      <c r="AD87" s="4">
        <v>99.588999999999999</v>
      </c>
      <c r="AE87" s="3">
        <v>46170.625</v>
      </c>
      <c r="AF87" s="4">
        <v>264.23200000000003</v>
      </c>
      <c r="AI87" s="3" t="str">
        <f>IF(COUNTIF(AC:AC,AA87)*COUNTIF(AE:AE,AA87)*COUNTIF(AG:AG,AA87),AA87,"")</f>
        <v/>
      </c>
      <c r="AJ87" s="3" t="str">
        <f t="shared" si="7"/>
        <v/>
      </c>
      <c r="AL87" s="3">
        <v>46164</v>
      </c>
      <c r="AM87" s="5">
        <v>266.66180000000003</v>
      </c>
      <c r="AN87" s="3">
        <v>45901</v>
      </c>
      <c r="AO87" s="4">
        <v>241.56809999999999</v>
      </c>
      <c r="AP87" s="74">
        <v>45901</v>
      </c>
      <c r="AQ87" s="4">
        <v>268.048</v>
      </c>
      <c r="AR87" s="6">
        <f t="shared" si="8"/>
        <v>45901</v>
      </c>
    </row>
    <row r="88" spans="1:44" x14ac:dyDescent="0.25">
      <c r="A88" s="37" t="str">
        <f ca="1">IF(AND(ISBLANK(AK77), A87 = $AK$1),NOW(),IF(ISBLANK(AK77),"",AK77))</f>
        <v/>
      </c>
      <c r="B88" s="38" t="str">
        <f ca="1">IF(COUNTIF($AK$2:AK1073,A88)=1,VLOOKUP(A88,AA:AB,2), IF(COUNTIF($AK$2:AK1073,A88)=0,$B$9,""))</f>
        <v/>
      </c>
      <c r="C88" s="2" t="str">
        <f t="shared" ca="1" si="9"/>
        <v/>
      </c>
      <c r="D88" s="41" t="str">
        <f t="shared" ca="1" si="10"/>
        <v/>
      </c>
      <c r="E88" s="78" t="str">
        <f ca="1">IF(COUNTIF($U$2:U1073,A88)=1,VLOOKUP(A88,U:V,2), "")</f>
        <v/>
      </c>
      <c r="F88" s="78" t="str">
        <f ca="1">IF(COUNTIF($W$2:W1073,A88)=1,VLOOKUP(A88,W:X,2), IF(COUNTIF($W$2:W1073,A88)=0,$E$9,""))</f>
        <v/>
      </c>
      <c r="G88" s="93"/>
      <c r="H88" s="93"/>
      <c r="I88" s="38" t="str">
        <f ca="1">IF(COUNTIF($AK$2:AK1073,A88)=1,VLOOKUP(A88,AC:AD,2), IF(COUNTIF($AK$2:AK1073,A88)=0,$C$9,""))</f>
        <v/>
      </c>
      <c r="J88" s="2" t="str">
        <f t="shared" ca="1" si="11"/>
        <v/>
      </c>
      <c r="K88" s="41" t="str">
        <f t="shared" ca="1" si="12"/>
        <v/>
      </c>
      <c r="L88" s="38" t="str">
        <f ca="1">IF(COUNTIF($AK$2:AK1073,A88)=1,VLOOKUP(A88,AN:AO,2), IF(COUNTIF($AK$2:AK1073,A88)=0,$D$9,""))</f>
        <v/>
      </c>
      <c r="M88" s="41" t="str">
        <f ca="1">IF(ISERROR(L88-2),"",(L88/$L$14-1)*$D$5)</f>
        <v/>
      </c>
      <c r="N88" s="41" t="str">
        <f ca="1">IF($A88="","",IF(COUNTIFS(Dividends!$G:$G,"&gt;"&amp;INT($A87),Dividends!$G:$G,"&lt;="&amp;INT($A88))=0,"",$R$2*SUMIFS(Dividends!$H:$H,Dividends!$G:$G,"&gt;"&amp;INT($A87),Dividends!$G:$G,"&lt;="&amp;INT($A88))))</f>
        <v/>
      </c>
      <c r="O88" s="42" t="str">
        <f ca="1">IF(ISERROR(B88-2),"",C88+D88-J88-K88-M88+SUM($N$14:N88))</f>
        <v/>
      </c>
      <c r="P88" s="80"/>
      <c r="Q88" s="80"/>
      <c r="R88" s="87"/>
      <c r="S88" s="87"/>
      <c r="T88" s="87"/>
      <c r="U88" s="108"/>
      <c r="V88" s="87"/>
      <c r="W88" s="108"/>
      <c r="X88" s="87"/>
      <c r="Y88" s="87"/>
      <c r="AA88" s="3">
        <v>46176.625</v>
      </c>
      <c r="AB88" s="4">
        <v>91.75</v>
      </c>
      <c r="AC88" s="3">
        <v>46170.625</v>
      </c>
      <c r="AD88" s="4">
        <v>99.653999999999996</v>
      </c>
      <c r="AE88" s="3">
        <v>46171.625</v>
      </c>
      <c r="AF88" s="4">
        <v>258.70600000000002</v>
      </c>
      <c r="AI88" s="3">
        <f>IF(COUNTIF(AC:AC,AA88)*COUNTIF(AE:AE,AA88)*COUNTIF(AG:AG,AA88),AA88,"")</f>
        <v>46176.625</v>
      </c>
      <c r="AJ88" s="3">
        <f t="shared" si="7"/>
        <v>46176.625</v>
      </c>
      <c r="AL88" s="3">
        <v>46168</v>
      </c>
      <c r="AM88" s="5">
        <v>267.40750000000003</v>
      </c>
      <c r="AN88" s="3">
        <v>45902</v>
      </c>
      <c r="AO88" s="4">
        <v>240.87819999999999</v>
      </c>
      <c r="AP88" s="74">
        <v>45902</v>
      </c>
      <c r="AQ88" s="4">
        <v>274.36700000000002</v>
      </c>
      <c r="AR88" s="6">
        <f t="shared" si="8"/>
        <v>45902</v>
      </c>
    </row>
    <row r="89" spans="1:44" x14ac:dyDescent="0.25">
      <c r="A89" s="37" t="str">
        <f ca="1">IF(AND(ISBLANK(AK78), A88 = $AK$1),NOW(),IF(ISBLANK(AK78),"",AK78))</f>
        <v/>
      </c>
      <c r="B89" s="38" t="str">
        <f ca="1">IF(COUNTIF($AK$2:AK1074,A89)=1,VLOOKUP(A89,AA:AB,2), IF(COUNTIF($AK$2:AK1074,A89)=0,$B$9,""))</f>
        <v/>
      </c>
      <c r="C89" s="2" t="str">
        <f t="shared" ca="1" si="9"/>
        <v/>
      </c>
      <c r="D89" s="41" t="str">
        <f t="shared" ca="1" si="10"/>
        <v/>
      </c>
      <c r="E89" s="78" t="str">
        <f ca="1">IF(COUNTIF($U$2:U1074,A89)=1,VLOOKUP(A89,U:V,2), "")</f>
        <v/>
      </c>
      <c r="F89" s="78" t="str">
        <f ca="1">IF(COUNTIF($W$2:W1074,A89)=1,VLOOKUP(A89,W:X,2), IF(COUNTIF($W$2:W1074,A89)=0,$E$9,""))</f>
        <v/>
      </c>
      <c r="G89" s="93"/>
      <c r="H89" s="93"/>
      <c r="I89" s="38" t="str">
        <f ca="1">IF(COUNTIF($AK$2:AK1074,A89)=1,VLOOKUP(A89,AC:AD,2), IF(COUNTIF($AK$2:AK1074,A89)=0,$C$9,""))</f>
        <v/>
      </c>
      <c r="J89" s="2" t="str">
        <f t="shared" ca="1" si="11"/>
        <v/>
      </c>
      <c r="K89" s="41" t="str">
        <f t="shared" ca="1" si="12"/>
        <v/>
      </c>
      <c r="L89" s="38" t="str">
        <f ca="1">IF(COUNTIF($AK$2:AK1074,A89)=1,VLOOKUP(A89,AN:AO,2), IF(COUNTIF($AK$2:AK1074,A89)=0,$D$9,""))</f>
        <v/>
      </c>
      <c r="M89" s="41" t="str">
        <f ca="1">IF(ISERROR(L89-2),"",(L89/$L$14-1)*$D$5)</f>
        <v/>
      </c>
      <c r="N89" s="41" t="str">
        <f ca="1">IF($A89="","",IF(COUNTIFS(Dividends!$G:$G,"&gt;"&amp;INT($A88),Dividends!$G:$G,"&lt;="&amp;INT($A89))=0,"",$R$2*SUMIFS(Dividends!$H:$H,Dividends!$G:$G,"&gt;"&amp;INT($A88),Dividends!$G:$G,"&lt;="&amp;INT($A89))))</f>
        <v/>
      </c>
      <c r="O89" s="42" t="str">
        <f ca="1">IF(ISERROR(B89-2),"",C89+D89-J89-K89-M89+SUM($N$14:N89))</f>
        <v/>
      </c>
      <c r="P89" s="80"/>
      <c r="Q89" s="80"/>
      <c r="R89" s="87"/>
      <c r="S89" s="87"/>
      <c r="T89" s="87"/>
      <c r="U89" s="108"/>
      <c r="V89" s="87"/>
      <c r="W89" s="108"/>
      <c r="X89" s="87"/>
      <c r="Y89" s="87"/>
      <c r="AA89" s="3">
        <v>46177.625</v>
      </c>
      <c r="AB89" s="4">
        <v>91.74</v>
      </c>
      <c r="AC89" s="3">
        <v>46171.625</v>
      </c>
      <c r="AD89" s="4">
        <v>99.679000000000002</v>
      </c>
      <c r="AE89" s="3">
        <v>46174.625</v>
      </c>
      <c r="AF89" s="4">
        <v>265.43599999999998</v>
      </c>
      <c r="AI89" s="3">
        <f>IF(COUNTIF(AC:AC,AA89)*COUNTIF(AE:AE,AA89)*COUNTIF(AG:AG,AA89),AA89,"")</f>
        <v>46177.625</v>
      </c>
      <c r="AJ89" s="3">
        <f t="shared" si="7"/>
        <v>46177.625</v>
      </c>
      <c r="AL89" s="3">
        <v>46169</v>
      </c>
      <c r="AM89" s="5">
        <v>267.66390000000001</v>
      </c>
      <c r="AN89" s="3">
        <v>45903</v>
      </c>
      <c r="AO89" s="4">
        <v>241.68289999999999</v>
      </c>
      <c r="AP89" s="74">
        <v>45903</v>
      </c>
      <c r="AQ89" s="4">
        <v>267.29599999999999</v>
      </c>
      <c r="AR89" s="6">
        <f t="shared" si="8"/>
        <v>45903</v>
      </c>
    </row>
    <row r="90" spans="1:44" x14ac:dyDescent="0.25">
      <c r="A90" s="37" t="str">
        <f ca="1">IF(AND(ISBLANK(AK79), A89 = $AK$1),NOW(),IF(ISBLANK(AK79),"",AK79))</f>
        <v/>
      </c>
      <c r="B90" s="38" t="str">
        <f ca="1">IF(COUNTIF($AK$2:AK1075,A90)=1,VLOOKUP(A90,AA:AB,2), IF(COUNTIF($AK$2:AK1075,A90)=0,$B$9,""))</f>
        <v/>
      </c>
      <c r="C90" s="2" t="str">
        <f t="shared" ca="1" si="9"/>
        <v/>
      </c>
      <c r="D90" s="41" t="str">
        <f t="shared" ca="1" si="10"/>
        <v/>
      </c>
      <c r="E90" s="78" t="str">
        <f ca="1">IF(COUNTIF($U$2:U1075,A90)=1,VLOOKUP(A90,U:V,2), "")</f>
        <v/>
      </c>
      <c r="F90" s="78" t="str">
        <f ca="1">IF(COUNTIF($W$2:W1075,A90)=1,VLOOKUP(A90,W:X,2), IF(COUNTIF($W$2:W1075,A90)=0,$E$9,""))</f>
        <v/>
      </c>
      <c r="G90" s="93"/>
      <c r="H90" s="93"/>
      <c r="I90" s="38" t="str">
        <f ca="1">IF(COUNTIF($AK$2:AK1075,A90)=1,VLOOKUP(A90,AC:AD,2), IF(COUNTIF($AK$2:AK1075,A90)=0,$C$9,""))</f>
        <v/>
      </c>
      <c r="J90" s="2" t="str">
        <f t="shared" ca="1" si="11"/>
        <v/>
      </c>
      <c r="K90" s="41" t="str">
        <f t="shared" ca="1" si="12"/>
        <v/>
      </c>
      <c r="L90" s="38" t="str">
        <f ca="1">IF(COUNTIF($AK$2:AK1075,A90)=1,VLOOKUP(A90,AN:AO,2), IF(COUNTIF($AK$2:AK1075,A90)=0,$D$9,""))</f>
        <v/>
      </c>
      <c r="M90" s="41" t="str">
        <f ca="1">IF(ISERROR(L90-2),"",(L90/$L$14-1)*$D$5)</f>
        <v/>
      </c>
      <c r="N90" s="41" t="str">
        <f ca="1">IF($A90="","",IF(COUNTIFS(Dividends!$G:$G,"&gt;"&amp;INT($A89),Dividends!$G:$G,"&lt;="&amp;INT($A90))=0,"",$R$2*SUMIFS(Dividends!$H:$H,Dividends!$G:$G,"&gt;"&amp;INT($A89),Dividends!$G:$G,"&lt;="&amp;INT($A90))))</f>
        <v/>
      </c>
      <c r="O90" s="42" t="str">
        <f ca="1">IF(ISERROR(B90-2),"",C90+D90-J90-K90-M90+SUM($N$14:N90))</f>
        <v/>
      </c>
      <c r="P90" s="80"/>
      <c r="Q90" s="80"/>
      <c r="R90" s="87"/>
      <c r="S90" s="87"/>
      <c r="T90" s="87"/>
      <c r="U90" s="108"/>
      <c r="V90" s="87"/>
      <c r="W90" s="108"/>
      <c r="X90" s="87"/>
      <c r="Y90" s="87"/>
      <c r="AA90" s="3">
        <v>46178.625</v>
      </c>
      <c r="AB90" s="4">
        <v>91.71</v>
      </c>
      <c r="AC90" s="3">
        <v>46174.625</v>
      </c>
      <c r="AD90" s="4">
        <v>99.450999999999993</v>
      </c>
      <c r="AE90" s="3">
        <v>46175.625</v>
      </c>
      <c r="AF90" s="4">
        <v>258.46100000000001</v>
      </c>
      <c r="AI90" s="3" t="str">
        <f>IF(COUNTIF(AC:AC,AA90)*COUNTIF(AE:AE,AA90)*COUNTIF(AG:AG,AA90),AA90,"")</f>
        <v/>
      </c>
      <c r="AJ90" s="3" t="str">
        <f t="shared" si="7"/>
        <v/>
      </c>
      <c r="AL90" s="3">
        <v>46170</v>
      </c>
      <c r="AM90" s="5">
        <v>268.21620000000001</v>
      </c>
      <c r="AN90" s="3">
        <v>45904</v>
      </c>
      <c r="AO90" s="4">
        <v>242.12819999999999</v>
      </c>
      <c r="AP90" s="74">
        <v>45904</v>
      </c>
      <c r="AQ90" s="4">
        <v>262.767</v>
      </c>
      <c r="AR90" s="6">
        <f t="shared" si="8"/>
        <v>45904</v>
      </c>
    </row>
    <row r="91" spans="1:44" x14ac:dyDescent="0.25">
      <c r="A91" s="37" t="str">
        <f ca="1">IF(AND(ISBLANK(AK80), A90 = $AK$1),NOW(),IF(ISBLANK(AK80),"",AK80))</f>
        <v/>
      </c>
      <c r="B91" s="38" t="str">
        <f ca="1">IF(COUNTIF($AK$2:AK1076,A91)=1,VLOOKUP(A91,AA:AB,2), IF(COUNTIF($AK$2:AK1076,A91)=0,$B$9,""))</f>
        <v/>
      </c>
      <c r="C91" s="2" t="str">
        <f t="shared" ca="1" si="9"/>
        <v/>
      </c>
      <c r="D91" s="41" t="str">
        <f t="shared" ca="1" si="10"/>
        <v/>
      </c>
      <c r="E91" s="78" t="str">
        <f ca="1">IF(COUNTIF($U$2:U1076,A91)=1,VLOOKUP(A91,U:V,2), "")</f>
        <v/>
      </c>
      <c r="F91" s="78" t="str">
        <f ca="1">IF(COUNTIF($W$2:W1076,A91)=1,VLOOKUP(A91,W:X,2), IF(COUNTIF($W$2:W1076,A91)=0,$E$9,""))</f>
        <v/>
      </c>
      <c r="G91" s="93"/>
      <c r="H91" s="93"/>
      <c r="I91" s="38" t="str">
        <f ca="1">IF(COUNTIF($AK$2:AK1076,A91)=1,VLOOKUP(A91,AC:AD,2), IF(COUNTIF($AK$2:AK1076,A91)=0,$C$9,""))</f>
        <v/>
      </c>
      <c r="J91" s="2" t="str">
        <f t="shared" ca="1" si="11"/>
        <v/>
      </c>
      <c r="K91" s="41" t="str">
        <f t="shared" ca="1" si="12"/>
        <v/>
      </c>
      <c r="L91" s="38" t="str">
        <f ca="1">IF(COUNTIF($AK$2:AK1076,A91)=1,VLOOKUP(A91,AN:AO,2), IF(COUNTIF($AK$2:AK1076,A91)=0,$D$9,""))</f>
        <v/>
      </c>
      <c r="M91" s="41" t="str">
        <f ca="1">IF(ISERROR(L91-2),"",(L91/$L$14-1)*$D$5)</f>
        <v/>
      </c>
      <c r="N91" s="41" t="str">
        <f ca="1">IF($A91="","",IF(COUNTIFS(Dividends!$G:$G,"&gt;"&amp;INT($A90),Dividends!$G:$G,"&lt;="&amp;INT($A91))=0,"",$R$2*SUMIFS(Dividends!$H:$H,Dividends!$G:$G,"&gt;"&amp;INT($A90),Dividends!$G:$G,"&lt;="&amp;INT($A91))))</f>
        <v/>
      </c>
      <c r="O91" s="42" t="str">
        <f ca="1">IF(ISERROR(B91-2),"",C91+D91-J91-K91-M91+SUM($N$14:N91))</f>
        <v/>
      </c>
      <c r="P91" s="80"/>
      <c r="Q91" s="80"/>
      <c r="R91" s="87"/>
      <c r="S91" s="87"/>
      <c r="T91" s="87"/>
      <c r="U91" s="108"/>
      <c r="V91" s="87"/>
      <c r="W91" s="108"/>
      <c r="X91" s="87"/>
      <c r="Y91" s="87"/>
      <c r="AA91" s="3">
        <v>46181.625</v>
      </c>
      <c r="AB91" s="4">
        <v>91.65</v>
      </c>
      <c r="AC91" s="3">
        <v>46175.625</v>
      </c>
      <c r="AD91" s="4">
        <v>99.534999999999997</v>
      </c>
      <c r="AE91" s="3">
        <v>46176.625</v>
      </c>
      <c r="AF91" s="4">
        <v>261.79599999999999</v>
      </c>
      <c r="AI91" s="3" t="str">
        <f>IF(COUNTIF(AC:AC,AA91)*COUNTIF(AE:AE,AA91)*COUNTIF(AG:AG,AA91),AA91,"")</f>
        <v/>
      </c>
      <c r="AJ91" s="3" t="str">
        <f t="shared" si="7"/>
        <v/>
      </c>
      <c r="AL91" s="3">
        <v>46171</v>
      </c>
      <c r="AM91" s="5">
        <v>268.76229999999998</v>
      </c>
      <c r="AN91" s="3">
        <v>45905</v>
      </c>
      <c r="AO91" s="4">
        <v>242.15459999999999</v>
      </c>
      <c r="AP91" s="74">
        <v>45905</v>
      </c>
      <c r="AQ91" s="4">
        <v>262.98399999999998</v>
      </c>
      <c r="AR91" s="6">
        <f t="shared" si="8"/>
        <v>45905</v>
      </c>
    </row>
    <row r="92" spans="1:44" x14ac:dyDescent="0.25">
      <c r="A92" s="37" t="str">
        <f ca="1">IF(AND(ISBLANK(AK81), A91 = $AK$1),NOW(),IF(ISBLANK(AK81),"",AK81))</f>
        <v/>
      </c>
      <c r="B92" s="38" t="str">
        <f ca="1">IF(COUNTIF($AK$2:AK1077,A92)=1,VLOOKUP(A92,AA:AB,2), IF(COUNTIF($AK$2:AK1077,A92)=0,$B$9,""))</f>
        <v/>
      </c>
      <c r="C92" s="2" t="str">
        <f t="shared" ca="1" si="9"/>
        <v/>
      </c>
      <c r="D92" s="41" t="str">
        <f t="shared" ca="1" si="10"/>
        <v/>
      </c>
      <c r="E92" s="78" t="str">
        <f ca="1">IF(COUNTIF($U$2:U1077,A92)=1,VLOOKUP(A92,U:V,2), "")</f>
        <v/>
      </c>
      <c r="F92" s="78" t="str">
        <f ca="1">IF(COUNTIF($W$2:W1077,A92)=1,VLOOKUP(A92,W:X,2), IF(COUNTIF($W$2:W1077,A92)=0,$E$9,""))</f>
        <v/>
      </c>
      <c r="G92" s="93"/>
      <c r="H92" s="93"/>
      <c r="I92" s="38" t="str">
        <f ca="1">IF(COUNTIF($AK$2:AK1077,A92)=1,VLOOKUP(A92,AC:AD,2), IF(COUNTIF($AK$2:AK1077,A92)=0,$C$9,""))</f>
        <v/>
      </c>
      <c r="J92" s="2" t="str">
        <f t="shared" ca="1" si="11"/>
        <v/>
      </c>
      <c r="K92" s="41" t="str">
        <f t="shared" ca="1" si="12"/>
        <v/>
      </c>
      <c r="L92" s="38" t="str">
        <f ca="1">IF(COUNTIF($AK$2:AK1077,A92)=1,VLOOKUP(A92,AN:AO,2), IF(COUNTIF($AK$2:AK1077,A92)=0,$D$9,""))</f>
        <v/>
      </c>
      <c r="M92" s="41" t="str">
        <f ca="1">IF(ISERROR(L92-2),"",(L92/$L$14-1)*$D$5)</f>
        <v/>
      </c>
      <c r="N92" s="41" t="str">
        <f ca="1">IF($A92="","",IF(COUNTIFS(Dividends!$G:$G,"&gt;"&amp;INT($A91),Dividends!$G:$G,"&lt;="&amp;INT($A92))=0,"",$R$2*SUMIFS(Dividends!$H:$H,Dividends!$G:$G,"&gt;"&amp;INT($A91),Dividends!$G:$G,"&lt;="&amp;INT($A92))))</f>
        <v/>
      </c>
      <c r="O92" s="42" t="str">
        <f ca="1">IF(ISERROR(B92-2),"",C92+D92-J92-K92-M92+SUM($N$14:N92))</f>
        <v/>
      </c>
      <c r="P92" s="80"/>
      <c r="Q92" s="80"/>
      <c r="R92" s="87"/>
      <c r="S92" s="87"/>
      <c r="T92" s="87"/>
      <c r="U92" s="108"/>
      <c r="V92" s="87"/>
      <c r="W92" s="108"/>
      <c r="X92" s="87"/>
      <c r="Y92" s="87"/>
      <c r="AA92" s="3">
        <v>46182.625</v>
      </c>
      <c r="AB92" s="4">
        <v>91.63</v>
      </c>
      <c r="AC92" s="3">
        <v>46176.625</v>
      </c>
      <c r="AD92" s="4">
        <v>99.421999999999997</v>
      </c>
      <c r="AE92" s="3">
        <v>46177.625</v>
      </c>
      <c r="AF92" s="4">
        <v>261.392</v>
      </c>
      <c r="AI92" s="3">
        <f>IF(COUNTIF(AC:AC,AA92)*COUNTIF(AE:AE,AA92)*COUNTIF(AG:AG,AA92),AA92,"")</f>
        <v>46182.625</v>
      </c>
      <c r="AJ92" s="3">
        <f t="shared" si="7"/>
        <v>46182.625</v>
      </c>
      <c r="AL92" s="3">
        <v>46174</v>
      </c>
      <c r="AM92" s="5">
        <v>268.39839999999998</v>
      </c>
      <c r="AN92" s="3">
        <v>45908</v>
      </c>
      <c r="AO92" s="4">
        <v>242.51220000000001</v>
      </c>
      <c r="AP92" s="74">
        <v>45908</v>
      </c>
      <c r="AQ92" s="4">
        <v>260.62700000000001</v>
      </c>
      <c r="AR92" s="6">
        <f t="shared" si="8"/>
        <v>45908</v>
      </c>
    </row>
    <row r="93" spans="1:44" x14ac:dyDescent="0.25">
      <c r="A93" s="37" t="str">
        <f ca="1">IF(AND(ISBLANK(AK82), A92 = $AK$1),NOW(),IF(ISBLANK(AK82),"",AK82))</f>
        <v/>
      </c>
      <c r="B93" s="38" t="str">
        <f ca="1">IF(COUNTIF($AK$2:AK1078,A93)=1,VLOOKUP(A93,AA:AB,2), IF(COUNTIF($AK$2:AK1078,A93)=0,$B$9,""))</f>
        <v/>
      </c>
      <c r="C93" s="2" t="str">
        <f t="shared" ca="1" si="9"/>
        <v/>
      </c>
      <c r="D93" s="41" t="str">
        <f t="shared" ca="1" si="10"/>
        <v/>
      </c>
      <c r="E93" s="78" t="str">
        <f ca="1">IF(COUNTIF($U$2:U1078,A93)=1,VLOOKUP(A93,U:V,2), "")</f>
        <v/>
      </c>
      <c r="F93" s="78" t="str">
        <f ca="1">IF(COUNTIF($W$2:W1078,A93)=1,VLOOKUP(A93,W:X,2), IF(COUNTIF($W$2:W1078,A93)=0,$E$9,""))</f>
        <v/>
      </c>
      <c r="G93" s="93"/>
      <c r="H93" s="93"/>
      <c r="I93" s="38" t="str">
        <f ca="1">IF(COUNTIF($AK$2:AK1078,A93)=1,VLOOKUP(A93,AC:AD,2), IF(COUNTIF($AK$2:AK1078,A93)=0,$C$9,""))</f>
        <v/>
      </c>
      <c r="J93" s="2" t="str">
        <f t="shared" ca="1" si="11"/>
        <v/>
      </c>
      <c r="K93" s="41" t="str">
        <f t="shared" ca="1" si="12"/>
        <v/>
      </c>
      <c r="L93" s="38" t="str">
        <f ca="1">IF(COUNTIF($AK$2:AK1078,A93)=1,VLOOKUP(A93,AN:AO,2), IF(COUNTIF($AK$2:AK1078,A93)=0,$D$9,""))</f>
        <v/>
      </c>
      <c r="M93" s="41" t="str">
        <f ca="1">IF(ISERROR(L93-2),"",(L93/$L$14-1)*$D$5)</f>
        <v/>
      </c>
      <c r="N93" s="41" t="str">
        <f ca="1">IF($A93="","",IF(COUNTIFS(Dividends!$G:$G,"&gt;"&amp;INT($A92),Dividends!$G:$G,"&lt;="&amp;INT($A93))=0,"",$R$2*SUMIFS(Dividends!$H:$H,Dividends!$G:$G,"&gt;"&amp;INT($A92),Dividends!$G:$G,"&lt;="&amp;INT($A93))))</f>
        <v/>
      </c>
      <c r="O93" s="42" t="str">
        <f ca="1">IF(ISERROR(B93-2),"",C93+D93-J93-K93-M93+SUM($N$14:N93))</f>
        <v/>
      </c>
      <c r="P93" s="80"/>
      <c r="Q93" s="80"/>
      <c r="R93" s="87"/>
      <c r="S93" s="87"/>
      <c r="T93" s="87"/>
      <c r="U93" s="108"/>
      <c r="V93" s="87"/>
      <c r="W93" s="108"/>
      <c r="X93" s="87"/>
      <c r="Y93" s="87"/>
      <c r="AA93" s="3">
        <v>46183.625</v>
      </c>
      <c r="AB93" s="4">
        <v>91.62</v>
      </c>
      <c r="AC93" s="3">
        <v>46177.625</v>
      </c>
      <c r="AD93" s="4">
        <v>99.430999999999997</v>
      </c>
      <c r="AE93" s="3">
        <v>46178.625</v>
      </c>
      <c r="AF93" s="4">
        <v>261.88600000000002</v>
      </c>
      <c r="AI93" s="3" t="str">
        <f>IF(COUNTIF(AC:AC,AA93)*COUNTIF(AE:AE,AA93)*COUNTIF(AG:AG,AA93),AA93,"")</f>
        <v/>
      </c>
      <c r="AJ93" s="3" t="str">
        <f t="shared" si="7"/>
        <v/>
      </c>
      <c r="AL93" s="3">
        <v>46175</v>
      </c>
      <c r="AM93" s="5">
        <v>268.89879999999999</v>
      </c>
      <c r="AN93" s="3">
        <v>45909</v>
      </c>
      <c r="AO93" s="4">
        <v>242.49459999999999</v>
      </c>
      <c r="AP93" s="74">
        <v>45909</v>
      </c>
      <c r="AQ93" s="4">
        <v>260.81900000000002</v>
      </c>
      <c r="AR93" s="6">
        <f t="shared" si="8"/>
        <v>45909</v>
      </c>
    </row>
    <row r="94" spans="1:44" x14ac:dyDescent="0.25">
      <c r="A94" s="37" t="str">
        <f ca="1">IF(AND(ISBLANK(AK83), A93 = $AK$1),NOW(),IF(ISBLANK(AK83),"",AK83))</f>
        <v/>
      </c>
      <c r="B94" s="38" t="str">
        <f ca="1">IF(COUNTIF($AK$2:AK1079,A94)=1,VLOOKUP(A94,AA:AB,2), IF(COUNTIF($AK$2:AK1079,A94)=0,$B$9,""))</f>
        <v/>
      </c>
      <c r="C94" s="2" t="str">
        <f t="shared" ca="1" si="9"/>
        <v/>
      </c>
      <c r="D94" s="41" t="str">
        <f t="shared" ca="1" si="10"/>
        <v/>
      </c>
      <c r="E94" s="78" t="str">
        <f ca="1">IF(COUNTIF($U$2:U1079,A94)=1,VLOOKUP(A94,U:V,2), "")</f>
        <v/>
      </c>
      <c r="F94" s="78" t="str">
        <f ca="1">IF(COUNTIF($W$2:W1079,A94)=1,VLOOKUP(A94,W:X,2), IF(COUNTIF($W$2:W1079,A94)=0,$E$9,""))</f>
        <v/>
      </c>
      <c r="G94" s="93"/>
      <c r="H94" s="93"/>
      <c r="I94" s="38" t="str">
        <f ca="1">IF(COUNTIF($AK$2:AK1079,A94)=1,VLOOKUP(A94,AC:AD,2), IF(COUNTIF($AK$2:AK1079,A94)=0,$C$9,""))</f>
        <v/>
      </c>
      <c r="J94" s="2" t="str">
        <f t="shared" ca="1" si="11"/>
        <v/>
      </c>
      <c r="K94" s="41" t="str">
        <f t="shared" ca="1" si="12"/>
        <v/>
      </c>
      <c r="L94" s="38" t="str">
        <f ca="1">IF(COUNTIF($AK$2:AK1079,A94)=1,VLOOKUP(A94,AN:AO,2), IF(COUNTIF($AK$2:AK1079,A94)=0,$D$9,""))</f>
        <v/>
      </c>
      <c r="M94" s="41" t="str">
        <f ca="1">IF(ISERROR(L94-2),"",(L94/$L$14-1)*$D$5)</f>
        <v/>
      </c>
      <c r="N94" s="41" t="str">
        <f ca="1">IF($A94="","",IF(COUNTIFS(Dividends!$G:$G,"&gt;"&amp;INT($A93),Dividends!$G:$G,"&lt;="&amp;INT($A94))=0,"",$R$2*SUMIFS(Dividends!$H:$H,Dividends!$G:$G,"&gt;"&amp;INT($A93),Dividends!$G:$G,"&lt;="&amp;INT($A94))))</f>
        <v/>
      </c>
      <c r="O94" s="42" t="str">
        <f ca="1">IF(ISERROR(B94-2),"",C94+D94-J94-K94-M94+SUM($N$14:N94))</f>
        <v/>
      </c>
      <c r="P94" s="80"/>
      <c r="Q94" s="80"/>
      <c r="R94" s="87"/>
      <c r="S94" s="87"/>
      <c r="T94" s="87"/>
      <c r="U94" s="108"/>
      <c r="V94" s="87"/>
      <c r="W94" s="108"/>
      <c r="X94" s="87"/>
      <c r="Y94" s="87"/>
      <c r="AA94" s="3">
        <v>46184.625</v>
      </c>
      <c r="AB94" s="4">
        <v>91.65</v>
      </c>
      <c r="AC94" s="3">
        <v>46178.625</v>
      </c>
      <c r="AD94" s="4">
        <v>99.38</v>
      </c>
      <c r="AE94" s="3">
        <v>46181.625</v>
      </c>
      <c r="AF94" s="4">
        <v>263.755</v>
      </c>
      <c r="AI94" s="3" t="str">
        <f>IF(COUNTIF(AC:AC,AA94)*COUNTIF(AE:AE,AA94)*COUNTIF(AG:AG,AA94),AA94,"")</f>
        <v/>
      </c>
      <c r="AJ94" s="3" t="str">
        <f t="shared" si="7"/>
        <v/>
      </c>
      <c r="AL94" s="3">
        <v>46176</v>
      </c>
      <c r="AM94" s="5">
        <v>268.40789999999998</v>
      </c>
      <c r="AN94" s="3">
        <v>45910</v>
      </c>
      <c r="AO94" s="4">
        <v>242.7055</v>
      </c>
      <c r="AP94" s="74">
        <v>45910</v>
      </c>
      <c r="AQ94" s="4">
        <v>258.92</v>
      </c>
      <c r="AR94" s="6">
        <f t="shared" si="8"/>
        <v>45910</v>
      </c>
    </row>
    <row r="95" spans="1:44" x14ac:dyDescent="0.25">
      <c r="A95" s="37" t="str">
        <f ca="1">IF(AND(ISBLANK(AK84), A94 = $AK$1),NOW(),IF(ISBLANK(AK84),"",AK84))</f>
        <v/>
      </c>
      <c r="B95" s="38" t="str">
        <f ca="1">IF(COUNTIF($AK$2:AK1080,A95)=1,VLOOKUP(A95,AA:AB,2), IF(COUNTIF($AK$2:AK1080,A95)=0,$B$9,""))</f>
        <v/>
      </c>
      <c r="C95" s="2" t="str">
        <f t="shared" ca="1" si="9"/>
        <v/>
      </c>
      <c r="D95" s="41" t="str">
        <f t="shared" ca="1" si="10"/>
        <v/>
      </c>
      <c r="E95" s="78" t="str">
        <f ca="1">IF(COUNTIF($U$2:U1080,A95)=1,VLOOKUP(A95,U:V,2), "")</f>
        <v/>
      </c>
      <c r="F95" s="78" t="str">
        <f ca="1">IF(COUNTIF($W$2:W1080,A95)=1,VLOOKUP(A95,W:X,2), IF(COUNTIF($W$2:W1080,A95)=0,$E$9,""))</f>
        <v/>
      </c>
      <c r="G95" s="93"/>
      <c r="H95" s="93"/>
      <c r="I95" s="38" t="str">
        <f ca="1">IF(COUNTIF($AK$2:AK1080,A95)=1,VLOOKUP(A95,AC:AD,2), IF(COUNTIF($AK$2:AK1080,A95)=0,$C$9,""))</f>
        <v/>
      </c>
      <c r="J95" s="2" t="str">
        <f t="shared" ca="1" si="11"/>
        <v/>
      </c>
      <c r="K95" s="41" t="str">
        <f t="shared" ca="1" si="12"/>
        <v/>
      </c>
      <c r="L95" s="38" t="str">
        <f ca="1">IF(COUNTIF($AK$2:AK1080,A95)=1,VLOOKUP(A95,AN:AO,2), IF(COUNTIF($AK$2:AK1080,A95)=0,$D$9,""))</f>
        <v/>
      </c>
      <c r="M95" s="41" t="str">
        <f ca="1">IF(ISERROR(L95-2),"",(L95/$L$14-1)*$D$5)</f>
        <v/>
      </c>
      <c r="N95" s="41" t="str">
        <f ca="1">IF($A95="","",IF(COUNTIFS(Dividends!$G:$G,"&gt;"&amp;INT($A94),Dividends!$G:$G,"&lt;="&amp;INT($A95))=0,"",$R$2*SUMIFS(Dividends!$H:$H,Dividends!$G:$G,"&gt;"&amp;INT($A94),Dividends!$G:$G,"&lt;="&amp;INT($A95))))</f>
        <v/>
      </c>
      <c r="O95" s="42" t="str">
        <f ca="1">IF(ISERROR(B95-2),"",C95+D95-J95-K95-M95+SUM($N$14:N95))</f>
        <v/>
      </c>
      <c r="P95" s="80"/>
      <c r="Q95" s="80"/>
      <c r="R95" s="87"/>
      <c r="S95" s="87"/>
      <c r="T95" s="87"/>
      <c r="U95" s="108"/>
      <c r="V95" s="87"/>
      <c r="W95" s="108"/>
      <c r="X95" s="87"/>
      <c r="Y95" s="87"/>
      <c r="AA95" s="3">
        <v>46185.625</v>
      </c>
      <c r="AB95" s="4">
        <v>91.87</v>
      </c>
      <c r="AC95" s="3">
        <v>46181.625</v>
      </c>
      <c r="AD95" s="4">
        <v>99.350999999999999</v>
      </c>
      <c r="AE95" s="3">
        <v>46182.625</v>
      </c>
      <c r="AF95" s="4">
        <v>261.05</v>
      </c>
      <c r="AI95" s="3" t="str">
        <f>IF(COUNTIF(AC:AC,AA95)*COUNTIF(AE:AE,AA95)*COUNTIF(AG:AG,AA95),AA95,"")</f>
        <v/>
      </c>
      <c r="AJ95" s="3" t="str">
        <f t="shared" si="7"/>
        <v/>
      </c>
      <c r="AL95" s="3">
        <v>46177</v>
      </c>
      <c r="AM95" s="5">
        <v>268.64510000000001</v>
      </c>
      <c r="AN95" s="3">
        <v>45911</v>
      </c>
      <c r="AO95" s="4">
        <v>243.49940000000001</v>
      </c>
      <c r="AP95" s="74">
        <v>45911</v>
      </c>
      <c r="AQ95" s="4">
        <v>252.2</v>
      </c>
      <c r="AR95" s="6">
        <f t="shared" si="8"/>
        <v>45911</v>
      </c>
    </row>
    <row r="96" spans="1:44" x14ac:dyDescent="0.25">
      <c r="A96" s="37" t="str">
        <f ca="1">IF(AND(ISBLANK(AK85), A95 = $AK$1),NOW(),IF(ISBLANK(AK85),"",AK85))</f>
        <v/>
      </c>
      <c r="B96" s="38" t="str">
        <f ca="1">IF(COUNTIF($AK$2:AK1081,A96)=1,VLOOKUP(A96,AA:AB,2), IF(COUNTIF($AK$2:AK1081,A96)=0,$B$9,""))</f>
        <v/>
      </c>
      <c r="C96" s="2" t="str">
        <f t="shared" ca="1" si="9"/>
        <v/>
      </c>
      <c r="D96" s="41" t="str">
        <f t="shared" ca="1" si="10"/>
        <v/>
      </c>
      <c r="E96" s="78" t="str">
        <f ca="1">IF(COUNTIF($U$2:U1081,A96)=1,VLOOKUP(A96,U:V,2), "")</f>
        <v/>
      </c>
      <c r="F96" s="78" t="str">
        <f ca="1">IF(COUNTIF($W$2:W1081,A96)=1,VLOOKUP(A96,W:X,2), IF(COUNTIF($W$2:W1081,A96)=0,$E$9,""))</f>
        <v/>
      </c>
      <c r="G96" s="93"/>
      <c r="H96" s="93"/>
      <c r="I96" s="38" t="str">
        <f ca="1">IF(COUNTIF($AK$2:AK1081,A96)=1,VLOOKUP(A96,AC:AD,2), IF(COUNTIF($AK$2:AK1081,A96)=0,$C$9,""))</f>
        <v/>
      </c>
      <c r="J96" s="2" t="str">
        <f t="shared" ca="1" si="11"/>
        <v/>
      </c>
      <c r="K96" s="41" t="str">
        <f t="shared" ca="1" si="12"/>
        <v/>
      </c>
      <c r="L96" s="38" t="str">
        <f ca="1">IF(COUNTIF($AK$2:AK1081,A96)=1,VLOOKUP(A96,AN:AO,2), IF(COUNTIF($AK$2:AK1081,A96)=0,$D$9,""))</f>
        <v/>
      </c>
      <c r="M96" s="41" t="str">
        <f ca="1">IF(ISERROR(L96-2),"",(L96/$L$14-1)*$D$5)</f>
        <v/>
      </c>
      <c r="N96" s="41" t="str">
        <f ca="1">IF($A96="","",IF(COUNTIFS(Dividends!$G:$G,"&gt;"&amp;INT($A95),Dividends!$G:$G,"&lt;="&amp;INT($A96))=0,"",$R$2*SUMIFS(Dividends!$H:$H,Dividends!$G:$G,"&gt;"&amp;INT($A95),Dividends!$G:$G,"&lt;="&amp;INT($A96))))</f>
        <v/>
      </c>
      <c r="O96" s="42" t="str">
        <f ca="1">IF(ISERROR(B96-2),"",C96+D96-J96-K96-M96+SUM($N$14:N96))</f>
        <v/>
      </c>
      <c r="P96" s="80"/>
      <c r="Q96" s="80"/>
      <c r="R96" s="87"/>
      <c r="S96" s="87"/>
      <c r="T96" s="87"/>
      <c r="U96" s="108"/>
      <c r="V96" s="87"/>
      <c r="W96" s="108"/>
      <c r="X96" s="87"/>
      <c r="Y96" s="87"/>
      <c r="AA96" s="3">
        <v>46188.625</v>
      </c>
      <c r="AB96" s="4">
        <v>92.18</v>
      </c>
      <c r="AC96" s="3">
        <v>46182.625</v>
      </c>
      <c r="AD96" s="4">
        <v>99.396000000000001</v>
      </c>
      <c r="AE96" s="3">
        <v>46183.625</v>
      </c>
      <c r="AF96" s="4">
        <v>264.82</v>
      </c>
      <c r="AI96" s="3">
        <f>IF(COUNTIF(AC:AC,AA96)*COUNTIF(AE:AE,AA96)*COUNTIF(AG:AG,AA96),AA96,"")</f>
        <v>46188.625</v>
      </c>
      <c r="AJ96" s="3">
        <f t="shared" si="7"/>
        <v>46188.625</v>
      </c>
      <c r="AL96" s="3">
        <v>46178</v>
      </c>
      <c r="AM96" s="5">
        <v>268.35000000000002</v>
      </c>
      <c r="AN96" s="3">
        <v>45912</v>
      </c>
      <c r="AO96" s="4">
        <v>243.55</v>
      </c>
      <c r="AP96" s="74">
        <v>45912</v>
      </c>
      <c r="AQ96" s="4">
        <v>251.792</v>
      </c>
      <c r="AR96" s="6">
        <f t="shared" si="8"/>
        <v>45912</v>
      </c>
    </row>
    <row r="97" spans="1:44" x14ac:dyDescent="0.25">
      <c r="A97" s="37" t="str">
        <f ca="1">IF(AND(ISBLANK(AK86), A96 = $AK$1),NOW(),IF(ISBLANK(AK86),"",AK86))</f>
        <v/>
      </c>
      <c r="B97" s="38" t="str">
        <f ca="1">IF(COUNTIF($AK$2:AK1082,A97)=1,VLOOKUP(A97,AA:AB,2), IF(COUNTIF($AK$2:AK1082,A97)=0,$B$9,""))</f>
        <v/>
      </c>
      <c r="C97" s="2" t="str">
        <f t="shared" ca="1" si="9"/>
        <v/>
      </c>
      <c r="D97" s="41" t="str">
        <f t="shared" ca="1" si="10"/>
        <v/>
      </c>
      <c r="E97" s="78" t="str">
        <f ca="1">IF(COUNTIF($U$2:U1082,A97)=1,VLOOKUP(A97,U:V,2), "")</f>
        <v/>
      </c>
      <c r="F97" s="78" t="str">
        <f ca="1">IF(COUNTIF($W$2:W1082,A97)=1,VLOOKUP(A97,W:X,2), IF(COUNTIF($W$2:W1082,A97)=0,$E$9,""))</f>
        <v/>
      </c>
      <c r="G97" s="93"/>
      <c r="H97" s="93"/>
      <c r="I97" s="38" t="str">
        <f ca="1">IF(COUNTIF($AK$2:AK1082,A97)=1,VLOOKUP(A97,AC:AD,2), IF(COUNTIF($AK$2:AK1082,A97)=0,$C$9,""))</f>
        <v/>
      </c>
      <c r="J97" s="2" t="str">
        <f t="shared" ca="1" si="11"/>
        <v/>
      </c>
      <c r="K97" s="41" t="str">
        <f t="shared" ca="1" si="12"/>
        <v/>
      </c>
      <c r="L97" s="38" t="str">
        <f ca="1">IF(COUNTIF($AK$2:AK1082,A97)=1,VLOOKUP(A97,AN:AO,2), IF(COUNTIF($AK$2:AK1082,A97)=0,$D$9,""))</f>
        <v/>
      </c>
      <c r="M97" s="41" t="str">
        <f ca="1">IF(ISERROR(L97-2),"",(L97/$L$14-1)*$D$5)</f>
        <v/>
      </c>
      <c r="N97" s="41" t="str">
        <f ca="1">IF($A97="","",IF(COUNTIFS(Dividends!$G:$G,"&gt;"&amp;INT($A96),Dividends!$G:$G,"&lt;="&amp;INT($A97))=0,"",$R$2*SUMIFS(Dividends!$H:$H,Dividends!$G:$G,"&gt;"&amp;INT($A96),Dividends!$G:$G,"&lt;="&amp;INT($A97))))</f>
        <v/>
      </c>
      <c r="O97" s="42" t="str">
        <f ca="1">IF(ISERROR(B97-2),"",C97+D97-J97-K97-M97+SUM($N$14:N97))</f>
        <v/>
      </c>
      <c r="P97" s="80"/>
      <c r="Q97" s="80"/>
      <c r="R97" s="87"/>
      <c r="S97" s="87"/>
      <c r="T97" s="87"/>
      <c r="U97" s="108"/>
      <c r="V97" s="87"/>
      <c r="W97" s="108"/>
      <c r="X97" s="87"/>
      <c r="Y97" s="87"/>
      <c r="AA97" s="3">
        <v>46189.625</v>
      </c>
      <c r="AB97" s="4">
        <v>92.15</v>
      </c>
      <c r="AC97" s="3">
        <v>46183.625</v>
      </c>
      <c r="AD97" s="4">
        <v>99.337999999999994</v>
      </c>
      <c r="AE97" s="3">
        <v>46184.625</v>
      </c>
      <c r="AF97" s="4">
        <v>263.56900000000002</v>
      </c>
      <c r="AI97" s="3">
        <f>IF(COUNTIF(AC:AC,AA97)*COUNTIF(AE:AE,AA97)*COUNTIF(AG:AG,AA97),AA97,"")</f>
        <v>46189.625</v>
      </c>
      <c r="AJ97" s="3">
        <f t="shared" si="7"/>
        <v>46189.625</v>
      </c>
      <c r="AL97" s="3">
        <v>46181</v>
      </c>
      <c r="AM97" s="5">
        <v>268.29649999999998</v>
      </c>
      <c r="AN97" s="3">
        <v>45915</v>
      </c>
      <c r="AO97" s="4">
        <v>244.01660000000001</v>
      </c>
      <c r="AP97" s="74">
        <v>45915</v>
      </c>
      <c r="AQ97" s="4">
        <v>248.089</v>
      </c>
      <c r="AR97" s="6">
        <f t="shared" si="8"/>
        <v>45915</v>
      </c>
    </row>
    <row r="98" spans="1:44" x14ac:dyDescent="0.25">
      <c r="A98" s="37" t="str">
        <f ca="1">IF(AND(ISBLANK(AK87), A97 = $AK$1),NOW(),IF(ISBLANK(AK87),"",AK87))</f>
        <v/>
      </c>
      <c r="B98" s="38" t="str">
        <f ca="1">IF(COUNTIF($AK$2:AK1083,A98)=1,VLOOKUP(A98,AA:AB,2), IF(COUNTIF($AK$2:AK1083,A98)=0,$B$9,""))</f>
        <v/>
      </c>
      <c r="C98" s="2" t="str">
        <f t="shared" ca="1" si="9"/>
        <v/>
      </c>
      <c r="D98" s="41" t="str">
        <f t="shared" ca="1" si="10"/>
        <v/>
      </c>
      <c r="E98" s="78" t="str">
        <f ca="1">IF(COUNTIF($U$2:U1083,A98)=1,VLOOKUP(A98,U:V,2), "")</f>
        <v/>
      </c>
      <c r="F98" s="78" t="str">
        <f ca="1">IF(COUNTIF($W$2:W1083,A98)=1,VLOOKUP(A98,W:X,2), IF(COUNTIF($W$2:W1083,A98)=0,$E$9,""))</f>
        <v/>
      </c>
      <c r="G98" s="93"/>
      <c r="H98" s="93"/>
      <c r="I98" s="38" t="str">
        <f ca="1">IF(COUNTIF($AK$2:AK1083,A98)=1,VLOOKUP(A98,AC:AD,2), IF(COUNTIF($AK$2:AK1083,A98)=0,$C$9,""))</f>
        <v/>
      </c>
      <c r="J98" s="2" t="str">
        <f t="shared" ca="1" si="11"/>
        <v/>
      </c>
      <c r="K98" s="41" t="str">
        <f t="shared" ca="1" si="12"/>
        <v/>
      </c>
      <c r="L98" s="38" t="str">
        <f ca="1">IF(COUNTIF($AK$2:AK1083,A98)=1,VLOOKUP(A98,AN:AO,2), IF(COUNTIF($AK$2:AK1083,A98)=0,$D$9,""))</f>
        <v/>
      </c>
      <c r="M98" s="41" t="str">
        <f ca="1">IF(ISERROR(L98-2),"",(L98/$L$14-1)*$D$5)</f>
        <v/>
      </c>
      <c r="N98" s="41" t="str">
        <f ca="1">IF($A98="","",IF(COUNTIFS(Dividends!$G:$G,"&gt;"&amp;INT($A97),Dividends!$G:$G,"&lt;="&amp;INT($A98))=0,"",$R$2*SUMIFS(Dividends!$H:$H,Dividends!$G:$G,"&gt;"&amp;INT($A97),Dividends!$G:$G,"&lt;="&amp;INT($A98))))</f>
        <v/>
      </c>
      <c r="O98" s="42" t="str">
        <f ca="1">IF(ISERROR(B98-2),"",C98+D98-J98-K98-M98+SUM($N$14:N98))</f>
        <v/>
      </c>
      <c r="P98" s="80"/>
      <c r="Q98" s="80"/>
      <c r="R98" s="87"/>
      <c r="S98" s="87"/>
      <c r="T98" s="87"/>
      <c r="U98" s="108"/>
      <c r="V98" s="87"/>
      <c r="W98" s="108"/>
      <c r="X98" s="87"/>
      <c r="Y98" s="87"/>
      <c r="AA98" s="3">
        <v>46190.625</v>
      </c>
      <c r="AB98" s="4">
        <v>92.16</v>
      </c>
      <c r="AC98" s="3">
        <v>46184.625</v>
      </c>
      <c r="AD98" s="4">
        <v>99.400999999999996</v>
      </c>
      <c r="AE98" s="3">
        <v>46185.625</v>
      </c>
      <c r="AF98" s="4">
        <v>253.16399999999999</v>
      </c>
      <c r="AI98" s="3">
        <f>IF(COUNTIF(AC:AC,AA98)*COUNTIF(AE:AE,AA98)*COUNTIF(AG:AG,AA98),AA98,"")</f>
        <v>46190.625</v>
      </c>
      <c r="AJ98" s="3">
        <f t="shared" si="7"/>
        <v>46190.625</v>
      </c>
      <c r="AL98" s="3">
        <v>46182</v>
      </c>
      <c r="AM98" s="5">
        <v>268.3329</v>
      </c>
      <c r="AN98" s="3">
        <v>45916</v>
      </c>
      <c r="AO98" s="4">
        <v>243.57589999999999</v>
      </c>
      <c r="AP98" s="74">
        <v>45916</v>
      </c>
      <c r="AQ98" s="4">
        <v>252.04</v>
      </c>
      <c r="AR98" s="6">
        <f t="shared" si="8"/>
        <v>45916</v>
      </c>
    </row>
    <row r="99" spans="1:44" x14ac:dyDescent="0.25">
      <c r="A99" s="37" t="str">
        <f ca="1">IF(AND(ISBLANK(AK88), A98 = $AK$1),NOW(),IF(ISBLANK(AK88),"",AK88))</f>
        <v/>
      </c>
      <c r="B99" s="38" t="str">
        <f ca="1">IF(COUNTIF($AK$2:AK1084,A99)=1,VLOOKUP(A99,AA:AB,2), IF(COUNTIF($AK$2:AK1084,A99)=0,$B$9,""))</f>
        <v/>
      </c>
      <c r="C99" s="2" t="str">
        <f t="shared" ca="1" si="9"/>
        <v/>
      </c>
      <c r="D99" s="41" t="str">
        <f t="shared" ca="1" si="10"/>
        <v/>
      </c>
      <c r="E99" s="78" t="str">
        <f ca="1">IF(COUNTIF($U$2:U1084,A99)=1,VLOOKUP(A99,U:V,2), "")</f>
        <v/>
      </c>
      <c r="F99" s="78" t="str">
        <f ca="1">IF(COUNTIF($W$2:W1084,A99)=1,VLOOKUP(A99,W:X,2), IF(COUNTIF($W$2:W1084,A99)=0,$E$9,""))</f>
        <v/>
      </c>
      <c r="G99" s="93"/>
      <c r="H99" s="93"/>
      <c r="I99" s="38" t="str">
        <f ca="1">IF(COUNTIF($AK$2:AK1084,A99)=1,VLOOKUP(A99,AC:AD,2), IF(COUNTIF($AK$2:AK1084,A99)=0,$C$9,""))</f>
        <v/>
      </c>
      <c r="J99" s="2" t="str">
        <f t="shared" ca="1" si="11"/>
        <v/>
      </c>
      <c r="K99" s="41" t="str">
        <f t="shared" ca="1" si="12"/>
        <v/>
      </c>
      <c r="L99" s="38" t="str">
        <f ca="1">IF(COUNTIF($AK$2:AK1084,A99)=1,VLOOKUP(A99,AN:AO,2), IF(COUNTIF($AK$2:AK1084,A99)=0,$D$9,""))</f>
        <v/>
      </c>
      <c r="M99" s="41" t="str">
        <f ca="1">IF(ISERROR(L99-2),"",(L99/$L$14-1)*$D$5)</f>
        <v/>
      </c>
      <c r="N99" s="41" t="str">
        <f ca="1">IF($A99="","",IF(COUNTIFS(Dividends!$G:$G,"&gt;"&amp;INT($A98),Dividends!$G:$G,"&lt;="&amp;INT($A99))=0,"",$R$2*SUMIFS(Dividends!$H:$H,Dividends!$G:$G,"&gt;"&amp;INT($A98),Dividends!$G:$G,"&lt;="&amp;INT($A99))))</f>
        <v/>
      </c>
      <c r="O99" s="42" t="str">
        <f ca="1">IF(ISERROR(B99-2),"",C99+D99-J99-K99-M99+SUM($N$14:N99))</f>
        <v/>
      </c>
      <c r="P99" s="80"/>
      <c r="Q99" s="80"/>
      <c r="R99" s="87"/>
      <c r="S99" s="87"/>
      <c r="T99" s="87"/>
      <c r="U99" s="108"/>
      <c r="V99" s="87"/>
      <c r="W99" s="108"/>
      <c r="X99" s="87"/>
      <c r="Y99" s="87"/>
      <c r="AA99" s="3">
        <v>46191.625</v>
      </c>
      <c r="AB99" s="4">
        <v>91.01</v>
      </c>
      <c r="AC99" s="3">
        <v>46185.625</v>
      </c>
      <c r="AD99" s="4">
        <v>99.512</v>
      </c>
      <c r="AE99" s="3">
        <v>46188.625</v>
      </c>
      <c r="AF99" s="4">
        <v>248.518</v>
      </c>
      <c r="AI99" s="3">
        <f>IF(COUNTIF(AC:AC,AA99)*COUNTIF(AE:AE,AA99)*COUNTIF(AG:AG,AA99),AA99,"")</f>
        <v>46191.625</v>
      </c>
      <c r="AJ99" s="3">
        <f t="shared" si="7"/>
        <v>46191.625</v>
      </c>
      <c r="AL99" s="3">
        <v>46183</v>
      </c>
      <c r="AM99" s="5">
        <v>268.03980000000001</v>
      </c>
      <c r="AN99" s="3">
        <v>45917</v>
      </c>
      <c r="AO99" s="4">
        <v>243.72110000000001</v>
      </c>
      <c r="AP99" s="74">
        <v>45917</v>
      </c>
      <c r="AQ99" s="4">
        <v>250.89500000000001</v>
      </c>
      <c r="AR99" s="6">
        <f t="shared" si="8"/>
        <v>45917</v>
      </c>
    </row>
    <row r="100" spans="1:44" x14ac:dyDescent="0.25">
      <c r="A100" s="37" t="str">
        <f ca="1">IF(AND(ISBLANK(AK89), A99 = $AK$1),NOW(),IF(ISBLANK(AK89),"",AK89))</f>
        <v/>
      </c>
      <c r="B100" s="38" t="str">
        <f ca="1">IF(COUNTIF($AK$2:AK1085,A100)=1,VLOOKUP(A100,AA:AB,2), IF(COUNTIF($AK$2:AK1085,A100)=0,$B$9,""))</f>
        <v/>
      </c>
      <c r="C100" s="2" t="str">
        <f t="shared" ca="1" si="9"/>
        <v/>
      </c>
      <c r="D100" s="41" t="str">
        <f t="shared" ca="1" si="10"/>
        <v/>
      </c>
      <c r="E100" s="78" t="str">
        <f ca="1">IF(COUNTIF($U$2:U1085,A100)=1,VLOOKUP(A100,U:V,2), "")</f>
        <v/>
      </c>
      <c r="F100" s="78" t="str">
        <f ca="1">IF(COUNTIF($W$2:W1085,A100)=1,VLOOKUP(A100,W:X,2), IF(COUNTIF($W$2:W1085,A100)=0,$E$9,""))</f>
        <v/>
      </c>
      <c r="G100" s="93"/>
      <c r="H100" s="93"/>
      <c r="I100" s="38" t="str">
        <f ca="1">IF(COUNTIF($AK$2:AK1085,A100)=1,VLOOKUP(A100,AC:AD,2), IF(COUNTIF($AK$2:AK1085,A100)=0,$C$9,""))</f>
        <v/>
      </c>
      <c r="J100" s="2" t="str">
        <f t="shared" ca="1" si="11"/>
        <v/>
      </c>
      <c r="K100" s="41" t="str">
        <f t="shared" ca="1" si="12"/>
        <v/>
      </c>
      <c r="L100" s="38" t="str">
        <f ca="1">IF(COUNTIF($AK$2:AK1085,A100)=1,VLOOKUP(A100,AN:AO,2), IF(COUNTIF($AK$2:AK1085,A100)=0,$D$9,""))</f>
        <v/>
      </c>
      <c r="M100" s="41" t="str">
        <f ca="1">IF(ISERROR(L100-2),"",(L100/$L$14-1)*$D$5)</f>
        <v/>
      </c>
      <c r="N100" s="41" t="str">
        <f ca="1">IF($A100="","",IF(COUNTIFS(Dividends!$G:$G,"&gt;"&amp;INT($A99),Dividends!$G:$G,"&lt;="&amp;INT($A100))=0,"",$R$2*SUMIFS(Dividends!$H:$H,Dividends!$G:$G,"&gt;"&amp;INT($A99),Dividends!$G:$G,"&lt;="&amp;INT($A100))))</f>
        <v/>
      </c>
      <c r="O100" s="42" t="str">
        <f ca="1">IF(ISERROR(B100-2),"",C100+D100-J100-K100-M100+SUM($N$14:N100))</f>
        <v/>
      </c>
      <c r="P100" s="80"/>
      <c r="Q100" s="80"/>
      <c r="R100" s="87"/>
      <c r="S100" s="87"/>
      <c r="T100" s="87"/>
      <c r="U100" s="108"/>
      <c r="V100" s="87"/>
      <c r="W100" s="108"/>
      <c r="X100" s="87"/>
      <c r="Y100" s="87"/>
      <c r="AA100" s="3">
        <v>46192.625</v>
      </c>
      <c r="AB100" s="4">
        <v>91.05</v>
      </c>
      <c r="AC100" s="3">
        <v>46188.625</v>
      </c>
      <c r="AD100" s="4">
        <v>99.631</v>
      </c>
      <c r="AE100" s="3">
        <v>46189.625</v>
      </c>
      <c r="AF100" s="4">
        <v>249.79400000000001</v>
      </c>
      <c r="AI100" s="3">
        <f>IF(COUNTIF(AC:AC,AA100)*COUNTIF(AE:AE,AA100)*COUNTIF(AG:AG,AA100),AA100,"")</f>
        <v>46192.625</v>
      </c>
      <c r="AJ100" s="3">
        <f t="shared" si="7"/>
        <v>46192.625</v>
      </c>
      <c r="AL100" s="3">
        <v>46184</v>
      </c>
      <c r="AM100" s="5">
        <v>268.44299999999998</v>
      </c>
      <c r="AN100" s="3">
        <v>45918</v>
      </c>
      <c r="AO100" s="4">
        <v>244.14340000000001</v>
      </c>
      <c r="AP100" s="74">
        <v>45918</v>
      </c>
      <c r="AQ100" s="4">
        <v>247.65700000000001</v>
      </c>
      <c r="AR100" s="6">
        <f t="shared" si="8"/>
        <v>45918</v>
      </c>
    </row>
    <row r="101" spans="1:44" x14ac:dyDescent="0.25">
      <c r="A101" s="37" t="str">
        <f ca="1">IF(AND(ISBLANK(AK90), A100 = $AK$1),NOW(),IF(ISBLANK(AK90),"",AK90))</f>
        <v/>
      </c>
      <c r="B101" s="38" t="str">
        <f ca="1">IF(COUNTIF($AK$2:AK1086,A101)=1,VLOOKUP(A101,AA:AB,2), IF(COUNTIF($AK$2:AK1086,A101)=0,$B$9,""))</f>
        <v/>
      </c>
      <c r="C101" s="2" t="str">
        <f t="shared" ca="1" si="9"/>
        <v/>
      </c>
      <c r="D101" s="41" t="str">
        <f t="shared" ca="1" si="10"/>
        <v/>
      </c>
      <c r="E101" s="78" t="str">
        <f ca="1">IF(COUNTIF($U$2:U1086,A101)=1,VLOOKUP(A101,U:V,2), "")</f>
        <v/>
      </c>
      <c r="F101" s="78" t="str">
        <f ca="1">IF(COUNTIF($W$2:W1086,A101)=1,VLOOKUP(A101,W:X,2), IF(COUNTIF($W$2:W1086,A101)=0,$E$9,""))</f>
        <v/>
      </c>
      <c r="G101" s="93"/>
      <c r="H101" s="93"/>
      <c r="I101" s="38" t="str">
        <f ca="1">IF(COUNTIF($AK$2:AK1086,A101)=1,VLOOKUP(A101,AC:AD,2), IF(COUNTIF($AK$2:AK1086,A101)=0,$C$9,""))</f>
        <v/>
      </c>
      <c r="J101" s="2" t="str">
        <f t="shared" ca="1" si="11"/>
        <v/>
      </c>
      <c r="K101" s="41" t="str">
        <f t="shared" ca="1" si="12"/>
        <v/>
      </c>
      <c r="L101" s="38" t="str">
        <f ca="1">IF(COUNTIF($AK$2:AK1086,A101)=1,VLOOKUP(A101,AN:AO,2), IF(COUNTIF($AK$2:AK1086,A101)=0,$D$9,""))</f>
        <v/>
      </c>
      <c r="M101" s="41" t="str">
        <f ca="1">IF(ISERROR(L101-2),"",(L101/$L$14-1)*$D$5)</f>
        <v/>
      </c>
      <c r="N101" s="41" t="str">
        <f ca="1">IF($A101="","",IF(COUNTIFS(Dividends!$G:$G,"&gt;"&amp;INT($A100),Dividends!$G:$G,"&lt;="&amp;INT($A101))=0,"",$R$2*SUMIFS(Dividends!$H:$H,Dividends!$G:$G,"&gt;"&amp;INT($A100),Dividends!$G:$G,"&lt;="&amp;INT($A101))))</f>
        <v/>
      </c>
      <c r="O101" s="42" t="str">
        <f ca="1">IF(ISERROR(B101-2),"",C101+D101-J101-K101-M101+SUM($N$14:N101))</f>
        <v/>
      </c>
      <c r="P101" s="80"/>
      <c r="Q101" s="80"/>
      <c r="R101" s="87"/>
      <c r="S101" s="87"/>
      <c r="T101" s="87"/>
      <c r="U101" s="108"/>
      <c r="V101" s="87"/>
      <c r="W101" s="108"/>
      <c r="X101" s="87"/>
      <c r="Y101" s="87"/>
      <c r="AA101" s="3">
        <v>46195.625</v>
      </c>
      <c r="AB101" s="4">
        <v>91.17</v>
      </c>
      <c r="AC101" s="3">
        <v>46189.625</v>
      </c>
      <c r="AD101" s="4">
        <v>99.625</v>
      </c>
      <c r="AE101" s="3">
        <v>46190.625</v>
      </c>
      <c r="AF101" s="4">
        <v>252.459</v>
      </c>
      <c r="AI101" s="3" t="str">
        <f>IF(COUNTIF(AC:AC,AA101)*COUNTIF(AE:AE,AA101)*COUNTIF(AG:AG,AA101),AA101,"")</f>
        <v/>
      </c>
      <c r="AJ101" s="3" t="str">
        <f t="shared" si="7"/>
        <v/>
      </c>
      <c r="AL101" s="3">
        <v>46185</v>
      </c>
      <c r="AM101" s="5">
        <v>269.7552</v>
      </c>
      <c r="AN101" s="3">
        <v>45919</v>
      </c>
      <c r="AO101" s="4">
        <v>244.01089999999999</v>
      </c>
      <c r="AP101" s="74">
        <v>45919</v>
      </c>
      <c r="AQ101" s="4">
        <v>248.416</v>
      </c>
      <c r="AR101" s="6">
        <f t="shared" si="8"/>
        <v>45919</v>
      </c>
    </row>
    <row r="102" spans="1:44" x14ac:dyDescent="0.25">
      <c r="A102" s="37" t="str">
        <f ca="1">IF(AND(ISBLANK(AK91), A101 = $AK$1),NOW(),IF(ISBLANK(AK91),"",AK91))</f>
        <v/>
      </c>
      <c r="B102" s="38" t="str">
        <f ca="1">IF(COUNTIF($AK$2:AK1087,A102)=1,VLOOKUP(A102,AA:AB,2), IF(COUNTIF($AK$2:AK1087,A102)=0,$B$9,""))</f>
        <v/>
      </c>
      <c r="C102" s="2" t="str">
        <f t="shared" ca="1" si="9"/>
        <v/>
      </c>
      <c r="D102" s="41" t="str">
        <f t="shared" ca="1" si="10"/>
        <v/>
      </c>
      <c r="E102" s="78" t="str">
        <f ca="1">IF(COUNTIF($U$2:U1087,A102)=1,VLOOKUP(A102,U:V,2), "")</f>
        <v/>
      </c>
      <c r="F102" s="78" t="str">
        <f ca="1">IF(COUNTIF($W$2:W1087,A102)=1,VLOOKUP(A102,W:X,2), IF(COUNTIF($W$2:W1087,A102)=0,$E$9,""))</f>
        <v/>
      </c>
      <c r="G102" s="93"/>
      <c r="H102" s="93"/>
      <c r="I102" s="38" t="str">
        <f ca="1">IF(COUNTIF($AK$2:AK1087,A102)=1,VLOOKUP(A102,AC:AD,2), IF(COUNTIF($AK$2:AK1087,A102)=0,$C$9,""))</f>
        <v/>
      </c>
      <c r="J102" s="2" t="str">
        <f t="shared" ca="1" si="11"/>
        <v/>
      </c>
      <c r="K102" s="41" t="str">
        <f t="shared" ca="1" si="12"/>
        <v/>
      </c>
      <c r="L102" s="38" t="str">
        <f ca="1">IF(COUNTIF($AK$2:AK1087,A102)=1,VLOOKUP(A102,AN:AO,2), IF(COUNTIF($AK$2:AK1087,A102)=0,$D$9,""))</f>
        <v/>
      </c>
      <c r="M102" s="41" t="str">
        <f ca="1">IF(ISERROR(L102-2),"",(L102/$L$14-1)*$D$5)</f>
        <v/>
      </c>
      <c r="N102" s="41" t="str">
        <f ca="1">IF($A102="","",IF(COUNTIFS(Dividends!$G:$G,"&gt;"&amp;INT($A101),Dividends!$G:$G,"&lt;="&amp;INT($A102))=0,"",$R$2*SUMIFS(Dividends!$H:$H,Dividends!$G:$G,"&gt;"&amp;INT($A101),Dividends!$G:$G,"&lt;="&amp;INT($A102))))</f>
        <v/>
      </c>
      <c r="O102" s="42" t="str">
        <f ca="1">IF(ISERROR(B102-2),"",C102+D102-J102-K102-M102+SUM($N$14:N102))</f>
        <v/>
      </c>
      <c r="P102" s="80"/>
      <c r="Q102" s="80"/>
      <c r="R102" s="87"/>
      <c r="S102" s="87"/>
      <c r="T102" s="87"/>
      <c r="U102" s="108"/>
      <c r="V102" s="87"/>
      <c r="W102" s="108"/>
      <c r="X102" s="87"/>
      <c r="Y102" s="87"/>
      <c r="AA102" s="3">
        <v>46196.625</v>
      </c>
      <c r="AB102" s="4">
        <v>91.08</v>
      </c>
      <c r="AC102" s="3">
        <v>46190.625</v>
      </c>
      <c r="AD102" s="4">
        <v>99.600999999999999</v>
      </c>
      <c r="AE102" s="3">
        <v>46191.625</v>
      </c>
      <c r="AF102" s="4">
        <v>249.42099999999999</v>
      </c>
      <c r="AI102" s="3">
        <f>IF(COUNTIF(AC:AC,AA102)*COUNTIF(AE:AE,AA102)*COUNTIF(AG:AG,AA102),AA102,"")</f>
        <v>46196.625</v>
      </c>
      <c r="AJ102" s="3">
        <f t="shared" si="7"/>
        <v>46196.625</v>
      </c>
      <c r="AL102" s="3">
        <v>46188</v>
      </c>
      <c r="AM102" s="5">
        <v>270.47059999999999</v>
      </c>
      <c r="AN102" s="3">
        <v>45922</v>
      </c>
      <c r="AO102" s="4">
        <v>243.60169999999999</v>
      </c>
      <c r="AP102" s="74">
        <v>45922</v>
      </c>
      <c r="AQ102" s="4">
        <v>268.25200000000001</v>
      </c>
      <c r="AR102" s="6">
        <f t="shared" si="8"/>
        <v>45922</v>
      </c>
    </row>
    <row r="103" spans="1:44" x14ac:dyDescent="0.25">
      <c r="A103" s="37" t="str">
        <f ca="1">IF(AND(ISBLANK(AK92), A102 = $AK$1),NOW(),IF(ISBLANK(AK92),"",AK92))</f>
        <v/>
      </c>
      <c r="B103" s="38" t="str">
        <f ca="1">IF(COUNTIF($AK$2:AK1088,A103)=1,VLOOKUP(A103,AA:AB,2), IF(COUNTIF($AK$2:AK1088,A103)=0,$B$9,""))</f>
        <v/>
      </c>
      <c r="C103" s="2" t="str">
        <f t="shared" ca="1" si="9"/>
        <v/>
      </c>
      <c r="D103" s="41" t="str">
        <f t="shared" ca="1" si="10"/>
        <v/>
      </c>
      <c r="E103" s="78" t="str">
        <f ca="1">IF(COUNTIF($U$2:U1088,A103)=1,VLOOKUP(A103,U:V,2), "")</f>
        <v/>
      </c>
      <c r="F103" s="78" t="str">
        <f ca="1">IF(COUNTIF($W$2:W1088,A103)=1,VLOOKUP(A103,W:X,2), IF(COUNTIF($W$2:W1088,A103)=0,$E$9,""))</f>
        <v/>
      </c>
      <c r="G103" s="93"/>
      <c r="H103" s="93"/>
      <c r="I103" s="38" t="str">
        <f ca="1">IF(COUNTIF($AK$2:AK1088,A103)=1,VLOOKUP(A103,AC:AD,2), IF(COUNTIF($AK$2:AK1088,A103)=0,$C$9,""))</f>
        <v/>
      </c>
      <c r="J103" s="2" t="str">
        <f t="shared" ca="1" si="11"/>
        <v/>
      </c>
      <c r="K103" s="41" t="str">
        <f t="shared" ca="1" si="12"/>
        <v/>
      </c>
      <c r="L103" s="38" t="str">
        <f ca="1">IF(COUNTIF($AK$2:AK1088,A103)=1,VLOOKUP(A103,AN:AO,2), IF(COUNTIF($AK$2:AK1088,A103)=0,$D$9,""))</f>
        <v/>
      </c>
      <c r="M103" s="41" t="str">
        <f ca="1">IF(ISERROR(L103-2),"",(L103/$L$14-1)*$D$5)</f>
        <v/>
      </c>
      <c r="N103" s="41" t="str">
        <f ca="1">IF($A103="","",IF(COUNTIFS(Dividends!$G:$G,"&gt;"&amp;INT($A102),Dividends!$G:$G,"&lt;="&amp;INT($A103))=0,"",$R$2*SUMIFS(Dividends!$H:$H,Dividends!$G:$G,"&gt;"&amp;INT($A102),Dividends!$G:$G,"&lt;="&amp;INT($A103))))</f>
        <v/>
      </c>
      <c r="O103" s="42" t="str">
        <f ca="1">IF(ISERROR(B103-2),"",C103+D103-J103-K103-M103+SUM($N$14:N103))</f>
        <v/>
      </c>
      <c r="P103" s="80"/>
      <c r="Q103" s="80"/>
      <c r="R103" s="87"/>
      <c r="S103" s="87"/>
      <c r="T103" s="87"/>
      <c r="U103" s="108"/>
      <c r="V103" s="87"/>
      <c r="W103" s="108"/>
      <c r="X103" s="87"/>
      <c r="Y103" s="87"/>
      <c r="AA103" s="3">
        <v>46197.625</v>
      </c>
      <c r="AB103" s="4">
        <v>91.03</v>
      </c>
      <c r="AC103" s="3">
        <v>46191.625</v>
      </c>
      <c r="AD103" s="4">
        <v>99.582999999999998</v>
      </c>
      <c r="AE103" s="3">
        <v>46192.625</v>
      </c>
      <c r="AF103" s="4">
        <v>249.20599999999999</v>
      </c>
      <c r="AI103" s="3">
        <f>IF(COUNTIF(AC:AC,AA103)*COUNTIF(AE:AE,AA103)*COUNTIF(AG:AG,AA103),AA103,"")</f>
        <v>46197.625</v>
      </c>
      <c r="AJ103" s="3">
        <f t="shared" si="7"/>
        <v>46197.625</v>
      </c>
      <c r="AL103" s="3">
        <v>46189</v>
      </c>
      <c r="AM103" s="5">
        <v>270.3356</v>
      </c>
      <c r="AN103" s="3">
        <v>45923</v>
      </c>
      <c r="AO103" s="4">
        <v>244.0994</v>
      </c>
      <c r="AP103" s="74">
        <v>45923</v>
      </c>
      <c r="AQ103" s="4">
        <v>264.339</v>
      </c>
      <c r="AR103" s="6">
        <f t="shared" si="8"/>
        <v>45923</v>
      </c>
    </row>
    <row r="104" spans="1:44" x14ac:dyDescent="0.25">
      <c r="A104" s="37" t="str">
        <f ca="1">IF(AND(ISBLANK(AK93), A103 = $AK$1),NOW(),IF(ISBLANK(AK93),"",AK93))</f>
        <v/>
      </c>
      <c r="B104" s="38" t="str">
        <f ca="1">IF(COUNTIF($AK$2:AK1089,A104)=1,VLOOKUP(A104,AA:AB,2), IF(COUNTIF($AK$2:AK1089,A104)=0,$B$9,""))</f>
        <v/>
      </c>
      <c r="C104" s="2" t="str">
        <f t="shared" ca="1" si="9"/>
        <v/>
      </c>
      <c r="D104" s="41" t="str">
        <f t="shared" ca="1" si="10"/>
        <v/>
      </c>
      <c r="E104" s="78" t="str">
        <f ca="1">IF(COUNTIF($U$2:U1089,A104)=1,VLOOKUP(A104,U:V,2), "")</f>
        <v/>
      </c>
      <c r="F104" s="78" t="str">
        <f ca="1">IF(COUNTIF($W$2:W1089,A104)=1,VLOOKUP(A104,W:X,2), IF(COUNTIF($W$2:W1089,A104)=0,$E$9,""))</f>
        <v/>
      </c>
      <c r="G104" s="93"/>
      <c r="H104" s="93"/>
      <c r="I104" s="38" t="str">
        <f ca="1">IF(COUNTIF($AK$2:AK1089,A104)=1,VLOOKUP(A104,AC:AD,2), IF(COUNTIF($AK$2:AK1089,A104)=0,$C$9,""))</f>
        <v/>
      </c>
      <c r="J104" s="2" t="str">
        <f t="shared" ca="1" si="11"/>
        <v/>
      </c>
      <c r="K104" s="41" t="str">
        <f t="shared" ca="1" si="12"/>
        <v/>
      </c>
      <c r="L104" s="38" t="str">
        <f ca="1">IF(COUNTIF($AK$2:AK1089,A104)=1,VLOOKUP(A104,AN:AO,2), IF(COUNTIF($AK$2:AK1089,A104)=0,$D$9,""))</f>
        <v/>
      </c>
      <c r="M104" s="41" t="str">
        <f ca="1">IF(ISERROR(L104-2),"",(L104/$L$14-1)*$D$5)</f>
        <v/>
      </c>
      <c r="N104" s="41" t="str">
        <f ca="1">IF($A104="","",IF(COUNTIFS(Dividends!$G:$G,"&gt;"&amp;INT($A103),Dividends!$G:$G,"&lt;="&amp;INT($A104))=0,"",$R$2*SUMIFS(Dividends!$H:$H,Dividends!$G:$G,"&gt;"&amp;INT($A103),Dividends!$G:$G,"&lt;="&amp;INT($A104))))</f>
        <v/>
      </c>
      <c r="O104" s="42" t="str">
        <f ca="1">IF(ISERROR(B104-2),"",C104+D104-J104-K104-M104+SUM($N$14:N104))</f>
        <v/>
      </c>
      <c r="P104" s="80"/>
      <c r="Q104" s="80"/>
      <c r="R104" s="87"/>
      <c r="S104" s="87"/>
      <c r="T104" s="87"/>
      <c r="U104" s="108"/>
      <c r="V104" s="87"/>
      <c r="W104" s="108"/>
      <c r="X104" s="87"/>
      <c r="Y104" s="87"/>
      <c r="AA104" s="3">
        <v>46198.625</v>
      </c>
      <c r="AB104" s="4">
        <v>91.17</v>
      </c>
      <c r="AC104" s="3">
        <v>46192.625</v>
      </c>
      <c r="AD104" s="4">
        <v>99.489000000000004</v>
      </c>
      <c r="AE104" s="3">
        <v>46195.625</v>
      </c>
      <c r="AF104" s="4">
        <v>246.90199999999999</v>
      </c>
      <c r="AI104" s="3" t="str">
        <f>IF(COUNTIF(AC:AC,AA104)*COUNTIF(AE:AE,AA104)*COUNTIF(AG:AG,AA104),AA104,"")</f>
        <v/>
      </c>
      <c r="AJ104" s="3" t="str">
        <f t="shared" si="7"/>
        <v/>
      </c>
      <c r="AL104" s="3">
        <v>46190</v>
      </c>
      <c r="AM104" s="5">
        <v>270.1644</v>
      </c>
      <c r="AN104" s="3">
        <v>45924</v>
      </c>
      <c r="AO104" s="4">
        <v>244.1028</v>
      </c>
      <c r="AP104" s="74">
        <v>45924</v>
      </c>
      <c r="AQ104" s="4">
        <v>264.625</v>
      </c>
      <c r="AR104" s="6">
        <f t="shared" si="8"/>
        <v>45924</v>
      </c>
    </row>
    <row r="105" spans="1:44" x14ac:dyDescent="0.25">
      <c r="A105" s="37" t="str">
        <f ca="1">IF(AND(ISBLANK(AK94), A104 = $AK$1),NOW(),IF(ISBLANK(AK94),"",AK94))</f>
        <v/>
      </c>
      <c r="B105" s="38" t="str">
        <f ca="1">IF(COUNTIF($AK$2:AK1090,A105)=1,VLOOKUP(A105,AA:AB,2), IF(COUNTIF($AK$2:AK1090,A105)=0,$B$9,""))</f>
        <v/>
      </c>
      <c r="C105" s="2" t="str">
        <f t="shared" ca="1" si="9"/>
        <v/>
      </c>
      <c r="D105" s="41" t="str">
        <f t="shared" ca="1" si="10"/>
        <v/>
      </c>
      <c r="E105" s="78" t="str">
        <f ca="1">IF(COUNTIF($U$2:U1090,A105)=1,VLOOKUP(A105,U:V,2), "")</f>
        <v/>
      </c>
      <c r="F105" s="78" t="str">
        <f ca="1">IF(COUNTIF($W$2:W1090,A105)=1,VLOOKUP(A105,W:X,2), IF(COUNTIF($W$2:W1090,A105)=0,$E$9,""))</f>
        <v/>
      </c>
      <c r="G105" s="93"/>
      <c r="H105" s="93"/>
      <c r="I105" s="38" t="str">
        <f ca="1">IF(COUNTIF($AK$2:AK1090,A105)=1,VLOOKUP(A105,AC:AD,2), IF(COUNTIF($AK$2:AK1090,A105)=0,$C$9,""))</f>
        <v/>
      </c>
      <c r="J105" s="2" t="str">
        <f t="shared" ca="1" si="11"/>
        <v/>
      </c>
      <c r="K105" s="41" t="str">
        <f t="shared" ca="1" si="12"/>
        <v/>
      </c>
      <c r="L105" s="38" t="str">
        <f ca="1">IF(COUNTIF($AK$2:AK1090,A105)=1,VLOOKUP(A105,AN:AO,2), IF(COUNTIF($AK$2:AK1090,A105)=0,$D$9,""))</f>
        <v/>
      </c>
      <c r="M105" s="41" t="str">
        <f ca="1">IF(ISERROR(L105-2),"",(L105/$L$14-1)*$D$5)</f>
        <v/>
      </c>
      <c r="N105" s="41" t="str">
        <f ca="1">IF($A105="","",IF(COUNTIFS(Dividends!$G:$G,"&gt;"&amp;INT($A104),Dividends!$G:$G,"&lt;="&amp;INT($A105))=0,"",$R$2*SUMIFS(Dividends!$H:$H,Dividends!$G:$G,"&gt;"&amp;INT($A104),Dividends!$G:$G,"&lt;="&amp;INT($A105))))</f>
        <v/>
      </c>
      <c r="O105" s="42" t="str">
        <f ca="1">IF(ISERROR(B105-2),"",C105+D105-J105-K105-M105+SUM($N$14:N105))</f>
        <v/>
      </c>
      <c r="P105" s="80"/>
      <c r="Q105" s="80"/>
      <c r="R105" s="87"/>
      <c r="S105" s="87"/>
      <c r="T105" s="87"/>
      <c r="U105" s="108"/>
      <c r="V105" s="87"/>
      <c r="W105" s="108"/>
      <c r="X105" s="87"/>
      <c r="Y105" s="87"/>
      <c r="AC105" s="3">
        <v>46195.625</v>
      </c>
      <c r="AD105" s="4">
        <v>99.591999999999999</v>
      </c>
      <c r="AE105" s="3">
        <v>46196.625</v>
      </c>
      <c r="AF105" s="4">
        <v>248.29</v>
      </c>
      <c r="AI105" s="3" t="str">
        <f>IF(COUNTIF(AC:AC,AA105)*COUNTIF(AE:AE,AA105)*COUNTIF(AG:AG,AA105),AA105,"")</f>
        <v/>
      </c>
      <c r="AJ105" s="3" t="str">
        <f t="shared" si="7"/>
        <v/>
      </c>
      <c r="AL105" s="3">
        <v>46191</v>
      </c>
      <c r="AM105" s="5">
        <v>270.5043</v>
      </c>
      <c r="AN105" s="3">
        <v>45925</v>
      </c>
      <c r="AO105" s="4">
        <v>243.57409999999999</v>
      </c>
      <c r="AP105" s="74">
        <v>45925</v>
      </c>
      <c r="AQ105" s="4">
        <v>268.18400000000003</v>
      </c>
      <c r="AR105" s="6">
        <f t="shared" si="8"/>
        <v>45925</v>
      </c>
    </row>
    <row r="106" spans="1:44" x14ac:dyDescent="0.25">
      <c r="A106" s="37" t="str">
        <f ca="1">IF(AND(ISBLANK(AK95), A105 = $AK$1),NOW(),IF(ISBLANK(AK95),"",AK95))</f>
        <v/>
      </c>
      <c r="B106" s="38" t="str">
        <f ca="1">IF(COUNTIF($AK$2:AK1091,A106)=1,VLOOKUP(A106,AA:AB,2), IF(COUNTIF($AK$2:AK1091,A106)=0,$B$9,""))</f>
        <v/>
      </c>
      <c r="C106" s="2" t="str">
        <f t="shared" ca="1" si="9"/>
        <v/>
      </c>
      <c r="D106" s="41" t="str">
        <f t="shared" ca="1" si="10"/>
        <v/>
      </c>
      <c r="E106" s="78" t="str">
        <f ca="1">IF(COUNTIF($U$2:U1091,A106)=1,VLOOKUP(A106,U:V,2), "")</f>
        <v/>
      </c>
      <c r="F106" s="78" t="str">
        <f ca="1">IF(COUNTIF($W$2:W1091,A106)=1,VLOOKUP(A106,W:X,2), IF(COUNTIF($W$2:W1091,A106)=0,$E$9,""))</f>
        <v/>
      </c>
      <c r="G106" s="93"/>
      <c r="H106" s="93"/>
      <c r="I106" s="38" t="str">
        <f ca="1">IF(COUNTIF($AK$2:AK1091,A106)=1,VLOOKUP(A106,AC:AD,2), IF(COUNTIF($AK$2:AK1091,A106)=0,$C$9,""))</f>
        <v/>
      </c>
      <c r="J106" s="2" t="str">
        <f t="shared" ca="1" si="11"/>
        <v/>
      </c>
      <c r="K106" s="41" t="str">
        <f t="shared" ca="1" si="12"/>
        <v/>
      </c>
      <c r="L106" s="38" t="str">
        <f ca="1">IF(COUNTIF($AK$2:AK1091,A106)=1,VLOOKUP(A106,AN:AO,2), IF(COUNTIF($AK$2:AK1091,A106)=0,$D$9,""))</f>
        <v/>
      </c>
      <c r="M106" s="41" t="str">
        <f ca="1">IF(ISERROR(L106-2),"",(L106/$L$14-1)*$D$5)</f>
        <v/>
      </c>
      <c r="N106" s="41" t="str">
        <f ca="1">IF($A106="","",IF(COUNTIFS(Dividends!$G:$G,"&gt;"&amp;INT($A105),Dividends!$G:$G,"&lt;="&amp;INT($A106))=0,"",$R$2*SUMIFS(Dividends!$H:$H,Dividends!$G:$G,"&gt;"&amp;INT($A105),Dividends!$G:$G,"&lt;="&amp;INT($A106))))</f>
        <v/>
      </c>
      <c r="O106" s="42" t="str">
        <f ca="1">IF(ISERROR(B106-2),"",C106+D106-J106-K106-M106+SUM($N$14:N106))</f>
        <v/>
      </c>
      <c r="P106" s="80"/>
      <c r="Q106" s="80"/>
      <c r="R106" s="87"/>
      <c r="S106" s="87"/>
      <c r="T106" s="87"/>
      <c r="U106" s="108"/>
      <c r="V106" s="87"/>
      <c r="W106" s="108"/>
      <c r="X106" s="87"/>
      <c r="Y106" s="87"/>
      <c r="AC106" s="3">
        <v>46196.625</v>
      </c>
      <c r="AD106" s="4">
        <v>99.66</v>
      </c>
      <c r="AE106" s="3">
        <v>46197.625</v>
      </c>
      <c r="AF106" s="4">
        <v>247.875</v>
      </c>
      <c r="AI106" s="3" t="str">
        <f>IF(COUNTIF(AC:AC,AA106)*COUNTIF(AE:AE,AA106)*COUNTIF(AG:AG,AA106),AA106,"")</f>
        <v/>
      </c>
      <c r="AJ106" s="3" t="str">
        <f t="shared" si="7"/>
        <v/>
      </c>
      <c r="AL106" s="3">
        <v>46192</v>
      </c>
      <c r="AM106" s="5">
        <v>270.44040000000001</v>
      </c>
      <c r="AN106" s="3">
        <v>45926</v>
      </c>
      <c r="AO106" s="4">
        <v>244.00890000000001</v>
      </c>
      <c r="AP106" s="74">
        <v>45926</v>
      </c>
      <c r="AQ106" s="4">
        <v>265.48200000000003</v>
      </c>
      <c r="AR106" s="6">
        <f t="shared" si="8"/>
        <v>45926</v>
      </c>
    </row>
    <row r="107" spans="1:44" x14ac:dyDescent="0.25">
      <c r="A107" s="37" t="str">
        <f ca="1">IF(AND(ISBLANK(AK96), A106 = $AK$1),NOW(),IF(ISBLANK(AK96),"",AK96))</f>
        <v/>
      </c>
      <c r="B107" s="38" t="str">
        <f ca="1">IF(COUNTIF($AK$2:AK1092,A107)=1,VLOOKUP(A107,AA:AB,2), IF(COUNTIF($AK$2:AK1092,A107)=0,$B$9,""))</f>
        <v/>
      </c>
      <c r="C107" s="2" t="str">
        <f t="shared" ca="1" si="9"/>
        <v/>
      </c>
      <c r="D107" s="41" t="str">
        <f t="shared" ca="1" si="10"/>
        <v/>
      </c>
      <c r="E107" s="78" t="str">
        <f ca="1">IF(COUNTIF($U$2:U1092,A107)=1,VLOOKUP(A107,U:V,2), "")</f>
        <v/>
      </c>
      <c r="F107" s="78" t="str">
        <f ca="1">IF(COUNTIF($W$2:W1092,A107)=1,VLOOKUP(A107,W:X,2), IF(COUNTIF($W$2:W1092,A107)=0,$E$9,""))</f>
        <v/>
      </c>
      <c r="G107" s="93"/>
      <c r="H107" s="93"/>
      <c r="I107" s="38" t="str">
        <f ca="1">IF(COUNTIF($AK$2:AK1092,A107)=1,VLOOKUP(A107,AC:AD,2), IF(COUNTIF($AK$2:AK1092,A107)=0,$C$9,""))</f>
        <v/>
      </c>
      <c r="J107" s="2" t="str">
        <f t="shared" ca="1" si="11"/>
        <v/>
      </c>
      <c r="K107" s="41" t="str">
        <f t="shared" ca="1" si="12"/>
        <v/>
      </c>
      <c r="L107" s="38" t="str">
        <f ca="1">IF(COUNTIF($AK$2:AK1092,A107)=1,VLOOKUP(A107,AN:AO,2), IF(COUNTIF($AK$2:AK1092,A107)=0,$D$9,""))</f>
        <v/>
      </c>
      <c r="M107" s="41" t="str">
        <f ca="1">IF(ISERROR(L107-2),"",(L107/$L$14-1)*$D$5)</f>
        <v/>
      </c>
      <c r="N107" s="41" t="str">
        <f ca="1">IF($A107="","",IF(COUNTIFS(Dividends!$G:$G,"&gt;"&amp;INT($A106),Dividends!$G:$G,"&lt;="&amp;INT($A107))=0,"",$R$2*SUMIFS(Dividends!$H:$H,Dividends!$G:$G,"&gt;"&amp;INT($A106),Dividends!$G:$G,"&lt;="&amp;INT($A107))))</f>
        <v/>
      </c>
      <c r="O107" s="42" t="str">
        <f ca="1">IF(ISERROR(B107-2),"",C107+D107-J107-K107-M107+SUM($N$14:N107))</f>
        <v/>
      </c>
      <c r="P107" s="80"/>
      <c r="Q107" s="80"/>
      <c r="R107" s="87"/>
      <c r="S107" s="87"/>
      <c r="T107" s="87"/>
      <c r="U107" s="108"/>
      <c r="V107" s="87"/>
      <c r="W107" s="108"/>
      <c r="X107" s="87"/>
      <c r="Y107" s="87"/>
      <c r="AC107" s="3">
        <v>46197.625</v>
      </c>
      <c r="AD107" s="4">
        <v>99.724999999999994</v>
      </c>
      <c r="AE107" s="3">
        <v>46198.625</v>
      </c>
      <c r="AF107" s="4">
        <v>246.71700000000001</v>
      </c>
      <c r="AI107" s="3" t="str">
        <f>IF(COUNTIF(AC:AC,AA107)*COUNTIF(AE:AE,AA107)*COUNTIF(AG:AG,AA107),AA107,"")</f>
        <v/>
      </c>
      <c r="AJ107" s="3" t="str">
        <f t="shared" si="7"/>
        <v/>
      </c>
      <c r="AL107" s="3">
        <v>46195</v>
      </c>
      <c r="AM107" s="5">
        <v>270.85840000000002</v>
      </c>
      <c r="AN107" s="3">
        <v>45929</v>
      </c>
      <c r="AO107" s="4">
        <v>244.41050000000001</v>
      </c>
      <c r="AP107" s="74">
        <v>45929</v>
      </c>
      <c r="AQ107" s="4">
        <v>262.72199999999998</v>
      </c>
      <c r="AR107" s="6">
        <f t="shared" si="8"/>
        <v>45929</v>
      </c>
    </row>
    <row r="108" spans="1:44" x14ac:dyDescent="0.25">
      <c r="A108" s="37" t="str">
        <f ca="1">IF(AND(ISBLANK(AK97), A107 = $AK$1),NOW(),IF(ISBLANK(AK97),"",AK97))</f>
        <v/>
      </c>
      <c r="B108" s="38" t="str">
        <f ca="1">IF(COUNTIF($AK$2:AK1093,A108)=1,VLOOKUP(A108,AA:AB,2), IF(COUNTIF($AK$2:AK1093,A108)=0,$B$9,""))</f>
        <v/>
      </c>
      <c r="C108" s="2" t="str">
        <f t="shared" ca="1" si="9"/>
        <v/>
      </c>
      <c r="D108" s="41" t="str">
        <f t="shared" ca="1" si="10"/>
        <v/>
      </c>
      <c r="E108" s="78" t="str">
        <f ca="1">IF(COUNTIF($U$2:U1093,A108)=1,VLOOKUP(A108,U:V,2), "")</f>
        <v/>
      </c>
      <c r="F108" s="78" t="str">
        <f ca="1">IF(COUNTIF($W$2:W1093,A108)=1,VLOOKUP(A108,W:X,2), IF(COUNTIF($W$2:W1093,A108)=0,$E$9,""))</f>
        <v/>
      </c>
      <c r="G108" s="93"/>
      <c r="H108" s="93"/>
      <c r="I108" s="38" t="str">
        <f ca="1">IF(COUNTIF($AK$2:AK1093,A108)=1,VLOOKUP(A108,AC:AD,2), IF(COUNTIF($AK$2:AK1093,A108)=0,$C$9,""))</f>
        <v/>
      </c>
      <c r="J108" s="2" t="str">
        <f t="shared" ca="1" si="11"/>
        <v/>
      </c>
      <c r="K108" s="41" t="str">
        <f t="shared" ca="1" si="12"/>
        <v/>
      </c>
      <c r="L108" s="38" t="str">
        <f ca="1">IF(COUNTIF($AK$2:AK1093,A108)=1,VLOOKUP(A108,AN:AO,2), IF(COUNTIF($AK$2:AK1093,A108)=0,$D$9,""))</f>
        <v/>
      </c>
      <c r="M108" s="41" t="str">
        <f ca="1">IF(ISERROR(L108-2),"",(L108/$L$14-1)*$D$5)</f>
        <v/>
      </c>
      <c r="N108" s="41" t="str">
        <f ca="1">IF($A108="","",IF(COUNTIFS(Dividends!$G:$G,"&gt;"&amp;INT($A107),Dividends!$G:$G,"&lt;="&amp;INT($A108))=0,"",$R$2*SUMIFS(Dividends!$H:$H,Dividends!$G:$G,"&gt;"&amp;INT($A107),Dividends!$G:$G,"&lt;="&amp;INT($A108))))</f>
        <v/>
      </c>
      <c r="O108" s="42" t="str">
        <f ca="1">IF(ISERROR(B108-2),"",C108+D108-J108-K108-M108+SUM($N$14:N108))</f>
        <v/>
      </c>
      <c r="P108" s="80"/>
      <c r="Q108" s="80"/>
      <c r="R108" s="87"/>
      <c r="S108" s="87"/>
      <c r="T108" s="87"/>
      <c r="U108" s="108"/>
      <c r="V108" s="87"/>
      <c r="W108" s="108"/>
      <c r="X108" s="87"/>
      <c r="Y108" s="87"/>
      <c r="AC108" s="3">
        <v>46198.625</v>
      </c>
      <c r="AD108" s="4">
        <v>99.748999999999995</v>
      </c>
      <c r="AI108" s="3" t="str">
        <f>IF(COUNTIF(AC:AC,AA108)*COUNTIF(AE:AE,AA108)*COUNTIF(AG:AG,AA108),AA108,"")</f>
        <v/>
      </c>
      <c r="AJ108" s="3" t="str">
        <f t="shared" si="7"/>
        <v/>
      </c>
      <c r="AL108" s="3">
        <v>46196</v>
      </c>
      <c r="AM108" s="5">
        <v>270.70330000000001</v>
      </c>
      <c r="AN108" s="3">
        <v>45930</v>
      </c>
      <c r="AO108" s="4">
        <v>244.4126</v>
      </c>
      <c r="AP108" s="74">
        <v>45930</v>
      </c>
      <c r="AQ108" s="4">
        <v>262.26600000000002</v>
      </c>
      <c r="AR108" s="6">
        <f t="shared" si="8"/>
        <v>45930</v>
      </c>
    </row>
    <row r="109" spans="1:44" x14ac:dyDescent="0.25">
      <c r="A109" s="37" t="str">
        <f ca="1">IF(AND(ISBLANK(AK98), A108 = $AK$1),NOW(),IF(ISBLANK(AK98),"",AK98))</f>
        <v/>
      </c>
      <c r="B109" s="38" t="str">
        <f ca="1">IF(COUNTIF($AK$2:AK1094,A109)=1,VLOOKUP(A109,AA:AB,2), IF(COUNTIF($AK$2:AK1094,A109)=0,$B$9,""))</f>
        <v/>
      </c>
      <c r="C109" s="2" t="str">
        <f t="shared" ca="1" si="9"/>
        <v/>
      </c>
      <c r="D109" s="41" t="str">
        <f t="shared" ca="1" si="10"/>
        <v/>
      </c>
      <c r="E109" s="78" t="str">
        <f ca="1">IF(COUNTIF($U$2:U1094,A109)=1,VLOOKUP(A109,U:V,2), "")</f>
        <v/>
      </c>
      <c r="F109" s="78" t="str">
        <f ca="1">IF(COUNTIF($W$2:W1094,A109)=1,VLOOKUP(A109,W:X,2), IF(COUNTIF($W$2:W1094,A109)=0,$E$9,""))</f>
        <v/>
      </c>
      <c r="G109" s="93"/>
      <c r="H109" s="93"/>
      <c r="I109" s="38" t="str">
        <f ca="1">IF(COUNTIF($AK$2:AK1094,A109)=1,VLOOKUP(A109,AC:AD,2), IF(COUNTIF($AK$2:AK1094,A109)=0,$C$9,""))</f>
        <v/>
      </c>
      <c r="J109" s="2" t="str">
        <f t="shared" ca="1" si="11"/>
        <v/>
      </c>
      <c r="K109" s="41" t="str">
        <f t="shared" ca="1" si="12"/>
        <v/>
      </c>
      <c r="L109" s="38" t="str">
        <f ca="1">IF(COUNTIF($AK$2:AK1094,A109)=1,VLOOKUP(A109,AN:AO,2), IF(COUNTIF($AK$2:AK1094,A109)=0,$D$9,""))</f>
        <v/>
      </c>
      <c r="M109" s="41" t="str">
        <f ca="1">IF(ISERROR(L109-2),"",(L109/$L$14-1)*$D$5)</f>
        <v/>
      </c>
      <c r="N109" s="41" t="str">
        <f ca="1">IF($A109="","",IF(COUNTIFS(Dividends!$G:$G,"&gt;"&amp;INT($A108),Dividends!$G:$G,"&lt;="&amp;INT($A109))=0,"",$R$2*SUMIFS(Dividends!$H:$H,Dividends!$G:$G,"&gt;"&amp;INT($A108),Dividends!$G:$G,"&lt;="&amp;INT($A109))))</f>
        <v/>
      </c>
      <c r="O109" s="42" t="str">
        <f ca="1">IF(ISERROR(B109-2),"",C109+D109-J109-K109-M109+SUM($N$14:N109))</f>
        <v/>
      </c>
      <c r="P109" s="80"/>
      <c r="Q109" s="80"/>
      <c r="R109" s="87"/>
      <c r="S109" s="87"/>
      <c r="T109" s="87"/>
      <c r="U109" s="108"/>
      <c r="V109" s="87"/>
      <c r="W109" s="108"/>
      <c r="X109" s="87"/>
      <c r="Y109" s="87"/>
      <c r="AI109" s="3" t="str">
        <f>IF(COUNTIF(AC:AC,AA109)*COUNTIF(AE:AE,AA109)*COUNTIF(AG:AG,AA109),AA109,"")</f>
        <v/>
      </c>
      <c r="AJ109" s="3" t="str">
        <f t="shared" si="7"/>
        <v/>
      </c>
      <c r="AL109" s="3">
        <v>46197</v>
      </c>
      <c r="AM109" s="5">
        <v>270.80290000000002</v>
      </c>
      <c r="AN109" s="3">
        <v>45931</v>
      </c>
      <c r="AO109" s="4">
        <v>244.68109999999999</v>
      </c>
      <c r="AP109" s="74">
        <v>45931</v>
      </c>
      <c r="AQ109" s="4">
        <v>260.63</v>
      </c>
      <c r="AR109" s="6">
        <f t="shared" si="8"/>
        <v>45931</v>
      </c>
    </row>
    <row r="110" spans="1:44" x14ac:dyDescent="0.25">
      <c r="A110" s="37" t="str">
        <f ca="1">IF(AND(ISBLANK(AK99), A109 = $AK$1),NOW(),IF(ISBLANK(AK99),"",AK99))</f>
        <v/>
      </c>
      <c r="B110" s="38" t="str">
        <f ca="1">IF(COUNTIF($AK$2:AK1095,A110)=1,VLOOKUP(A110,AA:AB,2), IF(COUNTIF($AK$2:AK1095,A110)=0,$B$9,""))</f>
        <v/>
      </c>
      <c r="C110" s="2" t="str">
        <f t="shared" ca="1" si="9"/>
        <v/>
      </c>
      <c r="D110" s="41" t="str">
        <f t="shared" ca="1" si="10"/>
        <v/>
      </c>
      <c r="E110" s="78" t="str">
        <f ca="1">IF(COUNTIF($U$2:U1095,A110)=1,VLOOKUP(A110,U:V,2), "")</f>
        <v/>
      </c>
      <c r="F110" s="78" t="str">
        <f ca="1">IF(COUNTIF($W$2:W1095,A110)=1,VLOOKUP(A110,W:X,2), IF(COUNTIF($W$2:W1095,A110)=0,$E$9,""))</f>
        <v/>
      </c>
      <c r="G110" s="93"/>
      <c r="H110" s="93"/>
      <c r="I110" s="38" t="str">
        <f ca="1">IF(COUNTIF($AK$2:AK1095,A110)=1,VLOOKUP(A110,AC:AD,2), IF(COUNTIF($AK$2:AK1095,A110)=0,$C$9,""))</f>
        <v/>
      </c>
      <c r="J110" s="2" t="str">
        <f t="shared" ca="1" si="11"/>
        <v/>
      </c>
      <c r="K110" s="41" t="str">
        <f t="shared" ca="1" si="12"/>
        <v/>
      </c>
      <c r="L110" s="38" t="str">
        <f ca="1">IF(COUNTIF($AK$2:AK1095,A110)=1,VLOOKUP(A110,AN:AO,2), IF(COUNTIF($AK$2:AK1095,A110)=0,$D$9,""))</f>
        <v/>
      </c>
      <c r="M110" s="41" t="str">
        <f ca="1">IF(ISERROR(L110-2),"",(L110/$L$14-1)*$D$5)</f>
        <v/>
      </c>
      <c r="N110" s="41" t="str">
        <f ca="1">IF($A110="","",IF(COUNTIFS(Dividends!$G:$G,"&gt;"&amp;INT($A109),Dividends!$G:$G,"&lt;="&amp;INT($A110))=0,"",$R$2*SUMIFS(Dividends!$H:$H,Dividends!$G:$G,"&gt;"&amp;INT($A109),Dividends!$G:$G,"&lt;="&amp;INT($A110))))</f>
        <v/>
      </c>
      <c r="O110" s="42" t="str">
        <f ca="1">IF(ISERROR(B110-2),"",C110+D110-J110-K110-M110+SUM($N$14:N110))</f>
        <v/>
      </c>
      <c r="P110" s="80"/>
      <c r="Q110" s="80"/>
      <c r="R110" s="87"/>
      <c r="S110" s="87"/>
      <c r="T110" s="87"/>
      <c r="U110" s="108"/>
      <c r="V110" s="87"/>
      <c r="W110" s="108"/>
      <c r="X110" s="87"/>
      <c r="Y110" s="87"/>
      <c r="AI110" s="3" t="str">
        <f>IF(COUNTIF(AC:AC,AA110)*COUNTIF(AE:AE,AA110)*COUNTIF(AG:AG,AA110),AA110,"")</f>
        <v/>
      </c>
      <c r="AJ110" s="3" t="str">
        <f t="shared" si="7"/>
        <v/>
      </c>
      <c r="AL110" s="3">
        <v>46198</v>
      </c>
      <c r="AM110" s="5">
        <v>270.97930000000002</v>
      </c>
      <c r="AN110" s="3">
        <v>45932</v>
      </c>
      <c r="AO110" s="4">
        <v>245.01730000000001</v>
      </c>
      <c r="AP110" s="74">
        <v>45932</v>
      </c>
      <c r="AQ110" s="4">
        <v>257.88900000000001</v>
      </c>
      <c r="AR110" s="6">
        <f t="shared" si="8"/>
        <v>45932</v>
      </c>
    </row>
    <row r="111" spans="1:44" x14ac:dyDescent="0.25">
      <c r="A111" s="37" t="str">
        <f ca="1">IF(AND(ISBLANK(AK100), A110 = $AK$1),NOW(),IF(ISBLANK(AK100),"",AK100))</f>
        <v/>
      </c>
      <c r="B111" s="38" t="str">
        <f ca="1">IF(COUNTIF($AK$2:AK1096,A111)=1,VLOOKUP(A111,AA:AB,2), IF(COUNTIF($AK$2:AK1096,A111)=0,$B$9,""))</f>
        <v/>
      </c>
      <c r="C111" s="2" t="str">
        <f t="shared" ca="1" si="9"/>
        <v/>
      </c>
      <c r="D111" s="41" t="str">
        <f t="shared" ca="1" si="10"/>
        <v/>
      </c>
      <c r="E111" s="78" t="str">
        <f ca="1">IF(COUNTIF($U$2:U1096,A111)=1,VLOOKUP(A111,U:V,2), "")</f>
        <v/>
      </c>
      <c r="F111" s="78" t="str">
        <f ca="1">IF(COUNTIF($W$2:W1096,A111)=1,VLOOKUP(A111,W:X,2), IF(COUNTIF($W$2:W1096,A111)=0,$E$9,""))</f>
        <v/>
      </c>
      <c r="G111" s="93"/>
      <c r="H111" s="93"/>
      <c r="I111" s="38" t="str">
        <f ca="1">IF(COUNTIF($AK$2:AK1096,A111)=1,VLOOKUP(A111,AC:AD,2), IF(COUNTIF($AK$2:AK1096,A111)=0,$C$9,""))</f>
        <v/>
      </c>
      <c r="J111" s="2" t="str">
        <f t="shared" ca="1" si="11"/>
        <v/>
      </c>
      <c r="K111" s="41" t="str">
        <f t="shared" ca="1" si="12"/>
        <v/>
      </c>
      <c r="L111" s="38" t="str">
        <f ca="1">IF(COUNTIF($AK$2:AK1096,A111)=1,VLOOKUP(A111,AN:AO,2), IF(COUNTIF($AK$2:AK1096,A111)=0,$D$9,""))</f>
        <v/>
      </c>
      <c r="M111" s="41" t="str">
        <f ca="1">IF(ISERROR(L111-2),"",(L111/$L$14-1)*$D$5)</f>
        <v/>
      </c>
      <c r="N111" s="41" t="str">
        <f ca="1">IF($A111="","",IF(COUNTIFS(Dividends!$G:$G,"&gt;"&amp;INT($A110),Dividends!$G:$G,"&lt;="&amp;INT($A111))=0,"",$R$2*SUMIFS(Dividends!$H:$H,Dividends!$G:$G,"&gt;"&amp;INT($A110),Dividends!$G:$G,"&lt;="&amp;INT($A111))))</f>
        <v/>
      </c>
      <c r="O111" s="42" t="str">
        <f ca="1">IF(ISERROR(B111-2),"",C111+D111-J111-K111-M111+SUM($N$14:N111))</f>
        <v/>
      </c>
      <c r="P111" s="80"/>
      <c r="Q111" s="80"/>
      <c r="R111" s="87"/>
      <c r="S111" s="87"/>
      <c r="T111" s="87"/>
      <c r="U111" s="108"/>
      <c r="V111" s="87"/>
      <c r="W111" s="108"/>
      <c r="X111" s="87"/>
      <c r="Y111" s="87"/>
      <c r="AI111" s="3" t="str">
        <f>IF(COUNTIF(AC:AC,AA111)*COUNTIF(AE:AE,AA111)*COUNTIF(AG:AG,AA111),AA111,"")</f>
        <v/>
      </c>
      <c r="AJ111" s="3" t="str">
        <f t="shared" si="7"/>
        <v/>
      </c>
      <c r="AN111" s="3">
        <v>45933</v>
      </c>
      <c r="AO111" s="4">
        <v>244.96510000000001</v>
      </c>
      <c r="AP111" s="74">
        <v>45933</v>
      </c>
      <c r="AQ111" s="4">
        <v>258.346</v>
      </c>
      <c r="AR111" s="6">
        <f t="shared" si="8"/>
        <v>45933</v>
      </c>
    </row>
    <row r="112" spans="1:44" x14ac:dyDescent="0.25">
      <c r="A112" s="37" t="str">
        <f ca="1">IF(AND(ISBLANK(AK101), A111 = $AK$1),NOW(),IF(ISBLANK(AK101),"",AK101))</f>
        <v/>
      </c>
      <c r="B112" s="38" t="str">
        <f ca="1">IF(COUNTIF($AK$2:AK1097,A112)=1,VLOOKUP(A112,AA:AB,2), IF(COUNTIF($AK$2:AK1097,A112)=0,$B$9,""))</f>
        <v/>
      </c>
      <c r="C112" s="2" t="str">
        <f t="shared" ca="1" si="9"/>
        <v/>
      </c>
      <c r="D112" s="41" t="str">
        <f t="shared" ca="1" si="10"/>
        <v/>
      </c>
      <c r="E112" s="78" t="str">
        <f ca="1">IF(COUNTIF($U$2:U1097,A112)=1,VLOOKUP(A112,U:V,2), "")</f>
        <v/>
      </c>
      <c r="F112" s="78" t="str">
        <f ca="1">IF(COUNTIF($W$2:W1097,A112)=1,VLOOKUP(A112,W:X,2), IF(COUNTIF($W$2:W1097,A112)=0,$E$9,""))</f>
        <v/>
      </c>
      <c r="G112" s="93"/>
      <c r="H112" s="93"/>
      <c r="I112" s="38" t="str">
        <f ca="1">IF(COUNTIF($AK$2:AK1097,A112)=1,VLOOKUP(A112,AC:AD,2), IF(COUNTIF($AK$2:AK1097,A112)=0,$C$9,""))</f>
        <v/>
      </c>
      <c r="J112" s="2" t="str">
        <f t="shared" ca="1" si="11"/>
        <v/>
      </c>
      <c r="K112" s="41" t="str">
        <f t="shared" ca="1" si="12"/>
        <v/>
      </c>
      <c r="L112" s="38" t="str">
        <f ca="1">IF(COUNTIF($AK$2:AK1097,A112)=1,VLOOKUP(A112,AN:AO,2), IF(COUNTIF($AK$2:AK1097,A112)=0,$D$9,""))</f>
        <v/>
      </c>
      <c r="M112" s="41" t="str">
        <f ca="1">IF(ISERROR(L112-2),"",(L112/$L$14-1)*$D$5)</f>
        <v/>
      </c>
      <c r="N112" s="41" t="str">
        <f ca="1">IF($A112="","",IF(COUNTIFS(Dividends!$G:$G,"&gt;"&amp;INT($A111),Dividends!$G:$G,"&lt;="&amp;INT($A112))=0,"",$R$2*SUMIFS(Dividends!$H:$H,Dividends!$G:$G,"&gt;"&amp;INT($A111),Dividends!$G:$G,"&lt;="&amp;INT($A112))))</f>
        <v/>
      </c>
      <c r="O112" s="42" t="str">
        <f ca="1">IF(ISERROR(B112-2),"",C112+D112-J112-K112-M112+SUM($N$14:N112))</f>
        <v/>
      </c>
      <c r="P112" s="80"/>
      <c r="Q112" s="80"/>
      <c r="R112" s="87"/>
      <c r="S112" s="87"/>
      <c r="T112" s="87"/>
      <c r="U112" s="108"/>
      <c r="V112" s="87"/>
      <c r="W112" s="108"/>
      <c r="X112" s="87"/>
      <c r="Y112" s="87"/>
      <c r="AI112" s="3" t="str">
        <f>IF(COUNTIF(AC:AC,AA112)*COUNTIF(AE:AE,AA112)*COUNTIF(AG:AG,AA112),AA112,"")</f>
        <v/>
      </c>
      <c r="AJ112" s="3" t="str">
        <f t="shared" si="7"/>
        <v/>
      </c>
      <c r="AN112" s="3">
        <v>45936</v>
      </c>
      <c r="AO112" s="4">
        <v>244.72149999999999</v>
      </c>
      <c r="AP112" s="74">
        <v>45936</v>
      </c>
      <c r="AQ112" s="4">
        <v>261.209</v>
      </c>
      <c r="AR112" s="6">
        <f t="shared" si="8"/>
        <v>45936</v>
      </c>
    </row>
    <row r="113" spans="1:44" x14ac:dyDescent="0.25">
      <c r="A113" s="37" t="str">
        <f ca="1">IF(AND(ISBLANK(AK102), A112 = $AK$1),NOW(),IF(ISBLANK(AK102),"",AK102))</f>
        <v/>
      </c>
      <c r="B113" s="38" t="str">
        <f ca="1">IF(COUNTIF($AK$2:AK1098,A113)=1,VLOOKUP(A113,AA:AB,2), IF(COUNTIF($AK$2:AK1098,A113)=0,$B$9,""))</f>
        <v/>
      </c>
      <c r="C113" s="2" t="str">
        <f t="shared" ca="1" si="9"/>
        <v/>
      </c>
      <c r="D113" s="41" t="str">
        <f t="shared" ca="1" si="10"/>
        <v/>
      </c>
      <c r="E113" s="78" t="str">
        <f ca="1">IF(COUNTIF($U$2:U1098,A113)=1,VLOOKUP(A113,U:V,2), "")</f>
        <v/>
      </c>
      <c r="F113" s="78" t="str">
        <f ca="1">IF(COUNTIF($W$2:W1098,A113)=1,VLOOKUP(A113,W:X,2), IF(COUNTIF($W$2:W1098,A113)=0,$E$9,""))</f>
        <v/>
      </c>
      <c r="G113" s="93"/>
      <c r="H113" s="93"/>
      <c r="I113" s="38" t="str">
        <f ca="1">IF(COUNTIF($AK$2:AK1098,A113)=1,VLOOKUP(A113,AC:AD,2), IF(COUNTIF($AK$2:AK1098,A113)=0,$C$9,""))</f>
        <v/>
      </c>
      <c r="J113" s="2" t="str">
        <f t="shared" ca="1" si="11"/>
        <v/>
      </c>
      <c r="K113" s="41" t="str">
        <f t="shared" ca="1" si="12"/>
        <v/>
      </c>
      <c r="L113" s="38" t="str">
        <f ca="1">IF(COUNTIF($AK$2:AK1098,A113)=1,VLOOKUP(A113,AN:AO,2), IF(COUNTIF($AK$2:AK1098,A113)=0,$D$9,""))</f>
        <v/>
      </c>
      <c r="M113" s="41" t="str">
        <f ca="1">IF(ISERROR(L113-2),"",(L113/$L$14-1)*$D$5)</f>
        <v/>
      </c>
      <c r="N113" s="41" t="str">
        <f ca="1">IF($A113="","",IF(COUNTIFS(Dividends!$G:$G,"&gt;"&amp;INT($A112),Dividends!$G:$G,"&lt;="&amp;INT($A113))=0,"",$R$2*SUMIFS(Dividends!$H:$H,Dividends!$G:$G,"&gt;"&amp;INT($A112),Dividends!$G:$G,"&lt;="&amp;INT($A113))))</f>
        <v/>
      </c>
      <c r="O113" s="42" t="str">
        <f ca="1">IF(ISERROR(B113-2),"",C113+D113-J113-K113-M113+SUM($N$14:N113))</f>
        <v/>
      </c>
      <c r="P113" s="80"/>
      <c r="Q113" s="80"/>
      <c r="R113" s="87"/>
      <c r="S113" s="87"/>
      <c r="T113" s="87"/>
      <c r="U113" s="108"/>
      <c r="V113" s="87"/>
      <c r="W113" s="108"/>
      <c r="X113" s="87"/>
      <c r="Y113" s="87"/>
      <c r="AI113" s="3" t="str">
        <f>IF(COUNTIF(AC:AC,AA113)*COUNTIF(AE:AE,AA113)*COUNTIF(AG:AG,AA113),AA113,"")</f>
        <v/>
      </c>
      <c r="AJ113" s="3" t="str">
        <f t="shared" si="7"/>
        <v/>
      </c>
      <c r="AN113" s="3">
        <v>45937</v>
      </c>
      <c r="AO113" s="4">
        <v>244.3331</v>
      </c>
      <c r="AP113" s="74">
        <v>45937</v>
      </c>
      <c r="AQ113" s="4">
        <v>265.35199999999998</v>
      </c>
      <c r="AR113" s="6">
        <f t="shared" si="8"/>
        <v>45937</v>
      </c>
    </row>
    <row r="114" spans="1:44" x14ac:dyDescent="0.25">
      <c r="A114" s="37" t="str">
        <f ca="1">IF(AND(ISBLANK(AK103), A113 = $AK$1),NOW(),IF(ISBLANK(AK103),"",AK103))</f>
        <v/>
      </c>
      <c r="B114" s="38" t="str">
        <f ca="1">IF(COUNTIF($AK$2:AK1099,A114)=1,VLOOKUP(A114,AA:AB,2), IF(COUNTIF($AK$2:AK1099,A114)=0,$B$9,""))</f>
        <v/>
      </c>
      <c r="C114" s="2" t="str">
        <f t="shared" ca="1" si="9"/>
        <v/>
      </c>
      <c r="D114" s="41" t="str">
        <f t="shared" ca="1" si="10"/>
        <v/>
      </c>
      <c r="E114" s="78" t="str">
        <f ca="1">IF(COUNTIF($U$2:U1099,A114)=1,VLOOKUP(A114,U:V,2), "")</f>
        <v/>
      </c>
      <c r="F114" s="78" t="str">
        <f ca="1">IF(COUNTIF($W$2:W1099,A114)=1,VLOOKUP(A114,W:X,2), IF(COUNTIF($W$2:W1099,A114)=0,$E$9,""))</f>
        <v/>
      </c>
      <c r="G114" s="93"/>
      <c r="H114" s="93"/>
      <c r="I114" s="38" t="str">
        <f ca="1">IF(COUNTIF($AK$2:AK1099,A114)=1,VLOOKUP(A114,AC:AD,2), IF(COUNTIF($AK$2:AK1099,A114)=0,$C$9,""))</f>
        <v/>
      </c>
      <c r="J114" s="2" t="str">
        <f t="shared" ca="1" si="11"/>
        <v/>
      </c>
      <c r="K114" s="41" t="str">
        <f t="shared" ca="1" si="12"/>
        <v/>
      </c>
      <c r="L114" s="38" t="str">
        <f ca="1">IF(COUNTIF($AK$2:AK1099,A114)=1,VLOOKUP(A114,AN:AO,2), IF(COUNTIF($AK$2:AK1099,A114)=0,$D$9,""))</f>
        <v/>
      </c>
      <c r="M114" s="41" t="str">
        <f ca="1">IF(ISERROR(L114-2),"",(L114/$L$14-1)*$D$5)</f>
        <v/>
      </c>
      <c r="N114" s="41" t="str">
        <f ca="1">IF($A114="","",IF(COUNTIFS(Dividends!$G:$G,"&gt;"&amp;INT($A113),Dividends!$G:$G,"&lt;="&amp;INT($A114))=0,"",$R$2*SUMIFS(Dividends!$H:$H,Dividends!$G:$G,"&gt;"&amp;INT($A113),Dividends!$G:$G,"&lt;="&amp;INT($A114))))</f>
        <v/>
      </c>
      <c r="O114" s="42" t="str">
        <f ca="1">IF(ISERROR(B114-2),"",C114+D114-J114-K114-M114+SUM($N$14:N114))</f>
        <v/>
      </c>
      <c r="P114" s="80"/>
      <c r="Q114" s="80"/>
      <c r="R114" s="87"/>
      <c r="S114" s="87"/>
      <c r="T114" s="87"/>
      <c r="U114" s="108"/>
      <c r="V114" s="87"/>
      <c r="W114" s="108"/>
      <c r="X114" s="87"/>
      <c r="Y114" s="87"/>
      <c r="AI114" s="3" t="str">
        <f>IF(COUNTIF(AC:AC,AA114)*COUNTIF(AE:AE,AA114)*COUNTIF(AG:AG,AA114),AA114,"")</f>
        <v/>
      </c>
      <c r="AJ114" s="3" t="str">
        <f t="shared" si="7"/>
        <v/>
      </c>
      <c r="AN114" s="3">
        <v>45938</v>
      </c>
      <c r="AO114" s="4">
        <v>244.23560000000001</v>
      </c>
      <c r="AP114" s="74">
        <v>45938</v>
      </c>
      <c r="AQ114" s="4">
        <v>265.35300000000001</v>
      </c>
      <c r="AR114" s="6">
        <f t="shared" si="8"/>
        <v>45938</v>
      </c>
    </row>
    <row r="115" spans="1:44" x14ac:dyDescent="0.25">
      <c r="A115" s="37" t="str">
        <f ca="1">IF(AND(ISBLANK(AK104), A114 = $AK$1),NOW(),IF(ISBLANK(AK104),"",AK104))</f>
        <v/>
      </c>
      <c r="B115" s="38" t="str">
        <f ca="1">IF(COUNTIF($AK$2:AK1100,A115)=1,VLOOKUP(A115,AA:AB,2), IF(COUNTIF($AK$2:AK1100,A115)=0,$B$9,""))</f>
        <v/>
      </c>
      <c r="C115" s="2" t="str">
        <f t="shared" ca="1" si="9"/>
        <v/>
      </c>
      <c r="D115" s="41" t="str">
        <f t="shared" ca="1" si="10"/>
        <v/>
      </c>
      <c r="E115" s="78" t="str">
        <f ca="1">IF(COUNTIF($U$2:U1100,A115)=1,VLOOKUP(A115,U:V,2), "")</f>
        <v/>
      </c>
      <c r="F115" s="78" t="str">
        <f ca="1">IF(COUNTIF($W$2:W1100,A115)=1,VLOOKUP(A115,W:X,2), IF(COUNTIF($W$2:W1100,A115)=0,$E$9,""))</f>
        <v/>
      </c>
      <c r="G115" s="93"/>
      <c r="H115" s="93"/>
      <c r="I115" s="38" t="str">
        <f ca="1">IF(COUNTIF($AK$2:AK1100,A115)=1,VLOOKUP(A115,AC:AD,2), IF(COUNTIF($AK$2:AK1100,A115)=0,$C$9,""))</f>
        <v/>
      </c>
      <c r="J115" s="2" t="str">
        <f t="shared" ca="1" si="11"/>
        <v/>
      </c>
      <c r="K115" s="41" t="str">
        <f t="shared" ca="1" si="12"/>
        <v/>
      </c>
      <c r="L115" s="38" t="str">
        <f ca="1">IF(COUNTIF($AK$2:AK1100,A115)=1,VLOOKUP(A115,AN:AO,2), IF(COUNTIF($AK$2:AK1100,A115)=0,$D$9,""))</f>
        <v/>
      </c>
      <c r="M115" s="41" t="str">
        <f ca="1">IF(ISERROR(L115-2),"",(L115/$L$14-1)*$D$5)</f>
        <v/>
      </c>
      <c r="N115" s="41" t="str">
        <f ca="1">IF($A115="","",IF(COUNTIFS(Dividends!$G:$G,"&gt;"&amp;INT($A114),Dividends!$G:$G,"&lt;="&amp;INT($A115))=0,"",$R$2*SUMIFS(Dividends!$H:$H,Dividends!$G:$G,"&gt;"&amp;INT($A114),Dividends!$G:$G,"&lt;="&amp;INT($A115))))</f>
        <v/>
      </c>
      <c r="O115" s="42" t="str">
        <f ca="1">IF(ISERROR(B115-2),"",C115+D115-J115-K115-M115+SUM($N$14:N115))</f>
        <v/>
      </c>
      <c r="P115" s="80"/>
      <c r="Q115" s="80"/>
      <c r="R115" s="87"/>
      <c r="S115" s="87"/>
      <c r="T115" s="87"/>
      <c r="U115" s="108"/>
      <c r="V115" s="87"/>
      <c r="W115" s="108"/>
      <c r="X115" s="87"/>
      <c r="Y115" s="87"/>
      <c r="AI115" s="3" t="str">
        <f>IF(COUNTIF(AC:AC,AA115)*COUNTIF(AE:AE,AA115)*COUNTIF(AG:AG,AA115),AA115,"")</f>
        <v/>
      </c>
      <c r="AJ115" s="3" t="str">
        <f t="shared" si="7"/>
        <v/>
      </c>
      <c r="AN115" s="3">
        <v>45939</v>
      </c>
      <c r="AO115" s="4">
        <v>243.46870000000001</v>
      </c>
      <c r="AP115" s="74">
        <v>45939</v>
      </c>
      <c r="AQ115" s="4">
        <v>271.95800000000003</v>
      </c>
      <c r="AR115" s="6">
        <f t="shared" si="8"/>
        <v>45939</v>
      </c>
    </row>
    <row r="116" spans="1:44" x14ac:dyDescent="0.25">
      <c r="A116" s="37" t="str">
        <f ca="1">IF(AND(ISBLANK(AK105), A115 = $AK$1),NOW(),IF(ISBLANK(AK105),"",AK105))</f>
        <v/>
      </c>
      <c r="B116" s="38" t="str">
        <f ca="1">IF(COUNTIF($AK$2:AK1101,A116)=1,VLOOKUP(A116,AA:AB,2), IF(COUNTIF($AK$2:AK1101,A116)=0,$B$9,""))</f>
        <v/>
      </c>
      <c r="C116" s="2" t="str">
        <f t="shared" ca="1" si="9"/>
        <v/>
      </c>
      <c r="D116" s="41" t="str">
        <f t="shared" ca="1" si="10"/>
        <v/>
      </c>
      <c r="E116" s="78" t="str">
        <f ca="1">IF(COUNTIF($U$2:U1101,A116)=1,VLOOKUP(A116,U:V,2), "")</f>
        <v/>
      </c>
      <c r="F116" s="78" t="str">
        <f ca="1">IF(COUNTIF($W$2:W1101,A116)=1,VLOOKUP(A116,W:X,2), IF(COUNTIF($W$2:W1101,A116)=0,$E$9,""))</f>
        <v/>
      </c>
      <c r="G116" s="93"/>
      <c r="H116" s="93"/>
      <c r="I116" s="38" t="str">
        <f ca="1">IF(COUNTIF($AK$2:AK1101,A116)=1,VLOOKUP(A116,AC:AD,2), IF(COUNTIF($AK$2:AK1101,A116)=0,$C$9,""))</f>
        <v/>
      </c>
      <c r="J116" s="2" t="str">
        <f t="shared" ca="1" si="11"/>
        <v/>
      </c>
      <c r="K116" s="41" t="str">
        <f t="shared" ca="1" si="12"/>
        <v/>
      </c>
      <c r="L116" s="38" t="str">
        <f ca="1">IF(COUNTIF($AK$2:AK1101,A116)=1,VLOOKUP(A116,AN:AO,2), IF(COUNTIF($AK$2:AK1101,A116)=0,$D$9,""))</f>
        <v/>
      </c>
      <c r="M116" s="41" t="str">
        <f ca="1">IF(ISERROR(L116-2),"",(L116/$L$14-1)*$D$5)</f>
        <v/>
      </c>
      <c r="N116" s="41" t="str">
        <f ca="1">IF($A116="","",IF(COUNTIFS(Dividends!$G:$G,"&gt;"&amp;INT($A115),Dividends!$G:$G,"&lt;="&amp;INT($A116))=0,"",$R$2*SUMIFS(Dividends!$H:$H,Dividends!$G:$G,"&gt;"&amp;INT($A115),Dividends!$G:$G,"&lt;="&amp;INT($A116))))</f>
        <v/>
      </c>
      <c r="O116" s="42" t="str">
        <f ca="1">IF(ISERROR(B116-2),"",C116+D116-J116-K116-M116+SUM($N$14:N116))</f>
        <v/>
      </c>
      <c r="P116" s="80"/>
      <c r="Q116" s="80"/>
      <c r="R116" s="87"/>
      <c r="S116" s="87"/>
      <c r="T116" s="87"/>
      <c r="U116" s="108"/>
      <c r="V116" s="87"/>
      <c r="W116" s="108"/>
      <c r="X116" s="87"/>
      <c r="Y116" s="87"/>
      <c r="AI116" s="3" t="str">
        <f>IF(COUNTIF(AC:AC,AA116)*COUNTIF(AE:AE,AA116)*COUNTIF(AG:AG,AA116),AA116,"")</f>
        <v/>
      </c>
      <c r="AJ116" s="3" t="str">
        <f t="shared" si="7"/>
        <v/>
      </c>
      <c r="AN116" s="3">
        <v>45940</v>
      </c>
      <c r="AO116" s="4">
        <v>242.13290000000001</v>
      </c>
      <c r="AP116" s="74">
        <v>45940</v>
      </c>
      <c r="AQ116" s="4">
        <v>283.27499999999998</v>
      </c>
      <c r="AR116" s="6">
        <f t="shared" si="8"/>
        <v>45940</v>
      </c>
    </row>
    <row r="117" spans="1:44" x14ac:dyDescent="0.25">
      <c r="A117" s="37" t="str">
        <f ca="1">IF(AND(ISBLANK(AK106), A116 = $AK$1),NOW(),IF(ISBLANK(AK106),"",AK106))</f>
        <v/>
      </c>
      <c r="B117" s="38" t="str">
        <f ca="1">IF(COUNTIF($AK$2:AK1102,A117)=1,VLOOKUP(A117,AA:AB,2), IF(COUNTIF($AK$2:AK1102,A117)=0,$B$9,""))</f>
        <v/>
      </c>
      <c r="C117" s="2" t="str">
        <f t="shared" ca="1" si="9"/>
        <v/>
      </c>
      <c r="D117" s="41" t="str">
        <f t="shared" ca="1" si="10"/>
        <v/>
      </c>
      <c r="E117" s="78" t="str">
        <f ca="1">IF(COUNTIF($U$2:U1102,A117)=1,VLOOKUP(A117,U:V,2), "")</f>
        <v/>
      </c>
      <c r="F117" s="78" t="str">
        <f ca="1">IF(COUNTIF($W$2:W1102,A117)=1,VLOOKUP(A117,W:X,2), IF(COUNTIF($W$2:W1102,A117)=0,$E$9,""))</f>
        <v/>
      </c>
      <c r="G117" s="93"/>
      <c r="H117" s="93"/>
      <c r="I117" s="38" t="str">
        <f ca="1">IF(COUNTIF($AK$2:AK1102,A117)=1,VLOOKUP(A117,AC:AD,2), IF(COUNTIF($AK$2:AK1102,A117)=0,$C$9,""))</f>
        <v/>
      </c>
      <c r="J117" s="2" t="str">
        <f t="shared" ca="1" si="11"/>
        <v/>
      </c>
      <c r="K117" s="41" t="str">
        <f t="shared" ca="1" si="12"/>
        <v/>
      </c>
      <c r="L117" s="38" t="str">
        <f ca="1">IF(COUNTIF($AK$2:AK1102,A117)=1,VLOOKUP(A117,AN:AO,2), IF(COUNTIF($AK$2:AK1102,A117)=0,$D$9,""))</f>
        <v/>
      </c>
      <c r="M117" s="41" t="str">
        <f ca="1">IF(ISERROR(L117-2),"",(L117/$L$14-1)*$D$5)</f>
        <v/>
      </c>
      <c r="N117" s="41" t="str">
        <f ca="1">IF($A117="","",IF(COUNTIFS(Dividends!$G:$G,"&gt;"&amp;INT($A116),Dividends!$G:$G,"&lt;="&amp;INT($A117))=0,"",$R$2*SUMIFS(Dividends!$H:$H,Dividends!$G:$G,"&gt;"&amp;INT($A116),Dividends!$G:$G,"&lt;="&amp;INT($A117))))</f>
        <v/>
      </c>
      <c r="O117" s="42" t="str">
        <f ca="1">IF(ISERROR(B117-2),"",C117+D117-J117-K117-M117+SUM($N$14:N117))</f>
        <v/>
      </c>
      <c r="P117" s="80"/>
      <c r="Q117" s="80"/>
      <c r="R117" s="87"/>
      <c r="S117" s="87"/>
      <c r="T117" s="87"/>
      <c r="U117" s="108"/>
      <c r="V117" s="87"/>
      <c r="W117" s="108"/>
      <c r="X117" s="87"/>
      <c r="Y117" s="87"/>
      <c r="AI117" s="3" t="str">
        <f>IF(COUNTIF(AC:AC,AA117)*COUNTIF(AE:AE,AA117)*COUNTIF(AG:AG,AA117),AA117,"")</f>
        <v/>
      </c>
      <c r="AJ117" s="3" t="str">
        <f t="shared" si="7"/>
        <v/>
      </c>
      <c r="AN117" s="3">
        <v>45943</v>
      </c>
      <c r="AO117" s="4">
        <v>242.50720000000001</v>
      </c>
      <c r="AP117" s="74">
        <v>45943</v>
      </c>
      <c r="AQ117" s="4">
        <v>280.70100000000002</v>
      </c>
      <c r="AR117" s="6">
        <f t="shared" si="8"/>
        <v>45943</v>
      </c>
    </row>
    <row r="118" spans="1:44" x14ac:dyDescent="0.25">
      <c r="A118" s="37" t="str">
        <f ca="1">IF(AND(ISBLANK(AK107), A117 = $AK$1),NOW(),IF(ISBLANK(AK107),"",AK107))</f>
        <v/>
      </c>
      <c r="B118" s="38" t="str">
        <f ca="1">IF(COUNTIF($AK$2:AK1103,A118)=1,VLOOKUP(A118,AA:AB,2), IF(COUNTIF($AK$2:AK1103,A118)=0,$B$9,""))</f>
        <v/>
      </c>
      <c r="C118" s="2" t="str">
        <f t="shared" ca="1" si="9"/>
        <v/>
      </c>
      <c r="D118" s="41" t="str">
        <f t="shared" ca="1" si="10"/>
        <v/>
      </c>
      <c r="E118" s="78" t="str">
        <f ca="1">IF(COUNTIF($U$2:U1103,A118)=1,VLOOKUP(A118,U:V,2), "")</f>
        <v/>
      </c>
      <c r="F118" s="78" t="str">
        <f ca="1">IF(COUNTIF($W$2:W1103,A118)=1,VLOOKUP(A118,W:X,2), IF(COUNTIF($W$2:W1103,A118)=0,$E$9,""))</f>
        <v/>
      </c>
      <c r="G118" s="93"/>
      <c r="H118" s="93"/>
      <c r="I118" s="38" t="str">
        <f ca="1">IF(COUNTIF($AK$2:AK1103,A118)=1,VLOOKUP(A118,AC:AD,2), IF(COUNTIF($AK$2:AK1103,A118)=0,$C$9,""))</f>
        <v/>
      </c>
      <c r="J118" s="2" t="str">
        <f t="shared" ca="1" si="11"/>
        <v/>
      </c>
      <c r="K118" s="41" t="str">
        <f t="shared" ca="1" si="12"/>
        <v/>
      </c>
      <c r="L118" s="38" t="str">
        <f ca="1">IF(COUNTIF($AK$2:AK1103,A118)=1,VLOOKUP(A118,AN:AO,2), IF(COUNTIF($AK$2:AK1103,A118)=0,$D$9,""))</f>
        <v/>
      </c>
      <c r="M118" s="41" t="str">
        <f ca="1">IF(ISERROR(L118-2),"",(L118/$L$14-1)*$D$5)</f>
        <v/>
      </c>
      <c r="N118" s="41" t="str">
        <f ca="1">IF($A118="","",IF(COUNTIFS(Dividends!$G:$G,"&gt;"&amp;INT($A117),Dividends!$G:$G,"&lt;="&amp;INT($A118))=0,"",$R$2*SUMIFS(Dividends!$H:$H,Dividends!$G:$G,"&gt;"&amp;INT($A117),Dividends!$G:$G,"&lt;="&amp;INT($A118))))</f>
        <v/>
      </c>
      <c r="O118" s="42" t="str">
        <f ca="1">IF(ISERROR(B118-2),"",C118+D118-J118-K118-M118+SUM($N$14:N118))</f>
        <v/>
      </c>
      <c r="P118" s="80"/>
      <c r="Q118" s="80"/>
      <c r="R118" s="87"/>
      <c r="S118" s="87"/>
      <c r="T118" s="87"/>
      <c r="U118" s="108"/>
      <c r="V118" s="87"/>
      <c r="W118" s="108"/>
      <c r="X118" s="87"/>
      <c r="Y118" s="87"/>
      <c r="AI118" s="3" t="str">
        <f>IF(COUNTIF(AC:AC,AA118)*COUNTIF(AE:AE,AA118)*COUNTIF(AG:AG,AA118),AA118,"")</f>
        <v/>
      </c>
      <c r="AJ118" s="3" t="str">
        <f t="shared" si="7"/>
        <v/>
      </c>
      <c r="AN118" s="3">
        <v>45944</v>
      </c>
      <c r="AO118" s="4">
        <v>242.9716</v>
      </c>
      <c r="AP118" s="74">
        <v>45944</v>
      </c>
      <c r="AQ118" s="4">
        <v>275.89800000000002</v>
      </c>
      <c r="AR118" s="6">
        <f t="shared" si="8"/>
        <v>45944</v>
      </c>
    </row>
    <row r="119" spans="1:44" x14ac:dyDescent="0.25">
      <c r="A119" s="37" t="str">
        <f ca="1">IF(AND(ISBLANK(AK108), A118 = $AK$1),NOW(),IF(ISBLANK(AK108),"",AK108))</f>
        <v/>
      </c>
      <c r="B119" s="38" t="str">
        <f ca="1">IF(COUNTIF($AK$2:AK1104,A119)=1,VLOOKUP(A119,AA:AB,2), IF(COUNTIF($AK$2:AK1104,A119)=0,$B$9,""))</f>
        <v/>
      </c>
      <c r="C119" s="2" t="str">
        <f t="shared" ca="1" si="9"/>
        <v/>
      </c>
      <c r="D119" s="41" t="str">
        <f t="shared" ca="1" si="10"/>
        <v/>
      </c>
      <c r="E119" s="78" t="str">
        <f ca="1">IF(COUNTIF($U$2:U1104,A119)=1,VLOOKUP(A119,U:V,2), "")</f>
        <v/>
      </c>
      <c r="F119" s="78" t="str">
        <f ca="1">IF(COUNTIF($W$2:W1104,A119)=1,VLOOKUP(A119,W:X,2), IF(COUNTIF($W$2:W1104,A119)=0,$E$9,""))</f>
        <v/>
      </c>
      <c r="G119" s="93"/>
      <c r="H119" s="93"/>
      <c r="I119" s="38" t="str">
        <f ca="1">IF(COUNTIF($AK$2:AK1104,A119)=1,VLOOKUP(A119,AC:AD,2), IF(COUNTIF($AK$2:AK1104,A119)=0,$C$9,""))</f>
        <v/>
      </c>
      <c r="J119" s="2" t="str">
        <f t="shared" ca="1" si="11"/>
        <v/>
      </c>
      <c r="K119" s="41" t="str">
        <f t="shared" ca="1" si="12"/>
        <v/>
      </c>
      <c r="L119" s="38" t="str">
        <f ca="1">IF(COUNTIF($AK$2:AK1104,A119)=1,VLOOKUP(A119,AN:AO,2), IF(COUNTIF($AK$2:AK1104,A119)=0,$D$9,""))</f>
        <v/>
      </c>
      <c r="M119" s="41" t="str">
        <f ca="1">IF(ISERROR(L119-2),"",(L119/$L$14-1)*$D$5)</f>
        <v/>
      </c>
      <c r="N119" s="41" t="str">
        <f ca="1">IF($A119="","",IF(COUNTIFS(Dividends!$G:$G,"&gt;"&amp;INT($A118),Dividends!$G:$G,"&lt;="&amp;INT($A119))=0,"",$R$2*SUMIFS(Dividends!$H:$H,Dividends!$G:$G,"&gt;"&amp;INT($A118),Dividends!$G:$G,"&lt;="&amp;INT($A119))))</f>
        <v/>
      </c>
      <c r="O119" s="42" t="str">
        <f ca="1">IF(ISERROR(B119-2),"",C119+D119-J119-K119-M119+SUM($N$14:N119))</f>
        <v/>
      </c>
      <c r="P119" s="80"/>
      <c r="Q119" s="80"/>
      <c r="R119" s="87"/>
      <c r="S119" s="87"/>
      <c r="T119" s="87"/>
      <c r="U119" s="108"/>
      <c r="V119" s="87"/>
      <c r="W119" s="108"/>
      <c r="X119" s="87"/>
      <c r="Y119" s="87"/>
      <c r="AI119" s="3" t="str">
        <f>IF(COUNTIF(AC:AC,AA119)*COUNTIF(AE:AE,AA119)*COUNTIF(AG:AG,AA119),AA119,"")</f>
        <v/>
      </c>
      <c r="AJ119" s="3" t="str">
        <f t="shared" si="7"/>
        <v/>
      </c>
      <c r="AN119" s="3">
        <v>45945</v>
      </c>
      <c r="AO119" s="4">
        <v>244.08959999999999</v>
      </c>
      <c r="AP119" s="74">
        <v>45945</v>
      </c>
      <c r="AQ119" s="4">
        <v>269.79700000000003</v>
      </c>
      <c r="AR119" s="6">
        <f t="shared" si="8"/>
        <v>45945</v>
      </c>
    </row>
    <row r="120" spans="1:44" x14ac:dyDescent="0.25">
      <c r="A120" s="37" t="str">
        <f ca="1">IF(AND(ISBLANK(AK109), A119 = $AK$1),NOW(),IF(ISBLANK(AK109),"",AK109))</f>
        <v/>
      </c>
      <c r="B120" s="38" t="str">
        <f ca="1">IF(COUNTIF($AK$2:AK1105,A120)=1,VLOOKUP(A120,AA:AB,2), IF(COUNTIF($AK$2:AK1105,A120)=0,$B$9,""))</f>
        <v/>
      </c>
      <c r="C120" s="2" t="str">
        <f t="shared" ca="1" si="9"/>
        <v/>
      </c>
      <c r="D120" s="41" t="str">
        <f t="shared" ca="1" si="10"/>
        <v/>
      </c>
      <c r="E120" s="78" t="str">
        <f ca="1">IF(COUNTIF($U$2:U1105,A120)=1,VLOOKUP(A120,U:V,2), "")</f>
        <v/>
      </c>
      <c r="F120" s="78" t="str">
        <f ca="1">IF(COUNTIF($W$2:W1105,A120)=1,VLOOKUP(A120,W:X,2), IF(COUNTIF($W$2:W1105,A120)=0,$E$9,""))</f>
        <v/>
      </c>
      <c r="G120" s="93"/>
      <c r="H120" s="93"/>
      <c r="I120" s="38" t="str">
        <f ca="1">IF(COUNTIF($AK$2:AK1105,A120)=1,VLOOKUP(A120,AC:AD,2), IF(COUNTIF($AK$2:AK1105,A120)=0,$C$9,""))</f>
        <v/>
      </c>
      <c r="J120" s="2" t="str">
        <f t="shared" ca="1" si="11"/>
        <v/>
      </c>
      <c r="K120" s="41" t="str">
        <f t="shared" ca="1" si="12"/>
        <v/>
      </c>
      <c r="L120" s="38" t="str">
        <f ca="1">IF(COUNTIF($AK$2:AK1105,A120)=1,VLOOKUP(A120,AN:AO,2), IF(COUNTIF($AK$2:AK1105,A120)=0,$D$9,""))</f>
        <v/>
      </c>
      <c r="M120" s="41" t="str">
        <f ca="1">IF(ISERROR(L120-2),"",(L120/$L$14-1)*$D$5)</f>
        <v/>
      </c>
      <c r="N120" s="41" t="str">
        <f ca="1">IF($A120="","",IF(COUNTIFS(Dividends!$G:$G,"&gt;"&amp;INT($A119),Dividends!$G:$G,"&lt;="&amp;INT($A120))=0,"",$R$2*SUMIFS(Dividends!$H:$H,Dividends!$G:$G,"&gt;"&amp;INT($A119),Dividends!$G:$G,"&lt;="&amp;INT($A120))))</f>
        <v/>
      </c>
      <c r="O120" s="42" t="str">
        <f ca="1">IF(ISERROR(B120-2),"",C120+D120-J120-K120-M120+SUM($N$14:N120))</f>
        <v/>
      </c>
      <c r="P120" s="80"/>
      <c r="Q120" s="80"/>
      <c r="R120" s="87"/>
      <c r="S120" s="87"/>
      <c r="T120" s="87"/>
      <c r="U120" s="108"/>
      <c r="V120" s="87"/>
      <c r="W120" s="108"/>
      <c r="X120" s="87"/>
      <c r="Y120" s="87"/>
      <c r="AI120" s="3" t="str">
        <f>IF(COUNTIF(AC:AC,AA120)*COUNTIF(AE:AE,AA120)*COUNTIF(AG:AG,AA120),AA120,"")</f>
        <v/>
      </c>
      <c r="AJ120" s="3" t="str">
        <f t="shared" si="7"/>
        <v/>
      </c>
      <c r="AN120" s="3">
        <v>45946</v>
      </c>
      <c r="AO120" s="4">
        <v>243.5917</v>
      </c>
      <c r="AP120" s="74">
        <v>45946</v>
      </c>
      <c r="AQ120" s="4">
        <v>273.65499999999997</v>
      </c>
      <c r="AR120" s="6">
        <f t="shared" si="8"/>
        <v>45946</v>
      </c>
    </row>
    <row r="121" spans="1:44" x14ac:dyDescent="0.25">
      <c r="A121" s="37" t="str">
        <f ca="1">IF(AND(ISBLANK(AK110), A120 = $AK$1),NOW(),IF(ISBLANK(AK110),"",AK110))</f>
        <v/>
      </c>
      <c r="B121" s="38" t="str">
        <f ca="1">IF(COUNTIF($AK$2:AK1106,A121)=1,VLOOKUP(A121,AA:AB,2), IF(COUNTIF($AK$2:AK1106,A121)=0,$B$9,""))</f>
        <v/>
      </c>
      <c r="C121" s="2" t="str">
        <f t="shared" ca="1" si="9"/>
        <v/>
      </c>
      <c r="D121" s="41" t="str">
        <f t="shared" ca="1" si="10"/>
        <v/>
      </c>
      <c r="E121" s="78" t="str">
        <f ca="1">IF(COUNTIF($U$2:U1106,A121)=1,VLOOKUP(A121,U:V,2), "")</f>
        <v/>
      </c>
      <c r="F121" s="78" t="str">
        <f ca="1">IF(COUNTIF($W$2:W1106,A121)=1,VLOOKUP(A121,W:X,2), IF(COUNTIF($W$2:W1106,A121)=0,$E$9,""))</f>
        <v/>
      </c>
      <c r="G121" s="93"/>
      <c r="H121" s="93"/>
      <c r="I121" s="38" t="str">
        <f ca="1">IF(COUNTIF($AK$2:AK1106,A121)=1,VLOOKUP(A121,AC:AD,2), IF(COUNTIF($AK$2:AK1106,A121)=0,$C$9,""))</f>
        <v/>
      </c>
      <c r="J121" s="2" t="str">
        <f t="shared" ca="1" si="11"/>
        <v/>
      </c>
      <c r="K121" s="41" t="str">
        <f t="shared" ca="1" si="12"/>
        <v/>
      </c>
      <c r="L121" s="38" t="str">
        <f ca="1">IF(COUNTIF($AK$2:AK1106,A121)=1,VLOOKUP(A121,AN:AO,2), IF(COUNTIF($AK$2:AK1106,A121)=0,$D$9,""))</f>
        <v/>
      </c>
      <c r="M121" s="41" t="str">
        <f ca="1">IF(ISERROR(L121-2),"",(L121/$L$14-1)*$D$5)</f>
        <v/>
      </c>
      <c r="N121" s="41" t="str">
        <f ca="1">IF($A121="","",IF(COUNTIFS(Dividends!$G:$G,"&gt;"&amp;INT($A120),Dividends!$G:$G,"&lt;="&amp;INT($A121))=0,"",$R$2*SUMIFS(Dividends!$H:$H,Dividends!$G:$G,"&gt;"&amp;INT($A120),Dividends!$G:$G,"&lt;="&amp;INT($A121))))</f>
        <v/>
      </c>
      <c r="O121" s="42" t="str">
        <f ca="1">IF(ISERROR(B121-2),"",C121+D121-J121-K121-M121+SUM($N$14:N121))</f>
        <v/>
      </c>
      <c r="P121" s="80"/>
      <c r="Q121" s="80"/>
      <c r="R121" s="87"/>
      <c r="S121" s="87"/>
      <c r="T121" s="87"/>
      <c r="U121" s="108"/>
      <c r="V121" s="87"/>
      <c r="W121" s="108"/>
      <c r="X121" s="87"/>
      <c r="Y121" s="87"/>
      <c r="AI121" s="3" t="str">
        <f>IF(COUNTIF(AC:AC,AA121)*COUNTIF(AE:AE,AA121)*COUNTIF(AG:AG,AA121),AA121,"")</f>
        <v/>
      </c>
      <c r="AJ121" s="3" t="str">
        <f t="shared" si="7"/>
        <v/>
      </c>
      <c r="AN121" s="3">
        <v>45947</v>
      </c>
      <c r="AO121" s="4">
        <v>243.0658</v>
      </c>
      <c r="AP121" s="74">
        <v>45947</v>
      </c>
      <c r="AQ121" s="4">
        <v>277.44600000000003</v>
      </c>
      <c r="AR121" s="6">
        <f t="shared" si="8"/>
        <v>45947</v>
      </c>
    </row>
    <row r="122" spans="1:44" x14ac:dyDescent="0.25">
      <c r="A122" s="37" t="str">
        <f ca="1">IF(AND(ISBLANK(AK111), A121 = $AK$1),NOW(),IF(ISBLANK(AK111),"",AK111))</f>
        <v/>
      </c>
      <c r="B122" s="38" t="str">
        <f ca="1">IF(COUNTIF($AK$2:AK1107,A122)=1,VLOOKUP(A122,AA:AB,2), IF(COUNTIF($AK$2:AK1107,A122)=0,$B$9,""))</f>
        <v/>
      </c>
      <c r="C122" s="2" t="str">
        <f t="shared" ca="1" si="9"/>
        <v/>
      </c>
      <c r="D122" s="41" t="str">
        <f t="shared" ca="1" si="10"/>
        <v/>
      </c>
      <c r="E122" s="78" t="str">
        <f ca="1">IF(COUNTIF($U$2:U1107,A122)=1,VLOOKUP(A122,U:V,2), "")</f>
        <v/>
      </c>
      <c r="F122" s="78" t="str">
        <f ca="1">IF(COUNTIF($W$2:W1107,A122)=1,VLOOKUP(A122,W:X,2), IF(COUNTIF($W$2:W1107,A122)=0,$E$9,""))</f>
        <v/>
      </c>
      <c r="G122" s="93"/>
      <c r="H122" s="93"/>
      <c r="I122" s="38" t="str">
        <f ca="1">IF(COUNTIF($AK$2:AK1107,A122)=1,VLOOKUP(A122,AC:AD,2), IF(COUNTIF($AK$2:AK1107,A122)=0,$C$9,""))</f>
        <v/>
      </c>
      <c r="J122" s="2" t="str">
        <f t="shared" ca="1" si="11"/>
        <v/>
      </c>
      <c r="K122" s="41" t="str">
        <f t="shared" ca="1" si="12"/>
        <v/>
      </c>
      <c r="L122" s="38" t="str">
        <f ca="1">IF(COUNTIF($AK$2:AK1107,A122)=1,VLOOKUP(A122,AN:AO,2), IF(COUNTIF($AK$2:AK1107,A122)=0,$D$9,""))</f>
        <v/>
      </c>
      <c r="M122" s="41" t="str">
        <f ca="1">IF(ISERROR(L122-2),"",(L122/$L$14-1)*$D$5)</f>
        <v/>
      </c>
      <c r="N122" s="41" t="str">
        <f ca="1">IF($A122="","",IF(COUNTIFS(Dividends!$G:$G,"&gt;"&amp;INT($A121),Dividends!$G:$G,"&lt;="&amp;INT($A122))=0,"",$R$2*SUMIFS(Dividends!$H:$H,Dividends!$G:$G,"&gt;"&amp;INT($A121),Dividends!$G:$G,"&lt;="&amp;INT($A122))))</f>
        <v/>
      </c>
      <c r="O122" s="42" t="str">
        <f ca="1">IF(ISERROR(B122-2),"",C122+D122-J122-K122-M122+SUM($N$14:N122))</f>
        <v/>
      </c>
      <c r="P122" s="80"/>
      <c r="Q122" s="80"/>
      <c r="R122" s="87"/>
      <c r="S122" s="87"/>
      <c r="T122" s="87"/>
      <c r="U122" s="108"/>
      <c r="V122" s="87"/>
      <c r="W122" s="108"/>
      <c r="X122" s="87"/>
      <c r="Y122" s="87"/>
      <c r="AI122" s="3" t="str">
        <f>IF(COUNTIF(AC:AC,AA122)*COUNTIF(AE:AE,AA122)*COUNTIF(AG:AG,AA122),AA122,"")</f>
        <v/>
      </c>
      <c r="AJ122" s="3" t="str">
        <f t="shared" si="7"/>
        <v/>
      </c>
      <c r="AN122" s="3">
        <v>45950</v>
      </c>
      <c r="AO122" s="4">
        <v>244.0598</v>
      </c>
      <c r="AP122" s="74">
        <v>45950</v>
      </c>
      <c r="AQ122" s="4">
        <v>269.54399999999998</v>
      </c>
      <c r="AR122" s="6">
        <f t="shared" si="8"/>
        <v>45950</v>
      </c>
    </row>
    <row r="123" spans="1:44" x14ac:dyDescent="0.25">
      <c r="A123" s="37" t="str">
        <f ca="1">IF(AND(ISBLANK(AK112), A122 = $AK$1),NOW(),IF(ISBLANK(AK112),"",AK112))</f>
        <v/>
      </c>
      <c r="B123" s="38" t="str">
        <f ca="1">IF(COUNTIF($AK$2:AK1108,A123)=1,VLOOKUP(A123,AA:AB,2), IF(COUNTIF($AK$2:AK1108,A123)=0,$B$9,""))</f>
        <v/>
      </c>
      <c r="C123" s="2" t="str">
        <f t="shared" ca="1" si="9"/>
        <v/>
      </c>
      <c r="D123" s="41" t="str">
        <f t="shared" ca="1" si="10"/>
        <v/>
      </c>
      <c r="E123" s="78" t="str">
        <f ca="1">IF(COUNTIF($U$2:U1108,A123)=1,VLOOKUP(A123,U:V,2), "")</f>
        <v/>
      </c>
      <c r="F123" s="78" t="str">
        <f ca="1">IF(COUNTIF($W$2:W1108,A123)=1,VLOOKUP(A123,W:X,2), IF(COUNTIF($W$2:W1108,A123)=0,$E$9,""))</f>
        <v/>
      </c>
      <c r="G123" s="93"/>
      <c r="H123" s="93"/>
      <c r="I123" s="38" t="str">
        <f ca="1">IF(COUNTIF($AK$2:AK1108,A123)=1,VLOOKUP(A123,AC:AD,2), IF(COUNTIF($AK$2:AK1108,A123)=0,$C$9,""))</f>
        <v/>
      </c>
      <c r="J123" s="2" t="str">
        <f t="shared" ca="1" si="11"/>
        <v/>
      </c>
      <c r="K123" s="41" t="str">
        <f t="shared" ca="1" si="12"/>
        <v/>
      </c>
      <c r="L123" s="38" t="str">
        <f ca="1">IF(COUNTIF($AK$2:AK1108,A123)=1,VLOOKUP(A123,AN:AO,2), IF(COUNTIF($AK$2:AK1108,A123)=0,$D$9,""))</f>
        <v/>
      </c>
      <c r="M123" s="41" t="str">
        <f ca="1">IF(ISERROR(L123-2),"",(L123/$L$14-1)*$D$5)</f>
        <v/>
      </c>
      <c r="N123" s="41" t="str">
        <f ca="1">IF($A123="","",IF(COUNTIFS(Dividends!$G:$G,"&gt;"&amp;INT($A122),Dividends!$G:$G,"&lt;="&amp;INT($A123))=0,"",$R$2*SUMIFS(Dividends!$H:$H,Dividends!$G:$G,"&gt;"&amp;INT($A122),Dividends!$G:$G,"&lt;="&amp;INT($A123))))</f>
        <v/>
      </c>
      <c r="O123" s="42" t="str">
        <f ca="1">IF(ISERROR(B123-2),"",C123+D123-J123-K123-M123+SUM($N$14:N123))</f>
        <v/>
      </c>
      <c r="P123" s="80"/>
      <c r="Q123" s="80"/>
      <c r="R123" s="87"/>
      <c r="S123" s="87"/>
      <c r="T123" s="87"/>
      <c r="U123" s="108"/>
      <c r="V123" s="87"/>
      <c r="W123" s="108"/>
      <c r="X123" s="87"/>
      <c r="Y123" s="87"/>
      <c r="AI123" s="3" t="str">
        <f>IF(COUNTIF(AC:AC,AA123)*COUNTIF(AE:AE,AA123)*COUNTIF(AG:AG,AA123),AA123,"")</f>
        <v/>
      </c>
      <c r="AJ123" s="3" t="str">
        <f t="shared" si="7"/>
        <v/>
      </c>
      <c r="AN123" s="3">
        <v>45951</v>
      </c>
      <c r="AO123" s="4">
        <v>244.31870000000001</v>
      </c>
      <c r="AP123" s="74">
        <v>45951</v>
      </c>
      <c r="AQ123" s="4">
        <v>267.43400000000003</v>
      </c>
      <c r="AR123" s="6">
        <f t="shared" si="8"/>
        <v>45951</v>
      </c>
    </row>
    <row r="124" spans="1:44" x14ac:dyDescent="0.25">
      <c r="A124" s="37" t="str">
        <f ca="1">IF(AND(ISBLANK(AK113), A123 = $AK$1),NOW(),IF(ISBLANK(AK113),"",AK113))</f>
        <v/>
      </c>
      <c r="B124" s="38" t="str">
        <f ca="1">IF(COUNTIF($AK$2:AK1109,A124)=1,VLOOKUP(A124,AA:AB,2), IF(COUNTIF($AK$2:AK1109,A124)=0,$B$9,""))</f>
        <v/>
      </c>
      <c r="C124" s="2" t="str">
        <f t="shared" ca="1" si="9"/>
        <v/>
      </c>
      <c r="D124" s="41" t="str">
        <f t="shared" ca="1" si="10"/>
        <v/>
      </c>
      <c r="E124" s="78" t="str">
        <f ca="1">IF(COUNTIF($U$2:U1109,A124)=1,VLOOKUP(A124,U:V,2), "")</f>
        <v/>
      </c>
      <c r="F124" s="78" t="str">
        <f ca="1">IF(COUNTIF($W$2:W1109,A124)=1,VLOOKUP(A124,W:X,2), IF(COUNTIF($W$2:W1109,A124)=0,$E$9,""))</f>
        <v/>
      </c>
      <c r="G124" s="93"/>
      <c r="H124" s="93"/>
      <c r="I124" s="38" t="str">
        <f ca="1">IF(COUNTIF($AK$2:AK1109,A124)=1,VLOOKUP(A124,AC:AD,2), IF(COUNTIF($AK$2:AK1109,A124)=0,$C$9,""))</f>
        <v/>
      </c>
      <c r="J124" s="2" t="str">
        <f t="shared" ca="1" si="11"/>
        <v/>
      </c>
      <c r="K124" s="41" t="str">
        <f t="shared" ca="1" si="12"/>
        <v/>
      </c>
      <c r="L124" s="38" t="str">
        <f ca="1">IF(COUNTIF($AK$2:AK1109,A124)=1,VLOOKUP(A124,AN:AO,2), IF(COUNTIF($AK$2:AK1109,A124)=0,$D$9,""))</f>
        <v/>
      </c>
      <c r="M124" s="41" t="str">
        <f ca="1">IF(ISERROR(L124-2),"",(L124/$L$14-1)*$D$5)</f>
        <v/>
      </c>
      <c r="N124" s="41" t="str">
        <f ca="1">IF($A124="","",IF(COUNTIFS(Dividends!$G:$G,"&gt;"&amp;INT($A123),Dividends!$G:$G,"&lt;="&amp;INT($A124))=0,"",$R$2*SUMIFS(Dividends!$H:$H,Dividends!$G:$G,"&gt;"&amp;INT($A123),Dividends!$G:$G,"&lt;="&amp;INT($A124))))</f>
        <v/>
      </c>
      <c r="O124" s="42" t="str">
        <f ca="1">IF(ISERROR(B124-2),"",C124+D124-J124-K124-M124+SUM($N$14:N124))</f>
        <v/>
      </c>
      <c r="P124" s="80"/>
      <c r="Q124" s="80"/>
      <c r="R124" s="87"/>
      <c r="S124" s="87"/>
      <c r="T124" s="87"/>
      <c r="U124" s="108"/>
      <c r="V124" s="87"/>
      <c r="W124" s="108"/>
      <c r="X124" s="87"/>
      <c r="Y124" s="87"/>
      <c r="AI124" s="3" t="str">
        <f>IF(COUNTIF(AC:AC,AA124)*COUNTIF(AE:AE,AA124)*COUNTIF(AG:AG,AA124),AA124,"")</f>
        <v/>
      </c>
      <c r="AJ124" s="3" t="str">
        <f t="shared" si="7"/>
        <v/>
      </c>
      <c r="AN124" s="3">
        <v>45952</v>
      </c>
      <c r="AO124" s="4">
        <v>244.07040000000001</v>
      </c>
      <c r="AP124" s="74">
        <v>45952</v>
      </c>
      <c r="AQ124" s="4">
        <v>269.74599999999998</v>
      </c>
      <c r="AR124" s="6">
        <f t="shared" si="8"/>
        <v>45952</v>
      </c>
    </row>
    <row r="125" spans="1:44" x14ac:dyDescent="0.25">
      <c r="A125" s="37" t="str">
        <f ca="1">IF(AND(ISBLANK(AK114), A124 = $AK$1),NOW(),IF(ISBLANK(AK114),"",AK114))</f>
        <v/>
      </c>
      <c r="B125" s="38" t="str">
        <f ca="1">IF(COUNTIF($AK$2:AK1110,A125)=1,VLOOKUP(A125,AA:AB,2), IF(COUNTIF($AK$2:AK1110,A125)=0,$B$9,""))</f>
        <v/>
      </c>
      <c r="C125" s="2" t="str">
        <f t="shared" ca="1" si="9"/>
        <v/>
      </c>
      <c r="D125" s="41" t="str">
        <f t="shared" ca="1" si="10"/>
        <v/>
      </c>
      <c r="E125" s="78" t="str">
        <f ca="1">IF(COUNTIF($U$2:U1110,A125)=1,VLOOKUP(A125,U:V,2), "")</f>
        <v/>
      </c>
      <c r="F125" s="78" t="str">
        <f ca="1">IF(COUNTIF($W$2:W1110,A125)=1,VLOOKUP(A125,W:X,2), IF(COUNTIF($W$2:W1110,A125)=0,$E$9,""))</f>
        <v/>
      </c>
      <c r="G125" s="93"/>
      <c r="H125" s="93"/>
      <c r="I125" s="38" t="str">
        <f ca="1">IF(COUNTIF($AK$2:AK1110,A125)=1,VLOOKUP(A125,AC:AD,2), IF(COUNTIF($AK$2:AK1110,A125)=0,$C$9,""))</f>
        <v/>
      </c>
      <c r="J125" s="2" t="str">
        <f t="shared" ca="1" si="11"/>
        <v/>
      </c>
      <c r="K125" s="41" t="str">
        <f t="shared" ca="1" si="12"/>
        <v/>
      </c>
      <c r="L125" s="38" t="str">
        <f ca="1">IF(COUNTIF($AK$2:AK1110,A125)=1,VLOOKUP(A125,AN:AO,2), IF(COUNTIF($AK$2:AK1110,A125)=0,$D$9,""))</f>
        <v/>
      </c>
      <c r="M125" s="41" t="str">
        <f ca="1">IF(ISERROR(L125-2),"",(L125/$L$14-1)*$D$5)</f>
        <v/>
      </c>
      <c r="N125" s="41" t="str">
        <f ca="1">IF($A125="","",IF(COUNTIFS(Dividends!$G:$G,"&gt;"&amp;INT($A124),Dividends!$G:$G,"&lt;="&amp;INT($A125))=0,"",$R$2*SUMIFS(Dividends!$H:$H,Dividends!$G:$G,"&gt;"&amp;INT($A124),Dividends!$G:$G,"&lt;="&amp;INT($A125))))</f>
        <v/>
      </c>
      <c r="O125" s="42" t="str">
        <f ca="1">IF(ISERROR(B125-2),"",C125+D125-J125-K125-M125+SUM($N$14:N125))</f>
        <v/>
      </c>
      <c r="P125" s="80"/>
      <c r="Q125" s="80"/>
      <c r="R125" s="87"/>
      <c r="S125" s="87"/>
      <c r="T125" s="87"/>
      <c r="U125" s="108"/>
      <c r="V125" s="87"/>
      <c r="W125" s="108"/>
      <c r="X125" s="87"/>
      <c r="Y125" s="87"/>
      <c r="AI125" s="3" t="str">
        <f>IF(COUNTIF(AC:AC,AA125)*COUNTIF(AE:AE,AA125)*COUNTIF(AG:AG,AA125),AA125,"")</f>
        <v/>
      </c>
      <c r="AJ125" s="3" t="str">
        <f t="shared" si="7"/>
        <v/>
      </c>
      <c r="AN125" s="3">
        <v>45953</v>
      </c>
      <c r="AO125" s="4">
        <v>244.25409999999999</v>
      </c>
      <c r="AP125" s="74">
        <v>45953</v>
      </c>
      <c r="AQ125" s="4">
        <v>268.49799999999999</v>
      </c>
      <c r="AR125" s="6">
        <f t="shared" si="8"/>
        <v>45953</v>
      </c>
    </row>
    <row r="126" spans="1:44" x14ac:dyDescent="0.25">
      <c r="A126" s="37" t="str">
        <f ca="1">IF(AND(ISBLANK(AK115), A125 = $AK$1),NOW(),IF(ISBLANK(AK115),"",AK115))</f>
        <v/>
      </c>
      <c r="B126" s="38" t="str">
        <f ca="1">IF(COUNTIF($AK$2:AK1111,A126)=1,VLOOKUP(A126,AA:AB,2), IF(COUNTIF($AK$2:AK1111,A126)=0,$B$9,""))</f>
        <v/>
      </c>
      <c r="C126" s="2" t="str">
        <f t="shared" ca="1" si="9"/>
        <v/>
      </c>
      <c r="D126" s="41" t="str">
        <f t="shared" ca="1" si="10"/>
        <v/>
      </c>
      <c r="E126" s="78" t="str">
        <f ca="1">IF(COUNTIF($U$2:U1111,A126)=1,VLOOKUP(A126,U:V,2), "")</f>
        <v/>
      </c>
      <c r="F126" s="78" t="str">
        <f ca="1">IF(COUNTIF($W$2:W1111,A126)=1,VLOOKUP(A126,W:X,2), IF(COUNTIF($W$2:W1111,A126)=0,$E$9,""))</f>
        <v/>
      </c>
      <c r="G126" s="93"/>
      <c r="H126" s="93"/>
      <c r="I126" s="38" t="str">
        <f ca="1">IF(COUNTIF($AK$2:AK1111,A126)=1,VLOOKUP(A126,AC:AD,2), IF(COUNTIF($AK$2:AK1111,A126)=0,$C$9,""))</f>
        <v/>
      </c>
      <c r="J126" s="2" t="str">
        <f t="shared" ca="1" si="11"/>
        <v/>
      </c>
      <c r="K126" s="41" t="str">
        <f t="shared" ca="1" si="12"/>
        <v/>
      </c>
      <c r="L126" s="38" t="str">
        <f ca="1">IF(COUNTIF($AK$2:AK1111,A126)=1,VLOOKUP(A126,AN:AO,2), IF(COUNTIF($AK$2:AK1111,A126)=0,$D$9,""))</f>
        <v/>
      </c>
      <c r="M126" s="41" t="str">
        <f ca="1">IF(ISERROR(L126-2),"",(L126/$L$14-1)*$D$5)</f>
        <v/>
      </c>
      <c r="N126" s="41" t="str">
        <f ca="1">IF($A126="","",IF(COUNTIFS(Dividends!$G:$G,"&gt;"&amp;INT($A125),Dividends!$G:$G,"&lt;="&amp;INT($A126))=0,"",$R$2*SUMIFS(Dividends!$H:$H,Dividends!$G:$G,"&gt;"&amp;INT($A125),Dividends!$G:$G,"&lt;="&amp;INT($A126))))</f>
        <v/>
      </c>
      <c r="O126" s="42" t="str">
        <f ca="1">IF(ISERROR(B126-2),"",C126+D126-J126-K126-M126+SUM($N$14:N126))</f>
        <v/>
      </c>
      <c r="P126" s="80"/>
      <c r="Q126" s="80"/>
      <c r="R126" s="87"/>
      <c r="S126" s="87"/>
      <c r="T126" s="87"/>
      <c r="U126" s="108"/>
      <c r="V126" s="87"/>
      <c r="W126" s="108"/>
      <c r="X126" s="87"/>
      <c r="Y126" s="87"/>
      <c r="AI126" s="3" t="str">
        <f>IF(COUNTIF(AC:AC,AA126)*COUNTIF(AE:AE,AA126)*COUNTIF(AG:AG,AA126),AA126,"")</f>
        <v/>
      </c>
      <c r="AJ126" s="3" t="str">
        <f t="shared" si="7"/>
        <v/>
      </c>
      <c r="AN126" s="3">
        <v>45954</v>
      </c>
      <c r="AO126" s="4">
        <v>244.79400000000001</v>
      </c>
      <c r="AP126" s="74">
        <v>45954</v>
      </c>
      <c r="AQ126" s="4">
        <v>265.077</v>
      </c>
      <c r="AR126" s="6">
        <f t="shared" si="8"/>
        <v>45954</v>
      </c>
    </row>
    <row r="127" spans="1:44" x14ac:dyDescent="0.25">
      <c r="A127" s="37" t="str">
        <f ca="1">IF(AND(ISBLANK(AK116), A126 = $AK$1),NOW(),IF(ISBLANK(AK116),"",AK116))</f>
        <v/>
      </c>
      <c r="B127" s="38" t="str">
        <f ca="1">IF(COUNTIF($AK$2:AK1112,A127)=1,VLOOKUP(A127,AA:AB,2), IF(COUNTIF($AK$2:AK1112,A127)=0,$B$9,""))</f>
        <v/>
      </c>
      <c r="C127" s="2" t="str">
        <f t="shared" ca="1" si="9"/>
        <v/>
      </c>
      <c r="D127" s="41" t="str">
        <f t="shared" ca="1" si="10"/>
        <v/>
      </c>
      <c r="E127" s="78" t="str">
        <f ca="1">IF(COUNTIF($U$2:U1112,A127)=1,VLOOKUP(A127,U:V,2), "")</f>
        <v/>
      </c>
      <c r="F127" s="78" t="str">
        <f ca="1">IF(COUNTIF($W$2:W1112,A127)=1,VLOOKUP(A127,W:X,2), IF(COUNTIF($W$2:W1112,A127)=0,$E$9,""))</f>
        <v/>
      </c>
      <c r="G127" s="93"/>
      <c r="H127" s="93"/>
      <c r="I127" s="38" t="str">
        <f ca="1">IF(COUNTIF($AK$2:AK1112,A127)=1,VLOOKUP(A127,AC:AD,2), IF(COUNTIF($AK$2:AK1112,A127)=0,$C$9,""))</f>
        <v/>
      </c>
      <c r="J127" s="2" t="str">
        <f t="shared" ca="1" si="11"/>
        <v/>
      </c>
      <c r="K127" s="41" t="str">
        <f t="shared" ca="1" si="12"/>
        <v/>
      </c>
      <c r="L127" s="38" t="str">
        <f ca="1">IF(COUNTIF($AK$2:AK1112,A127)=1,VLOOKUP(A127,AN:AO,2), IF(COUNTIF($AK$2:AK1112,A127)=0,$D$9,""))</f>
        <v/>
      </c>
      <c r="M127" s="41" t="str">
        <f ca="1">IF(ISERROR(L127-2),"",(L127/$L$14-1)*$D$5)</f>
        <v/>
      </c>
      <c r="N127" s="41" t="str">
        <f ca="1">IF($A127="","",IF(COUNTIFS(Dividends!$G:$G,"&gt;"&amp;INT($A126),Dividends!$G:$G,"&lt;="&amp;INT($A127))=0,"",$R$2*SUMIFS(Dividends!$H:$H,Dividends!$G:$G,"&gt;"&amp;INT($A126),Dividends!$G:$G,"&lt;="&amp;INT($A127))))</f>
        <v/>
      </c>
      <c r="O127" s="42" t="str">
        <f ca="1">IF(ISERROR(B127-2),"",C127+D127-J127-K127-M127+SUM($N$14:N127))</f>
        <v/>
      </c>
      <c r="P127" s="80"/>
      <c r="Q127" s="80"/>
      <c r="R127" s="87"/>
      <c r="S127" s="87"/>
      <c r="T127" s="87"/>
      <c r="U127" s="108"/>
      <c r="V127" s="87"/>
      <c r="W127" s="108"/>
      <c r="X127" s="87"/>
      <c r="Y127" s="87"/>
      <c r="AI127" s="3" t="str">
        <f>IF(COUNTIF(AC:AC,AA127)*COUNTIF(AE:AE,AA127)*COUNTIF(AG:AG,AA127),AA127,"")</f>
        <v/>
      </c>
      <c r="AJ127" s="3" t="str">
        <f t="shared" si="7"/>
        <v/>
      </c>
      <c r="AN127" s="3">
        <v>45957</v>
      </c>
      <c r="AO127" s="4">
        <v>245.7517</v>
      </c>
      <c r="AP127" s="74">
        <v>45957</v>
      </c>
      <c r="AQ127" s="4">
        <v>256.41899999999998</v>
      </c>
      <c r="AR127" s="6">
        <f t="shared" si="8"/>
        <v>45957</v>
      </c>
    </row>
    <row r="128" spans="1:44" x14ac:dyDescent="0.25">
      <c r="A128" s="37" t="str">
        <f ca="1">IF(AND(ISBLANK(AK117), A127 = $AK$1),NOW(),IF(ISBLANK(AK117),"",AK117))</f>
        <v/>
      </c>
      <c r="B128" s="38" t="str">
        <f ca="1">IF(COUNTIF($AK$2:AK1113,A128)=1,VLOOKUP(A128,AA:AB,2), IF(COUNTIF($AK$2:AK1113,A128)=0,$B$9,""))</f>
        <v/>
      </c>
      <c r="C128" s="2" t="str">
        <f t="shared" ca="1" si="9"/>
        <v/>
      </c>
      <c r="D128" s="41" t="str">
        <f t="shared" ca="1" si="10"/>
        <v/>
      </c>
      <c r="E128" s="78" t="str">
        <f ca="1">IF(COUNTIF($U$2:U1113,A128)=1,VLOOKUP(A128,U:V,2), "")</f>
        <v/>
      </c>
      <c r="F128" s="78" t="str">
        <f ca="1">IF(COUNTIF($W$2:W1113,A128)=1,VLOOKUP(A128,W:X,2), IF(COUNTIF($W$2:W1113,A128)=0,$E$9,""))</f>
        <v/>
      </c>
      <c r="G128" s="93"/>
      <c r="H128" s="93"/>
      <c r="I128" s="38" t="str">
        <f ca="1">IF(COUNTIF($AK$2:AK1113,A128)=1,VLOOKUP(A128,AC:AD,2), IF(COUNTIF($AK$2:AK1113,A128)=0,$C$9,""))</f>
        <v/>
      </c>
      <c r="J128" s="2" t="str">
        <f t="shared" ca="1" si="11"/>
        <v/>
      </c>
      <c r="K128" s="41" t="str">
        <f t="shared" ca="1" si="12"/>
        <v/>
      </c>
      <c r="L128" s="38" t="str">
        <f ca="1">IF(COUNTIF($AK$2:AK1113,A128)=1,VLOOKUP(A128,AN:AO,2), IF(COUNTIF($AK$2:AK1113,A128)=0,$D$9,""))</f>
        <v/>
      </c>
      <c r="M128" s="41" t="str">
        <f ca="1">IF(ISERROR(L128-2),"",(L128/$L$14-1)*$D$5)</f>
        <v/>
      </c>
      <c r="N128" s="41" t="str">
        <f ca="1">IF($A128="","",IF(COUNTIFS(Dividends!$G:$G,"&gt;"&amp;INT($A127),Dividends!$G:$G,"&lt;="&amp;INT($A128))=0,"",$R$2*SUMIFS(Dividends!$H:$H,Dividends!$G:$G,"&gt;"&amp;INT($A127),Dividends!$G:$G,"&lt;="&amp;INT($A128))))</f>
        <v/>
      </c>
      <c r="O128" s="42" t="str">
        <f ca="1">IF(ISERROR(B128-2),"",C128+D128-J128-K128-M128+SUM($N$14:N128))</f>
        <v/>
      </c>
      <c r="P128" s="80"/>
      <c r="Q128" s="80"/>
      <c r="R128" s="87"/>
      <c r="S128" s="87"/>
      <c r="T128" s="87"/>
      <c r="U128" s="108"/>
      <c r="V128" s="87"/>
      <c r="W128" s="108"/>
      <c r="X128" s="87"/>
      <c r="Y128" s="87"/>
      <c r="AI128" s="3" t="str">
        <f>IF(COUNTIF(AC:AC,AA128)*COUNTIF(AE:AE,AA128)*COUNTIF(AG:AG,AA128),AA128,"")</f>
        <v/>
      </c>
      <c r="AJ128" s="3" t="str">
        <f t="shared" si="7"/>
        <v/>
      </c>
      <c r="AN128" s="3">
        <v>45958</v>
      </c>
      <c r="AO128" s="4">
        <v>245.49199999999999</v>
      </c>
      <c r="AP128" s="74">
        <v>45958</v>
      </c>
      <c r="AQ128" s="4">
        <v>258.21699999999998</v>
      </c>
      <c r="AR128" s="6">
        <f t="shared" si="8"/>
        <v>45958</v>
      </c>
    </row>
    <row r="129" spans="1:44" x14ac:dyDescent="0.25">
      <c r="A129" s="37" t="str">
        <f ca="1">IF(AND(ISBLANK(AK118), A128 = $AK$1),NOW(),IF(ISBLANK(AK118),"",AK118))</f>
        <v/>
      </c>
      <c r="B129" s="38" t="str">
        <f ca="1">IF(COUNTIF($AK$2:AK1114,A129)=1,VLOOKUP(A129,AA:AB,2), IF(COUNTIF($AK$2:AK1114,A129)=0,$B$9,""))</f>
        <v/>
      </c>
      <c r="C129" s="2" t="str">
        <f t="shared" ca="1" si="9"/>
        <v/>
      </c>
      <c r="D129" s="41" t="str">
        <f t="shared" ca="1" si="10"/>
        <v/>
      </c>
      <c r="E129" s="78" t="str">
        <f ca="1">IF(COUNTIF($U$2:U1114,A129)=1,VLOOKUP(A129,U:V,2), "")</f>
        <v/>
      </c>
      <c r="F129" s="78" t="str">
        <f ca="1">IF(COUNTIF($W$2:W1114,A129)=1,VLOOKUP(A129,W:X,2), IF(COUNTIF($W$2:W1114,A129)=0,$E$9,""))</f>
        <v/>
      </c>
      <c r="G129" s="93"/>
      <c r="H129" s="93"/>
      <c r="I129" s="38" t="str">
        <f ca="1">IF(COUNTIF($AK$2:AK1114,A129)=1,VLOOKUP(A129,AC:AD,2), IF(COUNTIF($AK$2:AK1114,A129)=0,$C$9,""))</f>
        <v/>
      </c>
      <c r="J129" s="2" t="str">
        <f t="shared" ca="1" si="11"/>
        <v/>
      </c>
      <c r="K129" s="41" t="str">
        <f t="shared" ca="1" si="12"/>
        <v/>
      </c>
      <c r="L129" s="38" t="str">
        <f ca="1">IF(COUNTIF($AK$2:AK1114,A129)=1,VLOOKUP(A129,AN:AO,2), IF(COUNTIF($AK$2:AK1114,A129)=0,$D$9,""))</f>
        <v/>
      </c>
      <c r="M129" s="41" t="str">
        <f ca="1">IF(ISERROR(L129-2),"",(L129/$L$14-1)*$D$5)</f>
        <v/>
      </c>
      <c r="N129" s="41" t="str">
        <f ca="1">IF($A129="","",IF(COUNTIFS(Dividends!$G:$G,"&gt;"&amp;INT($A128),Dividends!$G:$G,"&lt;="&amp;INT($A129))=0,"",$R$2*SUMIFS(Dividends!$H:$H,Dividends!$G:$G,"&gt;"&amp;INT($A128),Dividends!$G:$G,"&lt;="&amp;INT($A129))))</f>
        <v/>
      </c>
      <c r="O129" s="42" t="str">
        <f ca="1">IF(ISERROR(B129-2),"",C129+D129-J129-K129-M129+SUM($N$14:N129))</f>
        <v/>
      </c>
      <c r="P129" s="80"/>
      <c r="Q129" s="80"/>
      <c r="R129" s="87"/>
      <c r="S129" s="87"/>
      <c r="T129" s="87"/>
      <c r="U129" s="108"/>
      <c r="V129" s="87"/>
      <c r="W129" s="108"/>
      <c r="X129" s="87"/>
      <c r="Y129" s="87"/>
      <c r="AI129" s="3" t="str">
        <f>IF(COUNTIF(AC:AC,AA129)*COUNTIF(AE:AE,AA129)*COUNTIF(AG:AG,AA129),AA129,"")</f>
        <v/>
      </c>
      <c r="AJ129" s="3" t="str">
        <f t="shared" si="7"/>
        <v/>
      </c>
      <c r="AN129" s="3">
        <v>45959</v>
      </c>
      <c r="AO129" s="4">
        <v>245.55119999999999</v>
      </c>
      <c r="AP129" s="74">
        <v>45959</v>
      </c>
      <c r="AQ129" s="4">
        <v>258.82100000000003</v>
      </c>
      <c r="AR129" s="6">
        <f t="shared" si="8"/>
        <v>45959</v>
      </c>
    </row>
    <row r="130" spans="1:44" x14ac:dyDescent="0.25">
      <c r="A130" s="37" t="str">
        <f ca="1">IF(AND(ISBLANK(AK119), A129 = $AK$1),NOW(),IF(ISBLANK(AK119),"",AK119))</f>
        <v/>
      </c>
      <c r="B130" s="38" t="str">
        <f ca="1">IF(COUNTIF($AK$2:AK1115,A130)=1,VLOOKUP(A130,AA:AB,2), IF(COUNTIF($AK$2:AK1115,A130)=0,$B$9,""))</f>
        <v/>
      </c>
      <c r="C130" s="2" t="str">
        <f t="shared" ca="1" si="9"/>
        <v/>
      </c>
      <c r="D130" s="41" t="str">
        <f t="shared" ca="1" si="10"/>
        <v/>
      </c>
      <c r="E130" s="78" t="str">
        <f ca="1">IF(COUNTIF($U$2:U1115,A130)=1,VLOOKUP(A130,U:V,2), "")</f>
        <v/>
      </c>
      <c r="F130" s="78" t="str">
        <f ca="1">IF(COUNTIF($W$2:W1115,A130)=1,VLOOKUP(A130,W:X,2), IF(COUNTIF($W$2:W1115,A130)=0,$E$9,""))</f>
        <v/>
      </c>
      <c r="G130" s="93"/>
      <c r="H130" s="93"/>
      <c r="I130" s="38" t="str">
        <f ca="1">IF(COUNTIF($AK$2:AK1115,A130)=1,VLOOKUP(A130,AC:AD,2), IF(COUNTIF($AK$2:AK1115,A130)=0,$C$9,""))</f>
        <v/>
      </c>
      <c r="J130" s="2" t="str">
        <f t="shared" ca="1" si="11"/>
        <v/>
      </c>
      <c r="K130" s="41" t="str">
        <f t="shared" ca="1" si="12"/>
        <v/>
      </c>
      <c r="L130" s="38" t="str">
        <f ca="1">IF(COUNTIF($AK$2:AK1115,A130)=1,VLOOKUP(A130,AN:AO,2), IF(COUNTIF($AK$2:AK1115,A130)=0,$D$9,""))</f>
        <v/>
      </c>
      <c r="M130" s="41" t="str">
        <f ca="1">IF(ISERROR(L130-2),"",(L130/$L$14-1)*$D$5)</f>
        <v/>
      </c>
      <c r="N130" s="41" t="str">
        <f ca="1">IF($A130="","",IF(COUNTIFS(Dividends!$G:$G,"&gt;"&amp;INT($A129),Dividends!$G:$G,"&lt;="&amp;INT($A130))=0,"",$R$2*SUMIFS(Dividends!$H:$H,Dividends!$G:$G,"&gt;"&amp;INT($A129),Dividends!$G:$G,"&lt;="&amp;INT($A130))))</f>
        <v/>
      </c>
      <c r="O130" s="42" t="str">
        <f ca="1">IF(ISERROR(B130-2),"",C130+D130-J130-K130-M130+SUM($N$14:N130))</f>
        <v/>
      </c>
      <c r="P130" s="80"/>
      <c r="Q130" s="80"/>
      <c r="R130" s="87"/>
      <c r="S130" s="87"/>
      <c r="T130" s="87"/>
      <c r="U130" s="108"/>
      <c r="V130" s="87"/>
      <c r="W130" s="108"/>
      <c r="X130" s="87"/>
      <c r="Y130" s="87"/>
      <c r="AI130" s="3" t="str">
        <f>IF(COUNTIF(AC:AC,AA130)*COUNTIF(AE:AE,AA130)*COUNTIF(AG:AG,AA130),AA130,"")</f>
        <v/>
      </c>
      <c r="AJ130" s="3" t="str">
        <f t="shared" si="7"/>
        <v/>
      </c>
      <c r="AN130" s="3">
        <v>45960</v>
      </c>
      <c r="AO130" s="4">
        <v>245.16900000000001</v>
      </c>
      <c r="AP130" s="74">
        <v>45960</v>
      </c>
      <c r="AQ130" s="4">
        <v>262.49700000000001</v>
      </c>
      <c r="AR130" s="6">
        <f t="shared" si="8"/>
        <v>45960</v>
      </c>
    </row>
    <row r="131" spans="1:44" x14ac:dyDescent="0.25">
      <c r="A131" s="37" t="str">
        <f ca="1">IF(AND(ISBLANK(AK120), A130 = $AK$1),NOW(),IF(ISBLANK(AK120),"",AK120))</f>
        <v/>
      </c>
      <c r="B131" s="38" t="str">
        <f ca="1">IF(COUNTIF($AK$2:AK1116,A131)=1,VLOOKUP(A131,AA:AB,2), IF(COUNTIF($AK$2:AK1116,A131)=0,$B$9,""))</f>
        <v/>
      </c>
      <c r="C131" s="2" t="str">
        <f t="shared" ca="1" si="9"/>
        <v/>
      </c>
      <c r="D131" s="41" t="str">
        <f t="shared" ca="1" si="10"/>
        <v/>
      </c>
      <c r="E131" s="78" t="str">
        <f ca="1">IF(COUNTIF($U$2:U1116,A131)=1,VLOOKUP(A131,U:V,2), "")</f>
        <v/>
      </c>
      <c r="F131" s="78" t="str">
        <f ca="1">IF(COUNTIF($W$2:W1116,A131)=1,VLOOKUP(A131,W:X,2), IF(COUNTIF($W$2:W1116,A131)=0,$E$9,""))</f>
        <v/>
      </c>
      <c r="G131" s="93"/>
      <c r="H131" s="93"/>
      <c r="I131" s="38" t="str">
        <f ca="1">IF(COUNTIF($AK$2:AK1116,A131)=1,VLOOKUP(A131,AC:AD,2), IF(COUNTIF($AK$2:AK1116,A131)=0,$C$9,""))</f>
        <v/>
      </c>
      <c r="J131" s="2" t="str">
        <f t="shared" ca="1" si="11"/>
        <v/>
      </c>
      <c r="K131" s="41" t="str">
        <f t="shared" ca="1" si="12"/>
        <v/>
      </c>
      <c r="L131" s="38" t="str">
        <f ca="1">IF(COUNTIF($AK$2:AK1116,A131)=1,VLOOKUP(A131,AN:AO,2), IF(COUNTIF($AK$2:AK1116,A131)=0,$D$9,""))</f>
        <v/>
      </c>
      <c r="M131" s="41" t="str">
        <f ca="1">IF(ISERROR(L131-2),"",(L131/$L$14-1)*$D$5)</f>
        <v/>
      </c>
      <c r="N131" s="41" t="str">
        <f ca="1">IF($A131="","",IF(COUNTIFS(Dividends!$G:$G,"&gt;"&amp;INT($A130),Dividends!$G:$G,"&lt;="&amp;INT($A131))=0,"",$R$2*SUMIFS(Dividends!$H:$H,Dividends!$G:$G,"&gt;"&amp;INT($A130),Dividends!$G:$G,"&lt;="&amp;INT($A131))))</f>
        <v/>
      </c>
      <c r="O131" s="42" t="str">
        <f ca="1">IF(ISERROR(B131-2),"",C131+D131-J131-K131-M131+SUM($N$14:N131))</f>
        <v/>
      </c>
      <c r="P131" s="80"/>
      <c r="Q131" s="80"/>
      <c r="R131" s="87"/>
      <c r="S131" s="87"/>
      <c r="T131" s="87"/>
      <c r="U131" s="108"/>
      <c r="V131" s="87"/>
      <c r="W131" s="108"/>
      <c r="X131" s="87"/>
      <c r="Y131" s="87"/>
      <c r="AI131" s="3" t="str">
        <f>IF(COUNTIF(AC:AC,AA131)*COUNTIF(AE:AE,AA131)*COUNTIF(AG:AG,AA131),AA131,"")</f>
        <v/>
      </c>
      <c r="AJ131" s="3" t="str">
        <f t="shared" si="7"/>
        <v/>
      </c>
      <c r="AN131" s="3">
        <v>45961</v>
      </c>
      <c r="AO131" s="4">
        <v>244.8545</v>
      </c>
      <c r="AP131" s="74">
        <v>45961</v>
      </c>
      <c r="AQ131" s="4">
        <v>265.971</v>
      </c>
      <c r="AR131" s="6">
        <f t="shared" si="8"/>
        <v>45961</v>
      </c>
    </row>
    <row r="132" spans="1:44" x14ac:dyDescent="0.25">
      <c r="A132" s="37" t="str">
        <f ca="1">IF(AND(ISBLANK(AK121), A131 = $AK$1),NOW(),IF(ISBLANK(AK121),"",AK121))</f>
        <v/>
      </c>
      <c r="B132" s="38" t="str">
        <f ca="1">IF(COUNTIF($AK$2:AK1117,A132)=1,VLOOKUP(A132,AA:AB,2), IF(COUNTIF($AK$2:AK1117,A132)=0,$B$9,""))</f>
        <v/>
      </c>
      <c r="C132" s="2" t="str">
        <f t="shared" ca="1" si="9"/>
        <v/>
      </c>
      <c r="D132" s="41" t="str">
        <f t="shared" ca="1" si="10"/>
        <v/>
      </c>
      <c r="E132" s="78" t="str">
        <f ca="1">IF(COUNTIF($U$2:U1117,A132)=1,VLOOKUP(A132,U:V,2), "")</f>
        <v/>
      </c>
      <c r="F132" s="78" t="str">
        <f ca="1">IF(COUNTIF($W$2:W1117,A132)=1,VLOOKUP(A132,W:X,2), IF(COUNTIF($W$2:W1117,A132)=0,$E$9,""))</f>
        <v/>
      </c>
      <c r="G132" s="93"/>
      <c r="H132" s="93"/>
      <c r="I132" s="38" t="str">
        <f ca="1">IF(COUNTIF($AK$2:AK1117,A132)=1,VLOOKUP(A132,AC:AD,2), IF(COUNTIF($AK$2:AK1117,A132)=0,$C$9,""))</f>
        <v/>
      </c>
      <c r="J132" s="2" t="str">
        <f t="shared" ca="1" si="11"/>
        <v/>
      </c>
      <c r="K132" s="41" t="str">
        <f t="shared" ca="1" si="12"/>
        <v/>
      </c>
      <c r="L132" s="38" t="str">
        <f ca="1">IF(COUNTIF($AK$2:AK1117,A132)=1,VLOOKUP(A132,AN:AO,2), IF(COUNTIF($AK$2:AK1117,A132)=0,$D$9,""))</f>
        <v/>
      </c>
      <c r="M132" s="41" t="str">
        <f ca="1">IF(ISERROR(L132-2),"",(L132/$L$14-1)*$D$5)</f>
        <v/>
      </c>
      <c r="N132" s="41" t="str">
        <f ca="1">IF($A132="","",IF(COUNTIFS(Dividends!$G:$G,"&gt;"&amp;INT($A131),Dividends!$G:$G,"&lt;="&amp;INT($A132))=0,"",$R$2*SUMIFS(Dividends!$H:$H,Dividends!$G:$G,"&gt;"&amp;INT($A131),Dividends!$G:$G,"&lt;="&amp;INT($A132))))</f>
        <v/>
      </c>
      <c r="O132" s="42" t="str">
        <f ca="1">IF(ISERROR(B132-2),"",C132+D132-J132-K132-M132+SUM($N$14:N132))</f>
        <v/>
      </c>
      <c r="P132" s="80"/>
      <c r="Q132" s="80"/>
      <c r="R132" s="87"/>
      <c r="S132" s="87"/>
      <c r="T132" s="87"/>
      <c r="U132" s="108"/>
      <c r="V132" s="87"/>
      <c r="W132" s="108"/>
      <c r="X132" s="87"/>
      <c r="Y132" s="87"/>
      <c r="AI132" s="3" t="str">
        <f>IF(COUNTIF(AC:AC,AA132)*COUNTIF(AE:AE,AA132)*COUNTIF(AG:AG,AA132),AA132,"")</f>
        <v/>
      </c>
      <c r="AJ132" s="3" t="str">
        <f t="shared" ref="AJ132:AJ195" si="13">IF(AI132&gt;=$A$14,AI132,"")</f>
        <v/>
      </c>
      <c r="AN132" s="3">
        <v>45964</v>
      </c>
      <c r="AO132" s="4">
        <v>244.89699999999999</v>
      </c>
      <c r="AP132" s="74">
        <v>45964</v>
      </c>
      <c r="AQ132" s="4">
        <v>264.774</v>
      </c>
      <c r="AR132" s="6">
        <f t="shared" ref="AR132:AR195" si="14">IF(COUNTIF(AP:AP,AN132),AN132,"")</f>
        <v>45964</v>
      </c>
    </row>
    <row r="133" spans="1:44" x14ac:dyDescent="0.25">
      <c r="A133" s="37" t="str">
        <f ca="1">IF(AND(ISBLANK(AK122), A132 = $AK$1),NOW(),IF(ISBLANK(AK122),"",AK122))</f>
        <v/>
      </c>
      <c r="B133" s="38" t="str">
        <f ca="1">IF(COUNTIF($AK$2:AK1118,A133)=1,VLOOKUP(A133,AA:AB,2), IF(COUNTIF($AK$2:AK1118,A133)=0,$B$9,""))</f>
        <v/>
      </c>
      <c r="C133" s="2" t="str">
        <f t="shared" ca="1" si="9"/>
        <v/>
      </c>
      <c r="D133" s="41" t="str">
        <f t="shared" ca="1" si="10"/>
        <v/>
      </c>
      <c r="E133" s="78" t="str">
        <f ca="1">IF(COUNTIF($U$2:U1118,A133)=1,VLOOKUP(A133,U:V,2), "")</f>
        <v/>
      </c>
      <c r="F133" s="78" t="str">
        <f ca="1">IF(COUNTIF($W$2:W1118,A133)=1,VLOOKUP(A133,W:X,2), IF(COUNTIF($W$2:W1118,A133)=0,$E$9,""))</f>
        <v/>
      </c>
      <c r="G133" s="93"/>
      <c r="H133" s="93"/>
      <c r="I133" s="38" t="str">
        <f ca="1">IF(COUNTIF($AK$2:AK1118,A133)=1,VLOOKUP(A133,AC:AD,2), IF(COUNTIF($AK$2:AK1118,A133)=0,$C$9,""))</f>
        <v/>
      </c>
      <c r="J133" s="2" t="str">
        <f t="shared" ca="1" si="11"/>
        <v/>
      </c>
      <c r="K133" s="41" t="str">
        <f t="shared" ca="1" si="12"/>
        <v/>
      </c>
      <c r="L133" s="38" t="str">
        <f ca="1">IF(COUNTIF($AK$2:AK1118,A133)=1,VLOOKUP(A133,AN:AO,2), IF(COUNTIF($AK$2:AK1118,A133)=0,$D$9,""))</f>
        <v/>
      </c>
      <c r="M133" s="41" t="str">
        <f ca="1">IF(ISERROR(L133-2),"",(L133/$L$14-1)*$D$5)</f>
        <v/>
      </c>
      <c r="N133" s="41" t="str">
        <f ca="1">IF($A133="","",IF(COUNTIFS(Dividends!$G:$G,"&gt;"&amp;INT($A132),Dividends!$G:$G,"&lt;="&amp;INT($A133))=0,"",$R$2*SUMIFS(Dividends!$H:$H,Dividends!$G:$G,"&gt;"&amp;INT($A132),Dividends!$G:$G,"&lt;="&amp;INT($A133))))</f>
        <v/>
      </c>
      <c r="O133" s="42" t="str">
        <f ca="1">IF(ISERROR(B133-2),"",C133+D133-J133-K133-M133+SUM($N$14:N133))</f>
        <v/>
      </c>
      <c r="P133" s="80"/>
      <c r="Q133" s="80"/>
      <c r="R133" s="87"/>
      <c r="S133" s="87"/>
      <c r="T133" s="87"/>
      <c r="U133" s="108"/>
      <c r="V133" s="87"/>
      <c r="W133" s="108"/>
      <c r="X133" s="87"/>
      <c r="Y133" s="87"/>
      <c r="AI133" s="3" t="str">
        <f>IF(COUNTIF(AC:AC,AA133)*COUNTIF(AE:AE,AA133)*COUNTIF(AG:AG,AA133),AA133,"")</f>
        <v/>
      </c>
      <c r="AJ133" s="3" t="str">
        <f t="shared" si="13"/>
        <v/>
      </c>
      <c r="AN133" s="3">
        <v>45965</v>
      </c>
      <c r="AO133" s="4">
        <v>244.79839999999999</v>
      </c>
      <c r="AP133" s="74">
        <v>45965</v>
      </c>
      <c r="AQ133" s="4">
        <v>265.75200000000001</v>
      </c>
      <c r="AR133" s="6">
        <f t="shared" si="14"/>
        <v>45965</v>
      </c>
    </row>
    <row r="134" spans="1:44" x14ac:dyDescent="0.25">
      <c r="A134" s="37" t="str">
        <f ca="1">IF(AND(ISBLANK(AK123), A133 = $AK$1),NOW(),IF(ISBLANK(AK123),"",AK123))</f>
        <v/>
      </c>
      <c r="B134" s="38" t="str">
        <f ca="1">IF(COUNTIF($AK$2:AK1119,A134)=1,VLOOKUP(A134,AA:AB,2), IF(COUNTIF($AK$2:AK1119,A134)=0,$B$9,""))</f>
        <v/>
      </c>
      <c r="C134" s="2" t="str">
        <f t="shared" ca="1" si="9"/>
        <v/>
      </c>
      <c r="D134" s="41" t="str">
        <f t="shared" ca="1" si="10"/>
        <v/>
      </c>
      <c r="E134" s="78" t="str">
        <f ca="1">IF(COUNTIF($U$2:U1119,A134)=1,VLOOKUP(A134,U:V,2), "")</f>
        <v/>
      </c>
      <c r="F134" s="78" t="str">
        <f ca="1">IF(COUNTIF($W$2:W1119,A134)=1,VLOOKUP(A134,W:X,2), IF(COUNTIF($W$2:W1119,A134)=0,$E$9,""))</f>
        <v/>
      </c>
      <c r="G134" s="93"/>
      <c r="H134" s="93"/>
      <c r="I134" s="38" t="str">
        <f ca="1">IF(COUNTIF($AK$2:AK1119,A134)=1,VLOOKUP(A134,AC:AD,2), IF(COUNTIF($AK$2:AK1119,A134)=0,$C$9,""))</f>
        <v/>
      </c>
      <c r="J134" s="2" t="str">
        <f t="shared" ca="1" si="11"/>
        <v/>
      </c>
      <c r="K134" s="41" t="str">
        <f t="shared" ca="1" si="12"/>
        <v/>
      </c>
      <c r="L134" s="38" t="str">
        <f ca="1">IF(COUNTIF($AK$2:AK1119,A134)=1,VLOOKUP(A134,AN:AO,2), IF(COUNTIF($AK$2:AK1119,A134)=0,$D$9,""))</f>
        <v/>
      </c>
      <c r="M134" s="41" t="str">
        <f ca="1">IF(ISERROR(L134-2),"",(L134/$L$14-1)*$D$5)</f>
        <v/>
      </c>
      <c r="N134" s="41" t="str">
        <f ca="1">IF($A134="","",IF(COUNTIFS(Dividends!$G:$G,"&gt;"&amp;INT($A133),Dividends!$G:$G,"&lt;="&amp;INT($A134))=0,"",$R$2*SUMIFS(Dividends!$H:$H,Dividends!$G:$G,"&gt;"&amp;INT($A133),Dividends!$G:$G,"&lt;="&amp;INT($A134))))</f>
        <v/>
      </c>
      <c r="O134" s="42" t="str">
        <f ca="1">IF(ISERROR(B134-2),"",C134+D134-J134-K134-M134+SUM($N$14:N134))</f>
        <v/>
      </c>
      <c r="P134" s="80"/>
      <c r="Q134" s="80"/>
      <c r="R134" s="87"/>
      <c r="S134" s="87"/>
      <c r="T134" s="87"/>
      <c r="U134" s="108"/>
      <c r="V134" s="87"/>
      <c r="W134" s="108"/>
      <c r="X134" s="87"/>
      <c r="Y134" s="87"/>
      <c r="AI134" s="3" t="str">
        <f>IF(COUNTIF(AC:AC,AA134)*COUNTIF(AE:AE,AA134)*COUNTIF(AG:AG,AA134),AA134,"")</f>
        <v/>
      </c>
      <c r="AJ134" s="3" t="str">
        <f t="shared" si="13"/>
        <v/>
      </c>
      <c r="AN134" s="3">
        <v>45966</v>
      </c>
      <c r="AO134" s="4">
        <v>245.10939999999999</v>
      </c>
      <c r="AP134" s="74">
        <v>45966</v>
      </c>
      <c r="AQ134" s="4">
        <v>262.87900000000002</v>
      </c>
      <c r="AR134" s="6">
        <f t="shared" si="14"/>
        <v>45966</v>
      </c>
    </row>
    <row r="135" spans="1:44" x14ac:dyDescent="0.25">
      <c r="A135" s="37" t="str">
        <f ca="1">IF(AND(ISBLANK(AK124), A134 = $AK$1),NOW(),IF(ISBLANK(AK124),"",AK124))</f>
        <v/>
      </c>
      <c r="B135" s="38" t="str">
        <f ca="1">IF(COUNTIF($AK$2:AK1120,A135)=1,VLOOKUP(A135,AA:AB,2), IF(COUNTIF($AK$2:AK1120,A135)=0,$B$9,""))</f>
        <v/>
      </c>
      <c r="C135" s="2" t="str">
        <f t="shared" ca="1" si="9"/>
        <v/>
      </c>
      <c r="D135" s="41" t="str">
        <f t="shared" ca="1" si="10"/>
        <v/>
      </c>
      <c r="E135" s="78" t="str">
        <f ca="1">IF(COUNTIF($U$2:U1120,A135)=1,VLOOKUP(A135,U:V,2), "")</f>
        <v/>
      </c>
      <c r="F135" s="78" t="str">
        <f ca="1">IF(COUNTIF($W$2:W1120,A135)=1,VLOOKUP(A135,W:X,2), IF(COUNTIF($W$2:W1120,A135)=0,$E$9,""))</f>
        <v/>
      </c>
      <c r="G135" s="93"/>
      <c r="H135" s="93"/>
      <c r="I135" s="38" t="str">
        <f ca="1">IF(COUNTIF($AK$2:AK1120,A135)=1,VLOOKUP(A135,AC:AD,2), IF(COUNTIF($AK$2:AK1120,A135)=0,$C$9,""))</f>
        <v/>
      </c>
      <c r="J135" s="2" t="str">
        <f t="shared" ca="1" si="11"/>
        <v/>
      </c>
      <c r="K135" s="41" t="str">
        <f t="shared" ca="1" si="12"/>
        <v/>
      </c>
      <c r="L135" s="38" t="str">
        <f ca="1">IF(COUNTIF($AK$2:AK1120,A135)=1,VLOOKUP(A135,AN:AO,2), IF(COUNTIF($AK$2:AK1120,A135)=0,$D$9,""))</f>
        <v/>
      </c>
      <c r="M135" s="41" t="str">
        <f ca="1">IF(ISERROR(L135-2),"",(L135/$L$14-1)*$D$5)</f>
        <v/>
      </c>
      <c r="N135" s="41" t="str">
        <f ca="1">IF($A135="","",IF(COUNTIFS(Dividends!$G:$G,"&gt;"&amp;INT($A134),Dividends!$G:$G,"&lt;="&amp;INT($A135))=0,"",$R$2*SUMIFS(Dividends!$H:$H,Dividends!$G:$G,"&gt;"&amp;INT($A134),Dividends!$G:$G,"&lt;="&amp;INT($A135))))</f>
        <v/>
      </c>
      <c r="O135" s="42" t="str">
        <f ca="1">IF(ISERROR(B135-2),"",C135+D135-J135-K135-M135+SUM($N$14:N135))</f>
        <v/>
      </c>
      <c r="P135" s="80"/>
      <c r="Q135" s="80"/>
      <c r="R135" s="87"/>
      <c r="S135" s="87"/>
      <c r="T135" s="87"/>
      <c r="U135" s="108"/>
      <c r="V135" s="87"/>
      <c r="W135" s="108"/>
      <c r="X135" s="87"/>
      <c r="Y135" s="87"/>
      <c r="AI135" s="3" t="str">
        <f>IF(COUNTIF(AC:AC,AA135)*COUNTIF(AE:AE,AA135)*COUNTIF(AG:AG,AA135),AA135,"")</f>
        <v/>
      </c>
      <c r="AJ135" s="3" t="str">
        <f t="shared" si="13"/>
        <v/>
      </c>
      <c r="AN135" s="3">
        <v>45967</v>
      </c>
      <c r="AO135" s="4">
        <v>244.75219999999999</v>
      </c>
      <c r="AP135" s="74">
        <v>45967</v>
      </c>
      <c r="AQ135" s="4">
        <v>268.62700000000001</v>
      </c>
      <c r="AR135" s="6">
        <f t="shared" si="14"/>
        <v>45967</v>
      </c>
    </row>
    <row r="136" spans="1:44" x14ac:dyDescent="0.25">
      <c r="A136" s="37" t="str">
        <f ca="1">IF(AND(ISBLANK(AK125), A135 = $AK$1),NOW(),IF(ISBLANK(AK125),"",AK125))</f>
        <v/>
      </c>
      <c r="B136" s="38" t="str">
        <f ca="1">IF(COUNTIF($AK$2:AK1121,A136)=1,VLOOKUP(A136,AA:AB,2), IF(COUNTIF($AK$2:AK1121,A136)=0,$B$9,""))</f>
        <v/>
      </c>
      <c r="C136" s="2" t="str">
        <f t="shared" ca="1" si="9"/>
        <v/>
      </c>
      <c r="D136" s="41" t="str">
        <f t="shared" ca="1" si="10"/>
        <v/>
      </c>
      <c r="E136" s="78" t="str">
        <f ca="1">IF(COUNTIF($U$2:U1121,A136)=1,VLOOKUP(A136,U:V,2), "")</f>
        <v/>
      </c>
      <c r="F136" s="78" t="str">
        <f ca="1">IF(COUNTIF($W$2:W1121,A136)=1,VLOOKUP(A136,W:X,2), IF(COUNTIF($W$2:W1121,A136)=0,$E$9,""))</f>
        <v/>
      </c>
      <c r="G136" s="93"/>
      <c r="H136" s="93"/>
      <c r="I136" s="38" t="str">
        <f ca="1">IF(COUNTIF($AK$2:AK1121,A136)=1,VLOOKUP(A136,AC:AD,2), IF(COUNTIF($AK$2:AK1121,A136)=0,$C$9,""))</f>
        <v/>
      </c>
      <c r="J136" s="2" t="str">
        <f t="shared" ca="1" si="11"/>
        <v/>
      </c>
      <c r="K136" s="41" t="str">
        <f t="shared" ca="1" si="12"/>
        <v/>
      </c>
      <c r="L136" s="38" t="str">
        <f ca="1">IF(COUNTIF($AK$2:AK1121,A136)=1,VLOOKUP(A136,AN:AO,2), IF(COUNTIF($AK$2:AK1121,A136)=0,$D$9,""))</f>
        <v/>
      </c>
      <c r="M136" s="41" t="str">
        <f ca="1">IF(ISERROR(L136-2),"",(L136/$L$14-1)*$D$5)</f>
        <v/>
      </c>
      <c r="N136" s="41" t="str">
        <f ca="1">IF($A136="","",IF(COUNTIFS(Dividends!$G:$G,"&gt;"&amp;INT($A135),Dividends!$G:$G,"&lt;="&amp;INT($A136))=0,"",$R$2*SUMIFS(Dividends!$H:$H,Dividends!$G:$G,"&gt;"&amp;INT($A135),Dividends!$G:$G,"&lt;="&amp;INT($A136))))</f>
        <v/>
      </c>
      <c r="O136" s="42" t="str">
        <f ca="1">IF(ISERROR(B136-2),"",C136+D136-J136-K136-M136+SUM($N$14:N136))</f>
        <v/>
      </c>
      <c r="P136" s="80"/>
      <c r="Q136" s="80"/>
      <c r="R136" s="87"/>
      <c r="S136" s="87"/>
      <c r="T136" s="87"/>
      <c r="U136" s="108"/>
      <c r="V136" s="87"/>
      <c r="W136" s="108"/>
      <c r="X136" s="87"/>
      <c r="Y136" s="87"/>
      <c r="AI136" s="3" t="str">
        <f>IF(COUNTIF(AC:AC,AA136)*COUNTIF(AE:AE,AA136)*COUNTIF(AG:AG,AA136),AA136,"")</f>
        <v/>
      </c>
      <c r="AJ136" s="3" t="str">
        <f t="shared" si="13"/>
        <v/>
      </c>
      <c r="AN136" s="3">
        <v>45968</v>
      </c>
      <c r="AO136" s="4">
        <v>244.27430000000001</v>
      </c>
      <c r="AP136" s="74">
        <v>45968</v>
      </c>
      <c r="AQ136" s="4">
        <v>272.18799999999999</v>
      </c>
      <c r="AR136" s="6">
        <f t="shared" si="14"/>
        <v>45968</v>
      </c>
    </row>
    <row r="137" spans="1:44" x14ac:dyDescent="0.25">
      <c r="A137" s="37" t="str">
        <f ca="1">IF(AND(ISBLANK(AK126), A136 = $AK$1),NOW(),IF(ISBLANK(AK126),"",AK126))</f>
        <v/>
      </c>
      <c r="B137" s="38" t="str">
        <f ca="1">IF(COUNTIF($AK$2:AK1122,A137)=1,VLOOKUP(A137,AA:AB,2), IF(COUNTIF($AK$2:AK1122,A137)=0,$B$9,""))</f>
        <v/>
      </c>
      <c r="C137" s="2" t="str">
        <f t="shared" ca="1" si="9"/>
        <v/>
      </c>
      <c r="D137" s="41" t="str">
        <f t="shared" ca="1" si="10"/>
        <v/>
      </c>
      <c r="E137" s="78" t="str">
        <f ca="1">IF(COUNTIF($U$2:U1122,A137)=1,VLOOKUP(A137,U:V,2), "")</f>
        <v/>
      </c>
      <c r="F137" s="78" t="str">
        <f ca="1">IF(COUNTIF($W$2:W1122,A137)=1,VLOOKUP(A137,W:X,2), IF(COUNTIF($W$2:W1122,A137)=0,$E$9,""))</f>
        <v/>
      </c>
      <c r="G137" s="93"/>
      <c r="H137" s="93"/>
      <c r="I137" s="38" t="str">
        <f ca="1">IF(COUNTIF($AK$2:AK1122,A137)=1,VLOOKUP(A137,AC:AD,2), IF(COUNTIF($AK$2:AK1122,A137)=0,$C$9,""))</f>
        <v/>
      </c>
      <c r="J137" s="2" t="str">
        <f t="shared" ca="1" si="11"/>
        <v/>
      </c>
      <c r="K137" s="41" t="str">
        <f t="shared" ca="1" si="12"/>
        <v/>
      </c>
      <c r="L137" s="38" t="str">
        <f ca="1">IF(COUNTIF($AK$2:AK1122,A137)=1,VLOOKUP(A137,AN:AO,2), IF(COUNTIF($AK$2:AK1122,A137)=0,$D$9,""))</f>
        <v/>
      </c>
      <c r="M137" s="41" t="str">
        <f ca="1">IF(ISERROR(L137-2),"",(L137/$L$14-1)*$D$5)</f>
        <v/>
      </c>
      <c r="N137" s="41" t="str">
        <f ca="1">IF($A137="","",IF(COUNTIFS(Dividends!$G:$G,"&gt;"&amp;INT($A136),Dividends!$G:$G,"&lt;="&amp;INT($A137))=0,"",$R$2*SUMIFS(Dividends!$H:$H,Dividends!$G:$G,"&gt;"&amp;INT($A136),Dividends!$G:$G,"&lt;="&amp;INT($A137))))</f>
        <v/>
      </c>
      <c r="O137" s="42" t="str">
        <f ca="1">IF(ISERROR(B137-2),"",C137+D137-J137-K137-M137+SUM($N$14:N137))</f>
        <v/>
      </c>
      <c r="P137" s="80"/>
      <c r="Q137" s="80"/>
      <c r="R137" s="87"/>
      <c r="S137" s="87"/>
      <c r="T137" s="87"/>
      <c r="U137" s="108"/>
      <c r="V137" s="87"/>
      <c r="W137" s="108"/>
      <c r="X137" s="87"/>
      <c r="Y137" s="87"/>
      <c r="AI137" s="3" t="str">
        <f>IF(COUNTIF(AC:AC,AA137)*COUNTIF(AE:AE,AA137)*COUNTIF(AG:AG,AA137),AA137,"")</f>
        <v/>
      </c>
      <c r="AJ137" s="3" t="str">
        <f t="shared" si="13"/>
        <v/>
      </c>
      <c r="AN137" s="3">
        <v>45971</v>
      </c>
      <c r="AO137" s="4">
        <v>245.4716</v>
      </c>
      <c r="AP137" s="74">
        <v>45971</v>
      </c>
      <c r="AQ137" s="4">
        <v>261.46800000000002</v>
      </c>
      <c r="AR137" s="6">
        <f t="shared" si="14"/>
        <v>45971</v>
      </c>
    </row>
    <row r="138" spans="1:44" x14ac:dyDescent="0.25">
      <c r="A138" s="37" t="str">
        <f ca="1">IF(AND(ISBLANK(AK127), A137 = $AK$1),NOW(),IF(ISBLANK(AK127),"",AK127))</f>
        <v/>
      </c>
      <c r="B138" s="38" t="str">
        <f ca="1">IF(COUNTIF($AK$2:AK1123,A138)=1,VLOOKUP(A138,AA:AB,2), IF(COUNTIF($AK$2:AK1123,A138)=0,$B$9,""))</f>
        <v/>
      </c>
      <c r="C138" s="2" t="str">
        <f t="shared" ca="1" si="9"/>
        <v/>
      </c>
      <c r="D138" s="41" t="str">
        <f t="shared" ca="1" si="10"/>
        <v/>
      </c>
      <c r="E138" s="78" t="str">
        <f ca="1">IF(COUNTIF($U$2:U1123,A138)=1,VLOOKUP(A138,U:V,2), "")</f>
        <v/>
      </c>
      <c r="F138" s="78" t="str">
        <f ca="1">IF(COUNTIF($W$2:W1123,A138)=1,VLOOKUP(A138,W:X,2), IF(COUNTIF($W$2:W1123,A138)=0,$E$9,""))</f>
        <v/>
      </c>
      <c r="G138" s="93"/>
      <c r="H138" s="93"/>
      <c r="I138" s="38" t="str">
        <f ca="1">IF(COUNTIF($AK$2:AK1123,A138)=1,VLOOKUP(A138,AC:AD,2), IF(COUNTIF($AK$2:AK1123,A138)=0,$C$9,""))</f>
        <v/>
      </c>
      <c r="J138" s="2" t="str">
        <f t="shared" ca="1" si="11"/>
        <v/>
      </c>
      <c r="K138" s="41" t="str">
        <f t="shared" ca="1" si="12"/>
        <v/>
      </c>
      <c r="L138" s="38" t="str">
        <f ca="1">IF(COUNTIF($AK$2:AK1123,A138)=1,VLOOKUP(A138,AN:AO,2), IF(COUNTIF($AK$2:AK1123,A138)=0,$D$9,""))</f>
        <v/>
      </c>
      <c r="M138" s="41" t="str">
        <f ca="1">IF(ISERROR(L138-2),"",(L138/$L$14-1)*$D$5)</f>
        <v/>
      </c>
      <c r="N138" s="41" t="str">
        <f ca="1">IF($A138="","",IF(COUNTIFS(Dividends!$G:$G,"&gt;"&amp;INT($A137),Dividends!$G:$G,"&lt;="&amp;INT($A138))=0,"",$R$2*SUMIFS(Dividends!$H:$H,Dividends!$G:$G,"&gt;"&amp;INT($A137),Dividends!$G:$G,"&lt;="&amp;INT($A138))))</f>
        <v/>
      </c>
      <c r="O138" s="42" t="str">
        <f ca="1">IF(ISERROR(B138-2),"",C138+D138-J138-K138-M138+SUM($N$14:N138))</f>
        <v/>
      </c>
      <c r="P138" s="80"/>
      <c r="Q138" s="80"/>
      <c r="R138" s="87"/>
      <c r="S138" s="87"/>
      <c r="T138" s="87"/>
      <c r="U138" s="108"/>
      <c r="V138" s="87"/>
      <c r="W138" s="108"/>
      <c r="X138" s="87"/>
      <c r="Y138" s="87"/>
      <c r="AI138" s="3" t="str">
        <f>IF(COUNTIF(AC:AC,AA138)*COUNTIF(AE:AE,AA138)*COUNTIF(AG:AG,AA138),AA138,"")</f>
        <v/>
      </c>
      <c r="AJ138" s="3" t="str">
        <f t="shared" si="13"/>
        <v/>
      </c>
      <c r="AN138" s="3">
        <v>45972</v>
      </c>
      <c r="AO138" s="4">
        <v>245.6224</v>
      </c>
      <c r="AP138" s="74">
        <v>45972</v>
      </c>
      <c r="AQ138" s="4">
        <v>260.42200000000003</v>
      </c>
      <c r="AR138" s="6">
        <f t="shared" si="14"/>
        <v>45972</v>
      </c>
    </row>
    <row r="139" spans="1:44" x14ac:dyDescent="0.25">
      <c r="A139" s="37" t="str">
        <f ca="1">IF(AND(ISBLANK(AK128), A138 = $AK$1),NOW(),IF(ISBLANK(AK128),"",AK128))</f>
        <v/>
      </c>
      <c r="B139" s="38" t="str">
        <f ca="1">IF(COUNTIF($AK$2:AK1124,A139)=1,VLOOKUP(A139,AA:AB,2), IF(COUNTIF($AK$2:AK1124,A139)=0,$B$9,""))</f>
        <v/>
      </c>
      <c r="C139" s="2" t="str">
        <f t="shared" ca="1" si="9"/>
        <v/>
      </c>
      <c r="D139" s="41" t="str">
        <f t="shared" ca="1" si="10"/>
        <v/>
      </c>
      <c r="E139" s="78" t="str">
        <f ca="1">IF(COUNTIF($U$2:U1124,A139)=1,VLOOKUP(A139,U:V,2), "")</f>
        <v/>
      </c>
      <c r="F139" s="78" t="str">
        <f ca="1">IF(COUNTIF($W$2:W1124,A139)=1,VLOOKUP(A139,W:X,2), IF(COUNTIF($W$2:W1124,A139)=0,$E$9,""))</f>
        <v/>
      </c>
      <c r="G139" s="93"/>
      <c r="H139" s="93"/>
      <c r="I139" s="38" t="str">
        <f ca="1">IF(COUNTIF($AK$2:AK1124,A139)=1,VLOOKUP(A139,AC:AD,2), IF(COUNTIF($AK$2:AK1124,A139)=0,$C$9,""))</f>
        <v/>
      </c>
      <c r="J139" s="2" t="str">
        <f t="shared" ca="1" si="11"/>
        <v/>
      </c>
      <c r="K139" s="41" t="str">
        <f t="shared" ca="1" si="12"/>
        <v/>
      </c>
      <c r="L139" s="38" t="str">
        <f ca="1">IF(COUNTIF($AK$2:AK1124,A139)=1,VLOOKUP(A139,AN:AO,2), IF(COUNTIF($AK$2:AK1124,A139)=0,$D$9,""))</f>
        <v/>
      </c>
      <c r="M139" s="41" t="str">
        <f ca="1">IF(ISERROR(L139-2),"",(L139/$L$14-1)*$D$5)</f>
        <v/>
      </c>
      <c r="N139" s="41" t="str">
        <f ca="1">IF($A139="","",IF(COUNTIFS(Dividends!$G:$G,"&gt;"&amp;INT($A138),Dividends!$G:$G,"&lt;="&amp;INT($A139))=0,"",$R$2*SUMIFS(Dividends!$H:$H,Dividends!$G:$G,"&gt;"&amp;INT($A138),Dividends!$G:$G,"&lt;="&amp;INT($A139))))</f>
        <v/>
      </c>
      <c r="O139" s="42" t="str">
        <f ca="1">IF(ISERROR(B139-2),"",C139+D139-J139-K139-M139+SUM($N$14:N139))</f>
        <v/>
      </c>
      <c r="P139" s="80"/>
      <c r="Q139" s="80"/>
      <c r="R139" s="87"/>
      <c r="S139" s="87"/>
      <c r="T139" s="87"/>
      <c r="U139" s="108"/>
      <c r="V139" s="87"/>
      <c r="W139" s="108"/>
      <c r="X139" s="87"/>
      <c r="Y139" s="87"/>
      <c r="AI139" s="3" t="str">
        <f>IF(COUNTIF(AC:AC,AA139)*COUNTIF(AE:AE,AA139)*COUNTIF(AG:AG,AA139),AA139,"")</f>
        <v/>
      </c>
      <c r="AJ139" s="3" t="str">
        <f t="shared" si="13"/>
        <v/>
      </c>
      <c r="AN139" s="3">
        <v>45973</v>
      </c>
      <c r="AO139" s="4">
        <v>245.78739999999999</v>
      </c>
      <c r="AP139" s="74">
        <v>45973</v>
      </c>
      <c r="AQ139" s="4">
        <v>259.49700000000001</v>
      </c>
      <c r="AR139" s="6">
        <f t="shared" si="14"/>
        <v>45973</v>
      </c>
    </row>
    <row r="140" spans="1:44" x14ac:dyDescent="0.25">
      <c r="A140" s="37" t="str">
        <f ca="1">IF(AND(ISBLANK(AK129), A139 = $AK$1),NOW(),IF(ISBLANK(AK129),"",AK129))</f>
        <v/>
      </c>
      <c r="B140" s="38" t="str">
        <f ca="1">IF(COUNTIF($AK$2:AK1125,A140)=1,VLOOKUP(A140,AA:AB,2), IF(COUNTIF($AK$2:AK1125,A140)=0,$B$9,""))</f>
        <v/>
      </c>
      <c r="C140" s="2" t="str">
        <f t="shared" ca="1" si="9"/>
        <v/>
      </c>
      <c r="D140" s="41" t="str">
        <f t="shared" ca="1" si="10"/>
        <v/>
      </c>
      <c r="E140" s="78" t="str">
        <f ca="1">IF(COUNTIF($U$2:U1125,A140)=1,VLOOKUP(A140,U:V,2), "")</f>
        <v/>
      </c>
      <c r="F140" s="78" t="str">
        <f ca="1">IF(COUNTIF($W$2:W1125,A140)=1,VLOOKUP(A140,W:X,2), IF(COUNTIF($W$2:W1125,A140)=0,$E$9,""))</f>
        <v/>
      </c>
      <c r="G140" s="93"/>
      <c r="H140" s="93"/>
      <c r="I140" s="38" t="str">
        <f ca="1">IF(COUNTIF($AK$2:AK1125,A140)=1,VLOOKUP(A140,AC:AD,2), IF(COUNTIF($AK$2:AK1125,A140)=0,$C$9,""))</f>
        <v/>
      </c>
      <c r="J140" s="2" t="str">
        <f t="shared" ca="1" si="11"/>
        <v/>
      </c>
      <c r="K140" s="41" t="str">
        <f t="shared" ca="1" si="12"/>
        <v/>
      </c>
      <c r="L140" s="38" t="str">
        <f ca="1">IF(COUNTIF($AK$2:AK1125,A140)=1,VLOOKUP(A140,AN:AO,2), IF(COUNTIF($AK$2:AK1125,A140)=0,$D$9,""))</f>
        <v/>
      </c>
      <c r="M140" s="41" t="str">
        <f ca="1">IF(ISERROR(L140-2),"",(L140/$L$14-1)*$D$5)</f>
        <v/>
      </c>
      <c r="N140" s="41" t="str">
        <f ca="1">IF($A140="","",IF(COUNTIFS(Dividends!$G:$G,"&gt;"&amp;INT($A139),Dividends!$G:$G,"&lt;="&amp;INT($A140))=0,"",$R$2*SUMIFS(Dividends!$H:$H,Dividends!$G:$G,"&gt;"&amp;INT($A139),Dividends!$G:$G,"&lt;="&amp;INT($A140))))</f>
        <v/>
      </c>
      <c r="O140" s="42" t="str">
        <f ca="1">IF(ISERROR(B140-2),"",C140+D140-J140-K140-M140+SUM($N$14:N140))</f>
        <v/>
      </c>
      <c r="P140" s="80"/>
      <c r="Q140" s="80"/>
      <c r="R140" s="87"/>
      <c r="S140" s="87"/>
      <c r="T140" s="87"/>
      <c r="U140" s="108"/>
      <c r="V140" s="87"/>
      <c r="W140" s="108"/>
      <c r="X140" s="87"/>
      <c r="Y140" s="87"/>
      <c r="AI140" s="3" t="str">
        <f>IF(COUNTIF(AC:AC,AA140)*COUNTIF(AE:AE,AA140)*COUNTIF(AG:AG,AA140),AA140,"")</f>
        <v/>
      </c>
      <c r="AJ140" s="3" t="str">
        <f t="shared" si="13"/>
        <v/>
      </c>
      <c r="AN140" s="3">
        <v>45974</v>
      </c>
      <c r="AO140" s="4">
        <v>245.34219999999999</v>
      </c>
      <c r="AP140" s="74">
        <v>45974</v>
      </c>
      <c r="AQ140" s="4">
        <v>263.71800000000002</v>
      </c>
      <c r="AR140" s="6">
        <f t="shared" si="14"/>
        <v>45974</v>
      </c>
    </row>
    <row r="141" spans="1:44" x14ac:dyDescent="0.25">
      <c r="A141" s="37" t="str">
        <f ca="1">IF(AND(ISBLANK(AK130), A140 = $AK$1),NOW(),IF(ISBLANK(AK130),"",AK130))</f>
        <v/>
      </c>
      <c r="B141" s="38" t="str">
        <f ca="1">IF(COUNTIF($AK$2:AK1126,A141)=1,VLOOKUP(A141,AA:AB,2), IF(COUNTIF($AK$2:AK1126,A141)=0,$B$9,""))</f>
        <v/>
      </c>
      <c r="C141" s="2" t="str">
        <f t="shared" ca="1" si="9"/>
        <v/>
      </c>
      <c r="D141" s="41" t="str">
        <f t="shared" ca="1" si="10"/>
        <v/>
      </c>
      <c r="E141" s="78" t="str">
        <f ca="1">IF(COUNTIF($U$2:U1126,A141)=1,VLOOKUP(A141,U:V,2), "")</f>
        <v/>
      </c>
      <c r="F141" s="78" t="str">
        <f ca="1">IF(COUNTIF($W$2:W1126,A141)=1,VLOOKUP(A141,W:X,2), IF(COUNTIF($W$2:W1126,A141)=0,$E$9,""))</f>
        <v/>
      </c>
      <c r="G141" s="93"/>
      <c r="H141" s="93"/>
      <c r="I141" s="38" t="str">
        <f ca="1">IF(COUNTIF($AK$2:AK1126,A141)=1,VLOOKUP(A141,AC:AD,2), IF(COUNTIF($AK$2:AK1126,A141)=0,$C$9,""))</f>
        <v/>
      </c>
      <c r="J141" s="2" t="str">
        <f t="shared" ca="1" si="11"/>
        <v/>
      </c>
      <c r="K141" s="41" t="str">
        <f t="shared" ca="1" si="12"/>
        <v/>
      </c>
      <c r="L141" s="38" t="str">
        <f ca="1">IF(COUNTIF($AK$2:AK1126,A141)=1,VLOOKUP(A141,AN:AO,2), IF(COUNTIF($AK$2:AK1126,A141)=0,$D$9,""))</f>
        <v/>
      </c>
      <c r="M141" s="41" t="str">
        <f ca="1">IF(ISERROR(L141-2),"",(L141/$L$14-1)*$D$5)</f>
        <v/>
      </c>
      <c r="N141" s="41" t="str">
        <f ca="1">IF($A141="","",IF(COUNTIFS(Dividends!$G:$G,"&gt;"&amp;INT($A140),Dividends!$G:$G,"&lt;="&amp;INT($A141))=0,"",$R$2*SUMIFS(Dividends!$H:$H,Dividends!$G:$G,"&gt;"&amp;INT($A140),Dividends!$G:$G,"&lt;="&amp;INT($A141))))</f>
        <v/>
      </c>
      <c r="O141" s="42" t="str">
        <f ca="1">IF(ISERROR(B141-2),"",C141+D141-J141-K141-M141+SUM($N$14:N141))</f>
        <v/>
      </c>
      <c r="P141" s="80"/>
      <c r="Q141" s="80"/>
      <c r="R141" s="87"/>
      <c r="S141" s="87"/>
      <c r="T141" s="87"/>
      <c r="U141" s="108"/>
      <c r="V141" s="87"/>
      <c r="W141" s="108"/>
      <c r="X141" s="87"/>
      <c r="Y141" s="87"/>
      <c r="AI141" s="3" t="str">
        <f>IF(COUNTIF(AC:AC,AA141)*COUNTIF(AE:AE,AA141)*COUNTIF(AG:AG,AA141),AA141,"")</f>
        <v/>
      </c>
      <c r="AJ141" s="3" t="str">
        <f t="shared" si="13"/>
        <v/>
      </c>
      <c r="AN141" s="3">
        <v>45975</v>
      </c>
      <c r="AO141" s="4">
        <v>245.24520000000001</v>
      </c>
      <c r="AP141" s="74">
        <v>45975</v>
      </c>
      <c r="AQ141" s="4">
        <v>263.74200000000002</v>
      </c>
      <c r="AR141" s="6">
        <f t="shared" si="14"/>
        <v>45975</v>
      </c>
    </row>
    <row r="142" spans="1:44" x14ac:dyDescent="0.25">
      <c r="A142" s="37" t="str">
        <f ca="1">IF(AND(ISBLANK(AK131), A141 = $AK$1),NOW(),IF(ISBLANK(AK131),"",AK131))</f>
        <v/>
      </c>
      <c r="B142" s="38" t="str">
        <f ca="1">IF(COUNTIF($AK$2:AK1127,A142)=1,VLOOKUP(A142,AA:AB,2), IF(COUNTIF($AK$2:AK1127,A142)=0,$B$9,""))</f>
        <v/>
      </c>
      <c r="C142" s="2" t="str">
        <f t="shared" ca="1" si="9"/>
        <v/>
      </c>
      <c r="D142" s="41" t="str">
        <f t="shared" ca="1" si="10"/>
        <v/>
      </c>
      <c r="E142" s="78" t="str">
        <f ca="1">IF(COUNTIF($U$2:U1127,A142)=1,VLOOKUP(A142,U:V,2), "")</f>
        <v/>
      </c>
      <c r="F142" s="78" t="str">
        <f ca="1">IF(COUNTIF($W$2:W1127,A142)=1,VLOOKUP(A142,W:X,2), IF(COUNTIF($W$2:W1127,A142)=0,$E$9,""))</f>
        <v/>
      </c>
      <c r="G142" s="93"/>
      <c r="H142" s="93"/>
      <c r="I142" s="38" t="str">
        <f ca="1">IF(COUNTIF($AK$2:AK1127,A142)=1,VLOOKUP(A142,AC:AD,2), IF(COUNTIF($AK$2:AK1127,A142)=0,$C$9,""))</f>
        <v/>
      </c>
      <c r="J142" s="2" t="str">
        <f t="shared" ca="1" si="11"/>
        <v/>
      </c>
      <c r="K142" s="41" t="str">
        <f t="shared" ca="1" si="12"/>
        <v/>
      </c>
      <c r="L142" s="38" t="str">
        <f ca="1">IF(COUNTIF($AK$2:AK1127,A142)=1,VLOOKUP(A142,AN:AO,2), IF(COUNTIF($AK$2:AK1127,A142)=0,$D$9,""))</f>
        <v/>
      </c>
      <c r="M142" s="41" t="str">
        <f ca="1">IF(ISERROR(L142-2),"",(L142/$L$14-1)*$D$5)</f>
        <v/>
      </c>
      <c r="N142" s="41" t="str">
        <f ca="1">IF($A142="","",IF(COUNTIFS(Dividends!$G:$G,"&gt;"&amp;INT($A141),Dividends!$G:$G,"&lt;="&amp;INT($A142))=0,"",$R$2*SUMIFS(Dividends!$H:$H,Dividends!$G:$G,"&gt;"&amp;INT($A141),Dividends!$G:$G,"&lt;="&amp;INT($A142))))</f>
        <v/>
      </c>
      <c r="O142" s="42" t="str">
        <f ca="1">IF(ISERROR(B142-2),"",C142+D142-J142-K142-M142+SUM($N$14:N142))</f>
        <v/>
      </c>
      <c r="P142" s="80"/>
      <c r="Q142" s="80"/>
      <c r="R142" s="87"/>
      <c r="S142" s="87"/>
      <c r="T142" s="87"/>
      <c r="U142" s="108"/>
      <c r="V142" s="87"/>
      <c r="W142" s="108"/>
      <c r="X142" s="87"/>
      <c r="Y142" s="87"/>
      <c r="AI142" s="3" t="str">
        <f>IF(COUNTIF(AC:AC,AA142)*COUNTIF(AE:AE,AA142)*COUNTIF(AG:AG,AA142),AA142,"")</f>
        <v/>
      </c>
      <c r="AJ142" s="3" t="str">
        <f t="shared" si="13"/>
        <v/>
      </c>
      <c r="AN142" s="3">
        <v>45978</v>
      </c>
      <c r="AO142" s="4">
        <v>244.98150000000001</v>
      </c>
      <c r="AP142" s="74">
        <v>45978</v>
      </c>
      <c r="AQ142" s="4">
        <v>266.43900000000002</v>
      </c>
      <c r="AR142" s="6">
        <f t="shared" si="14"/>
        <v>45978</v>
      </c>
    </row>
    <row r="143" spans="1:44" x14ac:dyDescent="0.25">
      <c r="A143" s="37" t="str">
        <f ca="1">IF(AND(ISBLANK(AK132), A142 = $AK$1),NOW(),IF(ISBLANK(AK132),"",AK132))</f>
        <v/>
      </c>
      <c r="B143" s="38" t="str">
        <f ca="1">IF(COUNTIF($AK$2:AK1128,A143)=1,VLOOKUP(A143,AA:AB,2), IF(COUNTIF($AK$2:AK1128,A143)=0,$B$9,""))</f>
        <v/>
      </c>
      <c r="C143" s="2" t="str">
        <f t="shared" ca="1" si="9"/>
        <v/>
      </c>
      <c r="D143" s="41" t="str">
        <f t="shared" ca="1" si="10"/>
        <v/>
      </c>
      <c r="E143" s="78" t="str">
        <f ca="1">IF(COUNTIF($U$2:U1128,A143)=1,VLOOKUP(A143,U:V,2), "")</f>
        <v/>
      </c>
      <c r="F143" s="78" t="str">
        <f ca="1">IF(COUNTIF($W$2:W1128,A143)=1,VLOOKUP(A143,W:X,2), IF(COUNTIF($W$2:W1128,A143)=0,$E$9,""))</f>
        <v/>
      </c>
      <c r="G143" s="93"/>
      <c r="H143" s="93"/>
      <c r="I143" s="38" t="str">
        <f ca="1">IF(COUNTIF($AK$2:AK1128,A143)=1,VLOOKUP(A143,AC:AD,2), IF(COUNTIF($AK$2:AK1128,A143)=0,$C$9,""))</f>
        <v/>
      </c>
      <c r="J143" s="2" t="str">
        <f t="shared" ca="1" si="11"/>
        <v/>
      </c>
      <c r="K143" s="41" t="str">
        <f t="shared" ca="1" si="12"/>
        <v/>
      </c>
      <c r="L143" s="38" t="str">
        <f ca="1">IF(COUNTIF($AK$2:AK1128,A143)=1,VLOOKUP(A143,AN:AO,2), IF(COUNTIF($AK$2:AK1128,A143)=0,$D$9,""))</f>
        <v/>
      </c>
      <c r="M143" s="41" t="str">
        <f ca="1">IF(ISERROR(L143-2),"",(L143/$L$14-1)*$D$5)</f>
        <v/>
      </c>
      <c r="N143" s="41" t="str">
        <f ca="1">IF($A143="","",IF(COUNTIFS(Dividends!$G:$G,"&gt;"&amp;INT($A142),Dividends!$G:$G,"&lt;="&amp;INT($A143))=0,"",$R$2*SUMIFS(Dividends!$H:$H,Dividends!$G:$G,"&gt;"&amp;INT($A142),Dividends!$G:$G,"&lt;="&amp;INT($A143))))</f>
        <v/>
      </c>
      <c r="O143" s="42" t="str">
        <f ca="1">IF(ISERROR(B143-2),"",C143+D143-J143-K143-M143+SUM($N$14:N143))</f>
        <v/>
      </c>
      <c r="P143" s="80"/>
      <c r="Q143" s="80"/>
      <c r="R143" s="87"/>
      <c r="S143" s="87"/>
      <c r="T143" s="87"/>
      <c r="U143" s="108"/>
      <c r="V143" s="87"/>
      <c r="W143" s="108"/>
      <c r="X143" s="87"/>
      <c r="Y143" s="87"/>
      <c r="AI143" s="3" t="str">
        <f>IF(COUNTIF(AC:AC,AA143)*COUNTIF(AE:AE,AA143)*COUNTIF(AG:AG,AA143),AA143,"")</f>
        <v/>
      </c>
      <c r="AJ143" s="3" t="str">
        <f t="shared" si="13"/>
        <v/>
      </c>
      <c r="AN143" s="3">
        <v>45979</v>
      </c>
      <c r="AO143" s="4">
        <v>244.39429999999999</v>
      </c>
      <c r="AP143" s="74">
        <v>45979</v>
      </c>
      <c r="AQ143" s="4">
        <v>272.28399999999999</v>
      </c>
      <c r="AR143" s="6">
        <f t="shared" si="14"/>
        <v>45979</v>
      </c>
    </row>
    <row r="144" spans="1:44" x14ac:dyDescent="0.25">
      <c r="A144" s="37" t="str">
        <f ca="1">IF(AND(ISBLANK(AK133), A143 = $AK$1),NOW(),IF(ISBLANK(AK133),"",AK133))</f>
        <v/>
      </c>
      <c r="B144" s="38" t="str">
        <f ca="1">IF(COUNTIF($AK$2:AK1129,A144)=1,VLOOKUP(A144,AA:AB,2), IF(COUNTIF($AK$2:AK1129,A144)=0,$B$9,""))</f>
        <v/>
      </c>
      <c r="C144" s="2" t="str">
        <f t="shared" ref="C144:C204" ca="1" si="15">IF(ISERROR(B144-2),"",(B144/$B$14-1)*$B$5)</f>
        <v/>
      </c>
      <c r="D144" s="41" t="str">
        <f t="shared" ref="D144:D204" ca="1" si="16">IF(ISERROR(B144-2),"",-1*(INT(A144)-INT($A$14))/360*$B$7*$B$5)</f>
        <v/>
      </c>
      <c r="E144" s="78" t="str">
        <f ca="1">IF(COUNTIF($U$2:U1129,A144)=1,VLOOKUP(A144,U:V,2), "")</f>
        <v/>
      </c>
      <c r="F144" s="78" t="str">
        <f ca="1">IF(COUNTIF($W$2:W1129,A144)=1,VLOOKUP(A144,W:X,2), IF(COUNTIF($W$2:W1129,A144)=0,$E$9,""))</f>
        <v/>
      </c>
      <c r="G144" s="93"/>
      <c r="H144" s="93"/>
      <c r="I144" s="38" t="str">
        <f ca="1">IF(COUNTIF($AK$2:AK1129,A144)=1,VLOOKUP(A144,AC:AD,2), IF(COUNTIF($AK$2:AK1129,A144)=0,$C$9,""))</f>
        <v/>
      </c>
      <c r="J144" s="2" t="str">
        <f t="shared" ref="J144:J204" ca="1" si="17">IF(ISERROR(B144-2),"",(I144-$I$14)/100*$C$5)</f>
        <v/>
      </c>
      <c r="K144" s="41" t="str">
        <f t="shared" ref="K144:K204" ca="1" si="18">IF(ISERROR(B144-2),"",(INT(A144)-INT($A$14))/360*$C$6*$C$5-(INT(A144)-INT($A$14))/360*$C$7*$C$5*$I$14/100)</f>
        <v/>
      </c>
      <c r="L144" s="38" t="str">
        <f ca="1">IF(COUNTIF($AK$2:AK1129,A144)=1,VLOOKUP(A144,AN:AO,2), IF(COUNTIF($AK$2:AK1129,A144)=0,$D$9,""))</f>
        <v/>
      </c>
      <c r="M144" s="41" t="str">
        <f ca="1">IF(ISERROR(L144-2),"",(L144/$L$14-1)*$D$5)</f>
        <v/>
      </c>
      <c r="N144" s="41" t="str">
        <f ca="1">IF($A144="","",IF(COUNTIFS(Dividends!$G:$G,"&gt;"&amp;INT($A143),Dividends!$G:$G,"&lt;="&amp;INT($A144))=0,"",$R$2*SUMIFS(Dividends!$H:$H,Dividends!$G:$G,"&gt;"&amp;INT($A143),Dividends!$G:$G,"&lt;="&amp;INT($A144))))</f>
        <v/>
      </c>
      <c r="O144" s="42" t="str">
        <f ca="1">IF(ISERROR(B144-2),"",C144+D144-J144-K144-M144+SUM($N$14:N144))</f>
        <v/>
      </c>
      <c r="P144" s="80"/>
      <c r="Q144" s="80"/>
      <c r="R144" s="87"/>
      <c r="S144" s="87"/>
      <c r="T144" s="87"/>
      <c r="U144" s="108"/>
      <c r="V144" s="87"/>
      <c r="W144" s="108"/>
      <c r="X144" s="87"/>
      <c r="Y144" s="87"/>
      <c r="AI144" s="3" t="str">
        <f>IF(COUNTIF(AC:AC,AA144)*COUNTIF(AE:AE,AA144)*COUNTIF(AG:AG,AA144),AA144,"")</f>
        <v/>
      </c>
      <c r="AJ144" s="3" t="str">
        <f t="shared" si="13"/>
        <v/>
      </c>
      <c r="AN144" s="3">
        <v>45980</v>
      </c>
      <c r="AO144" s="4">
        <v>244.95580000000001</v>
      </c>
      <c r="AP144" s="74">
        <v>45980</v>
      </c>
      <c r="AQ144" s="4">
        <v>267.14499999999998</v>
      </c>
      <c r="AR144" s="6">
        <f t="shared" si="14"/>
        <v>45980</v>
      </c>
    </row>
    <row r="145" spans="1:44" x14ac:dyDescent="0.25">
      <c r="A145" s="37" t="str">
        <f ca="1">IF(AND(ISBLANK(AK134), A144 = $AK$1),NOW(),IF(ISBLANK(AK134),"",AK134))</f>
        <v/>
      </c>
      <c r="B145" s="38" t="str">
        <f ca="1">IF(COUNTIF($AK$2:AK1130,A145)=1,VLOOKUP(A145,AA:AB,2), IF(COUNTIF($AK$2:AK1130,A145)=0,$B$9,""))</f>
        <v/>
      </c>
      <c r="C145" s="2" t="str">
        <f t="shared" ca="1" si="15"/>
        <v/>
      </c>
      <c r="D145" s="41" t="str">
        <f t="shared" ca="1" si="16"/>
        <v/>
      </c>
      <c r="E145" s="78" t="str">
        <f ca="1">IF(COUNTIF($U$2:U1130,A145)=1,VLOOKUP(A145,U:V,2), "")</f>
        <v/>
      </c>
      <c r="F145" s="78" t="str">
        <f ca="1">IF(COUNTIF($W$2:W1130,A145)=1,VLOOKUP(A145,W:X,2), IF(COUNTIF($W$2:W1130,A145)=0,$E$9,""))</f>
        <v/>
      </c>
      <c r="G145" s="93"/>
      <c r="H145" s="93"/>
      <c r="I145" s="38" t="str">
        <f ca="1">IF(COUNTIF($AK$2:AK1130,A145)=1,VLOOKUP(A145,AC:AD,2), IF(COUNTIF($AK$2:AK1130,A145)=0,$C$9,""))</f>
        <v/>
      </c>
      <c r="J145" s="2" t="str">
        <f t="shared" ca="1" si="17"/>
        <v/>
      </c>
      <c r="K145" s="41" t="str">
        <f t="shared" ca="1" si="18"/>
        <v/>
      </c>
      <c r="L145" s="38" t="str">
        <f ca="1">IF(COUNTIF($AK$2:AK1130,A145)=1,VLOOKUP(A145,AN:AO,2), IF(COUNTIF($AK$2:AK1130,A145)=0,$D$9,""))</f>
        <v/>
      </c>
      <c r="M145" s="41" t="str">
        <f ca="1">IF(ISERROR(L145-2),"",(L145/$L$14-1)*$D$5)</f>
        <v/>
      </c>
      <c r="N145" s="41" t="str">
        <f ca="1">IF($A145="","",IF(COUNTIFS(Dividends!$G:$G,"&gt;"&amp;INT($A144),Dividends!$G:$G,"&lt;="&amp;INT($A145))=0,"",$R$2*SUMIFS(Dividends!$H:$H,Dividends!$G:$G,"&gt;"&amp;INT($A144),Dividends!$G:$G,"&lt;="&amp;INT($A145))))</f>
        <v/>
      </c>
      <c r="O145" s="42" t="str">
        <f ca="1">IF(ISERROR(B145-2),"",C145+D145-J145-K145-M145+SUM($N$14:N145))</f>
        <v/>
      </c>
      <c r="P145" s="80"/>
      <c r="Q145" s="80"/>
      <c r="R145" s="87"/>
      <c r="S145" s="87"/>
      <c r="T145" s="87"/>
      <c r="U145" s="108"/>
      <c r="V145" s="87"/>
      <c r="W145" s="108"/>
      <c r="X145" s="87"/>
      <c r="Y145" s="87"/>
      <c r="AI145" s="3" t="str">
        <f>IF(COUNTIF(AC:AC,AA145)*COUNTIF(AE:AE,AA145)*COUNTIF(AG:AG,AA145),AA145,"")</f>
        <v/>
      </c>
      <c r="AJ145" s="3" t="str">
        <f t="shared" si="13"/>
        <v/>
      </c>
      <c r="AN145" s="3">
        <v>45981</v>
      </c>
      <c r="AO145" s="4">
        <v>245.47790000000001</v>
      </c>
      <c r="AP145" s="74">
        <v>45981</v>
      </c>
      <c r="AQ145" s="4">
        <v>265.76900000000001</v>
      </c>
      <c r="AR145" s="6">
        <f t="shared" si="14"/>
        <v>45981</v>
      </c>
    </row>
    <row r="146" spans="1:44" x14ac:dyDescent="0.25">
      <c r="A146" s="37" t="str">
        <f ca="1">IF(AND(ISBLANK(AK135), A145 = $AK$1),NOW(),IF(ISBLANK(AK135),"",AK135))</f>
        <v/>
      </c>
      <c r="B146" s="38" t="str">
        <f ca="1">IF(COUNTIF($AK$2:AK1131,A146)=1,VLOOKUP(A146,AA:AB,2), IF(COUNTIF($AK$2:AK1131,A146)=0,$B$9,""))</f>
        <v/>
      </c>
      <c r="C146" s="2" t="str">
        <f t="shared" ca="1" si="15"/>
        <v/>
      </c>
      <c r="D146" s="41" t="str">
        <f t="shared" ca="1" si="16"/>
        <v/>
      </c>
      <c r="E146" s="78" t="str">
        <f ca="1">IF(COUNTIF($U$2:U1131,A146)=1,VLOOKUP(A146,U:V,2), "")</f>
        <v/>
      </c>
      <c r="F146" s="78" t="str">
        <f ca="1">IF(COUNTIF($W$2:W1131,A146)=1,VLOOKUP(A146,W:X,2), IF(COUNTIF($W$2:W1131,A146)=0,$E$9,""))</f>
        <v/>
      </c>
      <c r="G146" s="93"/>
      <c r="H146" s="93"/>
      <c r="I146" s="38" t="str">
        <f ca="1">IF(COUNTIF($AK$2:AK1131,A146)=1,VLOOKUP(A146,AC:AD,2), IF(COUNTIF($AK$2:AK1131,A146)=0,$C$9,""))</f>
        <v/>
      </c>
      <c r="J146" s="2" t="str">
        <f t="shared" ca="1" si="17"/>
        <v/>
      </c>
      <c r="K146" s="41" t="str">
        <f t="shared" ca="1" si="18"/>
        <v/>
      </c>
      <c r="L146" s="38" t="str">
        <f ca="1">IF(COUNTIF($AK$2:AK1131,A146)=1,VLOOKUP(A146,AN:AO,2), IF(COUNTIF($AK$2:AK1131,A146)=0,$D$9,""))</f>
        <v/>
      </c>
      <c r="M146" s="41" t="str">
        <f ca="1">IF(ISERROR(L146-2),"",(L146/$L$14-1)*$D$5)</f>
        <v/>
      </c>
      <c r="N146" s="41" t="str">
        <f ca="1">IF($A146="","",IF(COUNTIFS(Dividends!$G:$G,"&gt;"&amp;INT($A145),Dividends!$G:$G,"&lt;="&amp;INT($A146))=0,"",$R$2*SUMIFS(Dividends!$H:$H,Dividends!$G:$G,"&gt;"&amp;INT($A145),Dividends!$G:$G,"&lt;="&amp;INT($A146))))</f>
        <v/>
      </c>
      <c r="O146" s="42" t="str">
        <f ca="1">IF(ISERROR(B146-2),"",C146+D146-J146-K146-M146+SUM($N$14:N146))</f>
        <v/>
      </c>
      <c r="P146" s="80"/>
      <c r="Q146" s="80"/>
      <c r="R146" s="87"/>
      <c r="S146" s="87"/>
      <c r="T146" s="87"/>
      <c r="U146" s="108"/>
      <c r="V146" s="87"/>
      <c r="W146" s="108"/>
      <c r="X146" s="87"/>
      <c r="Y146" s="87"/>
      <c r="AI146" s="3" t="str">
        <f>IF(COUNTIF(AC:AC,AA146)*COUNTIF(AE:AE,AA146)*COUNTIF(AG:AG,AA146),AA146,"")</f>
        <v/>
      </c>
      <c r="AJ146" s="3" t="str">
        <f t="shared" si="13"/>
        <v/>
      </c>
      <c r="AN146" s="3">
        <v>45982</v>
      </c>
      <c r="AO146" s="4">
        <v>244.55760000000001</v>
      </c>
      <c r="AP146" s="74">
        <v>45982</v>
      </c>
      <c r="AQ146" s="4">
        <v>267.34800000000001</v>
      </c>
      <c r="AR146" s="6">
        <f t="shared" si="14"/>
        <v>45982</v>
      </c>
    </row>
    <row r="147" spans="1:44" x14ac:dyDescent="0.25">
      <c r="A147" s="37" t="str">
        <f ca="1">IF(AND(ISBLANK(AK136), A146 = $AK$1),NOW(),IF(ISBLANK(AK136),"",AK136))</f>
        <v/>
      </c>
      <c r="B147" s="38" t="str">
        <f ca="1">IF(COUNTIF($AK$2:AK1132,A147)=1,VLOOKUP(A147,AA:AB,2), IF(COUNTIF($AK$2:AK1132,A147)=0,$B$9,""))</f>
        <v/>
      </c>
      <c r="C147" s="2" t="str">
        <f t="shared" ca="1" si="15"/>
        <v/>
      </c>
      <c r="D147" s="41" t="str">
        <f t="shared" ca="1" si="16"/>
        <v/>
      </c>
      <c r="E147" s="78" t="str">
        <f ca="1">IF(COUNTIF($U$2:U1132,A147)=1,VLOOKUP(A147,U:V,2), "")</f>
        <v/>
      </c>
      <c r="F147" s="78" t="str">
        <f ca="1">IF(COUNTIF($W$2:W1132,A147)=1,VLOOKUP(A147,W:X,2), IF(COUNTIF($W$2:W1132,A147)=0,$E$9,""))</f>
        <v/>
      </c>
      <c r="G147" s="93"/>
      <c r="H147" s="93"/>
      <c r="I147" s="38" t="str">
        <f ca="1">IF(COUNTIF($AK$2:AK1132,A147)=1,VLOOKUP(A147,AC:AD,2), IF(COUNTIF($AK$2:AK1132,A147)=0,$C$9,""))</f>
        <v/>
      </c>
      <c r="J147" s="2" t="str">
        <f t="shared" ca="1" si="17"/>
        <v/>
      </c>
      <c r="K147" s="41" t="str">
        <f t="shared" ca="1" si="18"/>
        <v/>
      </c>
      <c r="L147" s="38" t="str">
        <f ca="1">IF(COUNTIF($AK$2:AK1132,A147)=1,VLOOKUP(A147,AN:AO,2), IF(COUNTIF($AK$2:AK1132,A147)=0,$D$9,""))</f>
        <v/>
      </c>
      <c r="M147" s="41" t="str">
        <f ca="1">IF(ISERROR(L147-2),"",(L147/$L$14-1)*$D$5)</f>
        <v/>
      </c>
      <c r="N147" s="41" t="str">
        <f ca="1">IF($A147="","",IF(COUNTIFS(Dividends!$G:$G,"&gt;"&amp;INT($A146),Dividends!$G:$G,"&lt;="&amp;INT($A147))=0,"",$R$2*SUMIFS(Dividends!$H:$H,Dividends!$G:$G,"&gt;"&amp;INT($A146),Dividends!$G:$G,"&lt;="&amp;INT($A147))))</f>
        <v/>
      </c>
      <c r="O147" s="42" t="str">
        <f ca="1">IF(ISERROR(B147-2),"",C147+D147-J147-K147-M147+SUM($N$14:N147))</f>
        <v/>
      </c>
      <c r="P147" s="80"/>
      <c r="Q147" s="80"/>
      <c r="R147" s="87"/>
      <c r="S147" s="87"/>
      <c r="T147" s="87"/>
      <c r="U147" s="108"/>
      <c r="V147" s="87"/>
      <c r="W147" s="108"/>
      <c r="X147" s="87"/>
      <c r="Y147" s="87"/>
      <c r="AI147" s="3" t="str">
        <f>IF(COUNTIF(AC:AC,AA147)*COUNTIF(AE:AE,AA147)*COUNTIF(AG:AG,AA147),AA147,"")</f>
        <v/>
      </c>
      <c r="AJ147" s="3" t="str">
        <f t="shared" si="13"/>
        <v/>
      </c>
      <c r="AN147" s="3">
        <v>45985</v>
      </c>
      <c r="AO147" s="4">
        <v>245.57339999999999</v>
      </c>
      <c r="AP147" s="74">
        <v>45985</v>
      </c>
      <c r="AQ147" s="4">
        <v>264.28199999999998</v>
      </c>
      <c r="AR147" s="6">
        <f t="shared" si="14"/>
        <v>45985</v>
      </c>
    </row>
    <row r="148" spans="1:44" x14ac:dyDescent="0.25">
      <c r="A148" s="37" t="str">
        <f ca="1">IF(AND(ISBLANK(AK137), A147 = $AK$1),NOW(),IF(ISBLANK(AK137),"",AK137))</f>
        <v/>
      </c>
      <c r="B148" s="38" t="str">
        <f ca="1">IF(COUNTIF($AK$2:AK1133,A148)=1,VLOOKUP(A148,AA:AB,2), IF(COUNTIF($AK$2:AK1133,A148)=0,$B$9,""))</f>
        <v/>
      </c>
      <c r="C148" s="2" t="str">
        <f t="shared" ca="1" si="15"/>
        <v/>
      </c>
      <c r="D148" s="41" t="str">
        <f t="shared" ca="1" si="16"/>
        <v/>
      </c>
      <c r="E148" s="78" t="str">
        <f ca="1">IF(COUNTIF($U$2:U1133,A148)=1,VLOOKUP(A148,U:V,2), "")</f>
        <v/>
      </c>
      <c r="F148" s="78" t="str">
        <f ca="1">IF(COUNTIF($W$2:W1133,A148)=1,VLOOKUP(A148,W:X,2), IF(COUNTIF($W$2:W1133,A148)=0,$E$9,""))</f>
        <v/>
      </c>
      <c r="G148" s="93"/>
      <c r="H148" s="93"/>
      <c r="I148" s="38" t="str">
        <f ca="1">IF(COUNTIF($AK$2:AK1133,A148)=1,VLOOKUP(A148,AC:AD,2), IF(COUNTIF($AK$2:AK1133,A148)=0,$C$9,""))</f>
        <v/>
      </c>
      <c r="J148" s="2" t="str">
        <f t="shared" ca="1" si="17"/>
        <v/>
      </c>
      <c r="K148" s="41" t="str">
        <f t="shared" ca="1" si="18"/>
        <v/>
      </c>
      <c r="L148" s="38" t="str">
        <f ca="1">IF(COUNTIF($AK$2:AK1133,A148)=1,VLOOKUP(A148,AN:AO,2), IF(COUNTIF($AK$2:AK1133,A148)=0,$D$9,""))</f>
        <v/>
      </c>
      <c r="M148" s="41" t="str">
        <f ca="1">IF(ISERROR(L148-2),"",(L148/$L$14-1)*$D$5)</f>
        <v/>
      </c>
      <c r="N148" s="41" t="str">
        <f ca="1">IF($A148="","",IF(COUNTIFS(Dividends!$G:$G,"&gt;"&amp;INT($A147),Dividends!$G:$G,"&lt;="&amp;INT($A148))=0,"",$R$2*SUMIFS(Dividends!$H:$H,Dividends!$G:$G,"&gt;"&amp;INT($A147),Dividends!$G:$G,"&lt;="&amp;INT($A148))))</f>
        <v/>
      </c>
      <c r="O148" s="42" t="str">
        <f ca="1">IF(ISERROR(B148-2),"",C148+D148-J148-K148-M148+SUM($N$14:N148))</f>
        <v/>
      </c>
      <c r="P148" s="80"/>
      <c r="Q148" s="80"/>
      <c r="R148" s="87"/>
      <c r="S148" s="87"/>
      <c r="T148" s="87"/>
      <c r="U148" s="108"/>
      <c r="V148" s="87"/>
      <c r="W148" s="108"/>
      <c r="X148" s="87"/>
      <c r="Y148" s="87"/>
      <c r="AI148" s="3" t="str">
        <f>IF(COUNTIF(AC:AC,AA148)*COUNTIF(AE:AE,AA148)*COUNTIF(AG:AG,AA148),AA148,"")</f>
        <v/>
      </c>
      <c r="AJ148" s="3" t="str">
        <f t="shared" si="13"/>
        <v/>
      </c>
      <c r="AN148" s="3">
        <v>45986</v>
      </c>
      <c r="AO148" s="4">
        <v>245.78149999999999</v>
      </c>
      <c r="AP148" s="74">
        <v>45986</v>
      </c>
      <c r="AQ148" s="4">
        <v>260.93599999999998</v>
      </c>
      <c r="AR148" s="6">
        <f t="shared" si="14"/>
        <v>45986</v>
      </c>
    </row>
    <row r="149" spans="1:44" x14ac:dyDescent="0.25">
      <c r="A149" s="37" t="str">
        <f ca="1">IF(AND(ISBLANK(AK138), A148 = $AK$1),NOW(),IF(ISBLANK(AK138),"",AK138))</f>
        <v/>
      </c>
      <c r="B149" s="38" t="str">
        <f ca="1">IF(COUNTIF($AK$2:AK1134,A149)=1,VLOOKUP(A149,AA:AB,2), IF(COUNTIF($AK$2:AK1134,A149)=0,$B$9,""))</f>
        <v/>
      </c>
      <c r="C149" s="2" t="str">
        <f t="shared" ca="1" si="15"/>
        <v/>
      </c>
      <c r="D149" s="41" t="str">
        <f t="shared" ca="1" si="16"/>
        <v/>
      </c>
      <c r="E149" s="78" t="str">
        <f ca="1">IF(COUNTIF($U$2:U1134,A149)=1,VLOOKUP(A149,U:V,2), "")</f>
        <v/>
      </c>
      <c r="F149" s="78" t="str">
        <f ca="1">IF(COUNTIF($W$2:W1134,A149)=1,VLOOKUP(A149,W:X,2), IF(COUNTIF($W$2:W1134,A149)=0,$E$9,""))</f>
        <v/>
      </c>
      <c r="G149" s="93"/>
      <c r="H149" s="93"/>
      <c r="I149" s="38" t="str">
        <f ca="1">IF(COUNTIF($AK$2:AK1134,A149)=1,VLOOKUP(A149,AC:AD,2), IF(COUNTIF($AK$2:AK1134,A149)=0,$C$9,""))</f>
        <v/>
      </c>
      <c r="J149" s="2" t="str">
        <f t="shared" ca="1" si="17"/>
        <v/>
      </c>
      <c r="K149" s="41" t="str">
        <f t="shared" ca="1" si="18"/>
        <v/>
      </c>
      <c r="L149" s="38" t="str">
        <f ca="1">IF(COUNTIF($AK$2:AK1134,A149)=1,VLOOKUP(A149,AN:AO,2), IF(COUNTIF($AK$2:AK1134,A149)=0,$D$9,""))</f>
        <v/>
      </c>
      <c r="M149" s="41" t="str">
        <f ca="1">IF(ISERROR(L149-2),"",(L149/$L$14-1)*$D$5)</f>
        <v/>
      </c>
      <c r="N149" s="41" t="str">
        <f ca="1">IF($A149="","",IF(COUNTIFS(Dividends!$G:$G,"&gt;"&amp;INT($A148),Dividends!$G:$G,"&lt;="&amp;INT($A149))=0,"",$R$2*SUMIFS(Dividends!$H:$H,Dividends!$G:$G,"&gt;"&amp;INT($A148),Dividends!$G:$G,"&lt;="&amp;INT($A149))))</f>
        <v/>
      </c>
      <c r="O149" s="42" t="str">
        <f ca="1">IF(ISERROR(B149-2),"",C149+D149-J149-K149-M149+SUM($N$14:N149))</f>
        <v/>
      </c>
      <c r="P149" s="80"/>
      <c r="Q149" s="80"/>
      <c r="R149" s="87"/>
      <c r="S149" s="87"/>
      <c r="T149" s="87"/>
      <c r="U149" s="108"/>
      <c r="V149" s="87"/>
      <c r="W149" s="108"/>
      <c r="X149" s="87"/>
      <c r="Y149" s="87"/>
      <c r="AI149" s="3" t="str">
        <f>IF(COUNTIF(AC:AC,AA149)*COUNTIF(AE:AE,AA149)*COUNTIF(AG:AG,AA149),AA149,"")</f>
        <v/>
      </c>
      <c r="AJ149" s="3" t="str">
        <f t="shared" si="13"/>
        <v/>
      </c>
      <c r="AN149" s="3">
        <v>45987</v>
      </c>
      <c r="AO149" s="4">
        <v>246.1097</v>
      </c>
      <c r="AP149" s="74">
        <v>45987</v>
      </c>
      <c r="AQ149" s="4">
        <v>258.24200000000002</v>
      </c>
      <c r="AR149" s="6">
        <f t="shared" si="14"/>
        <v>45987</v>
      </c>
    </row>
    <row r="150" spans="1:44" x14ac:dyDescent="0.25">
      <c r="A150" s="37" t="str">
        <f ca="1">IF(AND(ISBLANK(AK139), A149 = $AK$1),NOW(),IF(ISBLANK(AK139),"",AK139))</f>
        <v/>
      </c>
      <c r="B150" s="38" t="str">
        <f ca="1">IF(COUNTIF($AK$2:AK1135,A150)=1,VLOOKUP(A150,AA:AB,2), IF(COUNTIF($AK$2:AK1135,A150)=0,$B$9,""))</f>
        <v/>
      </c>
      <c r="C150" s="2" t="str">
        <f t="shared" ca="1" si="15"/>
        <v/>
      </c>
      <c r="D150" s="41" t="str">
        <f t="shared" ca="1" si="16"/>
        <v/>
      </c>
      <c r="E150" s="78" t="str">
        <f ca="1">IF(COUNTIF($U$2:U1135,A150)=1,VLOOKUP(A150,U:V,2), "")</f>
        <v/>
      </c>
      <c r="F150" s="78" t="str">
        <f ca="1">IF(COUNTIF($W$2:W1135,A150)=1,VLOOKUP(A150,W:X,2), IF(COUNTIF($W$2:W1135,A150)=0,$E$9,""))</f>
        <v/>
      </c>
      <c r="G150" s="93"/>
      <c r="H150" s="93"/>
      <c r="I150" s="38" t="str">
        <f ca="1">IF(COUNTIF($AK$2:AK1135,A150)=1,VLOOKUP(A150,AC:AD,2), IF(COUNTIF($AK$2:AK1135,A150)=0,$C$9,""))</f>
        <v/>
      </c>
      <c r="J150" s="2" t="str">
        <f t="shared" ca="1" si="17"/>
        <v/>
      </c>
      <c r="K150" s="41" t="str">
        <f t="shared" ca="1" si="18"/>
        <v/>
      </c>
      <c r="L150" s="38" t="str">
        <f ca="1">IF(COUNTIF($AK$2:AK1135,A150)=1,VLOOKUP(A150,AN:AO,2), IF(COUNTIF($AK$2:AK1135,A150)=0,$D$9,""))</f>
        <v/>
      </c>
      <c r="M150" s="41" t="str">
        <f ca="1">IF(ISERROR(L150-2),"",(L150/$L$14-1)*$D$5)</f>
        <v/>
      </c>
      <c r="N150" s="41" t="str">
        <f ca="1">IF($A150="","",IF(COUNTIFS(Dividends!$G:$G,"&gt;"&amp;INT($A149),Dividends!$G:$G,"&lt;="&amp;INT($A150))=0,"",$R$2*SUMIFS(Dividends!$H:$H,Dividends!$G:$G,"&gt;"&amp;INT($A149),Dividends!$G:$G,"&lt;="&amp;INT($A150))))</f>
        <v/>
      </c>
      <c r="O150" s="42" t="str">
        <f ca="1">IF(ISERROR(B150-2),"",C150+D150-J150-K150-M150+SUM($N$14:N150))</f>
        <v/>
      </c>
      <c r="P150" s="80"/>
      <c r="Q150" s="80"/>
      <c r="R150" s="87"/>
      <c r="S150" s="87"/>
      <c r="T150" s="87"/>
      <c r="U150" s="108"/>
      <c r="V150" s="87"/>
      <c r="W150" s="108"/>
      <c r="X150" s="87"/>
      <c r="Y150" s="87"/>
      <c r="AI150" s="3" t="str">
        <f>IF(COUNTIF(AC:AC,AA150)*COUNTIF(AE:AE,AA150)*COUNTIF(AG:AG,AA150),AA150,"")</f>
        <v/>
      </c>
      <c r="AJ150" s="3" t="str">
        <f t="shared" si="13"/>
        <v/>
      </c>
      <c r="AN150" s="3">
        <v>45988</v>
      </c>
      <c r="AO150" s="4">
        <v>246.30340000000001</v>
      </c>
      <c r="AP150" s="74">
        <v>45988</v>
      </c>
      <c r="AQ150" s="4">
        <v>257.72500000000002</v>
      </c>
      <c r="AR150" s="6">
        <f t="shared" si="14"/>
        <v>45988</v>
      </c>
    </row>
    <row r="151" spans="1:44" x14ac:dyDescent="0.25">
      <c r="A151" s="37" t="str">
        <f ca="1">IF(AND(ISBLANK(AK140), A150 = $AK$1),NOW(),IF(ISBLANK(AK140),"",AK140))</f>
        <v/>
      </c>
      <c r="B151" s="38" t="str">
        <f ca="1">IF(COUNTIF($AK$2:AK1136,A151)=1,VLOOKUP(A151,AA:AB,2), IF(COUNTIF($AK$2:AK1136,A151)=0,$B$9,""))</f>
        <v/>
      </c>
      <c r="C151" s="2" t="str">
        <f t="shared" ca="1" si="15"/>
        <v/>
      </c>
      <c r="D151" s="41" t="str">
        <f t="shared" ca="1" si="16"/>
        <v/>
      </c>
      <c r="E151" s="78" t="str">
        <f ca="1">IF(COUNTIF($U$2:U1136,A151)=1,VLOOKUP(A151,U:V,2), "")</f>
        <v/>
      </c>
      <c r="F151" s="78" t="str">
        <f ca="1">IF(COUNTIF($W$2:W1136,A151)=1,VLOOKUP(A151,W:X,2), IF(COUNTIF($W$2:W1136,A151)=0,$E$9,""))</f>
        <v/>
      </c>
      <c r="G151" s="93"/>
      <c r="H151" s="93"/>
      <c r="I151" s="38" t="str">
        <f ca="1">IF(COUNTIF($AK$2:AK1136,A151)=1,VLOOKUP(A151,AC:AD,2), IF(COUNTIF($AK$2:AK1136,A151)=0,$C$9,""))</f>
        <v/>
      </c>
      <c r="J151" s="2" t="str">
        <f t="shared" ca="1" si="17"/>
        <v/>
      </c>
      <c r="K151" s="41" t="str">
        <f t="shared" ca="1" si="18"/>
        <v/>
      </c>
      <c r="L151" s="38" t="str">
        <f ca="1">IF(COUNTIF($AK$2:AK1136,A151)=1,VLOOKUP(A151,AN:AO,2), IF(COUNTIF($AK$2:AK1136,A151)=0,$D$9,""))</f>
        <v/>
      </c>
      <c r="M151" s="41" t="str">
        <f ca="1">IF(ISERROR(L151-2),"",(L151/$L$14-1)*$D$5)</f>
        <v/>
      </c>
      <c r="N151" s="41" t="str">
        <f ca="1">IF($A151="","",IF(COUNTIFS(Dividends!$G:$G,"&gt;"&amp;INT($A150),Dividends!$G:$G,"&lt;="&amp;INT($A151))=0,"",$R$2*SUMIFS(Dividends!$H:$H,Dividends!$G:$G,"&gt;"&amp;INT($A150),Dividends!$G:$G,"&lt;="&amp;INT($A151))))</f>
        <v/>
      </c>
      <c r="O151" s="42" t="str">
        <f ca="1">IF(ISERROR(B151-2),"",C151+D151-J151-K151-M151+SUM($N$14:N151))</f>
        <v/>
      </c>
      <c r="P151" s="80"/>
      <c r="Q151" s="80"/>
      <c r="R151" s="87"/>
      <c r="S151" s="87"/>
      <c r="T151" s="87"/>
      <c r="U151" s="108"/>
      <c r="V151" s="87"/>
      <c r="W151" s="108"/>
      <c r="X151" s="87"/>
      <c r="Y151" s="87"/>
      <c r="AI151" s="3" t="str">
        <f>IF(COUNTIF(AC:AC,AA151)*COUNTIF(AE:AE,AA151)*COUNTIF(AG:AG,AA151),AA151,"")</f>
        <v/>
      </c>
      <c r="AJ151" s="3" t="str">
        <f t="shared" si="13"/>
        <v/>
      </c>
      <c r="AN151" s="3">
        <v>45989</v>
      </c>
      <c r="AO151" s="4">
        <v>246.51609999999999</v>
      </c>
      <c r="AP151" s="74">
        <v>45989</v>
      </c>
      <c r="AQ151" s="4">
        <v>255.52199999999999</v>
      </c>
      <c r="AR151" s="6">
        <f t="shared" si="14"/>
        <v>45989</v>
      </c>
    </row>
    <row r="152" spans="1:44" x14ac:dyDescent="0.25">
      <c r="A152" s="37" t="str">
        <f ca="1">IF(AND(ISBLANK(AK141), A151 = $AK$1),NOW(),IF(ISBLANK(AK141),"",AK141))</f>
        <v/>
      </c>
      <c r="B152" s="38" t="str">
        <f ca="1">IF(COUNTIF($AK$2:AK1137,A152)=1,VLOOKUP(A152,AA:AB,2), IF(COUNTIF($AK$2:AK1137,A152)=0,$B$9,""))</f>
        <v/>
      </c>
      <c r="C152" s="2" t="str">
        <f t="shared" ca="1" si="15"/>
        <v/>
      </c>
      <c r="D152" s="41" t="str">
        <f t="shared" ca="1" si="16"/>
        <v/>
      </c>
      <c r="E152" s="78" t="str">
        <f ca="1">IF(COUNTIF($U$2:U1137,A152)=1,VLOOKUP(A152,U:V,2), "")</f>
        <v/>
      </c>
      <c r="F152" s="78" t="str">
        <f ca="1">IF(COUNTIF($W$2:W1137,A152)=1,VLOOKUP(A152,W:X,2), IF(COUNTIF($W$2:W1137,A152)=0,$E$9,""))</f>
        <v/>
      </c>
      <c r="G152" s="93"/>
      <c r="H152" s="93"/>
      <c r="I152" s="38" t="str">
        <f ca="1">IF(COUNTIF($AK$2:AK1137,A152)=1,VLOOKUP(A152,AC:AD,2), IF(COUNTIF($AK$2:AK1137,A152)=0,$C$9,""))</f>
        <v/>
      </c>
      <c r="J152" s="2" t="str">
        <f t="shared" ca="1" si="17"/>
        <v/>
      </c>
      <c r="K152" s="41" t="str">
        <f t="shared" ca="1" si="18"/>
        <v/>
      </c>
      <c r="L152" s="38" t="str">
        <f ca="1">IF(COUNTIF($AK$2:AK1137,A152)=1,VLOOKUP(A152,AN:AO,2), IF(COUNTIF($AK$2:AK1137,A152)=0,$D$9,""))</f>
        <v/>
      </c>
      <c r="M152" s="41" t="str">
        <f ca="1">IF(ISERROR(L152-2),"",(L152/$L$14-1)*$D$5)</f>
        <v/>
      </c>
      <c r="N152" s="41" t="str">
        <f ca="1">IF($A152="","",IF(COUNTIFS(Dividends!$G:$G,"&gt;"&amp;INT($A151),Dividends!$G:$G,"&lt;="&amp;INT($A152))=0,"",$R$2*SUMIFS(Dividends!$H:$H,Dividends!$G:$G,"&gt;"&amp;INT($A151),Dividends!$G:$G,"&lt;="&amp;INT($A152))))</f>
        <v/>
      </c>
      <c r="O152" s="42" t="str">
        <f ca="1">IF(ISERROR(B152-2),"",C152+D152-J152-K152-M152+SUM($N$14:N152))</f>
        <v/>
      </c>
      <c r="P152" s="80"/>
      <c r="Q152" s="80"/>
      <c r="R152" s="87"/>
      <c r="S152" s="87"/>
      <c r="T152" s="87"/>
      <c r="U152" s="108"/>
      <c r="V152" s="87"/>
      <c r="W152" s="108"/>
      <c r="X152" s="87"/>
      <c r="Y152" s="87"/>
      <c r="AI152" s="3" t="str">
        <f>IF(COUNTIF(AC:AC,AA152)*COUNTIF(AE:AE,AA152)*COUNTIF(AG:AG,AA152),AA152,"")</f>
        <v/>
      </c>
      <c r="AJ152" s="3" t="str">
        <f t="shared" si="13"/>
        <v/>
      </c>
      <c r="AN152" s="3">
        <v>45992</v>
      </c>
      <c r="AO152" s="4">
        <v>246.52199999999999</v>
      </c>
      <c r="AP152" s="74">
        <v>45992</v>
      </c>
      <c r="AQ152" s="4">
        <v>256.12799999999999</v>
      </c>
      <c r="AR152" s="6">
        <f t="shared" si="14"/>
        <v>45992</v>
      </c>
    </row>
    <row r="153" spans="1:44" x14ac:dyDescent="0.25">
      <c r="A153" s="37" t="str">
        <f ca="1">IF(AND(ISBLANK(AK142), A152 = $AK$1),NOW(),IF(ISBLANK(AK142),"",AK142))</f>
        <v/>
      </c>
      <c r="B153" s="38" t="str">
        <f ca="1">IF(COUNTIF($AK$2:AK1138,A153)=1,VLOOKUP(A153,AA:AB,2), IF(COUNTIF($AK$2:AK1138,A153)=0,$B$9,""))</f>
        <v/>
      </c>
      <c r="C153" s="2" t="str">
        <f t="shared" ca="1" si="15"/>
        <v/>
      </c>
      <c r="D153" s="41" t="str">
        <f t="shared" ca="1" si="16"/>
        <v/>
      </c>
      <c r="E153" s="78" t="str">
        <f ca="1">IF(COUNTIF($U$2:U1138,A153)=1,VLOOKUP(A153,U:V,2), "")</f>
        <v/>
      </c>
      <c r="F153" s="78" t="str">
        <f ca="1">IF(COUNTIF($W$2:W1138,A153)=1,VLOOKUP(A153,W:X,2), IF(COUNTIF($W$2:W1138,A153)=0,$E$9,""))</f>
        <v/>
      </c>
      <c r="G153" s="93"/>
      <c r="H153" s="93"/>
      <c r="I153" s="38" t="str">
        <f ca="1">IF(COUNTIF($AK$2:AK1138,A153)=1,VLOOKUP(A153,AC:AD,2), IF(COUNTIF($AK$2:AK1138,A153)=0,$C$9,""))</f>
        <v/>
      </c>
      <c r="J153" s="2" t="str">
        <f t="shared" ca="1" si="17"/>
        <v/>
      </c>
      <c r="K153" s="41" t="str">
        <f t="shared" ca="1" si="18"/>
        <v/>
      </c>
      <c r="L153" s="38" t="str">
        <f ca="1">IF(COUNTIF($AK$2:AK1138,A153)=1,VLOOKUP(A153,AN:AO,2), IF(COUNTIF($AK$2:AK1138,A153)=0,$D$9,""))</f>
        <v/>
      </c>
      <c r="M153" s="41" t="str">
        <f ca="1">IF(ISERROR(L153-2),"",(L153/$L$14-1)*$D$5)</f>
        <v/>
      </c>
      <c r="N153" s="41" t="str">
        <f ca="1">IF($A153="","",IF(COUNTIFS(Dividends!$G:$G,"&gt;"&amp;INT($A152),Dividends!$G:$G,"&lt;="&amp;INT($A153))=0,"",$R$2*SUMIFS(Dividends!$H:$H,Dividends!$G:$G,"&gt;"&amp;INT($A152),Dividends!$G:$G,"&lt;="&amp;INT($A153))))</f>
        <v/>
      </c>
      <c r="O153" s="42" t="str">
        <f ca="1">IF(ISERROR(B153-2),"",C153+D153-J153-K153-M153+SUM($N$14:N153))</f>
        <v/>
      </c>
      <c r="P153" s="80"/>
      <c r="Q153" s="80"/>
      <c r="R153" s="87"/>
      <c r="S153" s="87"/>
      <c r="T153" s="87"/>
      <c r="U153" s="108"/>
      <c r="V153" s="87"/>
      <c r="W153" s="108"/>
      <c r="X153" s="87"/>
      <c r="Y153" s="87"/>
      <c r="AI153" s="3" t="str">
        <f>IF(COUNTIF(AC:AC,AA153)*COUNTIF(AE:AE,AA153)*COUNTIF(AG:AG,AA153),AA153,"")</f>
        <v/>
      </c>
      <c r="AJ153" s="3" t="str">
        <f t="shared" si="13"/>
        <v/>
      </c>
      <c r="AN153" s="3">
        <v>45993</v>
      </c>
      <c r="AO153" s="4">
        <v>246.64009999999999</v>
      </c>
      <c r="AP153" s="74">
        <v>45993</v>
      </c>
      <c r="AQ153" s="4">
        <v>255.16499999999999</v>
      </c>
      <c r="AR153" s="6">
        <f t="shared" si="14"/>
        <v>45993</v>
      </c>
    </row>
    <row r="154" spans="1:44" x14ac:dyDescent="0.25">
      <c r="A154" s="37" t="str">
        <f ca="1">IF(AND(ISBLANK(AK143), A153 = $AK$1),NOW(),IF(ISBLANK(AK143),"",AK143))</f>
        <v/>
      </c>
      <c r="B154" s="38" t="str">
        <f ca="1">IF(COUNTIF($AK$2:AK1139,A154)=1,VLOOKUP(A154,AA:AB,2), IF(COUNTIF($AK$2:AK1139,A154)=0,$B$9,""))</f>
        <v/>
      </c>
      <c r="C154" s="2" t="str">
        <f t="shared" ca="1" si="15"/>
        <v/>
      </c>
      <c r="D154" s="41" t="str">
        <f t="shared" ca="1" si="16"/>
        <v/>
      </c>
      <c r="E154" s="78" t="str">
        <f ca="1">IF(COUNTIF($U$2:U1139,A154)=1,VLOOKUP(A154,U:V,2), "")</f>
        <v/>
      </c>
      <c r="F154" s="78" t="str">
        <f ca="1">IF(COUNTIF($W$2:W1139,A154)=1,VLOOKUP(A154,W:X,2), IF(COUNTIF($W$2:W1139,A154)=0,$E$9,""))</f>
        <v/>
      </c>
      <c r="G154" s="93"/>
      <c r="H154" s="93"/>
      <c r="I154" s="38" t="str">
        <f ca="1">IF(COUNTIF($AK$2:AK1139,A154)=1,VLOOKUP(A154,AC:AD,2), IF(COUNTIF($AK$2:AK1139,A154)=0,$C$9,""))</f>
        <v/>
      </c>
      <c r="J154" s="2" t="str">
        <f t="shared" ca="1" si="17"/>
        <v/>
      </c>
      <c r="K154" s="41" t="str">
        <f t="shared" ca="1" si="18"/>
        <v/>
      </c>
      <c r="L154" s="38" t="str">
        <f ca="1">IF(COUNTIF($AK$2:AK1139,A154)=1,VLOOKUP(A154,AN:AO,2), IF(COUNTIF($AK$2:AK1139,A154)=0,$D$9,""))</f>
        <v/>
      </c>
      <c r="M154" s="41" t="str">
        <f ca="1">IF(ISERROR(L154-2),"",(L154/$L$14-1)*$D$5)</f>
        <v/>
      </c>
      <c r="N154" s="41" t="str">
        <f ca="1">IF($A154="","",IF(COUNTIFS(Dividends!$G:$G,"&gt;"&amp;INT($A153),Dividends!$G:$G,"&lt;="&amp;INT($A154))=0,"",$R$2*SUMIFS(Dividends!$H:$H,Dividends!$G:$G,"&gt;"&amp;INT($A153),Dividends!$G:$G,"&lt;="&amp;INT($A154))))</f>
        <v/>
      </c>
      <c r="O154" s="42" t="str">
        <f ca="1">IF(ISERROR(B154-2),"",C154+D154-J154-K154-M154+SUM($N$14:N154))</f>
        <v/>
      </c>
      <c r="P154" s="80"/>
      <c r="Q154" s="80"/>
      <c r="R154" s="87"/>
      <c r="S154" s="87"/>
      <c r="T154" s="87"/>
      <c r="U154" s="108"/>
      <c r="V154" s="87"/>
      <c r="W154" s="108"/>
      <c r="X154" s="87"/>
      <c r="Y154" s="87"/>
      <c r="AI154" s="3" t="str">
        <f>IF(COUNTIF(AC:AC,AA154)*COUNTIF(AE:AE,AA154)*COUNTIF(AG:AG,AA154),AA154,"")</f>
        <v/>
      </c>
      <c r="AJ154" s="3" t="str">
        <f t="shared" si="13"/>
        <v/>
      </c>
      <c r="AN154" s="3">
        <v>45994</v>
      </c>
      <c r="AO154" s="4">
        <v>246.69659999999999</v>
      </c>
      <c r="AP154" s="74">
        <v>45994</v>
      </c>
      <c r="AQ154" s="4">
        <v>254.90700000000001</v>
      </c>
      <c r="AR154" s="6">
        <f t="shared" si="14"/>
        <v>45994</v>
      </c>
    </row>
    <row r="155" spans="1:44" x14ac:dyDescent="0.25">
      <c r="A155" s="37" t="str">
        <f ca="1">IF(AND(ISBLANK(AK144), A154 = $AK$1),NOW(),IF(ISBLANK(AK144),"",AK144))</f>
        <v/>
      </c>
      <c r="B155" s="38" t="str">
        <f ca="1">IF(COUNTIF($AK$2:AK1140,A155)=1,VLOOKUP(A155,AA:AB,2), IF(COUNTIF($AK$2:AK1140,A155)=0,$B$9,""))</f>
        <v/>
      </c>
      <c r="C155" s="2" t="str">
        <f t="shared" ca="1" si="15"/>
        <v/>
      </c>
      <c r="D155" s="41" t="str">
        <f t="shared" ca="1" si="16"/>
        <v/>
      </c>
      <c r="E155" s="78" t="str">
        <f ca="1">IF(COUNTIF($U$2:U1140,A155)=1,VLOOKUP(A155,U:V,2), "")</f>
        <v/>
      </c>
      <c r="F155" s="78" t="str">
        <f ca="1">IF(COUNTIF($W$2:W1140,A155)=1,VLOOKUP(A155,W:X,2), IF(COUNTIF($W$2:W1140,A155)=0,$E$9,""))</f>
        <v/>
      </c>
      <c r="G155" s="93"/>
      <c r="H155" s="93"/>
      <c r="I155" s="38" t="str">
        <f ca="1">IF(COUNTIF($AK$2:AK1140,A155)=1,VLOOKUP(A155,AC:AD,2), IF(COUNTIF($AK$2:AK1140,A155)=0,$C$9,""))</f>
        <v/>
      </c>
      <c r="J155" s="2" t="str">
        <f t="shared" ca="1" si="17"/>
        <v/>
      </c>
      <c r="K155" s="41" t="str">
        <f t="shared" ca="1" si="18"/>
        <v/>
      </c>
      <c r="L155" s="38" t="str">
        <f ca="1">IF(COUNTIF($AK$2:AK1140,A155)=1,VLOOKUP(A155,AN:AO,2), IF(COUNTIF($AK$2:AK1140,A155)=0,$D$9,""))</f>
        <v/>
      </c>
      <c r="M155" s="41" t="str">
        <f ca="1">IF(ISERROR(L155-2),"",(L155/$L$14-1)*$D$5)</f>
        <v/>
      </c>
      <c r="N155" s="41" t="str">
        <f ca="1">IF($A155="","",IF(COUNTIFS(Dividends!$G:$G,"&gt;"&amp;INT($A154),Dividends!$G:$G,"&lt;="&amp;INT($A155))=0,"",$R$2*SUMIFS(Dividends!$H:$H,Dividends!$G:$G,"&gt;"&amp;INT($A154),Dividends!$G:$G,"&lt;="&amp;INT($A155))))</f>
        <v/>
      </c>
      <c r="O155" s="42" t="str">
        <f ca="1">IF(ISERROR(B155-2),"",C155+D155-J155-K155-M155+SUM($N$14:N155))</f>
        <v/>
      </c>
      <c r="P155" s="80"/>
      <c r="Q155" s="80"/>
      <c r="R155" s="87"/>
      <c r="S155" s="87"/>
      <c r="T155" s="87"/>
      <c r="U155" s="108"/>
      <c r="V155" s="87"/>
      <c r="W155" s="108"/>
      <c r="X155" s="87"/>
      <c r="Y155" s="87"/>
      <c r="AI155" s="3" t="str">
        <f>IF(COUNTIF(AC:AC,AA155)*COUNTIF(AE:AE,AA155)*COUNTIF(AG:AG,AA155),AA155,"")</f>
        <v/>
      </c>
      <c r="AJ155" s="3" t="str">
        <f t="shared" si="13"/>
        <v/>
      </c>
      <c r="AN155" s="3">
        <v>45995</v>
      </c>
      <c r="AO155" s="4">
        <v>246.7276</v>
      </c>
      <c r="AP155" s="74">
        <v>45995</v>
      </c>
      <c r="AQ155" s="4">
        <v>254.619</v>
      </c>
      <c r="AR155" s="6">
        <f t="shared" si="14"/>
        <v>45995</v>
      </c>
    </row>
    <row r="156" spans="1:44" x14ac:dyDescent="0.25">
      <c r="A156" s="37" t="str">
        <f ca="1">IF(AND(ISBLANK(AK145), A155 = $AK$1),NOW(),IF(ISBLANK(AK145),"",AK145))</f>
        <v/>
      </c>
      <c r="B156" s="38" t="str">
        <f ca="1">IF(COUNTIF($AK$2:AK1141,A156)=1,VLOOKUP(A156,AA:AB,2), IF(COUNTIF($AK$2:AK1141,A156)=0,$B$9,""))</f>
        <v/>
      </c>
      <c r="C156" s="2" t="str">
        <f t="shared" ca="1" si="15"/>
        <v/>
      </c>
      <c r="D156" s="41" t="str">
        <f t="shared" ca="1" si="16"/>
        <v/>
      </c>
      <c r="E156" s="78" t="str">
        <f ca="1">IF(COUNTIF($U$2:U1141,A156)=1,VLOOKUP(A156,U:V,2), "")</f>
        <v/>
      </c>
      <c r="F156" s="78" t="str">
        <f ca="1">IF(COUNTIF($W$2:W1141,A156)=1,VLOOKUP(A156,W:X,2), IF(COUNTIF($W$2:W1141,A156)=0,$E$9,""))</f>
        <v/>
      </c>
      <c r="G156" s="93"/>
      <c r="H156" s="93"/>
      <c r="I156" s="38" t="str">
        <f ca="1">IF(COUNTIF($AK$2:AK1141,A156)=1,VLOOKUP(A156,AC:AD,2), IF(COUNTIF($AK$2:AK1141,A156)=0,$C$9,""))</f>
        <v/>
      </c>
      <c r="J156" s="2" t="str">
        <f t="shared" ca="1" si="17"/>
        <v/>
      </c>
      <c r="K156" s="41" t="str">
        <f t="shared" ca="1" si="18"/>
        <v/>
      </c>
      <c r="L156" s="38" t="str">
        <f ca="1">IF(COUNTIF($AK$2:AK1141,A156)=1,VLOOKUP(A156,AN:AO,2), IF(COUNTIF($AK$2:AK1141,A156)=0,$D$9,""))</f>
        <v/>
      </c>
      <c r="M156" s="41" t="str">
        <f ca="1">IF(ISERROR(L156-2),"",(L156/$L$14-1)*$D$5)</f>
        <v/>
      </c>
      <c r="N156" s="41" t="str">
        <f ca="1">IF($A156="","",IF(COUNTIFS(Dividends!$G:$G,"&gt;"&amp;INT($A155),Dividends!$G:$G,"&lt;="&amp;INT($A156))=0,"",$R$2*SUMIFS(Dividends!$H:$H,Dividends!$G:$G,"&gt;"&amp;INT($A155),Dividends!$G:$G,"&lt;="&amp;INT($A156))))</f>
        <v/>
      </c>
      <c r="O156" s="42" t="str">
        <f ca="1">IF(ISERROR(B156-2),"",C156+D156-J156-K156-M156+SUM($N$14:N156))</f>
        <v/>
      </c>
      <c r="P156" s="80"/>
      <c r="Q156" s="80"/>
      <c r="R156" s="87"/>
      <c r="S156" s="87"/>
      <c r="T156" s="87"/>
      <c r="U156" s="108"/>
      <c r="V156" s="87"/>
      <c r="W156" s="108"/>
      <c r="X156" s="87"/>
      <c r="Y156" s="87"/>
      <c r="AI156" s="3" t="str">
        <f>IF(COUNTIF(AC:AC,AA156)*COUNTIF(AE:AE,AA156)*COUNTIF(AG:AG,AA156),AA156,"")</f>
        <v/>
      </c>
      <c r="AJ156" s="3" t="str">
        <f t="shared" si="13"/>
        <v/>
      </c>
      <c r="AN156" s="3">
        <v>45996</v>
      </c>
      <c r="AO156" s="4">
        <v>246.92910000000001</v>
      </c>
      <c r="AP156" s="74">
        <v>45996</v>
      </c>
      <c r="AQ156" s="4">
        <v>252.95500000000001</v>
      </c>
      <c r="AR156" s="6">
        <f t="shared" si="14"/>
        <v>45996</v>
      </c>
    </row>
    <row r="157" spans="1:44" x14ac:dyDescent="0.25">
      <c r="A157" s="37" t="str">
        <f ca="1">IF(AND(ISBLANK(AK146), A156 = $AK$1),NOW(),IF(ISBLANK(AK146),"",AK146))</f>
        <v/>
      </c>
      <c r="B157" s="38" t="str">
        <f ca="1">IF(COUNTIF($AK$2:AK1142,A157)=1,VLOOKUP(A157,AA:AB,2), IF(COUNTIF($AK$2:AK1142,A157)=0,$B$9,""))</f>
        <v/>
      </c>
      <c r="C157" s="2" t="str">
        <f t="shared" ca="1" si="15"/>
        <v/>
      </c>
      <c r="D157" s="41" t="str">
        <f t="shared" ca="1" si="16"/>
        <v/>
      </c>
      <c r="E157" s="78" t="str">
        <f ca="1">IF(COUNTIF($U$2:U1142,A157)=1,VLOOKUP(A157,U:V,2), "")</f>
        <v/>
      </c>
      <c r="F157" s="78" t="str">
        <f ca="1">IF(COUNTIF($W$2:W1142,A157)=1,VLOOKUP(A157,W:X,2), IF(COUNTIF($W$2:W1142,A157)=0,$E$9,""))</f>
        <v/>
      </c>
      <c r="G157" s="93"/>
      <c r="H157" s="93"/>
      <c r="I157" s="38" t="str">
        <f ca="1">IF(COUNTIF($AK$2:AK1142,A157)=1,VLOOKUP(A157,AC:AD,2), IF(COUNTIF($AK$2:AK1142,A157)=0,$C$9,""))</f>
        <v/>
      </c>
      <c r="J157" s="2" t="str">
        <f t="shared" ca="1" si="17"/>
        <v/>
      </c>
      <c r="K157" s="41" t="str">
        <f t="shared" ca="1" si="18"/>
        <v/>
      </c>
      <c r="L157" s="38" t="str">
        <f ca="1">IF(COUNTIF($AK$2:AK1142,A157)=1,VLOOKUP(A157,AN:AO,2), IF(COUNTIF($AK$2:AK1142,A157)=0,$D$9,""))</f>
        <v/>
      </c>
      <c r="M157" s="41" t="str">
        <f ca="1">IF(ISERROR(L157-2),"",(L157/$L$14-1)*$D$5)</f>
        <v/>
      </c>
      <c r="N157" s="41" t="str">
        <f ca="1">IF($A157="","",IF(COUNTIFS(Dividends!$G:$G,"&gt;"&amp;INT($A156),Dividends!$G:$G,"&lt;="&amp;INT($A157))=0,"",$R$2*SUMIFS(Dividends!$H:$H,Dividends!$G:$G,"&gt;"&amp;INT($A156),Dividends!$G:$G,"&lt;="&amp;INT($A157))))</f>
        <v/>
      </c>
      <c r="O157" s="42" t="str">
        <f ca="1">IF(ISERROR(B157-2),"",C157+D157-J157-K157-M157+SUM($N$14:N157))</f>
        <v/>
      </c>
      <c r="P157" s="80"/>
      <c r="Q157" s="80"/>
      <c r="R157" s="87"/>
      <c r="S157" s="87"/>
      <c r="T157" s="87"/>
      <c r="U157" s="108"/>
      <c r="V157" s="87"/>
      <c r="W157" s="108"/>
      <c r="X157" s="87"/>
      <c r="Y157" s="87"/>
      <c r="AI157" s="3" t="str">
        <f>IF(COUNTIF(AC:AC,AA157)*COUNTIF(AE:AE,AA157)*COUNTIF(AG:AG,AA157),AA157,"")</f>
        <v/>
      </c>
      <c r="AJ157" s="3" t="str">
        <f t="shared" si="13"/>
        <v/>
      </c>
      <c r="AN157" s="3">
        <v>45999</v>
      </c>
      <c r="AO157" s="4">
        <v>246.71809999999999</v>
      </c>
      <c r="AP157" s="74">
        <v>45999</v>
      </c>
      <c r="AQ157" s="4">
        <v>256.38</v>
      </c>
      <c r="AR157" s="6">
        <f t="shared" si="14"/>
        <v>45999</v>
      </c>
    </row>
    <row r="158" spans="1:44" x14ac:dyDescent="0.25">
      <c r="A158" s="37" t="str">
        <f ca="1">IF(AND(ISBLANK(AK147), A157 = $AK$1),NOW(),IF(ISBLANK(AK147),"",AK147))</f>
        <v/>
      </c>
      <c r="B158" s="38" t="str">
        <f ca="1">IF(COUNTIF($AK$2:AK1143,A158)=1,VLOOKUP(A158,AA:AB,2), IF(COUNTIF($AK$2:AK1143,A158)=0,$B$9,""))</f>
        <v/>
      </c>
      <c r="C158" s="2" t="str">
        <f t="shared" ca="1" si="15"/>
        <v/>
      </c>
      <c r="D158" s="41" t="str">
        <f t="shared" ca="1" si="16"/>
        <v/>
      </c>
      <c r="E158" s="78" t="str">
        <f ca="1">IF(COUNTIF($U$2:U1143,A158)=1,VLOOKUP(A158,U:V,2), "")</f>
        <v/>
      </c>
      <c r="F158" s="78" t="str">
        <f ca="1">IF(COUNTIF($W$2:W1143,A158)=1,VLOOKUP(A158,W:X,2), IF(COUNTIF($W$2:W1143,A158)=0,$E$9,""))</f>
        <v/>
      </c>
      <c r="G158" s="93"/>
      <c r="H158" s="93"/>
      <c r="I158" s="38" t="str">
        <f ca="1">IF(COUNTIF($AK$2:AK1143,A158)=1,VLOOKUP(A158,AC:AD,2), IF(COUNTIF($AK$2:AK1143,A158)=0,$C$9,""))</f>
        <v/>
      </c>
      <c r="J158" s="2" t="str">
        <f t="shared" ca="1" si="17"/>
        <v/>
      </c>
      <c r="K158" s="41" t="str">
        <f t="shared" ca="1" si="18"/>
        <v/>
      </c>
      <c r="L158" s="38" t="str">
        <f ca="1">IF(COUNTIF($AK$2:AK1143,A158)=1,VLOOKUP(A158,AN:AO,2), IF(COUNTIF($AK$2:AK1143,A158)=0,$D$9,""))</f>
        <v/>
      </c>
      <c r="M158" s="41" t="str">
        <f ca="1">IF(ISERROR(L158-2),"",(L158/$L$14-1)*$D$5)</f>
        <v/>
      </c>
      <c r="N158" s="41" t="str">
        <f ca="1">IF($A158="","",IF(COUNTIFS(Dividends!$G:$G,"&gt;"&amp;INT($A157),Dividends!$G:$G,"&lt;="&amp;INT($A158))=0,"",$R$2*SUMIFS(Dividends!$H:$H,Dividends!$G:$G,"&gt;"&amp;INT($A157),Dividends!$G:$G,"&lt;="&amp;INT($A158))))</f>
        <v/>
      </c>
      <c r="O158" s="42" t="str">
        <f ca="1">IF(ISERROR(B158-2),"",C158+D158-J158-K158-M158+SUM($N$14:N158))</f>
        <v/>
      </c>
      <c r="P158" s="80"/>
      <c r="Q158" s="80"/>
      <c r="R158" s="87"/>
      <c r="S158" s="87"/>
      <c r="T158" s="87"/>
      <c r="U158" s="108"/>
      <c r="V158" s="87"/>
      <c r="W158" s="108"/>
      <c r="X158" s="87"/>
      <c r="Y158" s="87"/>
      <c r="AI158" s="3" t="str">
        <f>IF(COUNTIF(AC:AC,AA158)*COUNTIF(AE:AE,AA158)*COUNTIF(AG:AG,AA158),AA158,"")</f>
        <v/>
      </c>
      <c r="AJ158" s="3" t="str">
        <f t="shared" si="13"/>
        <v/>
      </c>
      <c r="AN158" s="3">
        <v>46000</v>
      </c>
      <c r="AO158" s="4">
        <v>246.76429999999999</v>
      </c>
      <c r="AP158" s="74">
        <v>46000</v>
      </c>
      <c r="AQ158" s="4">
        <v>254.755</v>
      </c>
      <c r="AR158" s="6">
        <f t="shared" si="14"/>
        <v>46000</v>
      </c>
    </row>
    <row r="159" spans="1:44" x14ac:dyDescent="0.25">
      <c r="A159" s="37" t="str">
        <f ca="1">IF(AND(ISBLANK(AK148), A158 = $AK$1),NOW(),IF(ISBLANK(AK148),"",AK148))</f>
        <v/>
      </c>
      <c r="B159" s="38" t="str">
        <f ca="1">IF(COUNTIF($AK$2:AK1144,A159)=1,VLOOKUP(A159,AA:AB,2), IF(COUNTIF($AK$2:AK1144,A159)=0,$B$9,""))</f>
        <v/>
      </c>
      <c r="C159" s="2" t="str">
        <f t="shared" ca="1" si="15"/>
        <v/>
      </c>
      <c r="D159" s="41" t="str">
        <f t="shared" ca="1" si="16"/>
        <v/>
      </c>
      <c r="E159" s="78" t="str">
        <f ca="1">IF(COUNTIF($U$2:U1144,A159)=1,VLOOKUP(A159,U:V,2), "")</f>
        <v/>
      </c>
      <c r="F159" s="78" t="str">
        <f ca="1">IF(COUNTIF($W$2:W1144,A159)=1,VLOOKUP(A159,W:X,2), IF(COUNTIF($W$2:W1144,A159)=0,$E$9,""))</f>
        <v/>
      </c>
      <c r="G159" s="93"/>
      <c r="H159" s="93"/>
      <c r="I159" s="38" t="str">
        <f ca="1">IF(COUNTIF($AK$2:AK1144,A159)=1,VLOOKUP(A159,AC:AD,2), IF(COUNTIF($AK$2:AK1144,A159)=0,$C$9,""))</f>
        <v/>
      </c>
      <c r="J159" s="2" t="str">
        <f t="shared" ca="1" si="17"/>
        <v/>
      </c>
      <c r="K159" s="41" t="str">
        <f t="shared" ca="1" si="18"/>
        <v/>
      </c>
      <c r="L159" s="38" t="str">
        <f ca="1">IF(COUNTIF($AK$2:AK1144,A159)=1,VLOOKUP(A159,AN:AO,2), IF(COUNTIF($AK$2:AK1144,A159)=0,$D$9,""))</f>
        <v/>
      </c>
      <c r="M159" s="41" t="str">
        <f ca="1">IF(ISERROR(L159-2),"",(L159/$L$14-1)*$D$5)</f>
        <v/>
      </c>
      <c r="N159" s="41" t="str">
        <f ca="1">IF($A159="","",IF(COUNTIFS(Dividends!$G:$G,"&gt;"&amp;INT($A158),Dividends!$G:$G,"&lt;="&amp;INT($A159))=0,"",$R$2*SUMIFS(Dividends!$H:$H,Dividends!$G:$G,"&gt;"&amp;INT($A158),Dividends!$G:$G,"&lt;="&amp;INT($A159))))</f>
        <v/>
      </c>
      <c r="O159" s="42" t="str">
        <f ca="1">IF(ISERROR(B159-2),"",C159+D159-J159-K159-M159+SUM($N$14:N159))</f>
        <v/>
      </c>
      <c r="P159" s="80"/>
      <c r="Q159" s="80"/>
      <c r="R159" s="87"/>
      <c r="S159" s="87"/>
      <c r="T159" s="87"/>
      <c r="U159" s="108"/>
      <c r="V159" s="87"/>
      <c r="W159" s="108"/>
      <c r="X159" s="87"/>
      <c r="Y159" s="87"/>
      <c r="AI159" s="3" t="str">
        <f>IF(COUNTIF(AC:AC,AA159)*COUNTIF(AE:AE,AA159)*COUNTIF(AG:AG,AA159),AA159,"")</f>
        <v/>
      </c>
      <c r="AJ159" s="3" t="str">
        <f t="shared" si="13"/>
        <v/>
      </c>
      <c r="AN159" s="3">
        <v>46001</v>
      </c>
      <c r="AO159" s="4">
        <v>246.89660000000001</v>
      </c>
      <c r="AP159" s="74">
        <v>46001</v>
      </c>
      <c r="AQ159" s="4">
        <v>253.602</v>
      </c>
      <c r="AR159" s="6">
        <f t="shared" si="14"/>
        <v>46001</v>
      </c>
    </row>
    <row r="160" spans="1:44" x14ac:dyDescent="0.25">
      <c r="A160" s="37" t="str">
        <f ca="1">IF(AND(ISBLANK(AK149), A159 = $AK$1),NOW(),IF(ISBLANK(AK149),"",AK149))</f>
        <v/>
      </c>
      <c r="B160" s="38" t="str">
        <f ca="1">IF(COUNTIF($AK$2:AK1145,A160)=1,VLOOKUP(A160,AA:AB,2), IF(COUNTIF($AK$2:AK1145,A160)=0,$B$9,""))</f>
        <v/>
      </c>
      <c r="C160" s="2" t="str">
        <f t="shared" ca="1" si="15"/>
        <v/>
      </c>
      <c r="D160" s="41" t="str">
        <f t="shared" ca="1" si="16"/>
        <v/>
      </c>
      <c r="E160" s="78" t="str">
        <f ca="1">IF(COUNTIF($U$2:U1145,A160)=1,VLOOKUP(A160,U:V,2), "")</f>
        <v/>
      </c>
      <c r="F160" s="78" t="str">
        <f ca="1">IF(COUNTIF($W$2:W1145,A160)=1,VLOOKUP(A160,W:X,2), IF(COUNTIF($W$2:W1145,A160)=0,$E$9,""))</f>
        <v/>
      </c>
      <c r="G160" s="93"/>
      <c r="H160" s="93"/>
      <c r="I160" s="38" t="str">
        <f ca="1">IF(COUNTIF($AK$2:AK1145,A160)=1,VLOOKUP(A160,AC:AD,2), IF(COUNTIF($AK$2:AK1145,A160)=0,$C$9,""))</f>
        <v/>
      </c>
      <c r="J160" s="2" t="str">
        <f t="shared" ca="1" si="17"/>
        <v/>
      </c>
      <c r="K160" s="41" t="str">
        <f t="shared" ca="1" si="18"/>
        <v/>
      </c>
      <c r="L160" s="38" t="str">
        <f ca="1">IF(COUNTIF($AK$2:AK1145,A160)=1,VLOOKUP(A160,AN:AO,2), IF(COUNTIF($AK$2:AK1145,A160)=0,$D$9,""))</f>
        <v/>
      </c>
      <c r="M160" s="41" t="str">
        <f ca="1">IF(ISERROR(L160-2),"",(L160/$L$14-1)*$D$5)</f>
        <v/>
      </c>
      <c r="N160" s="41" t="str">
        <f ca="1">IF($A160="","",IF(COUNTIFS(Dividends!$G:$G,"&gt;"&amp;INT($A159),Dividends!$G:$G,"&lt;="&amp;INT($A160))=0,"",$R$2*SUMIFS(Dividends!$H:$H,Dividends!$G:$G,"&gt;"&amp;INT($A159),Dividends!$G:$G,"&lt;="&amp;INT($A160))))</f>
        <v/>
      </c>
      <c r="O160" s="42" t="str">
        <f ca="1">IF(ISERROR(B160-2),"",C160+D160-J160-K160-M160+SUM($N$14:N160))</f>
        <v/>
      </c>
      <c r="P160" s="80"/>
      <c r="Q160" s="80"/>
      <c r="R160" s="87"/>
      <c r="S160" s="87"/>
      <c r="T160" s="87"/>
      <c r="U160" s="108"/>
      <c r="V160" s="87"/>
      <c r="W160" s="108"/>
      <c r="X160" s="87"/>
      <c r="Y160" s="87"/>
      <c r="AI160" s="3" t="str">
        <f>IF(COUNTIF(AC:AC,AA160)*COUNTIF(AE:AE,AA160)*COUNTIF(AG:AG,AA160),AA160,"")</f>
        <v/>
      </c>
      <c r="AJ160" s="3" t="str">
        <f t="shared" si="13"/>
        <v/>
      </c>
      <c r="AN160" s="3">
        <v>46002</v>
      </c>
      <c r="AO160" s="4">
        <v>247.6378</v>
      </c>
      <c r="AP160" s="74">
        <v>46002</v>
      </c>
      <c r="AQ160" s="4">
        <v>247.48400000000001</v>
      </c>
      <c r="AR160" s="6">
        <f t="shared" si="14"/>
        <v>46002</v>
      </c>
    </row>
    <row r="161" spans="1:44" x14ac:dyDescent="0.25">
      <c r="A161" s="37" t="str">
        <f ca="1">IF(AND(ISBLANK(AK150), A160 = $AK$1),NOW(),IF(ISBLANK(AK150),"",AK150))</f>
        <v/>
      </c>
      <c r="B161" s="38" t="str">
        <f ca="1">IF(COUNTIF($AK$2:AK1146,A161)=1,VLOOKUP(A161,AA:AB,2), IF(COUNTIF($AK$2:AK1146,A161)=0,$B$9,""))</f>
        <v/>
      </c>
      <c r="C161" s="2" t="str">
        <f t="shared" ca="1" si="15"/>
        <v/>
      </c>
      <c r="D161" s="41" t="str">
        <f t="shared" ca="1" si="16"/>
        <v/>
      </c>
      <c r="E161" s="78" t="str">
        <f ca="1">IF(COUNTIF($U$2:U1146,A161)=1,VLOOKUP(A161,U:V,2), "")</f>
        <v/>
      </c>
      <c r="F161" s="78" t="str">
        <f ca="1">IF(COUNTIF($W$2:W1146,A161)=1,VLOOKUP(A161,W:X,2), IF(COUNTIF($W$2:W1146,A161)=0,$E$9,""))</f>
        <v/>
      </c>
      <c r="G161" s="93"/>
      <c r="H161" s="93"/>
      <c r="I161" s="38" t="str">
        <f ca="1">IF(COUNTIF($AK$2:AK1146,A161)=1,VLOOKUP(A161,AC:AD,2), IF(COUNTIF($AK$2:AK1146,A161)=0,$C$9,""))</f>
        <v/>
      </c>
      <c r="J161" s="2" t="str">
        <f t="shared" ca="1" si="17"/>
        <v/>
      </c>
      <c r="K161" s="41" t="str">
        <f t="shared" ca="1" si="18"/>
        <v/>
      </c>
      <c r="L161" s="38" t="str">
        <f ca="1">IF(COUNTIF($AK$2:AK1146,A161)=1,VLOOKUP(A161,AN:AO,2), IF(COUNTIF($AK$2:AK1146,A161)=0,$D$9,""))</f>
        <v/>
      </c>
      <c r="M161" s="41" t="str">
        <f ca="1">IF(ISERROR(L161-2),"",(L161/$L$14-1)*$D$5)</f>
        <v/>
      </c>
      <c r="N161" s="41" t="str">
        <f ca="1">IF($A161="","",IF(COUNTIFS(Dividends!$G:$G,"&gt;"&amp;INT($A160),Dividends!$G:$G,"&lt;="&amp;INT($A161))=0,"",$R$2*SUMIFS(Dividends!$H:$H,Dividends!$G:$G,"&gt;"&amp;INT($A160),Dividends!$G:$G,"&lt;="&amp;INT($A161))))</f>
        <v/>
      </c>
      <c r="O161" s="42" t="str">
        <f ca="1">IF(ISERROR(B161-2),"",C161+D161-J161-K161-M161+SUM($N$14:N161))</f>
        <v/>
      </c>
      <c r="P161" s="80"/>
      <c r="Q161" s="80"/>
      <c r="R161" s="87"/>
      <c r="S161" s="87"/>
      <c r="T161" s="87"/>
      <c r="U161" s="108"/>
      <c r="V161" s="87"/>
      <c r="W161" s="108"/>
      <c r="X161" s="87"/>
      <c r="Y161" s="87"/>
      <c r="AI161" s="3" t="str">
        <f>IF(COUNTIF(AC:AC,AA161)*COUNTIF(AE:AE,AA161)*COUNTIF(AG:AG,AA161),AA161,"")</f>
        <v/>
      </c>
      <c r="AJ161" s="3" t="str">
        <f t="shared" si="13"/>
        <v/>
      </c>
      <c r="AN161" s="3">
        <v>46003</v>
      </c>
      <c r="AO161" s="4">
        <v>247.29140000000001</v>
      </c>
      <c r="AP161" s="74">
        <v>46003</v>
      </c>
      <c r="AQ161" s="4">
        <v>251.251</v>
      </c>
      <c r="AR161" s="6">
        <f t="shared" si="14"/>
        <v>46003</v>
      </c>
    </row>
    <row r="162" spans="1:44" x14ac:dyDescent="0.25">
      <c r="A162" s="37" t="str">
        <f ca="1">IF(AND(ISBLANK(AK151), A161 = $AK$1),NOW(),IF(ISBLANK(AK151),"",AK151))</f>
        <v/>
      </c>
      <c r="B162" s="38" t="str">
        <f ca="1">IF(COUNTIF($AK$2:AK1147,A162)=1,VLOOKUP(A162,AA:AB,2), IF(COUNTIF($AK$2:AK1147,A162)=0,$B$9,""))</f>
        <v/>
      </c>
      <c r="C162" s="2" t="str">
        <f t="shared" ca="1" si="15"/>
        <v/>
      </c>
      <c r="D162" s="41" t="str">
        <f t="shared" ca="1" si="16"/>
        <v/>
      </c>
      <c r="E162" s="78" t="str">
        <f ca="1">IF(COUNTIF($U$2:U1147,A162)=1,VLOOKUP(A162,U:V,2), "")</f>
        <v/>
      </c>
      <c r="F162" s="78" t="str">
        <f ca="1">IF(COUNTIF($W$2:W1147,A162)=1,VLOOKUP(A162,W:X,2), IF(COUNTIF($W$2:W1147,A162)=0,$E$9,""))</f>
        <v/>
      </c>
      <c r="G162" s="93"/>
      <c r="H162" s="93"/>
      <c r="I162" s="38" t="str">
        <f ca="1">IF(COUNTIF($AK$2:AK1147,A162)=1,VLOOKUP(A162,AC:AD,2), IF(COUNTIF($AK$2:AK1147,A162)=0,$C$9,""))</f>
        <v/>
      </c>
      <c r="J162" s="2" t="str">
        <f t="shared" ca="1" si="17"/>
        <v/>
      </c>
      <c r="K162" s="41" t="str">
        <f t="shared" ca="1" si="18"/>
        <v/>
      </c>
      <c r="L162" s="38" t="str">
        <f ca="1">IF(COUNTIF($AK$2:AK1147,A162)=1,VLOOKUP(A162,AN:AO,2), IF(COUNTIF($AK$2:AK1147,A162)=0,$D$9,""))</f>
        <v/>
      </c>
      <c r="M162" s="41" t="str">
        <f ca="1">IF(ISERROR(L162-2),"",(L162/$L$14-1)*$D$5)</f>
        <v/>
      </c>
      <c r="N162" s="41" t="str">
        <f ca="1">IF($A162="","",IF(COUNTIFS(Dividends!$G:$G,"&gt;"&amp;INT($A161),Dividends!$G:$G,"&lt;="&amp;INT($A162))=0,"",$R$2*SUMIFS(Dividends!$H:$H,Dividends!$G:$G,"&gt;"&amp;INT($A161),Dividends!$G:$G,"&lt;="&amp;INT($A162))))</f>
        <v/>
      </c>
      <c r="O162" s="42" t="str">
        <f ca="1">IF(ISERROR(B162-2),"",C162+D162-J162-K162-M162+SUM($N$14:N162))</f>
        <v/>
      </c>
      <c r="P162" s="80"/>
      <c r="Q162" s="80"/>
      <c r="R162" s="87"/>
      <c r="S162" s="87"/>
      <c r="T162" s="87"/>
      <c r="U162" s="108"/>
      <c r="V162" s="87"/>
      <c r="W162" s="108"/>
      <c r="X162" s="87"/>
      <c r="Y162" s="87"/>
      <c r="AI162" s="3" t="str">
        <f>IF(COUNTIF(AC:AC,AA162)*COUNTIF(AE:AE,AA162)*COUNTIF(AG:AG,AA162),AA162,"")</f>
        <v/>
      </c>
      <c r="AJ162" s="3" t="str">
        <f t="shared" si="13"/>
        <v/>
      </c>
      <c r="AN162" s="3">
        <v>46006</v>
      </c>
      <c r="AO162" s="4">
        <v>247.6292</v>
      </c>
      <c r="AP162" s="74">
        <v>46006</v>
      </c>
      <c r="AQ162" s="4">
        <v>248.71100000000001</v>
      </c>
      <c r="AR162" s="6">
        <f t="shared" si="14"/>
        <v>46006</v>
      </c>
    </row>
    <row r="163" spans="1:44" x14ac:dyDescent="0.25">
      <c r="A163" s="37" t="str">
        <f ca="1">IF(AND(ISBLANK(AK152), A162 = $AK$1),NOW(),IF(ISBLANK(AK152),"",AK152))</f>
        <v/>
      </c>
      <c r="B163" s="38" t="str">
        <f ca="1">IF(COUNTIF($AK$2:AK1148,A163)=1,VLOOKUP(A163,AA:AB,2), IF(COUNTIF($AK$2:AK1148,A163)=0,$B$9,""))</f>
        <v/>
      </c>
      <c r="C163" s="2" t="str">
        <f t="shared" ca="1" si="15"/>
        <v/>
      </c>
      <c r="D163" s="41" t="str">
        <f t="shared" ca="1" si="16"/>
        <v/>
      </c>
      <c r="E163" s="78" t="str">
        <f ca="1">IF(COUNTIF($U$2:U1148,A163)=1,VLOOKUP(A163,U:V,2), "")</f>
        <v/>
      </c>
      <c r="F163" s="78" t="str">
        <f ca="1">IF(COUNTIF($W$2:W1148,A163)=1,VLOOKUP(A163,W:X,2), IF(COUNTIF($W$2:W1148,A163)=0,$E$9,""))</f>
        <v/>
      </c>
      <c r="G163" s="93"/>
      <c r="H163" s="93"/>
      <c r="I163" s="38" t="str">
        <f ca="1">IF(COUNTIF($AK$2:AK1148,A163)=1,VLOOKUP(A163,AC:AD,2), IF(COUNTIF($AK$2:AK1148,A163)=0,$C$9,""))</f>
        <v/>
      </c>
      <c r="J163" s="2" t="str">
        <f t="shared" ca="1" si="17"/>
        <v/>
      </c>
      <c r="K163" s="41" t="str">
        <f t="shared" ca="1" si="18"/>
        <v/>
      </c>
      <c r="L163" s="38" t="str">
        <f ca="1">IF(COUNTIF($AK$2:AK1148,A163)=1,VLOOKUP(A163,AN:AO,2), IF(COUNTIF($AK$2:AK1148,A163)=0,$D$9,""))</f>
        <v/>
      </c>
      <c r="M163" s="41" t="str">
        <f ca="1">IF(ISERROR(L163-2),"",(L163/$L$14-1)*$D$5)</f>
        <v/>
      </c>
      <c r="N163" s="41" t="str">
        <f ca="1">IF($A163="","",IF(COUNTIFS(Dividends!$G:$G,"&gt;"&amp;INT($A162),Dividends!$G:$G,"&lt;="&amp;INT($A163))=0,"",$R$2*SUMIFS(Dividends!$H:$H,Dividends!$G:$G,"&gt;"&amp;INT($A162),Dividends!$G:$G,"&lt;="&amp;INT($A163))))</f>
        <v/>
      </c>
      <c r="O163" s="42" t="str">
        <f ca="1">IF(ISERROR(B163-2),"",C163+D163-J163-K163-M163+SUM($N$14:N163))</f>
        <v/>
      </c>
      <c r="P163" s="80"/>
      <c r="Q163" s="80"/>
      <c r="R163" s="87"/>
      <c r="S163" s="87"/>
      <c r="T163" s="87"/>
      <c r="U163" s="108"/>
      <c r="V163" s="87"/>
      <c r="W163" s="108"/>
      <c r="X163" s="87"/>
      <c r="Y163" s="87"/>
      <c r="AI163" s="3" t="str">
        <f>IF(COUNTIF(AC:AC,AA163)*COUNTIF(AE:AE,AA163)*COUNTIF(AG:AG,AA163),AA163,"")</f>
        <v/>
      </c>
      <c r="AJ163" s="3" t="str">
        <f t="shared" si="13"/>
        <v/>
      </c>
      <c r="AN163" s="3">
        <v>46007</v>
      </c>
      <c r="AO163" s="4">
        <v>247.4761</v>
      </c>
      <c r="AP163" s="74">
        <v>46007</v>
      </c>
      <c r="AQ163" s="4">
        <v>250.40600000000001</v>
      </c>
      <c r="AR163" s="6">
        <f t="shared" si="14"/>
        <v>46007</v>
      </c>
    </row>
    <row r="164" spans="1:44" x14ac:dyDescent="0.25">
      <c r="A164" s="37" t="str">
        <f ca="1">IF(AND(ISBLANK(AK153), A163 = $AK$1),NOW(),IF(ISBLANK(AK153),"",AK153))</f>
        <v/>
      </c>
      <c r="B164" s="38" t="str">
        <f ca="1">IF(COUNTIF($AK$2:AK1149,A164)=1,VLOOKUP(A164,AA:AB,2), IF(COUNTIF($AK$2:AK1149,A164)=0,$B$9,""))</f>
        <v/>
      </c>
      <c r="C164" s="2" t="str">
        <f t="shared" ca="1" si="15"/>
        <v/>
      </c>
      <c r="D164" s="41" t="str">
        <f t="shared" ca="1" si="16"/>
        <v/>
      </c>
      <c r="E164" s="78" t="str">
        <f ca="1">IF(COUNTIF($U$2:U1149,A164)=1,VLOOKUP(A164,U:V,2), "")</f>
        <v/>
      </c>
      <c r="F164" s="78" t="str">
        <f ca="1">IF(COUNTIF($W$2:W1149,A164)=1,VLOOKUP(A164,W:X,2), IF(COUNTIF($W$2:W1149,A164)=0,$E$9,""))</f>
        <v/>
      </c>
      <c r="G164" s="93"/>
      <c r="H164" s="93"/>
      <c r="I164" s="38" t="str">
        <f ca="1">IF(COUNTIF($AK$2:AK1149,A164)=1,VLOOKUP(A164,AC:AD,2), IF(COUNTIF($AK$2:AK1149,A164)=0,$C$9,""))</f>
        <v/>
      </c>
      <c r="J164" s="2" t="str">
        <f t="shared" ca="1" si="17"/>
        <v/>
      </c>
      <c r="K164" s="41" t="str">
        <f t="shared" ca="1" si="18"/>
        <v/>
      </c>
      <c r="L164" s="38" t="str">
        <f ca="1">IF(COUNTIF($AK$2:AK1149,A164)=1,VLOOKUP(A164,AN:AO,2), IF(COUNTIF($AK$2:AK1149,A164)=0,$D$9,""))</f>
        <v/>
      </c>
      <c r="M164" s="41" t="str">
        <f ca="1">IF(ISERROR(L164-2),"",(L164/$L$14-1)*$D$5)</f>
        <v/>
      </c>
      <c r="N164" s="41" t="str">
        <f ca="1">IF($A164="","",IF(COUNTIFS(Dividends!$G:$G,"&gt;"&amp;INT($A163),Dividends!$G:$G,"&lt;="&amp;INT($A164))=0,"",$R$2*SUMIFS(Dividends!$H:$H,Dividends!$G:$G,"&gt;"&amp;INT($A163),Dividends!$G:$G,"&lt;="&amp;INT($A164))))</f>
        <v/>
      </c>
      <c r="O164" s="42" t="str">
        <f ca="1">IF(ISERROR(B164-2),"",C164+D164-J164-K164-M164+SUM($N$14:N164))</f>
        <v/>
      </c>
      <c r="P164" s="80"/>
      <c r="Q164" s="80"/>
      <c r="R164" s="87"/>
      <c r="S164" s="87"/>
      <c r="T164" s="87"/>
      <c r="U164" s="108"/>
      <c r="V164" s="87"/>
      <c r="W164" s="108"/>
      <c r="X164" s="87"/>
      <c r="Y164" s="87"/>
      <c r="AI164" s="3" t="str">
        <f>IF(COUNTIF(AC:AC,AA164)*COUNTIF(AE:AE,AA164)*COUNTIF(AG:AG,AA164),AA164,"")</f>
        <v/>
      </c>
      <c r="AJ164" s="3" t="str">
        <f t="shared" si="13"/>
        <v/>
      </c>
      <c r="AN164" s="3">
        <v>46008</v>
      </c>
      <c r="AO164" s="4">
        <v>247.34719999999999</v>
      </c>
      <c r="AP164" s="74">
        <v>46008</v>
      </c>
      <c r="AQ164" s="4">
        <v>251.99100000000001</v>
      </c>
      <c r="AR164" s="6">
        <f t="shared" si="14"/>
        <v>46008</v>
      </c>
    </row>
    <row r="165" spans="1:44" x14ac:dyDescent="0.25">
      <c r="A165" s="37" t="str">
        <f ca="1">IF(AND(ISBLANK(AK154), A164 = $AK$1),NOW(),IF(ISBLANK(AK154),"",AK154))</f>
        <v/>
      </c>
      <c r="B165" s="38" t="str">
        <f ca="1">IF(COUNTIF($AK$2:AK1150,A165)=1,VLOOKUP(A165,AA:AB,2), IF(COUNTIF($AK$2:AK1150,A165)=0,$B$9,""))</f>
        <v/>
      </c>
      <c r="C165" s="2" t="str">
        <f t="shared" ca="1" si="15"/>
        <v/>
      </c>
      <c r="D165" s="41" t="str">
        <f t="shared" ca="1" si="16"/>
        <v/>
      </c>
      <c r="E165" s="78" t="str">
        <f ca="1">IF(COUNTIF($U$2:U1150,A165)=1,VLOOKUP(A165,U:V,2), "")</f>
        <v/>
      </c>
      <c r="F165" s="78" t="str">
        <f ca="1">IF(COUNTIF($W$2:W1150,A165)=1,VLOOKUP(A165,W:X,2), IF(COUNTIF($W$2:W1150,A165)=0,$E$9,""))</f>
        <v/>
      </c>
      <c r="G165" s="93"/>
      <c r="H165" s="93"/>
      <c r="I165" s="38" t="str">
        <f ca="1">IF(COUNTIF($AK$2:AK1150,A165)=1,VLOOKUP(A165,AC:AD,2), IF(COUNTIF($AK$2:AK1150,A165)=0,$C$9,""))</f>
        <v/>
      </c>
      <c r="J165" s="2" t="str">
        <f t="shared" ca="1" si="17"/>
        <v/>
      </c>
      <c r="K165" s="41" t="str">
        <f t="shared" ca="1" si="18"/>
        <v/>
      </c>
      <c r="L165" s="38" t="str">
        <f ca="1">IF(COUNTIF($AK$2:AK1150,A165)=1,VLOOKUP(A165,AN:AO,2), IF(COUNTIF($AK$2:AK1150,A165)=0,$D$9,""))</f>
        <v/>
      </c>
      <c r="M165" s="41" t="str">
        <f ca="1">IF(ISERROR(L165-2),"",(L165/$L$14-1)*$D$5)</f>
        <v/>
      </c>
      <c r="N165" s="41" t="str">
        <f ca="1">IF($A165="","",IF(COUNTIFS(Dividends!$G:$G,"&gt;"&amp;INT($A164),Dividends!$G:$G,"&lt;="&amp;INT($A165))=0,"",$R$2*SUMIFS(Dividends!$H:$H,Dividends!$G:$G,"&gt;"&amp;INT($A164),Dividends!$G:$G,"&lt;="&amp;INT($A165))))</f>
        <v/>
      </c>
      <c r="O165" s="42" t="str">
        <f ca="1">IF(ISERROR(B165-2),"",C165+D165-J165-K165-M165+SUM($N$14:N165))</f>
        <v/>
      </c>
      <c r="P165" s="80"/>
      <c r="Q165" s="80"/>
      <c r="R165" s="87"/>
      <c r="S165" s="87"/>
      <c r="T165" s="87"/>
      <c r="U165" s="108"/>
      <c r="V165" s="87"/>
      <c r="W165" s="108"/>
      <c r="X165" s="87"/>
      <c r="Y165" s="87"/>
      <c r="AI165" s="3" t="str">
        <f>IF(COUNTIF(AC:AC,AA165)*COUNTIF(AE:AE,AA165)*COUNTIF(AG:AG,AA165),AA165,"")</f>
        <v/>
      </c>
      <c r="AJ165" s="3" t="str">
        <f t="shared" si="13"/>
        <v/>
      </c>
      <c r="AN165" s="3">
        <v>46009</v>
      </c>
      <c r="AO165" s="4">
        <v>248.1044</v>
      </c>
      <c r="AP165" s="74">
        <v>46009</v>
      </c>
      <c r="AQ165" s="4">
        <v>245.59399999999999</v>
      </c>
      <c r="AR165" s="6">
        <f t="shared" si="14"/>
        <v>46009</v>
      </c>
    </row>
    <row r="166" spans="1:44" x14ac:dyDescent="0.25">
      <c r="A166" s="37" t="str">
        <f ca="1">IF(AND(ISBLANK(AK155), A165 = $AK$1),NOW(),IF(ISBLANK(AK155),"",AK155))</f>
        <v/>
      </c>
      <c r="B166" s="38" t="str">
        <f ca="1">IF(COUNTIF($AK$2:AK1151,A166)=1,VLOOKUP(A166,AA:AB,2), IF(COUNTIF($AK$2:AK1151,A166)=0,$B$9,""))</f>
        <v/>
      </c>
      <c r="C166" s="2" t="str">
        <f t="shared" ca="1" si="15"/>
        <v/>
      </c>
      <c r="D166" s="41" t="str">
        <f t="shared" ca="1" si="16"/>
        <v/>
      </c>
      <c r="E166" s="78" t="str">
        <f ca="1">IF(COUNTIF($U$2:U1151,A166)=1,VLOOKUP(A166,U:V,2), "")</f>
        <v/>
      </c>
      <c r="F166" s="78" t="str">
        <f ca="1">IF(COUNTIF($W$2:W1151,A166)=1,VLOOKUP(A166,W:X,2), IF(COUNTIF($W$2:W1151,A166)=0,$E$9,""))</f>
        <v/>
      </c>
      <c r="G166" s="93"/>
      <c r="H166" s="93"/>
      <c r="I166" s="38" t="str">
        <f ca="1">IF(COUNTIF($AK$2:AK1151,A166)=1,VLOOKUP(A166,AC:AD,2), IF(COUNTIF($AK$2:AK1151,A166)=0,$C$9,""))</f>
        <v/>
      </c>
      <c r="J166" s="2" t="str">
        <f t="shared" ca="1" si="17"/>
        <v/>
      </c>
      <c r="K166" s="41" t="str">
        <f t="shared" ca="1" si="18"/>
        <v/>
      </c>
      <c r="L166" s="38" t="str">
        <f ca="1">IF(COUNTIF($AK$2:AK1151,A166)=1,VLOOKUP(A166,AN:AO,2), IF(COUNTIF($AK$2:AK1151,A166)=0,$D$9,""))</f>
        <v/>
      </c>
      <c r="M166" s="41" t="str">
        <f ca="1">IF(ISERROR(L166-2),"",(L166/$L$14-1)*$D$5)</f>
        <v/>
      </c>
      <c r="N166" s="41" t="str">
        <f ca="1">IF($A166="","",IF(COUNTIFS(Dividends!$G:$G,"&gt;"&amp;INT($A165),Dividends!$G:$G,"&lt;="&amp;INT($A166))=0,"",$R$2*SUMIFS(Dividends!$H:$H,Dividends!$G:$G,"&gt;"&amp;INT($A165),Dividends!$G:$G,"&lt;="&amp;INT($A166))))</f>
        <v/>
      </c>
      <c r="O166" s="42" t="str">
        <f ca="1">IF(ISERROR(B166-2),"",C166+D166-J166-K166-M166+SUM($N$14:N166))</f>
        <v/>
      </c>
      <c r="P166" s="80"/>
      <c r="Q166" s="80"/>
      <c r="R166" s="87"/>
      <c r="S166" s="87"/>
      <c r="T166" s="87"/>
      <c r="U166" s="108"/>
      <c r="V166" s="87"/>
      <c r="W166" s="108"/>
      <c r="X166" s="87"/>
      <c r="Y166" s="87"/>
      <c r="AI166" s="3" t="str">
        <f>IF(COUNTIF(AC:AC,AA166)*COUNTIF(AE:AE,AA166)*COUNTIF(AG:AG,AA166),AA166,"")</f>
        <v/>
      </c>
      <c r="AJ166" s="3" t="str">
        <f t="shared" si="13"/>
        <v/>
      </c>
      <c r="AN166" s="3">
        <v>46010</v>
      </c>
      <c r="AO166" s="4">
        <v>248.1113</v>
      </c>
      <c r="AP166" s="74">
        <v>46010</v>
      </c>
      <c r="AQ166" s="4">
        <v>245.69</v>
      </c>
      <c r="AR166" s="6">
        <f t="shared" si="14"/>
        <v>46010</v>
      </c>
    </row>
    <row r="167" spans="1:44" x14ac:dyDescent="0.25">
      <c r="A167" s="37" t="str">
        <f ca="1">IF(AND(ISBLANK(AK156), A166 = $AK$1),NOW(),IF(ISBLANK(AK156),"",AK156))</f>
        <v/>
      </c>
      <c r="B167" s="38" t="str">
        <f ca="1">IF(COUNTIF($AK$2:AK1152,A167)=1,VLOOKUP(A167,AA:AB,2), IF(COUNTIF($AK$2:AK1152,A167)=0,$B$9,""))</f>
        <v/>
      </c>
      <c r="C167" s="2" t="str">
        <f t="shared" ca="1" si="15"/>
        <v/>
      </c>
      <c r="D167" s="41" t="str">
        <f t="shared" ca="1" si="16"/>
        <v/>
      </c>
      <c r="E167" s="78" t="str">
        <f ca="1">IF(COUNTIF($U$2:U1152,A167)=1,VLOOKUP(A167,U:V,2), "")</f>
        <v/>
      </c>
      <c r="F167" s="78" t="str">
        <f ca="1">IF(COUNTIF($W$2:W1152,A167)=1,VLOOKUP(A167,W:X,2), IF(COUNTIF($W$2:W1152,A167)=0,$E$9,""))</f>
        <v/>
      </c>
      <c r="G167" s="93"/>
      <c r="H167" s="93"/>
      <c r="I167" s="38" t="str">
        <f ca="1">IF(COUNTIF($AK$2:AK1152,A167)=1,VLOOKUP(A167,AC:AD,2), IF(COUNTIF($AK$2:AK1152,A167)=0,$C$9,""))</f>
        <v/>
      </c>
      <c r="J167" s="2" t="str">
        <f t="shared" ca="1" si="17"/>
        <v/>
      </c>
      <c r="K167" s="41" t="str">
        <f t="shared" ca="1" si="18"/>
        <v/>
      </c>
      <c r="L167" s="38" t="str">
        <f ca="1">IF(COUNTIF($AK$2:AK1152,A167)=1,VLOOKUP(A167,AN:AO,2), IF(COUNTIF($AK$2:AK1152,A167)=0,$D$9,""))</f>
        <v/>
      </c>
      <c r="M167" s="41" t="str">
        <f ca="1">IF(ISERROR(L167-2),"",(L167/$L$14-1)*$D$5)</f>
        <v/>
      </c>
      <c r="N167" s="41" t="str">
        <f ca="1">IF($A167="","",IF(COUNTIFS(Dividends!$G:$G,"&gt;"&amp;INT($A166),Dividends!$G:$G,"&lt;="&amp;INT($A167))=0,"",$R$2*SUMIFS(Dividends!$H:$H,Dividends!$G:$G,"&gt;"&amp;INT($A166),Dividends!$G:$G,"&lt;="&amp;INT($A167))))</f>
        <v/>
      </c>
      <c r="O167" s="42" t="str">
        <f ca="1">IF(ISERROR(B167-2),"",C167+D167-J167-K167-M167+SUM($N$14:N167))</f>
        <v/>
      </c>
      <c r="P167" s="80"/>
      <c r="Q167" s="80"/>
      <c r="R167" s="87"/>
      <c r="S167" s="87"/>
      <c r="T167" s="87"/>
      <c r="U167" s="108"/>
      <c r="V167" s="87"/>
      <c r="W167" s="108"/>
      <c r="X167" s="87"/>
      <c r="Y167" s="87"/>
      <c r="AI167" s="3" t="str">
        <f>IF(COUNTIF(AC:AC,AA167)*COUNTIF(AE:AE,AA167)*COUNTIF(AG:AG,AA167),AA167,"")</f>
        <v/>
      </c>
      <c r="AJ167" s="3" t="str">
        <f t="shared" si="13"/>
        <v/>
      </c>
      <c r="AN167" s="3">
        <v>46013</v>
      </c>
      <c r="AO167" s="4">
        <v>248.3845</v>
      </c>
      <c r="AP167" s="74">
        <v>46013</v>
      </c>
      <c r="AQ167" s="4">
        <v>244.00800000000001</v>
      </c>
      <c r="AR167" s="6">
        <f t="shared" si="14"/>
        <v>46013</v>
      </c>
    </row>
    <row r="168" spans="1:44" x14ac:dyDescent="0.25">
      <c r="A168" s="37" t="str">
        <f ca="1">IF(AND(ISBLANK(AK157), A167 = $AK$1),NOW(),IF(ISBLANK(AK157),"",AK157))</f>
        <v/>
      </c>
      <c r="B168" s="38" t="str">
        <f ca="1">IF(COUNTIF($AK$2:AK1153,A168)=1,VLOOKUP(A168,AA:AB,2), IF(COUNTIF($AK$2:AK1153,A168)=0,$B$9,""))</f>
        <v/>
      </c>
      <c r="C168" s="2" t="str">
        <f t="shared" ca="1" si="15"/>
        <v/>
      </c>
      <c r="D168" s="41" t="str">
        <f t="shared" ca="1" si="16"/>
        <v/>
      </c>
      <c r="E168" s="78" t="str">
        <f ca="1">IF(COUNTIF($U$2:U1153,A168)=1,VLOOKUP(A168,U:V,2), "")</f>
        <v/>
      </c>
      <c r="F168" s="78" t="str">
        <f ca="1">IF(COUNTIF($W$2:W1153,A168)=1,VLOOKUP(A168,W:X,2), IF(COUNTIF($W$2:W1153,A168)=0,$E$9,""))</f>
        <v/>
      </c>
      <c r="G168" s="93"/>
      <c r="H168" s="93"/>
      <c r="I168" s="38" t="str">
        <f ca="1">IF(COUNTIF($AK$2:AK1153,A168)=1,VLOOKUP(A168,AC:AD,2), IF(COUNTIF($AK$2:AK1153,A168)=0,$C$9,""))</f>
        <v/>
      </c>
      <c r="J168" s="2" t="str">
        <f t="shared" ca="1" si="17"/>
        <v/>
      </c>
      <c r="K168" s="41" t="str">
        <f t="shared" ca="1" si="18"/>
        <v/>
      </c>
      <c r="L168" s="38" t="str">
        <f ca="1">IF(COUNTIF($AK$2:AK1153,A168)=1,VLOOKUP(A168,AN:AO,2), IF(COUNTIF($AK$2:AK1153,A168)=0,$D$9,""))</f>
        <v/>
      </c>
      <c r="M168" s="41" t="str">
        <f ca="1">IF(ISERROR(L168-2),"",(L168/$L$14-1)*$D$5)</f>
        <v/>
      </c>
      <c r="N168" s="41" t="str">
        <f ca="1">IF($A168="","",IF(COUNTIFS(Dividends!$G:$G,"&gt;"&amp;INT($A167),Dividends!$G:$G,"&lt;="&amp;INT($A168))=0,"",$R$2*SUMIFS(Dividends!$H:$H,Dividends!$G:$G,"&gt;"&amp;INT($A167),Dividends!$G:$G,"&lt;="&amp;INT($A168))))</f>
        <v/>
      </c>
      <c r="O168" s="42" t="str">
        <f ca="1">IF(ISERROR(B168-2),"",C168+D168-J168-K168-M168+SUM($N$14:N168))</f>
        <v/>
      </c>
      <c r="P168" s="80"/>
      <c r="Q168" s="80"/>
      <c r="R168" s="87"/>
      <c r="S168" s="87"/>
      <c r="T168" s="87"/>
      <c r="U168" s="108"/>
      <c r="V168" s="87"/>
      <c r="W168" s="108"/>
      <c r="X168" s="87"/>
      <c r="Y168" s="87"/>
      <c r="AI168" s="3" t="str">
        <f>IF(COUNTIF(AC:AC,AA168)*COUNTIF(AE:AE,AA168)*COUNTIF(AG:AG,AA168),AA168,"")</f>
        <v/>
      </c>
      <c r="AJ168" s="3" t="str">
        <f t="shared" si="13"/>
        <v/>
      </c>
      <c r="AN168" s="3">
        <v>46014</v>
      </c>
      <c r="AO168" s="4">
        <v>248.27979999999999</v>
      </c>
      <c r="AP168" s="74">
        <v>46014</v>
      </c>
      <c r="AQ168" s="4">
        <v>244.649</v>
      </c>
      <c r="AR168" s="6">
        <f t="shared" si="14"/>
        <v>46014</v>
      </c>
    </row>
    <row r="169" spans="1:44" x14ac:dyDescent="0.25">
      <c r="A169" s="37" t="str">
        <f ca="1">IF(AND(ISBLANK(AK158), A168 = $AK$1),NOW(),IF(ISBLANK(AK158),"",AK158))</f>
        <v/>
      </c>
      <c r="B169" s="38" t="str">
        <f ca="1">IF(COUNTIF($AK$2:AK1154,A169)=1,VLOOKUP(A169,AA:AB,2), IF(COUNTIF($AK$2:AK1154,A169)=0,$B$9,""))</f>
        <v/>
      </c>
      <c r="C169" s="2" t="str">
        <f t="shared" ca="1" si="15"/>
        <v/>
      </c>
      <c r="D169" s="41" t="str">
        <f t="shared" ca="1" si="16"/>
        <v/>
      </c>
      <c r="E169" s="78" t="str">
        <f ca="1">IF(COUNTIF($U$2:U1154,A169)=1,VLOOKUP(A169,U:V,2), "")</f>
        <v/>
      </c>
      <c r="F169" s="78" t="str">
        <f ca="1">IF(COUNTIF($W$2:W1154,A169)=1,VLOOKUP(A169,W:X,2), IF(COUNTIF($W$2:W1154,A169)=0,$E$9,""))</f>
        <v/>
      </c>
      <c r="G169" s="93"/>
      <c r="H169" s="93"/>
      <c r="I169" s="38" t="str">
        <f ca="1">IF(COUNTIF($AK$2:AK1154,A169)=1,VLOOKUP(A169,AC:AD,2), IF(COUNTIF($AK$2:AK1154,A169)=0,$C$9,""))</f>
        <v/>
      </c>
      <c r="J169" s="2" t="str">
        <f t="shared" ca="1" si="17"/>
        <v/>
      </c>
      <c r="K169" s="41" t="str">
        <f t="shared" ca="1" si="18"/>
        <v/>
      </c>
      <c r="L169" s="38" t="str">
        <f ca="1">IF(COUNTIF($AK$2:AK1154,A169)=1,VLOOKUP(A169,AN:AO,2), IF(COUNTIF($AK$2:AK1154,A169)=0,$D$9,""))</f>
        <v/>
      </c>
      <c r="M169" s="41" t="str">
        <f ca="1">IF(ISERROR(L169-2),"",(L169/$L$14-1)*$D$5)</f>
        <v/>
      </c>
      <c r="N169" s="41" t="str">
        <f ca="1">IF($A169="","",IF(COUNTIFS(Dividends!$G:$G,"&gt;"&amp;INT($A168),Dividends!$G:$G,"&lt;="&amp;INT($A169))=0,"",$R$2*SUMIFS(Dividends!$H:$H,Dividends!$G:$G,"&gt;"&amp;INT($A168),Dividends!$G:$G,"&lt;="&amp;INT($A169))))</f>
        <v/>
      </c>
      <c r="O169" s="42" t="str">
        <f ca="1">IF(ISERROR(B169-2),"",C169+D169-J169-K169-M169+SUM($N$14:N169))</f>
        <v/>
      </c>
      <c r="P169" s="80"/>
      <c r="Q169" s="80"/>
      <c r="R169" s="87"/>
      <c r="S169" s="87"/>
      <c r="T169" s="87"/>
      <c r="U169" s="108"/>
      <c r="V169" s="87"/>
      <c r="W169" s="108"/>
      <c r="X169" s="87"/>
      <c r="Y169" s="87"/>
      <c r="AI169" s="3" t="str">
        <f>IF(COUNTIF(AC:AC,AA169)*COUNTIF(AE:AE,AA169)*COUNTIF(AG:AG,AA169),AA169,"")</f>
        <v/>
      </c>
      <c r="AJ169" s="3" t="str">
        <f t="shared" si="13"/>
        <v/>
      </c>
      <c r="AN169" s="3">
        <v>46015</v>
      </c>
      <c r="AO169" s="4">
        <v>248.3295</v>
      </c>
      <c r="AP169" s="74">
        <v>46015</v>
      </c>
      <c r="AQ169" s="4">
        <v>244.44200000000001</v>
      </c>
      <c r="AR169" s="6">
        <f t="shared" si="14"/>
        <v>46015</v>
      </c>
    </row>
    <row r="170" spans="1:44" x14ac:dyDescent="0.25">
      <c r="A170" s="37" t="str">
        <f ca="1">IF(AND(ISBLANK(AK159), A169 = $AK$1),NOW(),IF(ISBLANK(AK159),"",AK159))</f>
        <v/>
      </c>
      <c r="B170" s="38" t="str">
        <f ca="1">IF(COUNTIF($AK$2:AK1155,A170)=1,VLOOKUP(A170,AA:AB,2), IF(COUNTIF($AK$2:AK1155,A170)=0,$B$9,""))</f>
        <v/>
      </c>
      <c r="C170" s="2" t="str">
        <f t="shared" ca="1" si="15"/>
        <v/>
      </c>
      <c r="D170" s="41" t="str">
        <f t="shared" ca="1" si="16"/>
        <v/>
      </c>
      <c r="E170" s="78" t="str">
        <f ca="1">IF(COUNTIF($U$2:U1155,A170)=1,VLOOKUP(A170,U:V,2), "")</f>
        <v/>
      </c>
      <c r="F170" s="78" t="str">
        <f ca="1">IF(COUNTIF($W$2:W1155,A170)=1,VLOOKUP(A170,W:X,2), IF(COUNTIF($W$2:W1155,A170)=0,$E$9,""))</f>
        <v/>
      </c>
      <c r="G170" s="93"/>
      <c r="H170" s="93"/>
      <c r="I170" s="38" t="str">
        <f ca="1">IF(COUNTIF($AK$2:AK1155,A170)=1,VLOOKUP(A170,AC:AD,2), IF(COUNTIF($AK$2:AK1155,A170)=0,$C$9,""))</f>
        <v/>
      </c>
      <c r="J170" s="2" t="str">
        <f t="shared" ca="1" si="17"/>
        <v/>
      </c>
      <c r="K170" s="41" t="str">
        <f t="shared" ca="1" si="18"/>
        <v/>
      </c>
      <c r="L170" s="38" t="str">
        <f ca="1">IF(COUNTIF($AK$2:AK1155,A170)=1,VLOOKUP(A170,AN:AO,2), IF(COUNTIF($AK$2:AK1155,A170)=0,$D$9,""))</f>
        <v/>
      </c>
      <c r="M170" s="41" t="str">
        <f ca="1">IF(ISERROR(L170-2),"",(L170/$L$14-1)*$D$5)</f>
        <v/>
      </c>
      <c r="N170" s="41" t="str">
        <f ca="1">IF($A170="","",IF(COUNTIFS(Dividends!$G:$G,"&gt;"&amp;INT($A169),Dividends!$G:$G,"&lt;="&amp;INT($A170))=0,"",$R$2*SUMIFS(Dividends!$H:$H,Dividends!$G:$G,"&gt;"&amp;INT($A169),Dividends!$G:$G,"&lt;="&amp;INT($A170))))</f>
        <v/>
      </c>
      <c r="O170" s="42" t="str">
        <f ca="1">IF(ISERROR(B170-2),"",C170+D170-J170-K170-M170+SUM($N$14:N170))</f>
        <v/>
      </c>
      <c r="P170" s="80"/>
      <c r="Q170" s="80"/>
      <c r="R170" s="87"/>
      <c r="S170" s="87"/>
      <c r="T170" s="87"/>
      <c r="U170" s="108"/>
      <c r="V170" s="87"/>
      <c r="W170" s="108"/>
      <c r="X170" s="87"/>
      <c r="Y170" s="87"/>
      <c r="AI170" s="3" t="str">
        <f>IF(COUNTIF(AC:AC,AA170)*COUNTIF(AE:AE,AA170)*COUNTIF(AG:AG,AA170),AA170,"")</f>
        <v/>
      </c>
      <c r="AJ170" s="3" t="str">
        <f t="shared" si="13"/>
        <v/>
      </c>
      <c r="AN170" s="3">
        <v>46020</v>
      </c>
      <c r="AO170" s="4">
        <v>248.321</v>
      </c>
      <c r="AP170" s="74">
        <v>46020</v>
      </c>
      <c r="AQ170" s="4">
        <v>245.09</v>
      </c>
      <c r="AR170" s="6">
        <f t="shared" si="14"/>
        <v>46020</v>
      </c>
    </row>
    <row r="171" spans="1:44" x14ac:dyDescent="0.25">
      <c r="A171" s="37" t="str">
        <f ca="1">IF(AND(ISBLANK(AK160), A170 = $AK$1),NOW(),IF(ISBLANK(AK160),"",AK160))</f>
        <v/>
      </c>
      <c r="B171" s="38" t="str">
        <f ca="1">IF(COUNTIF($AK$2:AK1156,A171)=1,VLOOKUP(A171,AA:AB,2), IF(COUNTIF($AK$2:AK1156,A171)=0,$B$9,""))</f>
        <v/>
      </c>
      <c r="C171" s="2" t="str">
        <f t="shared" ca="1" si="15"/>
        <v/>
      </c>
      <c r="D171" s="41" t="str">
        <f t="shared" ca="1" si="16"/>
        <v/>
      </c>
      <c r="E171" s="78" t="str">
        <f ca="1">IF(COUNTIF($U$2:U1156,A171)=1,VLOOKUP(A171,U:V,2), "")</f>
        <v/>
      </c>
      <c r="F171" s="78" t="str">
        <f ca="1">IF(COUNTIF($W$2:W1156,A171)=1,VLOOKUP(A171,W:X,2), IF(COUNTIF($W$2:W1156,A171)=0,$E$9,""))</f>
        <v/>
      </c>
      <c r="G171" s="93"/>
      <c r="H171" s="93"/>
      <c r="I171" s="38" t="str">
        <f ca="1">IF(COUNTIF($AK$2:AK1156,A171)=1,VLOOKUP(A171,AC:AD,2), IF(COUNTIF($AK$2:AK1156,A171)=0,$C$9,""))</f>
        <v/>
      </c>
      <c r="J171" s="2" t="str">
        <f t="shared" ca="1" si="17"/>
        <v/>
      </c>
      <c r="K171" s="41" t="str">
        <f t="shared" ca="1" si="18"/>
        <v/>
      </c>
      <c r="L171" s="38" t="str">
        <f ca="1">IF(COUNTIF($AK$2:AK1156,A171)=1,VLOOKUP(A171,AN:AO,2), IF(COUNTIF($AK$2:AK1156,A171)=0,$D$9,""))</f>
        <v/>
      </c>
      <c r="M171" s="41" t="str">
        <f ca="1">IF(ISERROR(L171-2),"",(L171/$L$14-1)*$D$5)</f>
        <v/>
      </c>
      <c r="N171" s="41" t="str">
        <f ca="1">IF($A171="","",IF(COUNTIFS(Dividends!$G:$G,"&gt;"&amp;INT($A170),Dividends!$G:$G,"&lt;="&amp;INT($A171))=0,"",$R$2*SUMIFS(Dividends!$H:$H,Dividends!$G:$G,"&gt;"&amp;INT($A170),Dividends!$G:$G,"&lt;="&amp;INT($A171))))</f>
        <v/>
      </c>
      <c r="O171" s="42" t="str">
        <f ca="1">IF(ISERROR(B171-2),"",C171+D171-J171-K171-M171+SUM($N$14:N171))</f>
        <v/>
      </c>
      <c r="P171" s="80"/>
      <c r="Q171" s="80"/>
      <c r="R171" s="87"/>
      <c r="S171" s="87"/>
      <c r="T171" s="87"/>
      <c r="U171" s="108"/>
      <c r="V171" s="87"/>
      <c r="W171" s="108"/>
      <c r="X171" s="87"/>
      <c r="Y171" s="87"/>
      <c r="AI171" s="3" t="str">
        <f>IF(COUNTIF(AC:AC,AA171)*COUNTIF(AE:AE,AA171)*COUNTIF(AG:AG,AA171),AA171,"")</f>
        <v/>
      </c>
      <c r="AJ171" s="3" t="str">
        <f t="shared" si="13"/>
        <v/>
      </c>
      <c r="AN171" s="3">
        <v>46021</v>
      </c>
      <c r="AO171" s="4">
        <v>248.6404</v>
      </c>
      <c r="AP171" s="74">
        <v>46021</v>
      </c>
      <c r="AQ171" s="4">
        <v>244.19900000000001</v>
      </c>
      <c r="AR171" s="6">
        <f t="shared" si="14"/>
        <v>46021</v>
      </c>
    </row>
    <row r="172" spans="1:44" x14ac:dyDescent="0.25">
      <c r="A172" s="37" t="str">
        <f ca="1">IF(AND(ISBLANK(AK161), A171 = $AK$1),NOW(),IF(ISBLANK(AK161),"",AK161))</f>
        <v/>
      </c>
      <c r="B172" s="38" t="str">
        <f ca="1">IF(COUNTIF($AK$2:AK1157,A172)=1,VLOOKUP(A172,AA:AB,2), IF(COUNTIF($AK$2:AK1157,A172)=0,$B$9,""))</f>
        <v/>
      </c>
      <c r="C172" s="2" t="str">
        <f t="shared" ca="1" si="15"/>
        <v/>
      </c>
      <c r="D172" s="41" t="str">
        <f t="shared" ca="1" si="16"/>
        <v/>
      </c>
      <c r="E172" s="78" t="str">
        <f ca="1">IF(COUNTIF($U$2:U1157,A172)=1,VLOOKUP(A172,U:V,2), "")</f>
        <v/>
      </c>
      <c r="F172" s="78" t="str">
        <f ca="1">IF(COUNTIF($W$2:W1157,A172)=1,VLOOKUP(A172,W:X,2), IF(COUNTIF($W$2:W1157,A172)=0,$E$9,""))</f>
        <v/>
      </c>
      <c r="G172" s="93"/>
      <c r="H172" s="93"/>
      <c r="I172" s="38" t="str">
        <f ca="1">IF(COUNTIF($AK$2:AK1157,A172)=1,VLOOKUP(A172,AC:AD,2), IF(COUNTIF($AK$2:AK1157,A172)=0,$C$9,""))</f>
        <v/>
      </c>
      <c r="J172" s="2" t="str">
        <f t="shared" ca="1" si="17"/>
        <v/>
      </c>
      <c r="K172" s="41" t="str">
        <f t="shared" ca="1" si="18"/>
        <v/>
      </c>
      <c r="L172" s="38" t="str">
        <f ca="1">IF(COUNTIF($AK$2:AK1157,A172)=1,VLOOKUP(A172,AN:AO,2), IF(COUNTIF($AK$2:AK1157,A172)=0,$D$9,""))</f>
        <v/>
      </c>
      <c r="M172" s="41" t="str">
        <f ca="1">IF(ISERROR(L172-2),"",(L172/$L$14-1)*$D$5)</f>
        <v/>
      </c>
      <c r="N172" s="41" t="str">
        <f ca="1">IF($A172="","",IF(COUNTIFS(Dividends!$G:$G,"&gt;"&amp;INT($A171),Dividends!$G:$G,"&lt;="&amp;INT($A172))=0,"",$R$2*SUMIFS(Dividends!$H:$H,Dividends!$G:$G,"&gt;"&amp;INT($A171),Dividends!$G:$G,"&lt;="&amp;INT($A172))))</f>
        <v/>
      </c>
      <c r="O172" s="42" t="str">
        <f ca="1">IF(ISERROR(B172-2),"",C172+D172-J172-K172-M172+SUM($N$14:N172))</f>
        <v/>
      </c>
      <c r="P172" s="80"/>
      <c r="Q172" s="80"/>
      <c r="R172" s="87"/>
      <c r="S172" s="87"/>
      <c r="T172" s="87"/>
      <c r="U172" s="108"/>
      <c r="V172" s="87"/>
      <c r="W172" s="108"/>
      <c r="X172" s="87"/>
      <c r="Y172" s="87"/>
      <c r="AI172" s="3" t="str">
        <f>IF(COUNTIF(AC:AC,AA172)*COUNTIF(AE:AE,AA172)*COUNTIF(AG:AG,AA172),AA172,"")</f>
        <v/>
      </c>
      <c r="AJ172" s="3" t="str">
        <f t="shared" si="13"/>
        <v/>
      </c>
      <c r="AN172" s="3">
        <v>46022</v>
      </c>
      <c r="AO172" s="4">
        <v>248.5951</v>
      </c>
      <c r="AP172" s="74">
        <v>46022</v>
      </c>
      <c r="AQ172" s="4">
        <v>244.239</v>
      </c>
      <c r="AR172" s="6">
        <f t="shared" si="14"/>
        <v>46022</v>
      </c>
    </row>
    <row r="173" spans="1:44" x14ac:dyDescent="0.25">
      <c r="A173" s="37" t="str">
        <f ca="1">IF(AND(ISBLANK(AK162), A172 = $AK$1),NOW(),IF(ISBLANK(AK162),"",AK162))</f>
        <v/>
      </c>
      <c r="B173" s="38" t="str">
        <f ca="1">IF(COUNTIF($AK$2:AK1158,A173)=1,VLOOKUP(A173,AA:AB,2), IF(COUNTIF($AK$2:AK1158,A173)=0,$B$9,""))</f>
        <v/>
      </c>
      <c r="C173" s="2" t="str">
        <f t="shared" ca="1" si="15"/>
        <v/>
      </c>
      <c r="D173" s="41" t="str">
        <f t="shared" ca="1" si="16"/>
        <v/>
      </c>
      <c r="E173" s="78" t="str">
        <f ca="1">IF(COUNTIF($U$2:U1158,A173)=1,VLOOKUP(A173,U:V,2), "")</f>
        <v/>
      </c>
      <c r="F173" s="78" t="str">
        <f ca="1">IF(COUNTIF($W$2:W1158,A173)=1,VLOOKUP(A173,W:X,2), IF(COUNTIF($W$2:W1158,A173)=0,$E$9,""))</f>
        <v/>
      </c>
      <c r="G173" s="93"/>
      <c r="H173" s="93"/>
      <c r="I173" s="38" t="str">
        <f ca="1">IF(COUNTIF($AK$2:AK1158,A173)=1,VLOOKUP(A173,AC:AD,2), IF(COUNTIF($AK$2:AK1158,A173)=0,$C$9,""))</f>
        <v/>
      </c>
      <c r="J173" s="2" t="str">
        <f t="shared" ca="1" si="17"/>
        <v/>
      </c>
      <c r="K173" s="41" t="str">
        <f t="shared" ca="1" si="18"/>
        <v/>
      </c>
      <c r="L173" s="38" t="str">
        <f ca="1">IF(COUNTIF($AK$2:AK1158,A173)=1,VLOOKUP(A173,AN:AO,2), IF(COUNTIF($AK$2:AK1158,A173)=0,$D$9,""))</f>
        <v/>
      </c>
      <c r="M173" s="41" t="str">
        <f ca="1">IF(ISERROR(L173-2),"",(L173/$L$14-1)*$D$5)</f>
        <v/>
      </c>
      <c r="N173" s="41" t="str">
        <f ca="1">IF($A173="","",IF(COUNTIFS(Dividends!$G:$G,"&gt;"&amp;INT($A172),Dividends!$G:$G,"&lt;="&amp;INT($A173))=0,"",$R$2*SUMIFS(Dividends!$H:$H,Dividends!$G:$G,"&gt;"&amp;INT($A172),Dividends!$G:$G,"&lt;="&amp;INT($A173))))</f>
        <v/>
      </c>
      <c r="O173" s="42" t="str">
        <f ca="1">IF(ISERROR(B173-2),"",C173+D173-J173-K173-M173+SUM($N$14:N173))</f>
        <v/>
      </c>
      <c r="P173" s="80"/>
      <c r="Q173" s="80"/>
      <c r="R173" s="87"/>
      <c r="S173" s="87"/>
      <c r="T173" s="87"/>
      <c r="U173" s="108"/>
      <c r="V173" s="87"/>
      <c r="W173" s="108"/>
      <c r="X173" s="87"/>
      <c r="Y173" s="87"/>
      <c r="AI173" s="3" t="str">
        <f>IF(COUNTIF(AC:AC,AA173)*COUNTIF(AE:AE,AA173)*COUNTIF(AG:AG,AA173),AA173,"")</f>
        <v/>
      </c>
      <c r="AJ173" s="3" t="str">
        <f t="shared" si="13"/>
        <v/>
      </c>
      <c r="AN173" s="3">
        <v>46024</v>
      </c>
      <c r="AO173" s="4">
        <v>248.6541</v>
      </c>
      <c r="AP173" s="74">
        <v>46024</v>
      </c>
      <c r="AQ173" s="4">
        <v>243.732</v>
      </c>
      <c r="AR173" s="6">
        <f t="shared" si="14"/>
        <v>46024</v>
      </c>
    </row>
    <row r="174" spans="1:44" x14ac:dyDescent="0.25">
      <c r="A174" s="37" t="str">
        <f ca="1">IF(AND(ISBLANK(AK163), A173 = $AK$1),NOW(),IF(ISBLANK(AK163),"",AK163))</f>
        <v/>
      </c>
      <c r="B174" s="38" t="str">
        <f ca="1">IF(COUNTIF($AK$2:AK1159,A174)=1,VLOOKUP(A174,AA:AB,2), IF(COUNTIF($AK$2:AK1159,A174)=0,$B$9,""))</f>
        <v/>
      </c>
      <c r="C174" s="2" t="str">
        <f t="shared" ca="1" si="15"/>
        <v/>
      </c>
      <c r="D174" s="41" t="str">
        <f t="shared" ca="1" si="16"/>
        <v/>
      </c>
      <c r="E174" s="78" t="str">
        <f ca="1">IF(COUNTIF($U$2:U1159,A174)=1,VLOOKUP(A174,U:V,2), "")</f>
        <v/>
      </c>
      <c r="F174" s="78" t="str">
        <f ca="1">IF(COUNTIF($W$2:W1159,A174)=1,VLOOKUP(A174,W:X,2), IF(COUNTIF($W$2:W1159,A174)=0,$E$9,""))</f>
        <v/>
      </c>
      <c r="G174" s="93"/>
      <c r="H174" s="93"/>
      <c r="I174" s="38" t="str">
        <f ca="1">IF(COUNTIF($AK$2:AK1159,A174)=1,VLOOKUP(A174,AC:AD,2), IF(COUNTIF($AK$2:AK1159,A174)=0,$C$9,""))</f>
        <v/>
      </c>
      <c r="J174" s="2" t="str">
        <f t="shared" ca="1" si="17"/>
        <v/>
      </c>
      <c r="K174" s="41" t="str">
        <f t="shared" ca="1" si="18"/>
        <v/>
      </c>
      <c r="L174" s="38" t="str">
        <f ca="1">IF(COUNTIF($AK$2:AK1159,A174)=1,VLOOKUP(A174,AN:AO,2), IF(COUNTIF($AK$2:AK1159,A174)=0,$D$9,""))</f>
        <v/>
      </c>
      <c r="M174" s="41" t="str">
        <f ca="1">IF(ISERROR(L174-2),"",(L174/$L$14-1)*$D$5)</f>
        <v/>
      </c>
      <c r="N174" s="41" t="str">
        <f ca="1">IF($A174="","",IF(COUNTIFS(Dividends!$G:$G,"&gt;"&amp;INT($A173),Dividends!$G:$G,"&lt;="&amp;INT($A174))=0,"",$R$2*SUMIFS(Dividends!$H:$H,Dividends!$G:$G,"&gt;"&amp;INT($A173),Dividends!$G:$G,"&lt;="&amp;INT($A174))))</f>
        <v/>
      </c>
      <c r="O174" s="42" t="str">
        <f ca="1">IF(ISERROR(B174-2),"",C174+D174-J174-K174-M174+SUM($N$14:N174))</f>
        <v/>
      </c>
      <c r="P174" s="80"/>
      <c r="Q174" s="80"/>
      <c r="R174" s="87"/>
      <c r="S174" s="87"/>
      <c r="T174" s="87"/>
      <c r="U174" s="108"/>
      <c r="V174" s="87"/>
      <c r="W174" s="108"/>
      <c r="X174" s="87"/>
      <c r="Y174" s="87"/>
      <c r="AI174" s="3" t="str">
        <f>IF(COUNTIF(AC:AC,AA174)*COUNTIF(AE:AE,AA174)*COUNTIF(AG:AG,AA174),AA174,"")</f>
        <v/>
      </c>
      <c r="AJ174" s="3" t="str">
        <f t="shared" si="13"/>
        <v/>
      </c>
      <c r="AN174" s="3">
        <v>46027</v>
      </c>
      <c r="AO174" s="4">
        <v>248.83519999999999</v>
      </c>
      <c r="AP174" s="74">
        <v>46027</v>
      </c>
      <c r="AQ174" s="4">
        <v>242.14599999999999</v>
      </c>
      <c r="AR174" s="6">
        <f t="shared" si="14"/>
        <v>46027</v>
      </c>
    </row>
    <row r="175" spans="1:44" x14ac:dyDescent="0.25">
      <c r="A175" s="37" t="str">
        <f ca="1">IF(AND(ISBLANK(AK164), A174 = $AK$1),NOW(),IF(ISBLANK(AK164),"",AK164))</f>
        <v/>
      </c>
      <c r="B175" s="38" t="str">
        <f ca="1">IF(COUNTIF($AK$2:AK1160,A175)=1,VLOOKUP(A175,AA:AB,2), IF(COUNTIF($AK$2:AK1160,A175)=0,$B$9,""))</f>
        <v/>
      </c>
      <c r="C175" s="2" t="str">
        <f t="shared" ca="1" si="15"/>
        <v/>
      </c>
      <c r="D175" s="41" t="str">
        <f t="shared" ca="1" si="16"/>
        <v/>
      </c>
      <c r="E175" s="78" t="str">
        <f ca="1">IF(COUNTIF($U$2:U1160,A175)=1,VLOOKUP(A175,U:V,2), "")</f>
        <v/>
      </c>
      <c r="F175" s="78" t="str">
        <f ca="1">IF(COUNTIF($W$2:W1160,A175)=1,VLOOKUP(A175,W:X,2), IF(COUNTIF($W$2:W1160,A175)=0,$E$9,""))</f>
        <v/>
      </c>
      <c r="G175" s="93"/>
      <c r="H175" s="93"/>
      <c r="I175" s="38" t="str">
        <f ca="1">IF(COUNTIF($AK$2:AK1160,A175)=1,VLOOKUP(A175,AC:AD,2), IF(COUNTIF($AK$2:AK1160,A175)=0,$C$9,""))</f>
        <v/>
      </c>
      <c r="J175" s="2" t="str">
        <f t="shared" ca="1" si="17"/>
        <v/>
      </c>
      <c r="K175" s="41" t="str">
        <f t="shared" ca="1" si="18"/>
        <v/>
      </c>
      <c r="L175" s="38" t="str">
        <f ca="1">IF(COUNTIF($AK$2:AK1160,A175)=1,VLOOKUP(A175,AN:AO,2), IF(COUNTIF($AK$2:AK1160,A175)=0,$D$9,""))</f>
        <v/>
      </c>
      <c r="M175" s="41" t="str">
        <f ca="1">IF(ISERROR(L175-2),"",(L175/$L$14-1)*$D$5)</f>
        <v/>
      </c>
      <c r="N175" s="41" t="str">
        <f ca="1">IF($A175="","",IF(COUNTIFS(Dividends!$G:$G,"&gt;"&amp;INT($A174),Dividends!$G:$G,"&lt;="&amp;INT($A175))=0,"",$R$2*SUMIFS(Dividends!$H:$H,Dividends!$G:$G,"&gt;"&amp;INT($A174),Dividends!$G:$G,"&lt;="&amp;INT($A175))))</f>
        <v/>
      </c>
      <c r="O175" s="42" t="str">
        <f ca="1">IF(ISERROR(B175-2),"",C175+D175-J175-K175-M175+SUM($N$14:N175))</f>
        <v/>
      </c>
      <c r="P175" s="80"/>
      <c r="Q175" s="80"/>
      <c r="R175" s="87"/>
      <c r="S175" s="87"/>
      <c r="T175" s="87"/>
      <c r="U175" s="108"/>
      <c r="V175" s="87"/>
      <c r="W175" s="108"/>
      <c r="X175" s="87"/>
      <c r="Y175" s="87"/>
      <c r="AI175" s="3" t="str">
        <f>IF(COUNTIF(AC:AC,AA175)*COUNTIF(AE:AE,AA175)*COUNTIF(AG:AG,AA175),AA175,"")</f>
        <v/>
      </c>
      <c r="AJ175" s="3" t="str">
        <f t="shared" si="13"/>
        <v/>
      </c>
      <c r="AN175" s="3">
        <v>46028</v>
      </c>
      <c r="AO175" s="4">
        <v>248.91249999999999</v>
      </c>
      <c r="AP175" s="74">
        <v>46028</v>
      </c>
      <c r="AQ175" s="4">
        <v>242.20400000000001</v>
      </c>
      <c r="AR175" s="6">
        <f t="shared" si="14"/>
        <v>46028</v>
      </c>
    </row>
    <row r="176" spans="1:44" x14ac:dyDescent="0.25">
      <c r="A176" s="37" t="str">
        <f ca="1">IF(AND(ISBLANK(AK165), A175 = $AK$1),NOW(),IF(ISBLANK(AK165),"",AK165))</f>
        <v/>
      </c>
      <c r="B176" s="38" t="str">
        <f ca="1">IF(COUNTIF($AK$2:AK1161,A176)=1,VLOOKUP(A176,AA:AB,2), IF(COUNTIF($AK$2:AK1161,A176)=0,$B$9,""))</f>
        <v/>
      </c>
      <c r="C176" s="2" t="str">
        <f t="shared" ca="1" si="15"/>
        <v/>
      </c>
      <c r="D176" s="41" t="str">
        <f t="shared" ca="1" si="16"/>
        <v/>
      </c>
      <c r="E176" s="78" t="str">
        <f ca="1">IF(COUNTIF($U$2:U1161,A176)=1,VLOOKUP(A176,U:V,2), "")</f>
        <v/>
      </c>
      <c r="F176" s="78" t="str">
        <f ca="1">IF(COUNTIF($W$2:W1161,A176)=1,VLOOKUP(A176,W:X,2), IF(COUNTIF($W$2:W1161,A176)=0,$E$9,""))</f>
        <v/>
      </c>
      <c r="G176" s="93"/>
      <c r="H176" s="93"/>
      <c r="I176" s="38" t="str">
        <f ca="1">IF(COUNTIF($AK$2:AK1161,A176)=1,VLOOKUP(A176,AC:AD,2), IF(COUNTIF($AK$2:AK1161,A176)=0,$C$9,""))</f>
        <v/>
      </c>
      <c r="J176" s="2" t="str">
        <f t="shared" ca="1" si="17"/>
        <v/>
      </c>
      <c r="K176" s="41" t="str">
        <f t="shared" ca="1" si="18"/>
        <v/>
      </c>
      <c r="L176" s="38" t="str">
        <f ca="1">IF(COUNTIF($AK$2:AK1161,A176)=1,VLOOKUP(A176,AN:AO,2), IF(COUNTIF($AK$2:AK1161,A176)=0,$D$9,""))</f>
        <v/>
      </c>
      <c r="M176" s="41" t="str">
        <f ca="1">IF(ISERROR(L176-2),"",(L176/$L$14-1)*$D$5)</f>
        <v/>
      </c>
      <c r="N176" s="41" t="str">
        <f ca="1">IF($A176="","",IF(COUNTIFS(Dividends!$G:$G,"&gt;"&amp;INT($A175),Dividends!$G:$G,"&lt;="&amp;INT($A176))=0,"",$R$2*SUMIFS(Dividends!$H:$H,Dividends!$G:$G,"&gt;"&amp;INT($A175),Dividends!$G:$G,"&lt;="&amp;INT($A176))))</f>
        <v/>
      </c>
      <c r="O176" s="42" t="str">
        <f ca="1">IF(ISERROR(B176-2),"",C176+D176-J176-K176-M176+SUM($N$14:N176))</f>
        <v/>
      </c>
      <c r="P176" s="80"/>
      <c r="Q176" s="80"/>
      <c r="R176" s="87"/>
      <c r="S176" s="87"/>
      <c r="T176" s="87"/>
      <c r="U176" s="108"/>
      <c r="V176" s="87"/>
      <c r="W176" s="108"/>
      <c r="X176" s="87"/>
      <c r="Y176" s="87"/>
      <c r="AI176" s="3" t="str">
        <f>IF(COUNTIF(AC:AC,AA176)*COUNTIF(AE:AE,AA176)*COUNTIF(AG:AG,AA176),AA176,"")</f>
        <v/>
      </c>
      <c r="AJ176" s="3" t="str">
        <f t="shared" si="13"/>
        <v/>
      </c>
      <c r="AN176" s="3">
        <v>46029</v>
      </c>
      <c r="AO176" s="4">
        <v>248.8612</v>
      </c>
      <c r="AP176" s="74">
        <v>46029</v>
      </c>
      <c r="AQ176" s="4">
        <v>242.517</v>
      </c>
      <c r="AR176" s="6">
        <f t="shared" si="14"/>
        <v>46029</v>
      </c>
    </row>
    <row r="177" spans="1:44" x14ac:dyDescent="0.25">
      <c r="A177" s="37" t="str">
        <f ca="1">IF(AND(ISBLANK(AK166), A176 = $AK$1),NOW(),IF(ISBLANK(AK166),"",AK166))</f>
        <v/>
      </c>
      <c r="B177" s="38" t="str">
        <f ca="1">IF(COUNTIF($AK$2:AK1162,A177)=1,VLOOKUP(A177,AA:AB,2), IF(COUNTIF($AK$2:AK1162,A177)=0,$B$9,""))</f>
        <v/>
      </c>
      <c r="C177" s="2" t="str">
        <f t="shared" ca="1" si="15"/>
        <v/>
      </c>
      <c r="D177" s="41" t="str">
        <f t="shared" ca="1" si="16"/>
        <v/>
      </c>
      <c r="E177" s="78" t="str">
        <f ca="1">IF(COUNTIF($U$2:U1162,A177)=1,VLOOKUP(A177,U:V,2), "")</f>
        <v/>
      </c>
      <c r="F177" s="78" t="str">
        <f ca="1">IF(COUNTIF($W$2:W1162,A177)=1,VLOOKUP(A177,W:X,2), IF(COUNTIF($W$2:W1162,A177)=0,$E$9,""))</f>
        <v/>
      </c>
      <c r="G177" s="93"/>
      <c r="H177" s="93"/>
      <c r="I177" s="38" t="str">
        <f ca="1">IF(COUNTIF($AK$2:AK1162,A177)=1,VLOOKUP(A177,AC:AD,2), IF(COUNTIF($AK$2:AK1162,A177)=0,$C$9,""))</f>
        <v/>
      </c>
      <c r="J177" s="2" t="str">
        <f t="shared" ca="1" si="17"/>
        <v/>
      </c>
      <c r="K177" s="41" t="str">
        <f t="shared" ca="1" si="18"/>
        <v/>
      </c>
      <c r="L177" s="38" t="str">
        <f ca="1">IF(COUNTIF($AK$2:AK1162,A177)=1,VLOOKUP(A177,AN:AO,2), IF(COUNTIF($AK$2:AK1162,A177)=0,$D$9,""))</f>
        <v/>
      </c>
      <c r="M177" s="41" t="str">
        <f ca="1">IF(ISERROR(L177-2),"",(L177/$L$14-1)*$D$5)</f>
        <v/>
      </c>
      <c r="N177" s="41" t="str">
        <f ca="1">IF($A177="","",IF(COUNTIFS(Dividends!$G:$G,"&gt;"&amp;INT($A176),Dividends!$G:$G,"&lt;="&amp;INT($A177))=0,"",$R$2*SUMIFS(Dividends!$H:$H,Dividends!$G:$G,"&gt;"&amp;INT($A176),Dividends!$G:$G,"&lt;="&amp;INT($A177))))</f>
        <v/>
      </c>
      <c r="O177" s="42" t="str">
        <f ca="1">IF(ISERROR(B177-2),"",C177+D177-J177-K177-M177+SUM($N$14:N177))</f>
        <v/>
      </c>
      <c r="P177" s="80"/>
      <c r="Q177" s="80"/>
      <c r="R177" s="87"/>
      <c r="S177" s="87"/>
      <c r="T177" s="87"/>
      <c r="U177" s="108"/>
      <c r="V177" s="87"/>
      <c r="W177" s="108"/>
      <c r="X177" s="87"/>
      <c r="Y177" s="87"/>
      <c r="AI177" s="3" t="str">
        <f>IF(COUNTIF(AC:AC,AA177)*COUNTIF(AE:AE,AA177)*COUNTIF(AG:AG,AA177),AA177,"")</f>
        <v/>
      </c>
      <c r="AJ177" s="3" t="str">
        <f t="shared" si="13"/>
        <v/>
      </c>
      <c r="AN177" s="3">
        <v>46030</v>
      </c>
      <c r="AO177" s="4">
        <v>248.84979999999999</v>
      </c>
      <c r="AP177" s="74">
        <v>46030</v>
      </c>
      <c r="AQ177" s="4">
        <v>242.678</v>
      </c>
      <c r="AR177" s="6">
        <f t="shared" si="14"/>
        <v>46030</v>
      </c>
    </row>
    <row r="178" spans="1:44" x14ac:dyDescent="0.25">
      <c r="A178" s="37" t="str">
        <f ca="1">IF(AND(ISBLANK(AK167), A177 = $AK$1),NOW(),IF(ISBLANK(AK167),"",AK167))</f>
        <v/>
      </c>
      <c r="B178" s="38" t="str">
        <f ca="1">IF(COUNTIF($AK$2:AK1163,A178)=1,VLOOKUP(A178,AA:AB,2), IF(COUNTIF($AK$2:AK1163,A178)=0,$B$9,""))</f>
        <v/>
      </c>
      <c r="C178" s="2" t="str">
        <f t="shared" ca="1" si="15"/>
        <v/>
      </c>
      <c r="D178" s="41" t="str">
        <f t="shared" ca="1" si="16"/>
        <v/>
      </c>
      <c r="E178" s="78" t="str">
        <f ca="1">IF(COUNTIF($U$2:U1163,A178)=1,VLOOKUP(A178,U:V,2), "")</f>
        <v/>
      </c>
      <c r="F178" s="78" t="str">
        <f ca="1">IF(COUNTIF($W$2:W1163,A178)=1,VLOOKUP(A178,W:X,2), IF(COUNTIF($W$2:W1163,A178)=0,$E$9,""))</f>
        <v/>
      </c>
      <c r="G178" s="93"/>
      <c r="H178" s="93"/>
      <c r="I178" s="38" t="str">
        <f ca="1">IF(COUNTIF($AK$2:AK1163,A178)=1,VLOOKUP(A178,AC:AD,2), IF(COUNTIF($AK$2:AK1163,A178)=0,$C$9,""))</f>
        <v/>
      </c>
      <c r="J178" s="2" t="str">
        <f t="shared" ca="1" si="17"/>
        <v/>
      </c>
      <c r="K178" s="41" t="str">
        <f t="shared" ca="1" si="18"/>
        <v/>
      </c>
      <c r="L178" s="38" t="str">
        <f ca="1">IF(COUNTIF($AK$2:AK1163,A178)=1,VLOOKUP(A178,AN:AO,2), IF(COUNTIF($AK$2:AK1163,A178)=0,$D$9,""))</f>
        <v/>
      </c>
      <c r="M178" s="41" t="str">
        <f ca="1">IF(ISERROR(L178-2),"",(L178/$L$14-1)*$D$5)</f>
        <v/>
      </c>
      <c r="N178" s="41" t="str">
        <f ca="1">IF($A178="","",IF(COUNTIFS(Dividends!$G:$G,"&gt;"&amp;INT($A177),Dividends!$G:$G,"&lt;="&amp;INT($A178))=0,"",$R$2*SUMIFS(Dividends!$H:$H,Dividends!$G:$G,"&gt;"&amp;INT($A177),Dividends!$G:$G,"&lt;="&amp;INT($A178))))</f>
        <v/>
      </c>
      <c r="O178" s="42" t="str">
        <f ca="1">IF(ISERROR(B178-2),"",C178+D178-J178-K178-M178+SUM($N$14:N178))</f>
        <v/>
      </c>
      <c r="P178" s="80"/>
      <c r="Q178" s="80"/>
      <c r="R178" s="87"/>
      <c r="S178" s="87"/>
      <c r="T178" s="87"/>
      <c r="U178" s="108"/>
      <c r="V178" s="87"/>
      <c r="W178" s="108"/>
      <c r="X178" s="87"/>
      <c r="Y178" s="87"/>
      <c r="AI178" s="3" t="str">
        <f>IF(COUNTIF(AC:AC,AA178)*COUNTIF(AE:AE,AA178)*COUNTIF(AG:AG,AA178),AA178,"")</f>
        <v/>
      </c>
      <c r="AJ178" s="3" t="str">
        <f t="shared" si="13"/>
        <v/>
      </c>
      <c r="AN178" s="3">
        <v>46031</v>
      </c>
      <c r="AO178" s="4">
        <v>249.13050000000001</v>
      </c>
      <c r="AP178" s="74">
        <v>46031</v>
      </c>
      <c r="AQ178" s="4">
        <v>240.93600000000001</v>
      </c>
      <c r="AR178" s="6">
        <f t="shared" si="14"/>
        <v>46031</v>
      </c>
    </row>
    <row r="179" spans="1:44" x14ac:dyDescent="0.25">
      <c r="A179" s="37" t="str">
        <f ca="1">IF(AND(ISBLANK(AK168), A178 = $AK$1),NOW(),IF(ISBLANK(AK168),"",AK168))</f>
        <v/>
      </c>
      <c r="B179" s="38" t="str">
        <f ca="1">IF(COUNTIF($AK$2:AK1164,A179)=1,VLOOKUP(A179,AA:AB,2), IF(COUNTIF($AK$2:AK1164,A179)=0,$B$9,""))</f>
        <v/>
      </c>
      <c r="C179" s="2" t="str">
        <f t="shared" ca="1" si="15"/>
        <v/>
      </c>
      <c r="D179" s="41" t="str">
        <f t="shared" ca="1" si="16"/>
        <v/>
      </c>
      <c r="E179" s="78" t="str">
        <f ca="1">IF(COUNTIF($U$2:U1164,A179)=1,VLOOKUP(A179,U:V,2), "")</f>
        <v/>
      </c>
      <c r="F179" s="78" t="str">
        <f ca="1">IF(COUNTIF($W$2:W1164,A179)=1,VLOOKUP(A179,W:X,2), IF(COUNTIF($W$2:W1164,A179)=0,$E$9,""))</f>
        <v/>
      </c>
      <c r="G179" s="93"/>
      <c r="H179" s="93"/>
      <c r="I179" s="38" t="str">
        <f ca="1">IF(COUNTIF($AK$2:AK1164,A179)=1,VLOOKUP(A179,AC:AD,2), IF(COUNTIF($AK$2:AK1164,A179)=0,$C$9,""))</f>
        <v/>
      </c>
      <c r="J179" s="2" t="str">
        <f t="shared" ca="1" si="17"/>
        <v/>
      </c>
      <c r="K179" s="41" t="str">
        <f t="shared" ca="1" si="18"/>
        <v/>
      </c>
      <c r="L179" s="38" t="str">
        <f ca="1">IF(COUNTIF($AK$2:AK1164,A179)=1,VLOOKUP(A179,AN:AO,2), IF(COUNTIF($AK$2:AK1164,A179)=0,$D$9,""))</f>
        <v/>
      </c>
      <c r="M179" s="41" t="str">
        <f ca="1">IF(ISERROR(L179-2),"",(L179/$L$14-1)*$D$5)</f>
        <v/>
      </c>
      <c r="N179" s="41" t="str">
        <f ca="1">IF($A179="","",IF(COUNTIFS(Dividends!$G:$G,"&gt;"&amp;INT($A178),Dividends!$G:$G,"&lt;="&amp;INT($A179))=0,"",$R$2*SUMIFS(Dividends!$H:$H,Dividends!$G:$G,"&gt;"&amp;INT($A178),Dividends!$G:$G,"&lt;="&amp;INT($A179))))</f>
        <v/>
      </c>
      <c r="O179" s="42" t="str">
        <f ca="1">IF(ISERROR(B179-2),"",C179+D179-J179-K179-M179+SUM($N$14:N179))</f>
        <v/>
      </c>
      <c r="P179" s="80"/>
      <c r="Q179" s="80"/>
      <c r="R179" s="87"/>
      <c r="S179" s="87"/>
      <c r="T179" s="87"/>
      <c r="U179" s="108"/>
      <c r="V179" s="87"/>
      <c r="W179" s="108"/>
      <c r="X179" s="87"/>
      <c r="Y179" s="87"/>
      <c r="AI179" s="3" t="str">
        <f>IF(COUNTIF(AC:AC,AA179)*COUNTIF(AE:AE,AA179)*COUNTIF(AG:AG,AA179),AA179,"")</f>
        <v/>
      </c>
      <c r="AJ179" s="3" t="str">
        <f t="shared" si="13"/>
        <v/>
      </c>
      <c r="AN179" s="3">
        <v>46034</v>
      </c>
      <c r="AO179" s="4">
        <v>249.25470000000001</v>
      </c>
      <c r="AP179" s="74">
        <v>46034</v>
      </c>
      <c r="AQ179" s="4">
        <v>240.25800000000001</v>
      </c>
      <c r="AR179" s="6">
        <f t="shared" si="14"/>
        <v>46034</v>
      </c>
    </row>
    <row r="180" spans="1:44" x14ac:dyDescent="0.25">
      <c r="A180" s="37" t="str">
        <f ca="1">IF(AND(ISBLANK(AK169), A179 = $AK$1),NOW(),IF(ISBLANK(AK169),"",AK169))</f>
        <v/>
      </c>
      <c r="B180" s="38" t="str">
        <f ca="1">IF(COUNTIF($AK$2:AK1165,A180)=1,VLOOKUP(A180,AA:AB,2), IF(COUNTIF($AK$2:AK1165,A180)=0,$B$9,""))</f>
        <v/>
      </c>
      <c r="C180" s="2" t="str">
        <f t="shared" ca="1" si="15"/>
        <v/>
      </c>
      <c r="D180" s="41" t="str">
        <f t="shared" ca="1" si="16"/>
        <v/>
      </c>
      <c r="E180" s="78" t="str">
        <f ca="1">IF(COUNTIF($U$2:U1165,A180)=1,VLOOKUP(A180,U:V,2), "")</f>
        <v/>
      </c>
      <c r="F180" s="78" t="str">
        <f ca="1">IF(COUNTIF($W$2:W1165,A180)=1,VLOOKUP(A180,W:X,2), IF(COUNTIF($W$2:W1165,A180)=0,$E$9,""))</f>
        <v/>
      </c>
      <c r="G180" s="93"/>
      <c r="H180" s="93"/>
      <c r="I180" s="38" t="str">
        <f ca="1">IF(COUNTIF($AK$2:AK1165,A180)=1,VLOOKUP(A180,AC:AD,2), IF(COUNTIF($AK$2:AK1165,A180)=0,$C$9,""))</f>
        <v/>
      </c>
      <c r="J180" s="2" t="str">
        <f t="shared" ca="1" si="17"/>
        <v/>
      </c>
      <c r="K180" s="41" t="str">
        <f t="shared" ca="1" si="18"/>
        <v/>
      </c>
      <c r="L180" s="38" t="str">
        <f ca="1">IF(COUNTIF($AK$2:AK1165,A180)=1,VLOOKUP(A180,AN:AO,2), IF(COUNTIF($AK$2:AK1165,A180)=0,$D$9,""))</f>
        <v/>
      </c>
      <c r="M180" s="41" t="str">
        <f ca="1">IF(ISERROR(L180-2),"",(L180/$L$14-1)*$D$5)</f>
        <v/>
      </c>
      <c r="N180" s="41" t="str">
        <f ca="1">IF($A180="","",IF(COUNTIFS(Dividends!$G:$G,"&gt;"&amp;INT($A179),Dividends!$G:$G,"&lt;="&amp;INT($A180))=0,"",$R$2*SUMIFS(Dividends!$H:$H,Dividends!$G:$G,"&gt;"&amp;INT($A179),Dividends!$G:$G,"&lt;="&amp;INT($A180))))</f>
        <v/>
      </c>
      <c r="O180" s="42" t="str">
        <f ca="1">IF(ISERROR(B180-2),"",C180+D180-J180-K180-M180+SUM($N$14:N180))</f>
        <v/>
      </c>
      <c r="P180" s="80"/>
      <c r="Q180" s="80"/>
      <c r="R180" s="87"/>
      <c r="S180" s="87"/>
      <c r="T180" s="87"/>
      <c r="U180" s="108"/>
      <c r="V180" s="87"/>
      <c r="W180" s="108"/>
      <c r="X180" s="87"/>
      <c r="Y180" s="87"/>
      <c r="AI180" s="3" t="str">
        <f>IF(COUNTIF(AC:AC,AA180)*COUNTIF(AE:AE,AA180)*COUNTIF(AG:AG,AA180),AA180,"")</f>
        <v/>
      </c>
      <c r="AJ180" s="3" t="str">
        <f t="shared" si="13"/>
        <v/>
      </c>
      <c r="AN180" s="3">
        <v>46035</v>
      </c>
      <c r="AO180" s="4">
        <v>249.17660000000001</v>
      </c>
      <c r="AP180" s="74">
        <v>46035</v>
      </c>
      <c r="AQ180" s="4">
        <v>240.88900000000001</v>
      </c>
      <c r="AR180" s="6">
        <f t="shared" si="14"/>
        <v>46035</v>
      </c>
    </row>
    <row r="181" spans="1:44" x14ac:dyDescent="0.25">
      <c r="A181" s="37" t="str">
        <f ca="1">IF(AND(ISBLANK(AK170), A180 = $AK$1),NOW(),IF(ISBLANK(AK170),"",AK170))</f>
        <v/>
      </c>
      <c r="B181" s="38" t="str">
        <f ca="1">IF(COUNTIF($AK$2:AK1166,A181)=1,VLOOKUP(A181,AA:AB,2), IF(COUNTIF($AK$2:AK1166,A181)=0,$B$9,""))</f>
        <v/>
      </c>
      <c r="C181" s="2" t="str">
        <f t="shared" ca="1" si="15"/>
        <v/>
      </c>
      <c r="D181" s="41" t="str">
        <f t="shared" ca="1" si="16"/>
        <v/>
      </c>
      <c r="E181" s="78" t="str">
        <f ca="1">IF(COUNTIF($U$2:U1166,A181)=1,VLOOKUP(A181,U:V,2), "")</f>
        <v/>
      </c>
      <c r="F181" s="78" t="str">
        <f ca="1">IF(COUNTIF($W$2:W1166,A181)=1,VLOOKUP(A181,W:X,2), IF(COUNTIF($W$2:W1166,A181)=0,$E$9,""))</f>
        <v/>
      </c>
      <c r="G181" s="93"/>
      <c r="H181" s="93"/>
      <c r="I181" s="38" t="str">
        <f ca="1">IF(COUNTIF($AK$2:AK1166,A181)=1,VLOOKUP(A181,AC:AD,2), IF(COUNTIF($AK$2:AK1166,A181)=0,$C$9,""))</f>
        <v/>
      </c>
      <c r="J181" s="2" t="str">
        <f t="shared" ca="1" si="17"/>
        <v/>
      </c>
      <c r="K181" s="41" t="str">
        <f t="shared" ca="1" si="18"/>
        <v/>
      </c>
      <c r="L181" s="38" t="str">
        <f ca="1">IF(COUNTIF($AK$2:AK1166,A181)=1,VLOOKUP(A181,AN:AO,2), IF(COUNTIF($AK$2:AK1166,A181)=0,$D$9,""))</f>
        <v/>
      </c>
      <c r="M181" s="41" t="str">
        <f ca="1">IF(ISERROR(L181-2),"",(L181/$L$14-1)*$D$5)</f>
        <v/>
      </c>
      <c r="N181" s="41" t="str">
        <f ca="1">IF($A181="","",IF(COUNTIFS(Dividends!$G:$G,"&gt;"&amp;INT($A180),Dividends!$G:$G,"&lt;="&amp;INT($A181))=0,"",$R$2*SUMIFS(Dividends!$H:$H,Dividends!$G:$G,"&gt;"&amp;INT($A180),Dividends!$G:$G,"&lt;="&amp;INT($A181))))</f>
        <v/>
      </c>
      <c r="O181" s="42" t="str">
        <f ca="1">IF(ISERROR(B181-2),"",C181+D181-J181-K181-M181+SUM($N$14:N181))</f>
        <v/>
      </c>
      <c r="P181" s="80"/>
      <c r="Q181" s="80"/>
      <c r="R181" s="87"/>
      <c r="S181" s="87"/>
      <c r="T181" s="87"/>
      <c r="U181" s="108"/>
      <c r="V181" s="87"/>
      <c r="W181" s="108"/>
      <c r="X181" s="87"/>
      <c r="Y181" s="87"/>
      <c r="AI181" s="3" t="str">
        <f>IF(COUNTIF(AC:AC,AA181)*COUNTIF(AE:AE,AA181)*COUNTIF(AG:AG,AA181),AA181,"")</f>
        <v/>
      </c>
      <c r="AJ181" s="3" t="str">
        <f t="shared" si="13"/>
        <v/>
      </c>
      <c r="AN181" s="3">
        <v>46036</v>
      </c>
      <c r="AO181" s="4">
        <v>248.81209999999999</v>
      </c>
      <c r="AP181" s="74">
        <v>46036</v>
      </c>
      <c r="AQ181" s="4">
        <v>244.88200000000001</v>
      </c>
      <c r="AR181" s="6">
        <f t="shared" si="14"/>
        <v>46036</v>
      </c>
    </row>
    <row r="182" spans="1:44" x14ac:dyDescent="0.25">
      <c r="A182" s="37" t="str">
        <f ca="1">IF(AND(ISBLANK(AK171), A181 = $AK$1),NOW(),IF(ISBLANK(AK171),"",AK171))</f>
        <v/>
      </c>
      <c r="B182" s="38" t="str">
        <f ca="1">IF(COUNTIF($AK$2:AK1167,A182)=1,VLOOKUP(A182,AA:AB,2), IF(COUNTIF($AK$2:AK1167,A182)=0,$B$9,""))</f>
        <v/>
      </c>
      <c r="C182" s="2" t="str">
        <f t="shared" ca="1" si="15"/>
        <v/>
      </c>
      <c r="D182" s="41" t="str">
        <f t="shared" ca="1" si="16"/>
        <v/>
      </c>
      <c r="E182" s="78" t="str">
        <f ca="1">IF(COUNTIF($U$2:U1167,A182)=1,VLOOKUP(A182,U:V,2), "")</f>
        <v/>
      </c>
      <c r="F182" s="78" t="str">
        <f ca="1">IF(COUNTIF($W$2:W1167,A182)=1,VLOOKUP(A182,W:X,2), IF(COUNTIF($W$2:W1167,A182)=0,$E$9,""))</f>
        <v/>
      </c>
      <c r="G182" s="93"/>
      <c r="H182" s="93"/>
      <c r="I182" s="38" t="str">
        <f ca="1">IF(COUNTIF($AK$2:AK1167,A182)=1,VLOOKUP(A182,AC:AD,2), IF(COUNTIF($AK$2:AK1167,A182)=0,$C$9,""))</f>
        <v/>
      </c>
      <c r="J182" s="2" t="str">
        <f t="shared" ca="1" si="17"/>
        <v/>
      </c>
      <c r="K182" s="41" t="str">
        <f t="shared" ca="1" si="18"/>
        <v/>
      </c>
      <c r="L182" s="38" t="str">
        <f ca="1">IF(COUNTIF($AK$2:AK1167,A182)=1,VLOOKUP(A182,AN:AO,2), IF(COUNTIF($AK$2:AK1167,A182)=0,$D$9,""))</f>
        <v/>
      </c>
      <c r="M182" s="41" t="str">
        <f ca="1">IF(ISERROR(L182-2),"",(L182/$L$14-1)*$D$5)</f>
        <v/>
      </c>
      <c r="N182" s="41" t="str">
        <f ca="1">IF($A182="","",IF(COUNTIFS(Dividends!$G:$G,"&gt;"&amp;INT($A181),Dividends!$G:$G,"&lt;="&amp;INT($A182))=0,"",$R$2*SUMIFS(Dividends!$H:$H,Dividends!$G:$G,"&gt;"&amp;INT($A181),Dividends!$G:$G,"&lt;="&amp;INT($A182))))</f>
        <v/>
      </c>
      <c r="O182" s="42" t="str">
        <f ca="1">IF(ISERROR(B182-2),"",C182+D182-J182-K182-M182+SUM($N$14:N182))</f>
        <v/>
      </c>
      <c r="P182" s="80"/>
      <c r="Q182" s="80"/>
      <c r="R182" s="87"/>
      <c r="S182" s="87"/>
      <c r="T182" s="87"/>
      <c r="U182" s="108"/>
      <c r="V182" s="87"/>
      <c r="W182" s="108"/>
      <c r="X182" s="87"/>
      <c r="Y182" s="87"/>
      <c r="AI182" s="3" t="str">
        <f>IF(COUNTIF(AC:AC,AA182)*COUNTIF(AE:AE,AA182)*COUNTIF(AG:AG,AA182),AA182,"")</f>
        <v/>
      </c>
      <c r="AJ182" s="3" t="str">
        <f t="shared" si="13"/>
        <v/>
      </c>
      <c r="AN182" s="3">
        <v>46037</v>
      </c>
      <c r="AO182" s="4">
        <v>249.15880000000001</v>
      </c>
      <c r="AP182" s="74">
        <v>46037</v>
      </c>
      <c r="AQ182" s="4">
        <v>241.666</v>
      </c>
      <c r="AR182" s="6">
        <f t="shared" si="14"/>
        <v>46037</v>
      </c>
    </row>
    <row r="183" spans="1:44" x14ac:dyDescent="0.25">
      <c r="A183" s="37" t="str">
        <f ca="1">IF(AND(ISBLANK(AK172), A182 = $AK$1),NOW(),IF(ISBLANK(AK172),"",AK172))</f>
        <v/>
      </c>
      <c r="B183" s="38" t="str">
        <f ca="1">IF(COUNTIF($AK$2:AK1168,A183)=1,VLOOKUP(A183,AA:AB,2), IF(COUNTIF($AK$2:AK1168,A183)=0,$B$9,""))</f>
        <v/>
      </c>
      <c r="C183" s="2" t="str">
        <f t="shared" ca="1" si="15"/>
        <v/>
      </c>
      <c r="D183" s="41" t="str">
        <f t="shared" ca="1" si="16"/>
        <v/>
      </c>
      <c r="E183" s="78" t="str">
        <f ca="1">IF(COUNTIF($U$2:U1168,A183)=1,VLOOKUP(A183,U:V,2), "")</f>
        <v/>
      </c>
      <c r="F183" s="78" t="str">
        <f ca="1">IF(COUNTIF($W$2:W1168,A183)=1,VLOOKUP(A183,W:X,2), IF(COUNTIF($W$2:W1168,A183)=0,$E$9,""))</f>
        <v/>
      </c>
      <c r="G183" s="93"/>
      <c r="H183" s="93"/>
      <c r="I183" s="38" t="str">
        <f ca="1">IF(COUNTIF($AK$2:AK1168,A183)=1,VLOOKUP(A183,AC:AD,2), IF(COUNTIF($AK$2:AK1168,A183)=0,$C$9,""))</f>
        <v/>
      </c>
      <c r="J183" s="2" t="str">
        <f t="shared" ca="1" si="17"/>
        <v/>
      </c>
      <c r="K183" s="41" t="str">
        <f t="shared" ca="1" si="18"/>
        <v/>
      </c>
      <c r="L183" s="38" t="str">
        <f ca="1">IF(COUNTIF($AK$2:AK1168,A183)=1,VLOOKUP(A183,AN:AO,2), IF(COUNTIF($AK$2:AK1168,A183)=0,$D$9,""))</f>
        <v/>
      </c>
      <c r="M183" s="41" t="str">
        <f ca="1">IF(ISERROR(L183-2),"",(L183/$L$14-1)*$D$5)</f>
        <v/>
      </c>
      <c r="N183" s="41" t="str">
        <f ca="1">IF($A183="","",IF(COUNTIFS(Dividends!$G:$G,"&gt;"&amp;INT($A182),Dividends!$G:$G,"&lt;="&amp;INT($A183))=0,"",$R$2*SUMIFS(Dividends!$H:$H,Dividends!$G:$G,"&gt;"&amp;INT($A182),Dividends!$G:$G,"&lt;="&amp;INT($A183))))</f>
        <v/>
      </c>
      <c r="O183" s="42" t="str">
        <f ca="1">IF(ISERROR(B183-2),"",C183+D183-J183-K183-M183+SUM($N$14:N183))</f>
        <v/>
      </c>
      <c r="P183" s="80"/>
      <c r="Q183" s="80"/>
      <c r="R183" s="87"/>
      <c r="S183" s="87"/>
      <c r="T183" s="87"/>
      <c r="U183" s="108"/>
      <c r="V183" s="87"/>
      <c r="W183" s="108"/>
      <c r="X183" s="87"/>
      <c r="Y183" s="87"/>
      <c r="AI183" s="3" t="str">
        <f>IF(COUNTIF(AC:AC,AA183)*COUNTIF(AE:AE,AA183)*COUNTIF(AG:AG,AA183),AA183,"")</f>
        <v/>
      </c>
      <c r="AJ183" s="3" t="str">
        <f t="shared" si="13"/>
        <v/>
      </c>
      <c r="AN183" s="3">
        <v>46038</v>
      </c>
      <c r="AO183" s="4">
        <v>249.01169999999999</v>
      </c>
      <c r="AP183" s="74">
        <v>46038</v>
      </c>
      <c r="AQ183" s="4">
        <v>243.13399999999999</v>
      </c>
      <c r="AR183" s="6">
        <f t="shared" si="14"/>
        <v>46038</v>
      </c>
    </row>
    <row r="184" spans="1:44" x14ac:dyDescent="0.25">
      <c r="A184" s="37" t="str">
        <f ca="1">IF(AND(ISBLANK(AK173), A183 = $AK$1),NOW(),IF(ISBLANK(AK173),"",AK173))</f>
        <v/>
      </c>
      <c r="B184" s="38" t="str">
        <f ca="1">IF(COUNTIF($AK$2:AK1169,A184)=1,VLOOKUP(A184,AA:AB,2), IF(COUNTIF($AK$2:AK1169,A184)=0,$B$9,""))</f>
        <v/>
      </c>
      <c r="C184" s="2" t="str">
        <f t="shared" ca="1" si="15"/>
        <v/>
      </c>
      <c r="D184" s="41" t="str">
        <f t="shared" ca="1" si="16"/>
        <v/>
      </c>
      <c r="E184" s="78" t="str">
        <f ca="1">IF(COUNTIF($U$2:U1169,A184)=1,VLOOKUP(A184,U:V,2), "")</f>
        <v/>
      </c>
      <c r="F184" s="78" t="str">
        <f ca="1">IF(COUNTIF($W$2:W1169,A184)=1,VLOOKUP(A184,W:X,2), IF(COUNTIF($W$2:W1169,A184)=0,$E$9,""))</f>
        <v/>
      </c>
      <c r="G184" s="93"/>
      <c r="H184" s="93"/>
      <c r="I184" s="38" t="str">
        <f ca="1">IF(COUNTIF($AK$2:AK1169,A184)=1,VLOOKUP(A184,AC:AD,2), IF(COUNTIF($AK$2:AK1169,A184)=0,$C$9,""))</f>
        <v/>
      </c>
      <c r="J184" s="2" t="str">
        <f t="shared" ca="1" si="17"/>
        <v/>
      </c>
      <c r="K184" s="41" t="str">
        <f t="shared" ca="1" si="18"/>
        <v/>
      </c>
      <c r="L184" s="38" t="str">
        <f ca="1">IF(COUNTIF($AK$2:AK1169,A184)=1,VLOOKUP(A184,AN:AO,2), IF(COUNTIF($AK$2:AK1169,A184)=0,$D$9,""))</f>
        <v/>
      </c>
      <c r="M184" s="41" t="str">
        <f ca="1">IF(ISERROR(L184-2),"",(L184/$L$14-1)*$D$5)</f>
        <v/>
      </c>
      <c r="N184" s="41" t="str">
        <f ca="1">IF($A184="","",IF(COUNTIFS(Dividends!$G:$G,"&gt;"&amp;INT($A183),Dividends!$G:$G,"&lt;="&amp;INT($A184))=0,"",$R$2*SUMIFS(Dividends!$H:$H,Dividends!$G:$G,"&gt;"&amp;INT($A183),Dividends!$G:$G,"&lt;="&amp;INT($A184))))</f>
        <v/>
      </c>
      <c r="O184" s="42" t="str">
        <f ca="1">IF(ISERROR(B184-2),"",C184+D184-J184-K184-M184+SUM($N$14:N184))</f>
        <v/>
      </c>
      <c r="P184" s="80"/>
      <c r="Q184" s="80"/>
      <c r="R184" s="87"/>
      <c r="S184" s="87"/>
      <c r="T184" s="87"/>
      <c r="U184" s="108"/>
      <c r="V184" s="87"/>
      <c r="W184" s="108"/>
      <c r="X184" s="87"/>
      <c r="Y184" s="87"/>
      <c r="AI184" s="3" t="str">
        <f>IF(COUNTIF(AC:AC,AA184)*COUNTIF(AE:AE,AA184)*COUNTIF(AG:AG,AA184),AA184,"")</f>
        <v/>
      </c>
      <c r="AJ184" s="3" t="str">
        <f t="shared" si="13"/>
        <v/>
      </c>
      <c r="AN184" s="3">
        <v>46041</v>
      </c>
      <c r="AO184" s="4">
        <v>248.35810000000001</v>
      </c>
      <c r="AP184" s="74">
        <v>46041</v>
      </c>
      <c r="AQ184" s="4">
        <v>250.24199999999999</v>
      </c>
      <c r="AR184" s="6">
        <f t="shared" si="14"/>
        <v>46041</v>
      </c>
    </row>
    <row r="185" spans="1:44" x14ac:dyDescent="0.25">
      <c r="A185" s="37" t="str">
        <f ca="1">IF(AND(ISBLANK(AK174), A184 = $AK$1),NOW(),IF(ISBLANK(AK174),"",AK174))</f>
        <v/>
      </c>
      <c r="B185" s="38" t="str">
        <f ca="1">IF(COUNTIF($AK$2:AK1170,A185)=1,VLOOKUP(A185,AA:AB,2), IF(COUNTIF($AK$2:AK1170,A185)=0,$B$9,""))</f>
        <v/>
      </c>
      <c r="C185" s="2" t="str">
        <f t="shared" ca="1" si="15"/>
        <v/>
      </c>
      <c r="D185" s="41" t="str">
        <f t="shared" ca="1" si="16"/>
        <v/>
      </c>
      <c r="E185" s="78" t="str">
        <f ca="1">IF(COUNTIF($U$2:U1170,A185)=1,VLOOKUP(A185,U:V,2), "")</f>
        <v/>
      </c>
      <c r="F185" s="78" t="str">
        <f ca="1">IF(COUNTIF($W$2:W1170,A185)=1,VLOOKUP(A185,W:X,2), IF(COUNTIF($W$2:W1170,A185)=0,$E$9,""))</f>
        <v/>
      </c>
      <c r="G185" s="93"/>
      <c r="H185" s="93"/>
      <c r="I185" s="38" t="str">
        <f ca="1">IF(COUNTIF($AK$2:AK1170,A185)=1,VLOOKUP(A185,AC:AD,2), IF(COUNTIF($AK$2:AK1170,A185)=0,$C$9,""))</f>
        <v/>
      </c>
      <c r="J185" s="2" t="str">
        <f t="shared" ca="1" si="17"/>
        <v/>
      </c>
      <c r="K185" s="41" t="str">
        <f t="shared" ca="1" si="18"/>
        <v/>
      </c>
      <c r="L185" s="38" t="str">
        <f ca="1">IF(COUNTIF($AK$2:AK1170,A185)=1,VLOOKUP(A185,AN:AO,2), IF(COUNTIF($AK$2:AK1170,A185)=0,$D$9,""))</f>
        <v/>
      </c>
      <c r="M185" s="41" t="str">
        <f ca="1">IF(ISERROR(L185-2),"",(L185/$L$14-1)*$D$5)</f>
        <v/>
      </c>
      <c r="N185" s="41" t="str">
        <f ca="1">IF($A185="","",IF(COUNTIFS(Dividends!$G:$G,"&gt;"&amp;INT($A184),Dividends!$G:$G,"&lt;="&amp;INT($A185))=0,"",$R$2*SUMIFS(Dividends!$H:$H,Dividends!$G:$G,"&gt;"&amp;INT($A184),Dividends!$G:$G,"&lt;="&amp;INT($A185))))</f>
        <v/>
      </c>
      <c r="O185" s="42" t="str">
        <f ca="1">IF(ISERROR(B185-2),"",C185+D185-J185-K185-M185+SUM($N$14:N185))</f>
        <v/>
      </c>
      <c r="P185" s="80"/>
      <c r="Q185" s="80"/>
      <c r="R185" s="87"/>
      <c r="S185" s="87"/>
      <c r="T185" s="87"/>
      <c r="U185" s="108"/>
      <c r="V185" s="87"/>
      <c r="W185" s="108"/>
      <c r="X185" s="87"/>
      <c r="Y185" s="87"/>
      <c r="AI185" s="3" t="str">
        <f>IF(COUNTIF(AC:AC,AA185)*COUNTIF(AE:AE,AA185)*COUNTIF(AG:AG,AA185),AA185,"")</f>
        <v/>
      </c>
      <c r="AJ185" s="3" t="str">
        <f t="shared" si="13"/>
        <v/>
      </c>
      <c r="AN185" s="3">
        <v>46042</v>
      </c>
      <c r="AO185" s="4">
        <v>248.08500000000001</v>
      </c>
      <c r="AP185" s="74">
        <v>46042</v>
      </c>
      <c r="AQ185" s="4">
        <v>252.017</v>
      </c>
      <c r="AR185" s="6">
        <f t="shared" si="14"/>
        <v>46042</v>
      </c>
    </row>
    <row r="186" spans="1:44" x14ac:dyDescent="0.25">
      <c r="A186" s="37" t="str">
        <f ca="1">IF(AND(ISBLANK(AK175), A185 = $AK$1),NOW(),IF(ISBLANK(AK175),"",AK175))</f>
        <v/>
      </c>
      <c r="B186" s="38" t="str">
        <f ca="1">IF(COUNTIF($AK$2:AK1171,A186)=1,VLOOKUP(A186,AA:AB,2), IF(COUNTIF($AK$2:AK1171,A186)=0,$B$9,""))</f>
        <v/>
      </c>
      <c r="C186" s="2" t="str">
        <f t="shared" ca="1" si="15"/>
        <v/>
      </c>
      <c r="D186" s="41" t="str">
        <f t="shared" ca="1" si="16"/>
        <v/>
      </c>
      <c r="E186" s="78" t="str">
        <f ca="1">IF(COUNTIF($U$2:U1171,A186)=1,VLOOKUP(A186,U:V,2), "")</f>
        <v/>
      </c>
      <c r="F186" s="78" t="str">
        <f ca="1">IF(COUNTIF($W$2:W1171,A186)=1,VLOOKUP(A186,W:X,2), IF(COUNTIF($W$2:W1171,A186)=0,$E$9,""))</f>
        <v/>
      </c>
      <c r="G186" s="93"/>
      <c r="H186" s="93"/>
      <c r="I186" s="38" t="str">
        <f ca="1">IF(COUNTIF($AK$2:AK1171,A186)=1,VLOOKUP(A186,AC:AD,2), IF(COUNTIF($AK$2:AK1171,A186)=0,$C$9,""))</f>
        <v/>
      </c>
      <c r="J186" s="2" t="str">
        <f t="shared" ca="1" si="17"/>
        <v/>
      </c>
      <c r="K186" s="41" t="str">
        <f t="shared" ca="1" si="18"/>
        <v/>
      </c>
      <c r="L186" s="38" t="str">
        <f ca="1">IF(COUNTIF($AK$2:AK1171,A186)=1,VLOOKUP(A186,AN:AO,2), IF(COUNTIF($AK$2:AK1171,A186)=0,$D$9,""))</f>
        <v/>
      </c>
      <c r="M186" s="41" t="str">
        <f ca="1">IF(ISERROR(L186-2),"",(L186/$L$14-1)*$D$5)</f>
        <v/>
      </c>
      <c r="N186" s="41" t="str">
        <f ca="1">IF($A186="","",IF(COUNTIFS(Dividends!$G:$G,"&gt;"&amp;INT($A185),Dividends!$G:$G,"&lt;="&amp;INT($A186))=0,"",$R$2*SUMIFS(Dividends!$H:$H,Dividends!$G:$G,"&gt;"&amp;INT($A185),Dividends!$G:$G,"&lt;="&amp;INT($A186))))</f>
        <v/>
      </c>
      <c r="O186" s="42" t="str">
        <f ca="1">IF(ISERROR(B186-2),"",C186+D186-J186-K186-M186+SUM($N$14:N186))</f>
        <v/>
      </c>
      <c r="P186" s="80"/>
      <c r="Q186" s="80"/>
      <c r="R186" s="87"/>
      <c r="S186" s="87"/>
      <c r="T186" s="87"/>
      <c r="U186" s="108"/>
      <c r="V186" s="87"/>
      <c r="W186" s="108"/>
      <c r="X186" s="87"/>
      <c r="Y186" s="87"/>
      <c r="AI186" s="3" t="str">
        <f>IF(COUNTIF(AC:AC,AA186)*COUNTIF(AE:AE,AA186)*COUNTIF(AG:AG,AA186),AA186,"")</f>
        <v/>
      </c>
      <c r="AJ186" s="3" t="str">
        <f t="shared" si="13"/>
        <v/>
      </c>
      <c r="AN186" s="3">
        <v>46043</v>
      </c>
      <c r="AO186" s="4">
        <v>248.64510000000001</v>
      </c>
      <c r="AP186" s="74">
        <v>46043</v>
      </c>
      <c r="AQ186" s="4">
        <v>248.50399999999999</v>
      </c>
      <c r="AR186" s="6">
        <f t="shared" si="14"/>
        <v>46043</v>
      </c>
    </row>
    <row r="187" spans="1:44" x14ac:dyDescent="0.25">
      <c r="A187" s="37" t="str">
        <f ca="1">IF(AND(ISBLANK(AK176), A186 = $AK$1),NOW(),IF(ISBLANK(AK176),"",AK176))</f>
        <v/>
      </c>
      <c r="B187" s="38" t="str">
        <f ca="1">IF(COUNTIF($AK$2:AK1172,A187)=1,VLOOKUP(A187,AA:AB,2), IF(COUNTIF($AK$2:AK1172,A187)=0,$B$9,""))</f>
        <v/>
      </c>
      <c r="C187" s="2" t="str">
        <f t="shared" ca="1" si="15"/>
        <v/>
      </c>
      <c r="D187" s="41" t="str">
        <f t="shared" ca="1" si="16"/>
        <v/>
      </c>
      <c r="E187" s="78" t="str">
        <f ca="1">IF(COUNTIF($U$2:U1172,A187)=1,VLOOKUP(A187,U:V,2), "")</f>
        <v/>
      </c>
      <c r="F187" s="78" t="str">
        <f ca="1">IF(COUNTIF($W$2:W1172,A187)=1,VLOOKUP(A187,W:X,2), IF(COUNTIF($W$2:W1172,A187)=0,$E$9,""))</f>
        <v/>
      </c>
      <c r="G187" s="93"/>
      <c r="H187" s="93"/>
      <c r="I187" s="38" t="str">
        <f ca="1">IF(COUNTIF($AK$2:AK1172,A187)=1,VLOOKUP(A187,AC:AD,2), IF(COUNTIF($AK$2:AK1172,A187)=0,$C$9,""))</f>
        <v/>
      </c>
      <c r="J187" s="2" t="str">
        <f t="shared" ca="1" si="17"/>
        <v/>
      </c>
      <c r="K187" s="41" t="str">
        <f t="shared" ca="1" si="18"/>
        <v/>
      </c>
      <c r="L187" s="38" t="str">
        <f ca="1">IF(COUNTIF($AK$2:AK1172,A187)=1,VLOOKUP(A187,AN:AO,2), IF(COUNTIF($AK$2:AK1172,A187)=0,$D$9,""))</f>
        <v/>
      </c>
      <c r="M187" s="41" t="str">
        <f ca="1">IF(ISERROR(L187-2),"",(L187/$L$14-1)*$D$5)</f>
        <v/>
      </c>
      <c r="N187" s="41" t="str">
        <f ca="1">IF($A187="","",IF(COUNTIFS(Dividends!$G:$G,"&gt;"&amp;INT($A186),Dividends!$G:$G,"&lt;="&amp;INT($A187))=0,"",$R$2*SUMIFS(Dividends!$H:$H,Dividends!$G:$G,"&gt;"&amp;INT($A186),Dividends!$G:$G,"&lt;="&amp;INT($A187))))</f>
        <v/>
      </c>
      <c r="O187" s="42" t="str">
        <f ca="1">IF(ISERROR(B187-2),"",C187+D187-J187-K187-M187+SUM($N$14:N187))</f>
        <v/>
      </c>
      <c r="P187" s="80"/>
      <c r="Q187" s="80"/>
      <c r="R187" s="87"/>
      <c r="S187" s="87"/>
      <c r="T187" s="87"/>
      <c r="U187" s="108"/>
      <c r="V187" s="87"/>
      <c r="W187" s="108"/>
      <c r="X187" s="87"/>
      <c r="Y187" s="87"/>
      <c r="AI187" s="3" t="str">
        <f>IF(COUNTIF(AC:AC,AA187)*COUNTIF(AE:AE,AA187)*COUNTIF(AG:AG,AA187),AA187,"")</f>
        <v/>
      </c>
      <c r="AJ187" s="3" t="str">
        <f t="shared" si="13"/>
        <v/>
      </c>
      <c r="AN187" s="3">
        <v>46044</v>
      </c>
      <c r="AO187" s="4">
        <v>249.4425</v>
      </c>
      <c r="AP187" s="74">
        <v>46044</v>
      </c>
      <c r="AQ187" s="4">
        <v>240.483</v>
      </c>
      <c r="AR187" s="6">
        <f t="shared" si="14"/>
        <v>46044</v>
      </c>
    </row>
    <row r="188" spans="1:44" x14ac:dyDescent="0.25">
      <c r="A188" s="37" t="str">
        <f ca="1">IF(AND(ISBLANK(AK177), A187 = $AK$1),NOW(),IF(ISBLANK(AK177),"",AK177))</f>
        <v/>
      </c>
      <c r="B188" s="38" t="str">
        <f ca="1">IF(COUNTIF($AK$2:AK1173,A188)=1,VLOOKUP(A188,AA:AB,2), IF(COUNTIF($AK$2:AK1173,A188)=0,$B$9,""))</f>
        <v/>
      </c>
      <c r="C188" s="2" t="str">
        <f t="shared" ca="1" si="15"/>
        <v/>
      </c>
      <c r="D188" s="41" t="str">
        <f t="shared" ca="1" si="16"/>
        <v/>
      </c>
      <c r="E188" s="78" t="str">
        <f ca="1">IF(COUNTIF($U$2:U1173,A188)=1,VLOOKUP(A188,U:V,2), "")</f>
        <v/>
      </c>
      <c r="F188" s="78" t="str">
        <f ca="1">IF(COUNTIF($W$2:W1173,A188)=1,VLOOKUP(A188,W:X,2), IF(COUNTIF($W$2:W1173,A188)=0,$E$9,""))</f>
        <v/>
      </c>
      <c r="G188" s="93"/>
      <c r="H188" s="93"/>
      <c r="I188" s="38" t="str">
        <f ca="1">IF(COUNTIF($AK$2:AK1173,A188)=1,VLOOKUP(A188,AC:AD,2), IF(COUNTIF($AK$2:AK1173,A188)=0,$C$9,""))</f>
        <v/>
      </c>
      <c r="J188" s="2" t="str">
        <f t="shared" ca="1" si="17"/>
        <v/>
      </c>
      <c r="K188" s="41" t="str">
        <f t="shared" ca="1" si="18"/>
        <v/>
      </c>
      <c r="L188" s="38" t="str">
        <f ca="1">IF(COUNTIF($AK$2:AK1173,A188)=1,VLOOKUP(A188,AN:AO,2), IF(COUNTIF($AK$2:AK1173,A188)=0,$D$9,""))</f>
        <v/>
      </c>
      <c r="M188" s="41" t="str">
        <f ca="1">IF(ISERROR(L188-2),"",(L188/$L$14-1)*$D$5)</f>
        <v/>
      </c>
      <c r="N188" s="41" t="str">
        <f ca="1">IF($A188="","",IF(COUNTIFS(Dividends!$G:$G,"&gt;"&amp;INT($A187),Dividends!$G:$G,"&lt;="&amp;INT($A188))=0,"",$R$2*SUMIFS(Dividends!$H:$H,Dividends!$G:$G,"&gt;"&amp;INT($A187),Dividends!$G:$G,"&lt;="&amp;INT($A188))))</f>
        <v/>
      </c>
      <c r="O188" s="42" t="str">
        <f ca="1">IF(ISERROR(B188-2),"",C188+D188-J188-K188-M188+SUM($N$14:N188))</f>
        <v/>
      </c>
      <c r="P188" s="80"/>
      <c r="Q188" s="80"/>
      <c r="R188" s="87"/>
      <c r="S188" s="87"/>
      <c r="T188" s="87"/>
      <c r="U188" s="108"/>
      <c r="V188" s="87"/>
      <c r="W188" s="108"/>
      <c r="X188" s="87"/>
      <c r="Y188" s="87"/>
      <c r="AI188" s="3" t="str">
        <f>IF(COUNTIF(AC:AC,AA188)*COUNTIF(AE:AE,AA188)*COUNTIF(AG:AG,AA188),AA188,"")</f>
        <v/>
      </c>
      <c r="AJ188" s="3" t="str">
        <f t="shared" si="13"/>
        <v/>
      </c>
      <c r="AN188" s="3">
        <v>46045</v>
      </c>
      <c r="AO188" s="4">
        <v>249.2397</v>
      </c>
      <c r="AP188" s="74">
        <v>46045</v>
      </c>
      <c r="AQ188" s="4">
        <v>242.67099999999999</v>
      </c>
      <c r="AR188" s="6">
        <f t="shared" si="14"/>
        <v>46045</v>
      </c>
    </row>
    <row r="189" spans="1:44" x14ac:dyDescent="0.25">
      <c r="A189" s="37" t="str">
        <f ca="1">IF(AND(ISBLANK(AK178), A188 = $AK$1),NOW(),IF(ISBLANK(AK178),"",AK178))</f>
        <v/>
      </c>
      <c r="B189" s="38" t="str">
        <f ca="1">IF(COUNTIF($AK$2:AK1174,A189)=1,VLOOKUP(A189,AA:AB,2), IF(COUNTIF($AK$2:AK1174,A189)=0,$B$9,""))</f>
        <v/>
      </c>
      <c r="C189" s="2" t="str">
        <f t="shared" ca="1" si="15"/>
        <v/>
      </c>
      <c r="D189" s="41" t="str">
        <f t="shared" ca="1" si="16"/>
        <v/>
      </c>
      <c r="E189" s="78" t="str">
        <f ca="1">IF(COUNTIF($U$2:U1174,A189)=1,VLOOKUP(A189,U:V,2), "")</f>
        <v/>
      </c>
      <c r="F189" s="78" t="str">
        <f ca="1">IF(COUNTIF($W$2:W1174,A189)=1,VLOOKUP(A189,W:X,2), IF(COUNTIF($W$2:W1174,A189)=0,$E$9,""))</f>
        <v/>
      </c>
      <c r="G189" s="93"/>
      <c r="H189" s="93"/>
      <c r="I189" s="38" t="str">
        <f ca="1">IF(COUNTIF($AK$2:AK1174,A189)=1,VLOOKUP(A189,AC:AD,2), IF(COUNTIF($AK$2:AK1174,A189)=0,$C$9,""))</f>
        <v/>
      </c>
      <c r="J189" s="2" t="str">
        <f t="shared" ca="1" si="17"/>
        <v/>
      </c>
      <c r="K189" s="41" t="str">
        <f t="shared" ca="1" si="18"/>
        <v/>
      </c>
      <c r="L189" s="38" t="str">
        <f ca="1">IF(COUNTIF($AK$2:AK1174,A189)=1,VLOOKUP(A189,AN:AO,2), IF(COUNTIF($AK$2:AK1174,A189)=0,$D$9,""))</f>
        <v/>
      </c>
      <c r="M189" s="41" t="str">
        <f ca="1">IF(ISERROR(L189-2),"",(L189/$L$14-1)*$D$5)</f>
        <v/>
      </c>
      <c r="N189" s="41" t="str">
        <f ca="1">IF($A189="","",IF(COUNTIFS(Dividends!$G:$G,"&gt;"&amp;INT($A188),Dividends!$G:$G,"&lt;="&amp;INT($A189))=0,"",$R$2*SUMIFS(Dividends!$H:$H,Dividends!$G:$G,"&gt;"&amp;INT($A188),Dividends!$G:$G,"&lt;="&amp;INT($A189))))</f>
        <v/>
      </c>
      <c r="O189" s="42" t="str">
        <f ca="1">IF(ISERROR(B189-2),"",C189+D189-J189-K189-M189+SUM($N$14:N189))</f>
        <v/>
      </c>
      <c r="P189" s="80"/>
      <c r="Q189" s="80"/>
      <c r="R189" s="87"/>
      <c r="S189" s="87"/>
      <c r="T189" s="87"/>
      <c r="U189" s="108"/>
      <c r="V189" s="87"/>
      <c r="W189" s="108"/>
      <c r="X189" s="87"/>
      <c r="Y189" s="87"/>
      <c r="AI189" s="3" t="str">
        <f>IF(COUNTIF(AC:AC,AA189)*COUNTIF(AE:AE,AA189)*COUNTIF(AG:AG,AA189),AA189,"")</f>
        <v/>
      </c>
      <c r="AJ189" s="3" t="str">
        <f t="shared" si="13"/>
        <v/>
      </c>
      <c r="AN189" s="3">
        <v>46048</v>
      </c>
      <c r="AO189" s="4">
        <v>249.3184</v>
      </c>
      <c r="AP189" s="74">
        <v>46048</v>
      </c>
      <c r="AQ189" s="4">
        <v>242.38300000000001</v>
      </c>
      <c r="AR189" s="6">
        <f t="shared" si="14"/>
        <v>46048</v>
      </c>
    </row>
    <row r="190" spans="1:44" x14ac:dyDescent="0.25">
      <c r="A190" s="37" t="str">
        <f ca="1">IF(AND(ISBLANK(AK179), A189 = $AK$1),NOW(),IF(ISBLANK(AK179),"",AK179))</f>
        <v/>
      </c>
      <c r="B190" s="38" t="str">
        <f ca="1">IF(COUNTIF($AK$2:AK1175,A190)=1,VLOOKUP(A190,AA:AB,2), IF(COUNTIF($AK$2:AK1175,A190)=0,$B$9,""))</f>
        <v/>
      </c>
      <c r="C190" s="2" t="str">
        <f t="shared" ca="1" si="15"/>
        <v/>
      </c>
      <c r="D190" s="41" t="str">
        <f t="shared" ca="1" si="16"/>
        <v/>
      </c>
      <c r="E190" s="78" t="str">
        <f ca="1">IF(COUNTIF($U$2:U1175,A190)=1,VLOOKUP(A190,U:V,2), "")</f>
        <v/>
      </c>
      <c r="F190" s="78" t="str">
        <f ca="1">IF(COUNTIF($W$2:W1175,A190)=1,VLOOKUP(A190,W:X,2), IF(COUNTIF($W$2:W1175,A190)=0,$E$9,""))</f>
        <v/>
      </c>
      <c r="G190" s="93"/>
      <c r="H190" s="93"/>
      <c r="I190" s="38" t="str">
        <f ca="1">IF(COUNTIF($AK$2:AK1175,A190)=1,VLOOKUP(A190,AC:AD,2), IF(COUNTIF($AK$2:AK1175,A190)=0,$C$9,""))</f>
        <v/>
      </c>
      <c r="J190" s="2" t="str">
        <f t="shared" ca="1" si="17"/>
        <v/>
      </c>
      <c r="K190" s="41" t="str">
        <f t="shared" ca="1" si="18"/>
        <v/>
      </c>
      <c r="L190" s="38" t="str">
        <f ca="1">IF(COUNTIF($AK$2:AK1175,A190)=1,VLOOKUP(A190,AN:AO,2), IF(COUNTIF($AK$2:AK1175,A190)=0,$D$9,""))</f>
        <v/>
      </c>
      <c r="M190" s="41" t="str">
        <f ca="1">IF(ISERROR(L190-2),"",(L190/$L$14-1)*$D$5)</f>
        <v/>
      </c>
      <c r="N190" s="41" t="str">
        <f ca="1">IF($A190="","",IF(COUNTIFS(Dividends!$G:$G,"&gt;"&amp;INT($A189),Dividends!$G:$G,"&lt;="&amp;INT($A190))=0,"",$R$2*SUMIFS(Dividends!$H:$H,Dividends!$G:$G,"&gt;"&amp;INT($A189),Dividends!$G:$G,"&lt;="&amp;INT($A190))))</f>
        <v/>
      </c>
      <c r="O190" s="42" t="str">
        <f ca="1">IF(ISERROR(B190-2),"",C190+D190-J190-K190-M190+SUM($N$14:N190))</f>
        <v/>
      </c>
      <c r="P190" s="80"/>
      <c r="Q190" s="80"/>
      <c r="R190" s="87"/>
      <c r="S190" s="87"/>
      <c r="T190" s="87"/>
      <c r="U190" s="108"/>
      <c r="V190" s="87"/>
      <c r="W190" s="108"/>
      <c r="X190" s="87"/>
      <c r="Y190" s="87"/>
      <c r="AI190" s="3" t="str">
        <f>IF(COUNTIF(AC:AC,AA190)*COUNTIF(AE:AE,AA190)*COUNTIF(AG:AG,AA190),AA190,"")</f>
        <v/>
      </c>
      <c r="AJ190" s="3" t="str">
        <f t="shared" si="13"/>
        <v/>
      </c>
      <c r="AN190" s="3">
        <v>46049</v>
      </c>
      <c r="AO190" s="4">
        <v>249.45769999999999</v>
      </c>
      <c r="AP190" s="74">
        <v>46049</v>
      </c>
      <c r="AQ190" s="4">
        <v>241.536</v>
      </c>
      <c r="AR190" s="6">
        <f t="shared" si="14"/>
        <v>46049</v>
      </c>
    </row>
    <row r="191" spans="1:44" x14ac:dyDescent="0.25">
      <c r="A191" s="37" t="str">
        <f ca="1">IF(AND(ISBLANK(AK180), A190 = $AK$1),NOW(),IF(ISBLANK(AK180),"",AK180))</f>
        <v/>
      </c>
      <c r="B191" s="38" t="str">
        <f ca="1">IF(COUNTIF($AK$2:AK1176,A191)=1,VLOOKUP(A191,AA:AB,2), IF(COUNTIF($AK$2:AK1176,A191)=0,$B$9,""))</f>
        <v/>
      </c>
      <c r="C191" s="2" t="str">
        <f t="shared" ca="1" si="15"/>
        <v/>
      </c>
      <c r="D191" s="41" t="str">
        <f t="shared" ca="1" si="16"/>
        <v/>
      </c>
      <c r="E191" s="78" t="str">
        <f ca="1">IF(COUNTIF($U$2:U1176,A191)=1,VLOOKUP(A191,U:V,2), "")</f>
        <v/>
      </c>
      <c r="F191" s="78" t="str">
        <f ca="1">IF(COUNTIF($W$2:W1176,A191)=1,VLOOKUP(A191,W:X,2), IF(COUNTIF($W$2:W1176,A191)=0,$E$9,""))</f>
        <v/>
      </c>
      <c r="G191" s="93"/>
      <c r="H191" s="93"/>
      <c r="I191" s="38" t="str">
        <f ca="1">IF(COUNTIF($AK$2:AK1176,A191)=1,VLOOKUP(A191,AC:AD,2), IF(COUNTIF($AK$2:AK1176,A191)=0,$C$9,""))</f>
        <v/>
      </c>
      <c r="J191" s="2" t="str">
        <f t="shared" ca="1" si="17"/>
        <v/>
      </c>
      <c r="K191" s="41" t="str">
        <f t="shared" ca="1" si="18"/>
        <v/>
      </c>
      <c r="L191" s="38" t="str">
        <f ca="1">IF(COUNTIF($AK$2:AK1176,A191)=1,VLOOKUP(A191,AN:AO,2), IF(COUNTIF($AK$2:AK1176,A191)=0,$D$9,""))</f>
        <v/>
      </c>
      <c r="M191" s="41" t="str">
        <f ca="1">IF(ISERROR(L191-2),"",(L191/$L$14-1)*$D$5)</f>
        <v/>
      </c>
      <c r="N191" s="41" t="str">
        <f ca="1">IF($A191="","",IF(COUNTIFS(Dividends!$G:$G,"&gt;"&amp;INT($A190),Dividends!$G:$G,"&lt;="&amp;INT($A191))=0,"",$R$2*SUMIFS(Dividends!$H:$H,Dividends!$G:$G,"&gt;"&amp;INT($A190),Dividends!$G:$G,"&lt;="&amp;INT($A191))))</f>
        <v/>
      </c>
      <c r="O191" s="42" t="str">
        <f ca="1">IF(ISERROR(B191-2),"",C191+D191-J191-K191-M191+SUM($N$14:N191))</f>
        <v/>
      </c>
      <c r="P191" s="80"/>
      <c r="Q191" s="80"/>
      <c r="R191" s="87"/>
      <c r="S191" s="87"/>
      <c r="T191" s="87"/>
      <c r="U191" s="108"/>
      <c r="V191" s="87"/>
      <c r="W191" s="108"/>
      <c r="X191" s="87"/>
      <c r="Y191" s="87"/>
      <c r="AI191" s="3" t="str">
        <f>IF(COUNTIF(AC:AC,AA191)*COUNTIF(AE:AE,AA191)*COUNTIF(AG:AG,AA191),AA191,"")</f>
        <v/>
      </c>
      <c r="AJ191" s="3" t="str">
        <f t="shared" si="13"/>
        <v/>
      </c>
      <c r="AN191" s="3">
        <v>46050</v>
      </c>
      <c r="AO191" s="4">
        <v>249.07820000000001</v>
      </c>
      <c r="AP191" s="74">
        <v>46050</v>
      </c>
      <c r="AQ191" s="4">
        <v>245.107</v>
      </c>
      <c r="AR191" s="6">
        <f t="shared" si="14"/>
        <v>46050</v>
      </c>
    </row>
    <row r="192" spans="1:44" x14ac:dyDescent="0.25">
      <c r="A192" s="37" t="str">
        <f ca="1">IF(AND(ISBLANK(AK181), A191 = $AK$1),NOW(),IF(ISBLANK(AK181),"",AK181))</f>
        <v/>
      </c>
      <c r="B192" s="38" t="str">
        <f ca="1">IF(COUNTIF($AK$2:AK1177,A192)=1,VLOOKUP(A192,AA:AB,2), IF(COUNTIF($AK$2:AK1177,A192)=0,$B$9,""))</f>
        <v/>
      </c>
      <c r="C192" s="2" t="str">
        <f t="shared" ca="1" si="15"/>
        <v/>
      </c>
      <c r="D192" s="41" t="str">
        <f t="shared" ca="1" si="16"/>
        <v/>
      </c>
      <c r="E192" s="78" t="str">
        <f ca="1">IF(COUNTIF($U$2:U1177,A192)=1,VLOOKUP(A192,U:V,2), "")</f>
        <v/>
      </c>
      <c r="F192" s="78" t="str">
        <f ca="1">IF(COUNTIF($W$2:W1177,A192)=1,VLOOKUP(A192,W:X,2), IF(COUNTIF($W$2:W1177,A192)=0,$E$9,""))</f>
        <v/>
      </c>
      <c r="G192" s="93"/>
      <c r="H192" s="93"/>
      <c r="I192" s="38" t="str">
        <f ca="1">IF(COUNTIF($AK$2:AK1177,A192)=1,VLOOKUP(A192,AC:AD,2), IF(COUNTIF($AK$2:AK1177,A192)=0,$C$9,""))</f>
        <v/>
      </c>
      <c r="J192" s="2" t="str">
        <f t="shared" ca="1" si="17"/>
        <v/>
      </c>
      <c r="K192" s="41" t="str">
        <f t="shared" ca="1" si="18"/>
        <v/>
      </c>
      <c r="L192" s="38" t="str">
        <f ca="1">IF(COUNTIF($AK$2:AK1177,A192)=1,VLOOKUP(A192,AN:AO,2), IF(COUNTIF($AK$2:AK1177,A192)=0,$D$9,""))</f>
        <v/>
      </c>
      <c r="M192" s="41" t="str">
        <f ca="1">IF(ISERROR(L192-2),"",(L192/$L$14-1)*$D$5)</f>
        <v/>
      </c>
      <c r="N192" s="41" t="str">
        <f ca="1">IF($A192="","",IF(COUNTIFS(Dividends!$G:$G,"&gt;"&amp;INT($A191),Dividends!$G:$G,"&lt;="&amp;INT($A192))=0,"",$R$2*SUMIFS(Dividends!$H:$H,Dividends!$G:$G,"&gt;"&amp;INT($A191),Dividends!$G:$G,"&lt;="&amp;INT($A192))))</f>
        <v/>
      </c>
      <c r="O192" s="42" t="str">
        <f ca="1">IF(ISERROR(B192-2),"",C192+D192-J192-K192-M192+SUM($N$14:N192))</f>
        <v/>
      </c>
      <c r="P192" s="80"/>
      <c r="Q192" s="80"/>
      <c r="R192" s="87"/>
      <c r="S192" s="87"/>
      <c r="T192" s="87"/>
      <c r="U192" s="108"/>
      <c r="V192" s="87"/>
      <c r="W192" s="108"/>
      <c r="X192" s="87"/>
      <c r="Y192" s="87"/>
      <c r="AI192" s="3" t="str">
        <f>IF(COUNTIF(AC:AC,AA192)*COUNTIF(AE:AE,AA192)*COUNTIF(AG:AG,AA192),AA192,"")</f>
        <v/>
      </c>
      <c r="AJ192" s="3" t="str">
        <f t="shared" si="13"/>
        <v/>
      </c>
      <c r="AN192" s="3">
        <v>46051</v>
      </c>
      <c r="AO192" s="4">
        <v>248.7859</v>
      </c>
      <c r="AP192" s="74">
        <v>46051</v>
      </c>
      <c r="AQ192" s="4">
        <v>247.57400000000001</v>
      </c>
      <c r="AR192" s="6">
        <f t="shared" si="14"/>
        <v>46051</v>
      </c>
    </row>
    <row r="193" spans="1:44" x14ac:dyDescent="0.25">
      <c r="A193" s="37" t="str">
        <f ca="1">IF(AND(ISBLANK(AK182), A192 = $AK$1),NOW(),IF(ISBLANK(AK182),"",AK182))</f>
        <v/>
      </c>
      <c r="B193" s="38" t="str">
        <f ca="1">IF(COUNTIF($AK$2:AK1178,A193)=1,VLOOKUP(A193,AA:AB,2), IF(COUNTIF($AK$2:AK1178,A193)=0,$B$9,""))</f>
        <v/>
      </c>
      <c r="C193" s="2" t="str">
        <f t="shared" ca="1" si="15"/>
        <v/>
      </c>
      <c r="D193" s="41" t="str">
        <f t="shared" ca="1" si="16"/>
        <v/>
      </c>
      <c r="E193" s="78" t="str">
        <f ca="1">IF(COUNTIF($U$2:U1178,A193)=1,VLOOKUP(A193,U:V,2), "")</f>
        <v/>
      </c>
      <c r="F193" s="78" t="str">
        <f ca="1">IF(COUNTIF($W$2:W1178,A193)=1,VLOOKUP(A193,W:X,2), IF(COUNTIF($W$2:W1178,A193)=0,$E$9,""))</f>
        <v/>
      </c>
      <c r="G193" s="93"/>
      <c r="H193" s="93"/>
      <c r="I193" s="38" t="str">
        <f ca="1">IF(COUNTIF($AK$2:AK1178,A193)=1,VLOOKUP(A193,AC:AD,2), IF(COUNTIF($AK$2:AK1178,A193)=0,$C$9,""))</f>
        <v/>
      </c>
      <c r="J193" s="2" t="str">
        <f t="shared" ca="1" si="17"/>
        <v/>
      </c>
      <c r="K193" s="41" t="str">
        <f t="shared" ca="1" si="18"/>
        <v/>
      </c>
      <c r="L193" s="38" t="str">
        <f ca="1">IF(COUNTIF($AK$2:AK1178,A193)=1,VLOOKUP(A193,AN:AO,2), IF(COUNTIF($AK$2:AK1178,A193)=0,$D$9,""))</f>
        <v/>
      </c>
      <c r="M193" s="41" t="str">
        <f ca="1">IF(ISERROR(L193-2),"",(L193/$L$14-1)*$D$5)</f>
        <v/>
      </c>
      <c r="N193" s="41" t="str">
        <f ca="1">IF($A193="","",IF(COUNTIFS(Dividends!$G:$G,"&gt;"&amp;INT($A192),Dividends!$G:$G,"&lt;="&amp;INT($A193))=0,"",$R$2*SUMIFS(Dividends!$H:$H,Dividends!$G:$G,"&gt;"&amp;INT($A192),Dividends!$G:$G,"&lt;="&amp;INT($A193))))</f>
        <v/>
      </c>
      <c r="O193" s="42" t="str">
        <f ca="1">IF(ISERROR(B193-2),"",C193+D193-J193-K193-M193+SUM($N$14:N193))</f>
        <v/>
      </c>
      <c r="P193" s="80"/>
      <c r="Q193" s="80"/>
      <c r="R193" s="87"/>
      <c r="S193" s="87"/>
      <c r="T193" s="87"/>
      <c r="U193" s="108"/>
      <c r="V193" s="87"/>
      <c r="W193" s="108"/>
      <c r="X193" s="87"/>
      <c r="Y193" s="87"/>
      <c r="AI193" s="3" t="str">
        <f>IF(COUNTIF(AC:AC,AA193)*COUNTIF(AE:AE,AA193)*COUNTIF(AG:AG,AA193),AA193,"")</f>
        <v/>
      </c>
      <c r="AJ193" s="3" t="str">
        <f t="shared" si="13"/>
        <v/>
      </c>
      <c r="AN193" s="3">
        <v>46052</v>
      </c>
      <c r="AO193" s="4">
        <v>248.92789999999999</v>
      </c>
      <c r="AP193" s="74">
        <v>46052</v>
      </c>
      <c r="AQ193" s="4">
        <v>247.31899999999999</v>
      </c>
      <c r="AR193" s="6">
        <f t="shared" si="14"/>
        <v>46052</v>
      </c>
    </row>
    <row r="194" spans="1:44" x14ac:dyDescent="0.25">
      <c r="A194" s="37" t="str">
        <f ca="1">IF(AND(ISBLANK(AK183), A193 = $AK$1),NOW(),IF(ISBLANK(AK183),"",AK183))</f>
        <v/>
      </c>
      <c r="B194" s="38" t="str">
        <f ca="1">IF(COUNTIF($AK$2:AK1179,A194)=1,VLOOKUP(A194,AA:AB,2), IF(COUNTIF($AK$2:AK1179,A194)=0,$B$9,""))</f>
        <v/>
      </c>
      <c r="C194" s="2" t="str">
        <f t="shared" ca="1" si="15"/>
        <v/>
      </c>
      <c r="D194" s="41" t="str">
        <f t="shared" ca="1" si="16"/>
        <v/>
      </c>
      <c r="E194" s="78" t="str">
        <f ca="1">IF(COUNTIF($U$2:U1179,A194)=1,VLOOKUP(A194,U:V,2), "")</f>
        <v/>
      </c>
      <c r="F194" s="78" t="str">
        <f ca="1">IF(COUNTIF($W$2:W1179,A194)=1,VLOOKUP(A194,W:X,2), IF(COUNTIF($W$2:W1179,A194)=0,$E$9,""))</f>
        <v/>
      </c>
      <c r="G194" s="93"/>
      <c r="H194" s="93"/>
      <c r="I194" s="38" t="str">
        <f ca="1">IF(COUNTIF($AK$2:AK1179,A194)=1,VLOOKUP(A194,AC:AD,2), IF(COUNTIF($AK$2:AK1179,A194)=0,$C$9,""))</f>
        <v/>
      </c>
      <c r="J194" s="2" t="str">
        <f t="shared" ca="1" si="17"/>
        <v/>
      </c>
      <c r="K194" s="41" t="str">
        <f t="shared" ca="1" si="18"/>
        <v/>
      </c>
      <c r="L194" s="38" t="str">
        <f ca="1">IF(COUNTIF($AK$2:AK1179,A194)=1,VLOOKUP(A194,AN:AO,2), IF(COUNTIF($AK$2:AK1179,A194)=0,$D$9,""))</f>
        <v/>
      </c>
      <c r="M194" s="41" t="str">
        <f ca="1">IF(ISERROR(L194-2),"",(L194/$L$14-1)*$D$5)</f>
        <v/>
      </c>
      <c r="N194" s="41" t="str">
        <f ca="1">IF($A194="","",IF(COUNTIFS(Dividends!$G:$G,"&gt;"&amp;INT($A193),Dividends!$G:$G,"&lt;="&amp;INT($A194))=0,"",$R$2*SUMIFS(Dividends!$H:$H,Dividends!$G:$G,"&gt;"&amp;INT($A193),Dividends!$G:$G,"&lt;="&amp;INT($A194))))</f>
        <v/>
      </c>
      <c r="O194" s="42" t="str">
        <f ca="1">IF(ISERROR(B194-2),"",C194+D194-J194-K194-M194+SUM($N$14:N194))</f>
        <v/>
      </c>
      <c r="P194" s="80"/>
      <c r="Q194" s="80"/>
      <c r="R194" s="87"/>
      <c r="S194" s="87"/>
      <c r="T194" s="87"/>
      <c r="U194" s="108"/>
      <c r="V194" s="87"/>
      <c r="W194" s="108"/>
      <c r="X194" s="87"/>
      <c r="Y194" s="87"/>
      <c r="AI194" s="3" t="str">
        <f>IF(COUNTIF(AC:AC,AA194)*COUNTIF(AE:AE,AA194)*COUNTIF(AG:AG,AA194),AA194,"")</f>
        <v/>
      </c>
      <c r="AJ194" s="3" t="str">
        <f t="shared" si="13"/>
        <v/>
      </c>
      <c r="AN194" s="3">
        <v>46055</v>
      </c>
      <c r="AO194" s="4">
        <v>249.41380000000001</v>
      </c>
      <c r="AP194" s="74">
        <v>46055</v>
      </c>
      <c r="AQ194" s="4">
        <v>242.94800000000001</v>
      </c>
      <c r="AR194" s="6">
        <f t="shared" si="14"/>
        <v>46055</v>
      </c>
    </row>
    <row r="195" spans="1:44" x14ac:dyDescent="0.25">
      <c r="A195" s="37" t="str">
        <f ca="1">IF(AND(ISBLANK(AK184), A194 = $AK$1),NOW(),IF(ISBLANK(AK184),"",AK184))</f>
        <v/>
      </c>
      <c r="B195" s="38" t="str">
        <f ca="1">IF(COUNTIF($AK$2:AK1180,A195)=1,VLOOKUP(A195,AA:AB,2), IF(COUNTIF($AK$2:AK1180,A195)=0,$B$9,""))</f>
        <v/>
      </c>
      <c r="C195" s="2" t="str">
        <f t="shared" ca="1" si="15"/>
        <v/>
      </c>
      <c r="D195" s="41" t="str">
        <f t="shared" ca="1" si="16"/>
        <v/>
      </c>
      <c r="E195" s="78" t="str">
        <f ca="1">IF(COUNTIF($U$2:U1180,A195)=1,VLOOKUP(A195,U:V,2), "")</f>
        <v/>
      </c>
      <c r="F195" s="78" t="str">
        <f ca="1">IF(COUNTIF($W$2:W1180,A195)=1,VLOOKUP(A195,W:X,2), IF(COUNTIF($W$2:W1180,A195)=0,$E$9,""))</f>
        <v/>
      </c>
      <c r="G195" s="93"/>
      <c r="H195" s="93"/>
      <c r="I195" s="38" t="str">
        <f ca="1">IF(COUNTIF($AK$2:AK1180,A195)=1,VLOOKUP(A195,AC:AD,2), IF(COUNTIF($AK$2:AK1180,A195)=0,$C$9,""))</f>
        <v/>
      </c>
      <c r="J195" s="2" t="str">
        <f t="shared" ca="1" si="17"/>
        <v/>
      </c>
      <c r="K195" s="41" t="str">
        <f t="shared" ca="1" si="18"/>
        <v/>
      </c>
      <c r="L195" s="38" t="str">
        <f ca="1">IF(COUNTIF($AK$2:AK1180,A195)=1,VLOOKUP(A195,AN:AO,2), IF(COUNTIF($AK$2:AK1180,A195)=0,$D$9,""))</f>
        <v/>
      </c>
      <c r="M195" s="41" t="str">
        <f ca="1">IF(ISERROR(L195-2),"",(L195/$L$14-1)*$D$5)</f>
        <v/>
      </c>
      <c r="N195" s="41" t="str">
        <f ca="1">IF($A195="","",IF(COUNTIFS(Dividends!$G:$G,"&gt;"&amp;INT($A194),Dividends!$G:$G,"&lt;="&amp;INT($A195))=0,"",$R$2*SUMIFS(Dividends!$H:$H,Dividends!$G:$G,"&gt;"&amp;INT($A194),Dividends!$G:$G,"&lt;="&amp;INT($A195))))</f>
        <v/>
      </c>
      <c r="O195" s="42" t="str">
        <f ca="1">IF(ISERROR(B195-2),"",C195+D195-J195-K195-M195+SUM($N$14:N195))</f>
        <v/>
      </c>
      <c r="P195" s="80"/>
      <c r="Q195" s="80"/>
      <c r="R195" s="87"/>
      <c r="S195" s="87"/>
      <c r="T195" s="87"/>
      <c r="U195" s="108"/>
      <c r="V195" s="87"/>
      <c r="W195" s="108"/>
      <c r="X195" s="87"/>
      <c r="Y195" s="87"/>
      <c r="AI195" s="3" t="str">
        <f>IF(COUNTIF(AC:AC,AA195)*COUNTIF(AE:AE,AA195)*COUNTIF(AG:AG,AA195),AA195,"")</f>
        <v/>
      </c>
      <c r="AJ195" s="3" t="str">
        <f t="shared" si="13"/>
        <v/>
      </c>
      <c r="AN195" s="3">
        <v>46056</v>
      </c>
      <c r="AO195" s="4">
        <v>249.29150000000001</v>
      </c>
      <c r="AP195" s="74">
        <v>46056</v>
      </c>
      <c r="AQ195" s="4">
        <v>244.75399999999999</v>
      </c>
      <c r="AR195" s="6">
        <f t="shared" si="14"/>
        <v>46056</v>
      </c>
    </row>
    <row r="196" spans="1:44" x14ac:dyDescent="0.25">
      <c r="A196" s="37" t="str">
        <f ca="1">IF(AND(ISBLANK(AK185), A195 = $AK$1),NOW(),IF(ISBLANK(AK185),"",AK185))</f>
        <v/>
      </c>
      <c r="B196" s="38" t="str">
        <f ca="1">IF(COUNTIF($AK$2:AK1181,A196)=1,VLOOKUP(A196,AA:AB,2), IF(COUNTIF($AK$2:AK1181,A196)=0,$B$9,""))</f>
        <v/>
      </c>
      <c r="C196" s="2" t="str">
        <f t="shared" ca="1" si="15"/>
        <v/>
      </c>
      <c r="D196" s="41" t="str">
        <f t="shared" ca="1" si="16"/>
        <v/>
      </c>
      <c r="E196" s="78" t="str">
        <f ca="1">IF(COUNTIF($U$2:U1181,A196)=1,VLOOKUP(A196,U:V,2), "")</f>
        <v/>
      </c>
      <c r="F196" s="78" t="str">
        <f ca="1">IF(COUNTIF($W$2:W1181,A196)=1,VLOOKUP(A196,W:X,2), IF(COUNTIF($W$2:W1181,A196)=0,$E$9,""))</f>
        <v/>
      </c>
      <c r="G196" s="93"/>
      <c r="H196" s="93"/>
      <c r="I196" s="38" t="str">
        <f ca="1">IF(COUNTIF($AK$2:AK1181,A196)=1,VLOOKUP(A196,AC:AD,2), IF(COUNTIF($AK$2:AK1181,A196)=0,$C$9,""))</f>
        <v/>
      </c>
      <c r="J196" s="2" t="str">
        <f t="shared" ca="1" si="17"/>
        <v/>
      </c>
      <c r="K196" s="41" t="str">
        <f t="shared" ca="1" si="18"/>
        <v/>
      </c>
      <c r="L196" s="38" t="str">
        <f ca="1">IF(COUNTIF($AK$2:AK1181,A196)=1,VLOOKUP(A196,AN:AO,2), IF(COUNTIF($AK$2:AK1181,A196)=0,$D$9,""))</f>
        <v/>
      </c>
      <c r="M196" s="41" t="str">
        <f ca="1">IF(ISERROR(L196-2),"",(L196/$L$14-1)*$D$5)</f>
        <v/>
      </c>
      <c r="N196" s="41" t="str">
        <f ca="1">IF($A196="","",IF(COUNTIFS(Dividends!$G:$G,"&gt;"&amp;INT($A195),Dividends!$G:$G,"&lt;="&amp;INT($A196))=0,"",$R$2*SUMIFS(Dividends!$H:$H,Dividends!$G:$G,"&gt;"&amp;INT($A195),Dividends!$G:$G,"&lt;="&amp;INT($A196))))</f>
        <v/>
      </c>
      <c r="O196" s="42" t="str">
        <f ca="1">IF(ISERROR(B196-2),"",C196+D196-J196-K196-M196+SUM($N$14:N196))</f>
        <v/>
      </c>
      <c r="P196" s="80"/>
      <c r="Q196" s="80"/>
      <c r="R196" s="87"/>
      <c r="S196" s="87"/>
      <c r="T196" s="87"/>
      <c r="U196" s="108"/>
      <c r="V196" s="87"/>
      <c r="W196" s="108"/>
      <c r="X196" s="87"/>
      <c r="Y196" s="87"/>
      <c r="AI196" s="3" t="str">
        <f>IF(COUNTIF(AC:AC,AA196)*COUNTIF(AE:AE,AA196)*COUNTIF(AG:AG,AA196),AA196,"")</f>
        <v/>
      </c>
      <c r="AJ196" s="3" t="str">
        <f t="shared" ref="AJ196:AJ259" si="19">IF(AI196&gt;=$A$14,AI196,"")</f>
        <v/>
      </c>
      <c r="AN196" s="3">
        <v>46057</v>
      </c>
      <c r="AO196" s="4">
        <v>249.12110000000001</v>
      </c>
      <c r="AP196" s="74">
        <v>46057</v>
      </c>
      <c r="AQ196" s="4">
        <v>246.44200000000001</v>
      </c>
      <c r="AR196" s="6">
        <f t="shared" ref="AR196:AR259" si="20">IF(COUNTIF(AP:AP,AN196),AN196,"")</f>
        <v>46057</v>
      </c>
    </row>
    <row r="197" spans="1:44" x14ac:dyDescent="0.25">
      <c r="A197" s="37" t="str">
        <f ca="1">IF(AND(ISBLANK(AK186), A196 = $AK$1),NOW(),IF(ISBLANK(AK186),"",AK186))</f>
        <v/>
      </c>
      <c r="B197" s="38" t="str">
        <f ca="1">IF(COUNTIF($AK$2:AK1182,A197)=1,VLOOKUP(A197,AA:AB,2), IF(COUNTIF($AK$2:AK1182,A197)=0,$B$9,""))</f>
        <v/>
      </c>
      <c r="C197" s="2" t="str">
        <f t="shared" ca="1" si="15"/>
        <v/>
      </c>
      <c r="D197" s="41" t="str">
        <f t="shared" ca="1" si="16"/>
        <v/>
      </c>
      <c r="E197" s="78" t="str">
        <f ca="1">IF(COUNTIF($U$2:U1182,A197)=1,VLOOKUP(A197,U:V,2), "")</f>
        <v/>
      </c>
      <c r="F197" s="78" t="str">
        <f ca="1">IF(COUNTIF($W$2:W1182,A197)=1,VLOOKUP(A197,W:X,2), IF(COUNTIF($W$2:W1182,A197)=0,$E$9,""))</f>
        <v/>
      </c>
      <c r="G197" s="93"/>
      <c r="H197" s="93"/>
      <c r="I197" s="38" t="str">
        <f ca="1">IF(COUNTIF($AK$2:AK1182,A197)=1,VLOOKUP(A197,AC:AD,2), IF(COUNTIF($AK$2:AK1182,A197)=0,$C$9,""))</f>
        <v/>
      </c>
      <c r="J197" s="2" t="str">
        <f t="shared" ca="1" si="17"/>
        <v/>
      </c>
      <c r="K197" s="41" t="str">
        <f t="shared" ca="1" si="18"/>
        <v/>
      </c>
      <c r="L197" s="38" t="str">
        <f ca="1">IF(COUNTIF($AK$2:AK1182,A197)=1,VLOOKUP(A197,AN:AO,2), IF(COUNTIF($AK$2:AK1182,A197)=0,$D$9,""))</f>
        <v/>
      </c>
      <c r="M197" s="41" t="str">
        <f ca="1">IF(ISERROR(L197-2),"",(L197/$L$14-1)*$D$5)</f>
        <v/>
      </c>
      <c r="N197" s="41" t="str">
        <f ca="1">IF($A197="","",IF(COUNTIFS(Dividends!$G:$G,"&gt;"&amp;INT($A196),Dividends!$G:$G,"&lt;="&amp;INT($A197))=0,"",$R$2*SUMIFS(Dividends!$H:$H,Dividends!$G:$G,"&gt;"&amp;INT($A196),Dividends!$G:$G,"&lt;="&amp;INT($A197))))</f>
        <v/>
      </c>
      <c r="O197" s="42" t="str">
        <f ca="1">IF(ISERROR(B197-2),"",C197+D197-J197-K197-M197+SUM($N$14:N197))</f>
        <v/>
      </c>
      <c r="P197" s="80"/>
      <c r="Q197" s="80"/>
      <c r="R197" s="87"/>
      <c r="S197" s="87"/>
      <c r="T197" s="87"/>
      <c r="U197" s="108"/>
      <c r="V197" s="87"/>
      <c r="W197" s="108"/>
      <c r="X197" s="87"/>
      <c r="Y197" s="87"/>
      <c r="AI197" s="3" t="str">
        <f>IF(COUNTIF(AC:AC,AA197)*COUNTIF(AE:AE,AA197)*COUNTIF(AG:AG,AA197),AA197,"")</f>
        <v/>
      </c>
      <c r="AJ197" s="3" t="str">
        <f t="shared" si="19"/>
        <v/>
      </c>
      <c r="AN197" s="3">
        <v>46058</v>
      </c>
      <c r="AO197" s="4">
        <v>248.86420000000001</v>
      </c>
      <c r="AP197" s="74">
        <v>46058</v>
      </c>
      <c r="AQ197" s="4">
        <v>247.72399999999999</v>
      </c>
      <c r="AR197" s="6">
        <f t="shared" si="20"/>
        <v>46058</v>
      </c>
    </row>
    <row r="198" spans="1:44" x14ac:dyDescent="0.25">
      <c r="A198" s="37" t="str">
        <f ca="1">IF(AND(ISBLANK(AK187), A197 = $AK$1),NOW(),IF(ISBLANK(AK187),"",AK187))</f>
        <v/>
      </c>
      <c r="B198" s="38" t="str">
        <f ca="1">IF(COUNTIF($AK$2:AK1183,A198)=1,VLOOKUP(A198,AA:AB,2), IF(COUNTIF($AK$2:AK1183,A198)=0,$B$9,""))</f>
        <v/>
      </c>
      <c r="C198" s="2" t="str">
        <f t="shared" ca="1" si="15"/>
        <v/>
      </c>
      <c r="D198" s="41" t="str">
        <f t="shared" ca="1" si="16"/>
        <v/>
      </c>
      <c r="E198" s="78" t="str">
        <f ca="1">IF(COUNTIF($U$2:U1183,A198)=1,VLOOKUP(A198,U:V,2), "")</f>
        <v/>
      </c>
      <c r="F198" s="78" t="str">
        <f ca="1">IF(COUNTIF($W$2:W1183,A198)=1,VLOOKUP(A198,W:X,2), IF(COUNTIF($W$2:W1183,A198)=0,$E$9,""))</f>
        <v/>
      </c>
      <c r="G198" s="93"/>
      <c r="H198" s="93"/>
      <c r="I198" s="38" t="str">
        <f ca="1">IF(COUNTIF($AK$2:AK1183,A198)=1,VLOOKUP(A198,AC:AD,2), IF(COUNTIF($AK$2:AK1183,A198)=0,$C$9,""))</f>
        <v/>
      </c>
      <c r="J198" s="2" t="str">
        <f t="shared" ca="1" si="17"/>
        <v/>
      </c>
      <c r="K198" s="41" t="str">
        <f t="shared" ca="1" si="18"/>
        <v/>
      </c>
      <c r="L198" s="38" t="str">
        <f ca="1">IF(COUNTIF($AK$2:AK1183,A198)=1,VLOOKUP(A198,AN:AO,2), IF(COUNTIF($AK$2:AK1183,A198)=0,$D$9,""))</f>
        <v/>
      </c>
      <c r="M198" s="41" t="str">
        <f ca="1">IF(ISERROR(L198-2),"",(L198/$L$14-1)*$D$5)</f>
        <v/>
      </c>
      <c r="N198" s="41" t="str">
        <f ca="1">IF($A198="","",IF(COUNTIFS(Dividends!$G:$G,"&gt;"&amp;INT($A197),Dividends!$G:$G,"&lt;="&amp;INT($A198))=0,"",$R$2*SUMIFS(Dividends!$H:$H,Dividends!$G:$G,"&gt;"&amp;INT($A197),Dividends!$G:$G,"&lt;="&amp;INT($A198))))</f>
        <v/>
      </c>
      <c r="O198" s="42" t="str">
        <f ca="1">IF(ISERROR(B198-2),"",C198+D198-J198-K198-M198+SUM($N$14:N198))</f>
        <v/>
      </c>
      <c r="P198" s="80"/>
      <c r="Q198" s="80"/>
      <c r="R198" s="87"/>
      <c r="S198" s="87"/>
      <c r="T198" s="87"/>
      <c r="U198" s="108"/>
      <c r="V198" s="87"/>
      <c r="W198" s="108"/>
      <c r="X198" s="87"/>
      <c r="Y198" s="87"/>
      <c r="AI198" s="3" t="str">
        <f>IF(COUNTIF(AC:AC,AA198)*COUNTIF(AE:AE,AA198)*COUNTIF(AG:AG,AA198),AA198,"")</f>
        <v/>
      </c>
      <c r="AJ198" s="3" t="str">
        <f t="shared" si="19"/>
        <v/>
      </c>
      <c r="AN198" s="3">
        <v>46059</v>
      </c>
      <c r="AO198" s="4">
        <v>249.4572</v>
      </c>
      <c r="AP198" s="74">
        <v>46059</v>
      </c>
      <c r="AQ198" s="4">
        <v>243.90799999999999</v>
      </c>
      <c r="AR198" s="6">
        <f t="shared" si="20"/>
        <v>46059</v>
      </c>
    </row>
    <row r="199" spans="1:44" x14ac:dyDescent="0.25">
      <c r="A199" s="37" t="str">
        <f ca="1">IF(AND(ISBLANK(AK188), A198 = $AK$1),NOW(),IF(ISBLANK(AK188),"",AK188))</f>
        <v/>
      </c>
      <c r="B199" s="38" t="str">
        <f ca="1">IF(COUNTIF($AK$2:AK1184,A199)=1,VLOOKUP(A199,AA:AB,2), IF(COUNTIF($AK$2:AK1184,A199)=0,$B$9,""))</f>
        <v/>
      </c>
      <c r="C199" s="2" t="str">
        <f t="shared" ca="1" si="15"/>
        <v/>
      </c>
      <c r="D199" s="41" t="str">
        <f t="shared" ca="1" si="16"/>
        <v/>
      </c>
      <c r="E199" s="78" t="str">
        <f ca="1">IF(COUNTIF($U$2:U1184,A199)=1,VLOOKUP(A199,U:V,2), "")</f>
        <v/>
      </c>
      <c r="F199" s="78" t="str">
        <f ca="1">IF(COUNTIF($W$2:W1184,A199)=1,VLOOKUP(A199,W:X,2), IF(COUNTIF($W$2:W1184,A199)=0,$E$9,""))</f>
        <v/>
      </c>
      <c r="G199" s="93"/>
      <c r="H199" s="93"/>
      <c r="I199" s="38" t="str">
        <f ca="1">IF(COUNTIF($AK$2:AK1184,A199)=1,VLOOKUP(A199,AC:AD,2), IF(COUNTIF($AK$2:AK1184,A199)=0,$C$9,""))</f>
        <v/>
      </c>
      <c r="J199" s="2" t="str">
        <f t="shared" ca="1" si="17"/>
        <v/>
      </c>
      <c r="K199" s="41" t="str">
        <f t="shared" ca="1" si="18"/>
        <v/>
      </c>
      <c r="L199" s="38" t="str">
        <f ca="1">IF(COUNTIF($AK$2:AK1184,A199)=1,VLOOKUP(A199,AN:AO,2), IF(COUNTIF($AK$2:AK1184,A199)=0,$D$9,""))</f>
        <v/>
      </c>
      <c r="M199" s="41" t="str">
        <f ca="1">IF(ISERROR(L199-2),"",(L199/$L$14-1)*$D$5)</f>
        <v/>
      </c>
      <c r="N199" s="41" t="str">
        <f ca="1">IF($A199="","",IF(COUNTIFS(Dividends!$G:$G,"&gt;"&amp;INT($A198),Dividends!$G:$G,"&lt;="&amp;INT($A199))=0,"",$R$2*SUMIFS(Dividends!$H:$H,Dividends!$G:$G,"&gt;"&amp;INT($A198),Dividends!$G:$G,"&lt;="&amp;INT($A199))))</f>
        <v/>
      </c>
      <c r="O199" s="42" t="str">
        <f ca="1">IF(ISERROR(B199-2),"",C199+D199-J199-K199-M199+SUM($N$14:N199))</f>
        <v/>
      </c>
      <c r="P199" s="80"/>
      <c r="Q199" s="80"/>
      <c r="R199" s="87"/>
      <c r="S199" s="87"/>
      <c r="T199" s="87"/>
      <c r="U199" s="108"/>
      <c r="V199" s="87"/>
      <c r="W199" s="108"/>
      <c r="X199" s="87"/>
      <c r="Y199" s="87"/>
      <c r="AI199" s="3" t="str">
        <f>IF(COUNTIF(AC:AC,AA199)*COUNTIF(AE:AE,AA199)*COUNTIF(AG:AG,AA199),AA199,"")</f>
        <v/>
      </c>
      <c r="AJ199" s="3" t="str">
        <f t="shared" si="19"/>
        <v/>
      </c>
      <c r="AN199" s="3">
        <v>46062</v>
      </c>
      <c r="AO199" s="4">
        <v>249.82130000000001</v>
      </c>
      <c r="AP199" s="74">
        <v>46062</v>
      </c>
      <c r="AQ199" s="4">
        <v>240.52</v>
      </c>
      <c r="AR199" s="6">
        <f t="shared" si="20"/>
        <v>46062</v>
      </c>
    </row>
    <row r="200" spans="1:44" x14ac:dyDescent="0.25">
      <c r="A200" s="37" t="str">
        <f ca="1">IF(AND(ISBLANK(AK189), A199 = $AK$1),NOW(),IF(ISBLANK(AK189),"",AK189))</f>
        <v/>
      </c>
      <c r="B200" s="38" t="str">
        <f ca="1">IF(COUNTIF($AK$2:AK1185,A200)=1,VLOOKUP(A200,AA:AB,2), IF(COUNTIF($AK$2:AK1185,A200)=0,$B$9,""))</f>
        <v/>
      </c>
      <c r="C200" s="2" t="str">
        <f t="shared" ca="1" si="15"/>
        <v/>
      </c>
      <c r="D200" s="41" t="str">
        <f t="shared" ca="1" si="16"/>
        <v/>
      </c>
      <c r="E200" s="78" t="str">
        <f ca="1">IF(COUNTIF($U$2:U1185,A200)=1,VLOOKUP(A200,U:V,2), "")</f>
        <v/>
      </c>
      <c r="F200" s="78" t="str">
        <f ca="1">IF(COUNTIF($W$2:W1185,A200)=1,VLOOKUP(A200,W:X,2), IF(COUNTIF($W$2:W1185,A200)=0,$E$9,""))</f>
        <v/>
      </c>
      <c r="G200" s="93"/>
      <c r="H200" s="93"/>
      <c r="I200" s="38" t="str">
        <f ca="1">IF(COUNTIF($AK$2:AK1185,A200)=1,VLOOKUP(A200,AC:AD,2), IF(COUNTIF($AK$2:AK1185,A200)=0,$C$9,""))</f>
        <v/>
      </c>
      <c r="J200" s="2" t="str">
        <f t="shared" ca="1" si="17"/>
        <v/>
      </c>
      <c r="K200" s="41" t="str">
        <f t="shared" ca="1" si="18"/>
        <v/>
      </c>
      <c r="L200" s="38" t="str">
        <f ca="1">IF(COUNTIF($AK$2:AK1185,A200)=1,VLOOKUP(A200,AN:AO,2), IF(COUNTIF($AK$2:AK1185,A200)=0,$D$9,""))</f>
        <v/>
      </c>
      <c r="M200" s="41" t="str">
        <f ca="1">IF(ISERROR(L200-2),"",(L200/$L$14-1)*$D$5)</f>
        <v/>
      </c>
      <c r="N200" s="41" t="str">
        <f ca="1">IF($A200="","",IF(COUNTIFS(Dividends!$G:$G,"&gt;"&amp;INT($A199),Dividends!$G:$G,"&lt;="&amp;INT($A200))=0,"",$R$2*SUMIFS(Dividends!$H:$H,Dividends!$G:$G,"&gt;"&amp;INT($A199),Dividends!$G:$G,"&lt;="&amp;INT($A200))))</f>
        <v/>
      </c>
      <c r="O200" s="42" t="str">
        <f ca="1">IF(ISERROR(B200-2),"",C200+D200-J200-K200-M200+SUM($N$14:N200))</f>
        <v/>
      </c>
      <c r="P200" s="80"/>
      <c r="Q200" s="80"/>
      <c r="R200" s="87"/>
      <c r="S200" s="87"/>
      <c r="T200" s="87"/>
      <c r="U200" s="108"/>
      <c r="V200" s="87"/>
      <c r="W200" s="108"/>
      <c r="X200" s="87"/>
      <c r="Y200" s="87"/>
      <c r="AI200" s="3" t="str">
        <f>IF(COUNTIF(AC:AC,AA200)*COUNTIF(AE:AE,AA200)*COUNTIF(AG:AG,AA200),AA200,"")</f>
        <v/>
      </c>
      <c r="AJ200" s="3" t="str">
        <f t="shared" si="19"/>
        <v/>
      </c>
      <c r="AN200" s="3">
        <v>46063</v>
      </c>
      <c r="AO200" s="4">
        <v>249.73419999999999</v>
      </c>
      <c r="AP200" s="74">
        <v>46063</v>
      </c>
      <c r="AQ200" s="4">
        <v>241.834</v>
      </c>
      <c r="AR200" s="6">
        <f t="shared" si="20"/>
        <v>46063</v>
      </c>
    </row>
    <row r="201" spans="1:44" x14ac:dyDescent="0.25">
      <c r="A201" s="37" t="str">
        <f ca="1">IF(AND(ISBLANK(AK190), A200 = $AK$1),NOW(),IF(ISBLANK(AK190),"",AK190))</f>
        <v/>
      </c>
      <c r="B201" s="38" t="str">
        <f ca="1">IF(COUNTIF($AK$2:AK1186,A201)=1,VLOOKUP(A201,AA:AB,2), IF(COUNTIF($AK$2:AK1186,A201)=0,$B$9,""))</f>
        <v/>
      </c>
      <c r="C201" s="2" t="str">
        <f t="shared" ca="1" si="15"/>
        <v/>
      </c>
      <c r="D201" s="41" t="str">
        <f t="shared" ca="1" si="16"/>
        <v/>
      </c>
      <c r="E201" s="78" t="str">
        <f ca="1">IF(COUNTIF($U$2:U1186,A201)=1,VLOOKUP(A201,U:V,2), "")</f>
        <v/>
      </c>
      <c r="F201" s="78" t="str">
        <f ca="1">IF(COUNTIF($W$2:W1186,A201)=1,VLOOKUP(A201,W:X,2), IF(COUNTIF($W$2:W1186,A201)=0,$E$9,""))</f>
        <v/>
      </c>
      <c r="G201" s="93"/>
      <c r="H201" s="93"/>
      <c r="I201" s="38" t="str">
        <f ca="1">IF(COUNTIF($AK$2:AK1186,A201)=1,VLOOKUP(A201,AC:AD,2), IF(COUNTIF($AK$2:AK1186,A201)=0,$C$9,""))</f>
        <v/>
      </c>
      <c r="J201" s="2" t="str">
        <f t="shared" ca="1" si="17"/>
        <v/>
      </c>
      <c r="K201" s="41" t="str">
        <f t="shared" ca="1" si="18"/>
        <v/>
      </c>
      <c r="L201" s="38" t="str">
        <f ca="1">IF(COUNTIF($AK$2:AK1186,A201)=1,VLOOKUP(A201,AN:AO,2), IF(COUNTIF($AK$2:AK1186,A201)=0,$D$9,""))</f>
        <v/>
      </c>
      <c r="M201" s="41" t="str">
        <f ca="1">IF(ISERROR(L201-2),"",(L201/$L$14-1)*$D$5)</f>
        <v/>
      </c>
      <c r="N201" s="41" t="str">
        <f ca="1">IF($A201="","",IF(COUNTIFS(Dividends!$G:$G,"&gt;"&amp;INT($A200),Dividends!$G:$G,"&lt;="&amp;INT($A201))=0,"",$R$2*SUMIFS(Dividends!$H:$H,Dividends!$G:$G,"&gt;"&amp;INT($A200),Dividends!$G:$G,"&lt;="&amp;INT($A201))))</f>
        <v/>
      </c>
      <c r="O201" s="42" t="str">
        <f ca="1">IF(ISERROR(B201-2),"",C201+D201-J201-K201-M201+SUM($N$14:N201))</f>
        <v/>
      </c>
      <c r="P201" s="80"/>
      <c r="Q201" s="80"/>
      <c r="R201" s="87"/>
      <c r="S201" s="87"/>
      <c r="T201" s="87"/>
      <c r="U201" s="108"/>
      <c r="V201" s="87"/>
      <c r="W201" s="108"/>
      <c r="X201" s="87"/>
      <c r="Y201" s="87"/>
      <c r="AI201" s="3" t="str">
        <f>IF(COUNTIF(AC:AC,AA201)*COUNTIF(AE:AE,AA201)*COUNTIF(AG:AG,AA201),AA201,"")</f>
        <v/>
      </c>
      <c r="AJ201" s="3" t="str">
        <f t="shared" si="19"/>
        <v/>
      </c>
      <c r="AN201" s="3">
        <v>46064</v>
      </c>
      <c r="AO201" s="4">
        <v>249.6275</v>
      </c>
      <c r="AP201" s="74">
        <v>46064</v>
      </c>
      <c r="AQ201" s="4">
        <v>243.429</v>
      </c>
      <c r="AR201" s="6">
        <f t="shared" si="20"/>
        <v>46064</v>
      </c>
    </row>
    <row r="202" spans="1:44" x14ac:dyDescent="0.25">
      <c r="A202" s="37" t="str">
        <f ca="1">IF(AND(ISBLANK(AK191), A201 = $AK$1),NOW(),IF(ISBLANK(AK191),"",AK191))</f>
        <v/>
      </c>
      <c r="B202" s="38" t="str">
        <f ca="1">IF(COUNTIF($AK$2:AK1187,A202)=1,VLOOKUP(A202,AA:AB,2), IF(COUNTIF($AK$2:AK1187,A202)=0,$B$9,""))</f>
        <v/>
      </c>
      <c r="C202" s="2" t="str">
        <f t="shared" ca="1" si="15"/>
        <v/>
      </c>
      <c r="D202" s="41" t="str">
        <f t="shared" ca="1" si="16"/>
        <v/>
      </c>
      <c r="E202" s="78" t="str">
        <f ca="1">IF(COUNTIF($U$2:U1187,A202)=1,VLOOKUP(A202,U:V,2), "")</f>
        <v/>
      </c>
      <c r="F202" s="78" t="str">
        <f ca="1">IF(COUNTIF($W$2:W1187,A202)=1,VLOOKUP(A202,W:X,2), IF(COUNTIF($W$2:W1187,A202)=0,$E$9,""))</f>
        <v/>
      </c>
      <c r="G202" s="93"/>
      <c r="H202" s="93"/>
      <c r="I202" s="38" t="str">
        <f ca="1">IF(COUNTIF($AK$2:AK1187,A202)=1,VLOOKUP(A202,AC:AD,2), IF(COUNTIF($AK$2:AK1187,A202)=0,$C$9,""))</f>
        <v/>
      </c>
      <c r="J202" s="2" t="str">
        <f t="shared" ca="1" si="17"/>
        <v/>
      </c>
      <c r="K202" s="41" t="str">
        <f t="shared" ca="1" si="18"/>
        <v/>
      </c>
      <c r="L202" s="38" t="str">
        <f ca="1">IF(COUNTIF($AK$2:AK1187,A202)=1,VLOOKUP(A202,AN:AO,2), IF(COUNTIF($AK$2:AK1187,A202)=0,$D$9,""))</f>
        <v/>
      </c>
      <c r="M202" s="41" t="str">
        <f ca="1">IF(ISERROR(L202-2),"",(L202/$L$14-1)*$D$5)</f>
        <v/>
      </c>
      <c r="N202" s="41" t="str">
        <f ca="1">IF($A202="","",IF(COUNTIFS(Dividends!$G:$G,"&gt;"&amp;INT($A201),Dividends!$G:$G,"&lt;="&amp;INT($A202))=0,"",$R$2*SUMIFS(Dividends!$H:$H,Dividends!$G:$G,"&gt;"&amp;INT($A201),Dividends!$G:$G,"&lt;="&amp;INT($A202))))</f>
        <v/>
      </c>
      <c r="O202" s="42" t="str">
        <f ca="1">IF(ISERROR(B202-2),"",C202+D202-J202-K202-M202+SUM($N$14:N202))</f>
        <v/>
      </c>
      <c r="P202" s="80"/>
      <c r="Q202" s="80"/>
      <c r="R202" s="87"/>
      <c r="S202" s="87"/>
      <c r="T202" s="87"/>
      <c r="U202" s="108"/>
      <c r="V202" s="87"/>
      <c r="W202" s="108"/>
      <c r="X202" s="87"/>
      <c r="Y202" s="87"/>
      <c r="AI202" s="3" t="str">
        <f>IF(COUNTIF(AC:AC,AA202)*COUNTIF(AE:AE,AA202)*COUNTIF(AG:AG,AA202),AA202,"")</f>
        <v/>
      </c>
      <c r="AJ202" s="3" t="str">
        <f t="shared" si="19"/>
        <v/>
      </c>
      <c r="AN202" s="3">
        <v>46065</v>
      </c>
      <c r="AO202" s="4">
        <v>249.3349</v>
      </c>
      <c r="AP202" s="74">
        <v>46065</v>
      </c>
      <c r="AQ202" s="4">
        <v>246.203</v>
      </c>
      <c r="AR202" s="6">
        <f t="shared" si="20"/>
        <v>46065</v>
      </c>
    </row>
    <row r="203" spans="1:44" x14ac:dyDescent="0.25">
      <c r="A203" s="37" t="str">
        <f ca="1">IF(AND(ISBLANK(AK192), A202 = $AK$1),NOW(),IF(ISBLANK(AK192),"",AK192))</f>
        <v/>
      </c>
      <c r="B203" s="38" t="str">
        <f ca="1">IF(COUNTIF($AK$2:AK1188,A203)=1,VLOOKUP(A203,AA:AB,2), IF(COUNTIF($AK$2:AK1188,A203)=0,$B$9,""))</f>
        <v/>
      </c>
      <c r="C203" s="2" t="str">
        <f t="shared" ca="1" si="15"/>
        <v/>
      </c>
      <c r="D203" s="41" t="str">
        <f t="shared" ca="1" si="16"/>
        <v/>
      </c>
      <c r="E203" s="78" t="str">
        <f ca="1">IF(COUNTIF($U$2:U1188,A203)=1,VLOOKUP(A203,U:V,2), "")</f>
        <v/>
      </c>
      <c r="F203" s="78" t="str">
        <f ca="1">IF(COUNTIF($W$2:W1188,A203)=1,VLOOKUP(A203,W:X,2), IF(COUNTIF($W$2:W1188,A203)=0,$E$9,""))</f>
        <v/>
      </c>
      <c r="G203" s="93"/>
      <c r="H203" s="93"/>
      <c r="I203" s="38" t="str">
        <f ca="1">IF(COUNTIF($AK$2:AK1188,A203)=1,VLOOKUP(A203,AC:AD,2), IF(COUNTIF($AK$2:AK1188,A203)=0,$C$9,""))</f>
        <v/>
      </c>
      <c r="J203" s="2" t="str">
        <f t="shared" ca="1" si="17"/>
        <v/>
      </c>
      <c r="K203" s="41" t="str">
        <f t="shared" ca="1" si="18"/>
        <v/>
      </c>
      <c r="L203" s="38" t="str">
        <f ca="1">IF(COUNTIF($AK$2:AK1188,A203)=1,VLOOKUP(A203,AN:AO,2), IF(COUNTIF($AK$2:AK1188,A203)=0,$D$9,""))</f>
        <v/>
      </c>
      <c r="M203" s="41" t="str">
        <f ca="1">IF(ISERROR(L203-2),"",(L203/$L$14-1)*$D$5)</f>
        <v/>
      </c>
      <c r="N203" s="41" t="str">
        <f ca="1">IF($A203="","",IF(COUNTIFS(Dividends!$G:$G,"&gt;"&amp;INT($A202),Dividends!$G:$G,"&lt;="&amp;INT($A203))=0,"",$R$2*SUMIFS(Dividends!$H:$H,Dividends!$G:$G,"&gt;"&amp;INT($A202),Dividends!$G:$G,"&lt;="&amp;INT($A203))))</f>
        <v/>
      </c>
      <c r="O203" s="42" t="str">
        <f ca="1">IF(ISERROR(B203-2),"",C203+D203-J203-K203-M203+SUM($N$14:N203))</f>
        <v/>
      </c>
      <c r="P203" s="80"/>
      <c r="Q203" s="80"/>
      <c r="R203" s="87"/>
      <c r="S203" s="87"/>
      <c r="T203" s="87"/>
      <c r="U203" s="108"/>
      <c r="V203" s="87"/>
      <c r="W203" s="108"/>
      <c r="X203" s="87"/>
      <c r="Y203" s="87"/>
      <c r="AI203" s="3" t="str">
        <f>IF(COUNTIF(AC:AC,AA203)*COUNTIF(AE:AE,AA203)*COUNTIF(AG:AG,AA203),AA203,"")</f>
        <v/>
      </c>
      <c r="AJ203" s="3" t="str">
        <f t="shared" si="19"/>
        <v/>
      </c>
      <c r="AN203" s="3">
        <v>46066</v>
      </c>
      <c r="AO203" s="4">
        <v>249.1874</v>
      </c>
      <c r="AP203" s="74">
        <v>46066</v>
      </c>
      <c r="AQ203" s="4">
        <v>247.685</v>
      </c>
      <c r="AR203" s="6">
        <f t="shared" si="20"/>
        <v>46066</v>
      </c>
    </row>
    <row r="204" spans="1:44" x14ac:dyDescent="0.25">
      <c r="A204" s="37" t="str">
        <f ca="1">IF(AND(ISBLANK(AK193), A203 = $AK$1),NOW(),IF(ISBLANK(AK193),"",AK193))</f>
        <v/>
      </c>
      <c r="B204" s="38" t="str">
        <f ca="1">IF(COUNTIF($AK$2:AK1189,A204)=1,VLOOKUP(A204,AA:AB,2), IF(COUNTIF($AK$2:AK1189,A204)=0,$B$9,""))</f>
        <v/>
      </c>
      <c r="C204" s="2" t="str">
        <f t="shared" ca="1" si="15"/>
        <v/>
      </c>
      <c r="D204" s="41" t="str">
        <f t="shared" ca="1" si="16"/>
        <v/>
      </c>
      <c r="E204" s="78" t="str">
        <f ca="1">IF(COUNTIF($U$2:U1189,A204)=1,VLOOKUP(A204,U:V,2), "")</f>
        <v/>
      </c>
      <c r="F204" s="78" t="str">
        <f ca="1">IF(COUNTIF($W$2:W1189,A204)=1,VLOOKUP(A204,W:X,2), IF(COUNTIF($W$2:W1189,A204)=0,$E$9,""))</f>
        <v/>
      </c>
      <c r="G204" s="93"/>
      <c r="H204" s="93"/>
      <c r="I204" s="38" t="str">
        <f ca="1">IF(COUNTIF($AK$2:AK1189,A204)=1,VLOOKUP(A204,AC:AD,2), IF(COUNTIF($AK$2:AK1189,A204)=0,$C$9,""))</f>
        <v/>
      </c>
      <c r="J204" s="2" t="str">
        <f t="shared" ca="1" si="17"/>
        <v/>
      </c>
      <c r="K204" s="41" t="str">
        <f t="shared" ca="1" si="18"/>
        <v/>
      </c>
      <c r="L204" s="38" t="str">
        <f ca="1">IF(COUNTIF($AK$2:AK1189,A204)=1,VLOOKUP(A204,AN:AO,2), IF(COUNTIF($AK$2:AK1189,A204)=0,$D$9,""))</f>
        <v/>
      </c>
      <c r="M204" s="41" t="str">
        <f ca="1">IF(ISERROR(L204-2),"",(L204/$L$14-1)*$D$5)</f>
        <v/>
      </c>
      <c r="N204" s="41" t="str">
        <f ca="1">IF($A204="","",IF(COUNTIFS(Dividends!$G:$G,"&gt;"&amp;INT($A203),Dividends!$G:$G,"&lt;="&amp;INT($A204))=0,"",$R$2*SUMIFS(Dividends!$H:$H,Dividends!$G:$G,"&gt;"&amp;INT($A203),Dividends!$G:$G,"&lt;="&amp;INT($A204))))</f>
        <v/>
      </c>
      <c r="O204" s="42" t="str">
        <f ca="1">IF(ISERROR(B204-2),"",C204+D204-J204-K204-M204+SUM($N$14:N204))</f>
        <v/>
      </c>
      <c r="P204" s="80"/>
      <c r="Q204" s="80"/>
      <c r="R204" s="87"/>
      <c r="S204" s="87"/>
      <c r="T204" s="87"/>
      <c r="U204" s="108"/>
      <c r="V204" s="87"/>
      <c r="W204" s="108"/>
      <c r="X204" s="87"/>
      <c r="Y204" s="87"/>
      <c r="AI204" s="3" t="str">
        <f>IF(COUNTIF(AC:AC,AA204)*COUNTIF(AE:AE,AA204)*COUNTIF(AG:AG,AA204),AA204,"")</f>
        <v/>
      </c>
      <c r="AJ204" s="3" t="str">
        <f t="shared" si="19"/>
        <v/>
      </c>
      <c r="AN204" s="3">
        <v>46069</v>
      </c>
      <c r="AO204" s="4">
        <v>249.0668</v>
      </c>
      <c r="AP204" s="74">
        <v>46069</v>
      </c>
      <c r="AQ204" s="4">
        <v>249.32300000000001</v>
      </c>
      <c r="AR204" s="6">
        <f t="shared" si="20"/>
        <v>46069</v>
      </c>
    </row>
    <row r="205" spans="1:44" x14ac:dyDescent="0.25">
      <c r="A205" s="37"/>
      <c r="B205" s="38"/>
      <c r="C205" s="2"/>
      <c r="D205" s="41"/>
      <c r="E205" s="93"/>
      <c r="F205" s="93"/>
      <c r="G205" s="93"/>
      <c r="H205" s="93"/>
      <c r="I205" s="38"/>
      <c r="J205" s="2"/>
      <c r="K205" s="41"/>
      <c r="L205" s="38"/>
      <c r="M205" s="41"/>
      <c r="N205" s="41"/>
      <c r="O205" s="42"/>
      <c r="P205" s="80"/>
      <c r="Q205" s="80"/>
      <c r="R205" s="87"/>
      <c r="S205" s="87"/>
      <c r="T205" s="87"/>
      <c r="U205" s="108"/>
      <c r="V205" s="87"/>
      <c r="W205" s="108"/>
      <c r="X205" s="87"/>
      <c r="Y205" s="87"/>
      <c r="AI205" s="3" t="str">
        <f>IF(COUNTIF(AC:AC,AA205)*COUNTIF(AE:AE,AA205)*COUNTIF(AG:AG,AA205),AA205,"")</f>
        <v/>
      </c>
      <c r="AJ205" s="3" t="str">
        <f t="shared" si="19"/>
        <v/>
      </c>
      <c r="AN205" s="3">
        <v>46070</v>
      </c>
      <c r="AO205" s="4">
        <v>248.9178</v>
      </c>
      <c r="AP205" s="74">
        <v>46070</v>
      </c>
      <c r="AQ205" s="4">
        <v>250.65299999999999</v>
      </c>
      <c r="AR205" s="6">
        <f t="shared" si="20"/>
        <v>46070</v>
      </c>
    </row>
    <row r="206" spans="1:44" x14ac:dyDescent="0.25">
      <c r="A206" s="37"/>
      <c r="B206" s="38"/>
      <c r="C206" s="2"/>
      <c r="D206" s="41"/>
      <c r="E206" s="93"/>
      <c r="F206" s="93"/>
      <c r="G206" s="93"/>
      <c r="H206" s="93"/>
      <c r="I206" s="38"/>
      <c r="J206" s="2"/>
      <c r="K206" s="41"/>
      <c r="L206" s="38"/>
      <c r="M206" s="41"/>
      <c r="N206" s="41"/>
      <c r="O206" s="42"/>
      <c r="P206" s="80"/>
      <c r="Q206" s="80"/>
      <c r="R206" s="87"/>
      <c r="S206" s="87"/>
      <c r="T206" s="87"/>
      <c r="U206" s="108"/>
      <c r="V206" s="87"/>
      <c r="W206" s="108"/>
      <c r="X206" s="87"/>
      <c r="Y206" s="87"/>
      <c r="AI206" s="3" t="str">
        <f>IF(COUNTIF(AC:AC,AA206)*COUNTIF(AE:AE,AA206)*COUNTIF(AG:AG,AA206),AA206,"")</f>
        <v/>
      </c>
      <c r="AJ206" s="3" t="str">
        <f t="shared" si="19"/>
        <v/>
      </c>
      <c r="AN206" s="3">
        <v>46071</v>
      </c>
      <c r="AO206" s="4">
        <v>249.54349999999999</v>
      </c>
      <c r="AP206" s="74">
        <v>46071</v>
      </c>
      <c r="AQ206" s="4">
        <v>245.28100000000001</v>
      </c>
      <c r="AR206" s="6">
        <f t="shared" si="20"/>
        <v>46071</v>
      </c>
    </row>
    <row r="207" spans="1:44" x14ac:dyDescent="0.25">
      <c r="A207" s="37"/>
      <c r="B207" s="38"/>
      <c r="C207" s="2"/>
      <c r="D207" s="41"/>
      <c r="E207" s="93"/>
      <c r="F207" s="93"/>
      <c r="G207" s="93"/>
      <c r="H207" s="93"/>
      <c r="I207" s="38"/>
      <c r="J207" s="2"/>
      <c r="K207" s="41"/>
      <c r="L207" s="38"/>
      <c r="M207" s="41"/>
      <c r="N207" s="41"/>
      <c r="O207" s="42"/>
      <c r="P207" s="80"/>
      <c r="Q207" s="80"/>
      <c r="R207" s="87"/>
      <c r="S207" s="87"/>
      <c r="T207" s="87"/>
      <c r="U207" s="108"/>
      <c r="V207" s="87"/>
      <c r="W207" s="108"/>
      <c r="X207" s="87"/>
      <c r="Y207" s="87"/>
      <c r="AI207" s="3" t="str">
        <f>IF(COUNTIF(AC:AC,AA207)*COUNTIF(AE:AE,AA207)*COUNTIF(AG:AG,AA207),AA207,"")</f>
        <v/>
      </c>
      <c r="AJ207" s="3" t="str">
        <f t="shared" si="19"/>
        <v/>
      </c>
      <c r="AN207" s="3">
        <v>46072</v>
      </c>
      <c r="AO207" s="4">
        <v>249.05619999999999</v>
      </c>
      <c r="AP207" s="74">
        <v>46072</v>
      </c>
      <c r="AQ207" s="4">
        <v>249.80099999999999</v>
      </c>
      <c r="AR207" s="6">
        <f t="shared" si="20"/>
        <v>46072</v>
      </c>
    </row>
    <row r="208" spans="1:44" x14ac:dyDescent="0.25">
      <c r="A208" s="37"/>
      <c r="B208" s="38"/>
      <c r="C208" s="2"/>
      <c r="D208" s="41"/>
      <c r="E208" s="93"/>
      <c r="F208" s="93"/>
      <c r="G208" s="93"/>
      <c r="H208" s="93"/>
      <c r="I208" s="38"/>
      <c r="J208" s="2"/>
      <c r="K208" s="41"/>
      <c r="L208" s="38"/>
      <c r="M208" s="41"/>
      <c r="N208" s="41"/>
      <c r="O208" s="42"/>
      <c r="P208" s="80"/>
      <c r="Q208" s="80"/>
      <c r="R208" s="87"/>
      <c r="S208" s="87"/>
      <c r="T208" s="87"/>
      <c r="U208" s="108"/>
      <c r="V208" s="87"/>
      <c r="W208" s="108"/>
      <c r="X208" s="87"/>
      <c r="Y208" s="87"/>
      <c r="AI208" s="3" t="str">
        <f>IF(COUNTIF(AC:AC,AA208)*COUNTIF(AE:AE,AA208)*COUNTIF(AG:AG,AA208),AA208,"")</f>
        <v/>
      </c>
      <c r="AJ208" s="3" t="str">
        <f t="shared" si="19"/>
        <v/>
      </c>
      <c r="AN208" s="3">
        <v>46073</v>
      </c>
      <c r="AO208" s="4">
        <v>249.35589999999999</v>
      </c>
      <c r="AP208" s="74">
        <v>46073</v>
      </c>
      <c r="AQ208" s="4">
        <v>247.39400000000001</v>
      </c>
      <c r="AR208" s="6">
        <f t="shared" si="20"/>
        <v>46073</v>
      </c>
    </row>
    <row r="209" spans="1:44" x14ac:dyDescent="0.25">
      <c r="A209" s="37"/>
      <c r="B209" s="38"/>
      <c r="C209" s="2"/>
      <c r="D209" s="41"/>
      <c r="E209" s="93"/>
      <c r="F209" s="93"/>
      <c r="G209" s="93"/>
      <c r="H209" s="93"/>
      <c r="I209" s="38"/>
      <c r="J209" s="2"/>
      <c r="K209" s="41"/>
      <c r="L209" s="38"/>
      <c r="M209" s="41"/>
      <c r="N209" s="41"/>
      <c r="O209" s="42"/>
      <c r="P209" s="80"/>
      <c r="Q209" s="80"/>
      <c r="R209" s="87"/>
      <c r="S209" s="87"/>
      <c r="T209" s="87"/>
      <c r="U209" s="108"/>
      <c r="V209" s="87"/>
      <c r="W209" s="108"/>
      <c r="X209" s="87"/>
      <c r="Y209" s="87"/>
      <c r="AI209" s="3" t="str">
        <f>IF(COUNTIF(AC:AC,AA209)*COUNTIF(AE:AE,AA209)*COUNTIF(AG:AG,AA209),AA209,"")</f>
        <v/>
      </c>
      <c r="AJ209" s="3" t="str">
        <f t="shared" si="19"/>
        <v/>
      </c>
      <c r="AN209" s="3">
        <v>46076</v>
      </c>
      <c r="AO209" s="4">
        <v>249.17140000000001</v>
      </c>
      <c r="AP209" s="74">
        <v>46076</v>
      </c>
      <c r="AQ209" s="4">
        <v>249.6</v>
      </c>
      <c r="AR209" s="6">
        <f t="shared" si="20"/>
        <v>46076</v>
      </c>
    </row>
    <row r="210" spans="1:44" x14ac:dyDescent="0.25">
      <c r="A210" s="37"/>
      <c r="B210" s="38"/>
      <c r="C210" s="2"/>
      <c r="D210" s="41"/>
      <c r="E210" s="93"/>
      <c r="F210" s="93"/>
      <c r="G210" s="93"/>
      <c r="H210" s="93"/>
      <c r="I210" s="38"/>
      <c r="J210" s="2"/>
      <c r="K210" s="41"/>
      <c r="L210" s="38"/>
      <c r="M210" s="41"/>
      <c r="N210" s="41"/>
      <c r="O210" s="42"/>
      <c r="P210" s="80"/>
      <c r="Q210" s="80"/>
      <c r="R210" s="87"/>
      <c r="S210" s="87"/>
      <c r="T210" s="87"/>
      <c r="U210" s="108"/>
      <c r="V210" s="87"/>
      <c r="W210" s="108"/>
      <c r="X210" s="87"/>
      <c r="Y210" s="87"/>
      <c r="AI210" s="3" t="str">
        <f>IF(COUNTIF(AC:AC,AA210)*COUNTIF(AE:AE,AA210)*COUNTIF(AG:AG,AA210),AA210,"")</f>
        <v/>
      </c>
      <c r="AJ210" s="3" t="str">
        <f t="shared" si="19"/>
        <v/>
      </c>
      <c r="AN210" s="3">
        <v>46077</v>
      </c>
      <c r="AO210" s="4">
        <v>248.90289999999999</v>
      </c>
      <c r="AP210" s="74">
        <v>46077</v>
      </c>
      <c r="AQ210" s="4">
        <v>251.95099999999999</v>
      </c>
      <c r="AR210" s="6">
        <f t="shared" si="20"/>
        <v>46077</v>
      </c>
    </row>
    <row r="211" spans="1:44" x14ac:dyDescent="0.25">
      <c r="A211" s="37"/>
      <c r="B211" s="38"/>
      <c r="C211" s="2"/>
      <c r="D211" s="41"/>
      <c r="E211" s="93"/>
      <c r="F211" s="93"/>
      <c r="G211" s="93"/>
      <c r="H211" s="93"/>
      <c r="I211" s="38"/>
      <c r="J211" s="2"/>
      <c r="K211" s="41"/>
      <c r="L211" s="38"/>
      <c r="M211" s="41"/>
      <c r="N211" s="41"/>
      <c r="O211" s="42"/>
      <c r="P211" s="80"/>
      <c r="Q211" s="80"/>
      <c r="R211" s="87"/>
      <c r="S211" s="87"/>
      <c r="T211" s="87"/>
      <c r="U211" s="108"/>
      <c r="V211" s="87"/>
      <c r="W211" s="108"/>
      <c r="X211" s="87"/>
      <c r="Y211" s="87"/>
      <c r="AI211" s="3" t="str">
        <f>IF(COUNTIF(AC:AC,AA211)*COUNTIF(AE:AE,AA211)*COUNTIF(AG:AG,AA211),AA211,"")</f>
        <v/>
      </c>
      <c r="AJ211" s="3" t="str">
        <f t="shared" si="19"/>
        <v/>
      </c>
      <c r="AN211" s="3">
        <v>46078</v>
      </c>
      <c r="AO211" s="4">
        <v>249.0966</v>
      </c>
      <c r="AP211" s="74">
        <v>46078</v>
      </c>
      <c r="AQ211" s="4">
        <v>250.364</v>
      </c>
      <c r="AR211" s="6">
        <f t="shared" si="20"/>
        <v>46078</v>
      </c>
    </row>
    <row r="212" spans="1:44" x14ac:dyDescent="0.25">
      <c r="A212" s="37"/>
      <c r="B212" s="38"/>
      <c r="C212" s="2"/>
      <c r="D212" s="41"/>
      <c r="E212" s="93"/>
      <c r="F212" s="93"/>
      <c r="G212" s="93"/>
      <c r="H212" s="93"/>
      <c r="I212" s="38"/>
      <c r="J212" s="2"/>
      <c r="K212" s="41"/>
      <c r="L212" s="38"/>
      <c r="M212" s="41"/>
      <c r="N212" s="41"/>
      <c r="O212" s="42"/>
      <c r="P212" s="80"/>
      <c r="Q212" s="80"/>
      <c r="R212" s="87"/>
      <c r="S212" s="87"/>
      <c r="T212" s="87"/>
      <c r="U212" s="108"/>
      <c r="V212" s="87"/>
      <c r="W212" s="108"/>
      <c r="X212" s="87"/>
      <c r="Y212" s="87"/>
      <c r="AI212" s="3" t="str">
        <f>IF(COUNTIF(AC:AC,AA212)*COUNTIF(AE:AE,AA212)*COUNTIF(AG:AG,AA212),AA212,"")</f>
        <v/>
      </c>
      <c r="AJ212" s="3" t="str">
        <f t="shared" si="19"/>
        <v/>
      </c>
      <c r="AN212" s="3">
        <v>46079</v>
      </c>
      <c r="AO212" s="4">
        <v>248.75470000000001</v>
      </c>
      <c r="AP212" s="74">
        <v>46079</v>
      </c>
      <c r="AQ212" s="4">
        <v>255.23400000000001</v>
      </c>
      <c r="AR212" s="6">
        <f t="shared" si="20"/>
        <v>46079</v>
      </c>
    </row>
    <row r="213" spans="1:44" x14ac:dyDescent="0.25">
      <c r="A213" s="37"/>
      <c r="B213" s="38"/>
      <c r="C213" s="2"/>
      <c r="D213" s="41"/>
      <c r="E213" s="93"/>
      <c r="F213" s="93"/>
      <c r="G213" s="93"/>
      <c r="H213" s="93"/>
      <c r="I213" s="38"/>
      <c r="J213" s="2"/>
      <c r="K213" s="41"/>
      <c r="L213" s="38"/>
      <c r="M213" s="41"/>
      <c r="N213" s="41"/>
      <c r="O213" s="42"/>
      <c r="P213" s="80"/>
      <c r="Q213" s="80"/>
      <c r="R213" s="87"/>
      <c r="S213" s="87"/>
      <c r="T213" s="87"/>
      <c r="U213" s="108"/>
      <c r="V213" s="87"/>
      <c r="W213" s="108"/>
      <c r="X213" s="87"/>
      <c r="Y213" s="87"/>
      <c r="AI213" s="3" t="str">
        <f>IF(COUNTIF(AC:AC,AA213)*COUNTIF(AE:AE,AA213)*COUNTIF(AG:AG,AA213),AA213,"")</f>
        <v/>
      </c>
      <c r="AJ213" s="3" t="str">
        <f t="shared" si="19"/>
        <v/>
      </c>
      <c r="AN213" s="3">
        <v>46080</v>
      </c>
      <c r="AO213" s="4">
        <v>248.09289999999999</v>
      </c>
      <c r="AP213" s="74">
        <v>46080</v>
      </c>
      <c r="AQ213" s="4">
        <v>260.47699999999998</v>
      </c>
      <c r="AR213" s="6">
        <f t="shared" si="20"/>
        <v>46080</v>
      </c>
    </row>
    <row r="214" spans="1:44" x14ac:dyDescent="0.25">
      <c r="A214" s="37"/>
      <c r="B214" s="38"/>
      <c r="C214" s="2"/>
      <c r="D214" s="41"/>
      <c r="E214" s="93"/>
      <c r="F214" s="93"/>
      <c r="G214" s="93"/>
      <c r="H214" s="93"/>
      <c r="I214" s="38"/>
      <c r="J214" s="2"/>
      <c r="K214" s="41"/>
      <c r="L214" s="38"/>
      <c r="M214" s="41"/>
      <c r="N214" s="41"/>
      <c r="O214" s="42"/>
      <c r="P214" s="80"/>
      <c r="Q214" s="80"/>
      <c r="R214" s="87"/>
      <c r="S214" s="87"/>
      <c r="T214" s="87"/>
      <c r="U214" s="108"/>
      <c r="V214" s="87"/>
      <c r="W214" s="108"/>
      <c r="X214" s="87"/>
      <c r="Y214" s="87"/>
      <c r="AI214" s="3" t="str">
        <f>IF(COUNTIF(AC:AC,AA214)*COUNTIF(AE:AE,AA214)*COUNTIF(AG:AG,AA214),AA214,"")</f>
        <v/>
      </c>
      <c r="AJ214" s="3" t="str">
        <f t="shared" si="19"/>
        <v/>
      </c>
      <c r="AN214" s="3">
        <v>46083</v>
      </c>
      <c r="AO214" s="4">
        <v>247.5763</v>
      </c>
      <c r="AP214" s="74">
        <v>46083</v>
      </c>
      <c r="AQ214" s="4">
        <v>263.697</v>
      </c>
      <c r="AR214" s="6">
        <f t="shared" si="20"/>
        <v>46083</v>
      </c>
    </row>
    <row r="215" spans="1:44" x14ac:dyDescent="0.25">
      <c r="A215" s="37"/>
      <c r="B215" s="38"/>
      <c r="C215" s="2"/>
      <c r="D215" s="41"/>
      <c r="E215" s="93"/>
      <c r="F215" s="93"/>
      <c r="G215" s="93"/>
      <c r="H215" s="93"/>
      <c r="I215" s="38"/>
      <c r="J215" s="2"/>
      <c r="K215" s="41"/>
      <c r="L215" s="38"/>
      <c r="M215" s="41"/>
      <c r="N215" s="41"/>
      <c r="O215" s="42"/>
      <c r="P215" s="80"/>
      <c r="Q215" s="80"/>
      <c r="R215" s="87"/>
      <c r="S215" s="87"/>
      <c r="T215" s="87"/>
      <c r="U215" s="108"/>
      <c r="V215" s="87"/>
      <c r="W215" s="108"/>
      <c r="X215" s="87"/>
      <c r="Y215" s="87"/>
      <c r="AI215" s="3" t="str">
        <f>IF(COUNTIF(AC:AC,AA215)*COUNTIF(AE:AE,AA215)*COUNTIF(AG:AG,AA215),AA215,"")</f>
        <v/>
      </c>
      <c r="AJ215" s="3" t="str">
        <f t="shared" si="19"/>
        <v/>
      </c>
      <c r="AN215" s="3">
        <v>46084</v>
      </c>
      <c r="AO215" s="4">
        <v>246.2878</v>
      </c>
      <c r="AP215" s="74">
        <v>46084</v>
      </c>
      <c r="AQ215" s="4">
        <v>274.05799999999999</v>
      </c>
      <c r="AR215" s="6">
        <f t="shared" si="20"/>
        <v>46084</v>
      </c>
    </row>
    <row r="216" spans="1:44" x14ac:dyDescent="0.25">
      <c r="A216" s="37"/>
      <c r="B216" s="38"/>
      <c r="C216" s="2"/>
      <c r="D216" s="41"/>
      <c r="E216" s="93"/>
      <c r="F216" s="93"/>
      <c r="G216" s="93"/>
      <c r="H216" s="93"/>
      <c r="I216" s="38"/>
      <c r="J216" s="2"/>
      <c r="K216" s="41"/>
      <c r="L216" s="38"/>
      <c r="M216" s="41"/>
      <c r="N216" s="41"/>
      <c r="O216" s="42"/>
      <c r="P216" s="80"/>
      <c r="Q216" s="80"/>
      <c r="R216" s="87"/>
      <c r="S216" s="87"/>
      <c r="T216" s="87"/>
      <c r="U216" s="108"/>
      <c r="V216" s="87"/>
      <c r="W216" s="108"/>
      <c r="X216" s="87"/>
      <c r="Y216" s="87"/>
      <c r="AI216" s="3" t="str">
        <f>IF(COUNTIF(AC:AC,AA216)*COUNTIF(AE:AE,AA216)*COUNTIF(AG:AG,AA216),AA216,"")</f>
        <v/>
      </c>
      <c r="AJ216" s="3" t="str">
        <f t="shared" si="19"/>
        <v/>
      </c>
      <c r="AN216" s="3">
        <v>46085</v>
      </c>
      <c r="AO216" s="4">
        <v>247.53190000000001</v>
      </c>
      <c r="AP216" s="74">
        <v>46085</v>
      </c>
      <c r="AQ216" s="4">
        <v>264.47800000000001</v>
      </c>
      <c r="AR216" s="6">
        <f t="shared" si="20"/>
        <v>46085</v>
      </c>
    </row>
    <row r="217" spans="1:44" x14ac:dyDescent="0.25">
      <c r="A217" s="37"/>
      <c r="B217" s="38"/>
      <c r="C217" s="2"/>
      <c r="D217" s="41"/>
      <c r="E217" s="93"/>
      <c r="F217" s="93"/>
      <c r="G217" s="93"/>
      <c r="H217" s="93"/>
      <c r="I217" s="38"/>
      <c r="J217" s="2"/>
      <c r="K217" s="41"/>
      <c r="L217" s="38"/>
      <c r="M217" s="41"/>
      <c r="N217" s="41"/>
      <c r="O217" s="42"/>
      <c r="P217" s="80"/>
      <c r="Q217" s="80"/>
      <c r="R217" s="87"/>
      <c r="S217" s="87"/>
      <c r="T217" s="87"/>
      <c r="U217" s="108"/>
      <c r="V217" s="87"/>
      <c r="W217" s="108"/>
      <c r="X217" s="87"/>
      <c r="Y217" s="87"/>
      <c r="AI217" s="3" t="str">
        <f>IF(COUNTIF(AC:AC,AA217)*COUNTIF(AE:AE,AA217)*COUNTIF(AG:AG,AA217),AA217,"")</f>
        <v/>
      </c>
      <c r="AJ217" s="3" t="str">
        <f t="shared" si="19"/>
        <v/>
      </c>
      <c r="AN217" s="3">
        <v>46086</v>
      </c>
      <c r="AO217" s="4">
        <v>246.4889</v>
      </c>
      <c r="AP217" s="74">
        <v>46086</v>
      </c>
      <c r="AQ217" s="4">
        <v>273.99700000000001</v>
      </c>
      <c r="AR217" s="6">
        <f t="shared" si="20"/>
        <v>46086</v>
      </c>
    </row>
    <row r="218" spans="1:44" x14ac:dyDescent="0.25">
      <c r="A218" s="37"/>
      <c r="B218" s="38"/>
      <c r="C218" s="2"/>
      <c r="D218" s="41"/>
      <c r="E218" s="93"/>
      <c r="F218" s="93"/>
      <c r="G218" s="93"/>
      <c r="H218" s="93"/>
      <c r="I218" s="38"/>
      <c r="J218" s="2"/>
      <c r="K218" s="41"/>
      <c r="L218" s="38"/>
      <c r="M218" s="41"/>
      <c r="N218" s="41"/>
      <c r="O218" s="42"/>
      <c r="P218" s="80"/>
      <c r="Q218" s="80"/>
      <c r="R218" s="87"/>
      <c r="S218" s="87"/>
      <c r="T218" s="87"/>
      <c r="U218" s="108"/>
      <c r="V218" s="87"/>
      <c r="W218" s="108"/>
      <c r="X218" s="87"/>
      <c r="Y218" s="87"/>
      <c r="AI218" s="3" t="str">
        <f>IF(COUNTIF(AC:AC,AA218)*COUNTIF(AE:AE,AA218)*COUNTIF(AG:AG,AA218),AA218,"")</f>
        <v/>
      </c>
      <c r="AJ218" s="3" t="str">
        <f t="shared" si="19"/>
        <v/>
      </c>
      <c r="AN218" s="3">
        <v>46087</v>
      </c>
      <c r="AO218" s="4">
        <v>244.8614</v>
      </c>
      <c r="AP218" s="74">
        <v>46087</v>
      </c>
      <c r="AQ218" s="4">
        <v>288.99400000000003</v>
      </c>
      <c r="AR218" s="6">
        <f t="shared" si="20"/>
        <v>46087</v>
      </c>
    </row>
    <row r="219" spans="1:44" x14ac:dyDescent="0.25">
      <c r="A219" s="37"/>
      <c r="B219" s="38"/>
      <c r="C219" s="2"/>
      <c r="D219" s="41"/>
      <c r="E219" s="93"/>
      <c r="F219" s="93"/>
      <c r="G219" s="93"/>
      <c r="H219" s="93"/>
      <c r="I219" s="38"/>
      <c r="J219" s="2"/>
      <c r="K219" s="41"/>
      <c r="L219" s="38"/>
      <c r="M219" s="41"/>
      <c r="N219" s="41"/>
      <c r="O219" s="42"/>
      <c r="P219" s="80"/>
      <c r="Q219" s="80"/>
      <c r="R219" s="87"/>
      <c r="S219" s="87"/>
      <c r="T219" s="87"/>
      <c r="U219" s="108"/>
      <c r="V219" s="87"/>
      <c r="W219" s="108"/>
      <c r="X219" s="87"/>
      <c r="Y219" s="87"/>
      <c r="AI219" s="3" t="str">
        <f>IF(COUNTIF(AC:AC,AA219)*COUNTIF(AE:AE,AA219)*COUNTIF(AG:AG,AA219),AA219,"")</f>
        <v/>
      </c>
      <c r="AJ219" s="3" t="str">
        <f t="shared" si="19"/>
        <v/>
      </c>
      <c r="AN219" s="3">
        <v>46090</v>
      </c>
      <c r="AO219" s="4">
        <v>244.64580000000001</v>
      </c>
      <c r="AP219" s="74">
        <v>46090</v>
      </c>
      <c r="AQ219" s="4">
        <v>291.28300000000002</v>
      </c>
      <c r="AR219" s="6">
        <f t="shared" si="20"/>
        <v>46090</v>
      </c>
    </row>
    <row r="220" spans="1:44" x14ac:dyDescent="0.25">
      <c r="A220" s="37"/>
      <c r="B220" s="38"/>
      <c r="C220" s="2"/>
      <c r="D220" s="41"/>
      <c r="E220" s="93"/>
      <c r="F220" s="93"/>
      <c r="G220" s="93"/>
      <c r="H220" s="93"/>
      <c r="I220" s="38"/>
      <c r="J220" s="2"/>
      <c r="K220" s="41"/>
      <c r="L220" s="38"/>
      <c r="M220" s="41"/>
      <c r="N220" s="41"/>
      <c r="O220" s="42"/>
      <c r="P220" s="80"/>
      <c r="Q220" s="80"/>
      <c r="R220" s="87"/>
      <c r="S220" s="87"/>
      <c r="T220" s="87"/>
      <c r="U220" s="108"/>
      <c r="V220" s="87"/>
      <c r="W220" s="108"/>
      <c r="X220" s="87"/>
      <c r="Y220" s="87"/>
      <c r="AI220" s="3" t="str">
        <f>IF(COUNTIF(AC:AC,AA220)*COUNTIF(AE:AE,AA220)*COUNTIF(AG:AG,AA220),AA220,"")</f>
        <v/>
      </c>
      <c r="AJ220" s="3" t="str">
        <f t="shared" si="19"/>
        <v/>
      </c>
      <c r="AN220" s="3">
        <v>46091</v>
      </c>
      <c r="AO220" s="4">
        <v>246.5496</v>
      </c>
      <c r="AP220" s="74">
        <v>46091</v>
      </c>
      <c r="AQ220" s="4">
        <v>273.73200000000003</v>
      </c>
      <c r="AR220" s="6">
        <f t="shared" si="20"/>
        <v>46091</v>
      </c>
    </row>
    <row r="221" spans="1:44" x14ac:dyDescent="0.25">
      <c r="A221" s="37"/>
      <c r="B221" s="38"/>
      <c r="C221" s="2"/>
      <c r="D221" s="41"/>
      <c r="E221" s="93"/>
      <c r="F221" s="93"/>
      <c r="G221" s="93"/>
      <c r="H221" s="93"/>
      <c r="I221" s="38"/>
      <c r="J221" s="2"/>
      <c r="K221" s="41"/>
      <c r="L221" s="38"/>
      <c r="M221" s="41"/>
      <c r="N221" s="41"/>
      <c r="O221" s="42"/>
      <c r="P221" s="80"/>
      <c r="Q221" s="80"/>
      <c r="R221" s="87"/>
      <c r="S221" s="87"/>
      <c r="T221" s="87"/>
      <c r="U221" s="108"/>
      <c r="V221" s="87"/>
      <c r="W221" s="108"/>
      <c r="X221" s="87"/>
      <c r="Y221" s="87"/>
      <c r="AI221" s="3" t="str">
        <f>IF(COUNTIF(AC:AC,AA221)*COUNTIF(AE:AE,AA221)*COUNTIF(AG:AG,AA221),AA221,"")</f>
        <v/>
      </c>
      <c r="AJ221" s="3" t="str">
        <f t="shared" si="19"/>
        <v/>
      </c>
      <c r="AN221" s="3">
        <v>46092</v>
      </c>
      <c r="AO221" s="4">
        <v>245.137</v>
      </c>
      <c r="AP221" s="74">
        <v>46092</v>
      </c>
      <c r="AQ221" s="4">
        <v>286.94400000000002</v>
      </c>
      <c r="AR221" s="6">
        <f t="shared" si="20"/>
        <v>46092</v>
      </c>
    </row>
    <row r="222" spans="1:44" x14ac:dyDescent="0.25">
      <c r="A222" s="37"/>
      <c r="B222" s="38"/>
      <c r="C222" s="2"/>
      <c r="D222" s="41"/>
      <c r="E222" s="93"/>
      <c r="F222" s="93"/>
      <c r="G222" s="93"/>
      <c r="H222" s="93"/>
      <c r="I222" s="38"/>
      <c r="J222" s="2"/>
      <c r="K222" s="41"/>
      <c r="L222" s="38"/>
      <c r="M222" s="41"/>
      <c r="N222" s="41"/>
      <c r="O222" s="42"/>
      <c r="P222" s="80"/>
      <c r="Q222" s="80"/>
      <c r="R222" s="87"/>
      <c r="S222" s="87"/>
      <c r="T222" s="87"/>
      <c r="U222" s="108"/>
      <c r="V222" s="87"/>
      <c r="W222" s="108"/>
      <c r="X222" s="87"/>
      <c r="Y222" s="87"/>
      <c r="AI222" s="3" t="str">
        <f>IF(COUNTIF(AC:AC,AA222)*COUNTIF(AE:AE,AA222)*COUNTIF(AG:AG,AA222),AA222,"")</f>
        <v/>
      </c>
      <c r="AJ222" s="3" t="str">
        <f t="shared" si="19"/>
        <v/>
      </c>
      <c r="AN222" s="3">
        <v>46093</v>
      </c>
      <c r="AO222" s="4">
        <v>244.11789999999999</v>
      </c>
      <c r="AP222" s="74">
        <v>46093</v>
      </c>
      <c r="AQ222" s="4">
        <v>296.94900000000001</v>
      </c>
      <c r="AR222" s="6">
        <f t="shared" si="20"/>
        <v>46093</v>
      </c>
    </row>
    <row r="223" spans="1:44" x14ac:dyDescent="0.25">
      <c r="A223" s="37"/>
      <c r="B223" s="38"/>
      <c r="C223" s="2"/>
      <c r="D223" s="41"/>
      <c r="E223" s="93"/>
      <c r="F223" s="93"/>
      <c r="G223" s="93"/>
      <c r="H223" s="93"/>
      <c r="I223" s="38"/>
      <c r="J223" s="2"/>
      <c r="K223" s="41"/>
      <c r="L223" s="38"/>
      <c r="M223" s="41"/>
      <c r="N223" s="41"/>
      <c r="O223" s="42"/>
      <c r="P223" s="80"/>
      <c r="Q223" s="80"/>
      <c r="R223" s="87"/>
      <c r="S223" s="87"/>
      <c r="T223" s="87"/>
      <c r="U223" s="108"/>
      <c r="V223" s="87"/>
      <c r="W223" s="108"/>
      <c r="X223" s="87"/>
      <c r="Y223" s="87"/>
      <c r="AI223" s="3" t="str">
        <f>IF(COUNTIF(AC:AC,AA223)*COUNTIF(AE:AE,AA223)*COUNTIF(AG:AG,AA223),AA223,"")</f>
        <v/>
      </c>
      <c r="AJ223" s="3" t="str">
        <f t="shared" si="19"/>
        <v/>
      </c>
      <c r="AN223" s="3">
        <v>46094</v>
      </c>
      <c r="AO223" s="4">
        <v>243.1234</v>
      </c>
      <c r="AP223" s="74">
        <v>46094</v>
      </c>
      <c r="AQ223" s="4">
        <v>306.91699999999997</v>
      </c>
      <c r="AR223" s="6">
        <f t="shared" si="20"/>
        <v>46094</v>
      </c>
    </row>
    <row r="224" spans="1:44" x14ac:dyDescent="0.25">
      <c r="A224" s="37"/>
      <c r="B224" s="38"/>
      <c r="C224" s="2"/>
      <c r="D224" s="41"/>
      <c r="E224" s="93"/>
      <c r="F224" s="93"/>
      <c r="G224" s="93"/>
      <c r="H224" s="93"/>
      <c r="I224" s="38"/>
      <c r="J224" s="2"/>
      <c r="K224" s="41"/>
      <c r="L224" s="38"/>
      <c r="M224" s="41"/>
      <c r="N224" s="41"/>
      <c r="O224" s="42"/>
      <c r="P224" s="80"/>
      <c r="Q224" s="80"/>
      <c r="R224" s="87"/>
      <c r="S224" s="87"/>
      <c r="T224" s="87"/>
      <c r="U224" s="108"/>
      <c r="V224" s="87"/>
      <c r="W224" s="108"/>
      <c r="X224" s="87"/>
      <c r="Y224" s="87"/>
      <c r="AI224" s="3" t="str">
        <f>IF(COUNTIF(AC:AC,AA224)*COUNTIF(AE:AE,AA224)*COUNTIF(AG:AG,AA224),AA224,"")</f>
        <v/>
      </c>
      <c r="AJ224" s="3" t="str">
        <f t="shared" si="19"/>
        <v/>
      </c>
      <c r="AN224" s="3">
        <v>46097</v>
      </c>
      <c r="AO224" s="4">
        <v>243.46899999999999</v>
      </c>
      <c r="AP224" s="74">
        <v>46097</v>
      </c>
      <c r="AQ224" s="4">
        <v>303.91500000000002</v>
      </c>
      <c r="AR224" s="6">
        <f t="shared" si="20"/>
        <v>46097</v>
      </c>
    </row>
    <row r="225" spans="1:44" x14ac:dyDescent="0.25">
      <c r="A225" s="37"/>
      <c r="B225" s="38"/>
      <c r="C225" s="2"/>
      <c r="D225" s="41"/>
      <c r="E225" s="93"/>
      <c r="F225" s="93"/>
      <c r="G225" s="93"/>
      <c r="H225" s="93"/>
      <c r="I225" s="38"/>
      <c r="J225" s="2"/>
      <c r="K225" s="41"/>
      <c r="L225" s="38"/>
      <c r="M225" s="41"/>
      <c r="N225" s="41"/>
      <c r="O225" s="42"/>
      <c r="P225" s="80"/>
      <c r="Q225" s="80"/>
      <c r="R225" s="87"/>
      <c r="S225" s="87"/>
      <c r="T225" s="87"/>
      <c r="U225" s="108"/>
      <c r="V225" s="87"/>
      <c r="W225" s="108"/>
      <c r="X225" s="87"/>
      <c r="Y225" s="87"/>
      <c r="AI225" s="3" t="str">
        <f>IF(COUNTIF(AC:AC,AA225)*COUNTIF(AE:AE,AA225)*COUNTIF(AG:AG,AA225),AA225,"")</f>
        <v/>
      </c>
      <c r="AJ225" s="3" t="str">
        <f t="shared" si="19"/>
        <v/>
      </c>
      <c r="AN225" s="3">
        <v>46098</v>
      </c>
      <c r="AO225" s="4">
        <v>244.42140000000001</v>
      </c>
      <c r="AP225" s="74">
        <v>46098</v>
      </c>
      <c r="AQ225" s="4">
        <v>294.67</v>
      </c>
      <c r="AR225" s="6">
        <f t="shared" si="20"/>
        <v>46098</v>
      </c>
    </row>
    <row r="226" spans="1:44" x14ac:dyDescent="0.25">
      <c r="A226" s="37"/>
      <c r="B226" s="38"/>
      <c r="C226" s="2"/>
      <c r="D226" s="41"/>
      <c r="E226" s="93"/>
      <c r="F226" s="93"/>
      <c r="G226" s="93"/>
      <c r="H226" s="93"/>
      <c r="I226" s="38"/>
      <c r="J226" s="2"/>
      <c r="K226" s="41"/>
      <c r="L226" s="38"/>
      <c r="M226" s="41"/>
      <c r="N226" s="41"/>
      <c r="O226" s="42"/>
      <c r="P226" s="80"/>
      <c r="Q226" s="80"/>
      <c r="R226" s="87"/>
      <c r="S226" s="87"/>
      <c r="T226" s="87"/>
      <c r="U226" s="108"/>
      <c r="V226" s="87"/>
      <c r="W226" s="108"/>
      <c r="X226" s="87"/>
      <c r="Y226" s="87"/>
      <c r="AI226" s="3" t="str">
        <f>IF(COUNTIF(AC:AC,AA226)*COUNTIF(AE:AE,AA226)*COUNTIF(AG:AG,AA226),AA226,"")</f>
        <v/>
      </c>
      <c r="AJ226" s="3" t="str">
        <f t="shared" si="19"/>
        <v/>
      </c>
      <c r="AN226" s="3">
        <v>46099</v>
      </c>
      <c r="AO226" s="4">
        <v>244.00810000000001</v>
      </c>
      <c r="AP226" s="74">
        <v>46099</v>
      </c>
      <c r="AQ226" s="4">
        <v>298.87400000000002</v>
      </c>
      <c r="AR226" s="6">
        <f t="shared" si="20"/>
        <v>46099</v>
      </c>
    </row>
    <row r="227" spans="1:44" x14ac:dyDescent="0.25">
      <c r="A227" s="37"/>
      <c r="B227" s="38"/>
      <c r="C227" s="2"/>
      <c r="D227" s="41"/>
      <c r="E227" s="93"/>
      <c r="F227" s="93"/>
      <c r="G227" s="93"/>
      <c r="H227" s="93"/>
      <c r="I227" s="38"/>
      <c r="J227" s="2"/>
      <c r="K227" s="41"/>
      <c r="L227" s="38"/>
      <c r="M227" s="41"/>
      <c r="N227" s="41"/>
      <c r="O227" s="42"/>
      <c r="P227" s="80"/>
      <c r="Q227" s="80"/>
      <c r="R227" s="87"/>
      <c r="S227" s="87"/>
      <c r="T227" s="87"/>
      <c r="U227" s="108"/>
      <c r="V227" s="87"/>
      <c r="W227" s="108"/>
      <c r="X227" s="87"/>
      <c r="Y227" s="87"/>
      <c r="AI227" s="3" t="str">
        <f>IF(COUNTIF(AC:AC,AA227)*COUNTIF(AE:AE,AA227)*COUNTIF(AG:AG,AA227),AA227,"")</f>
        <v/>
      </c>
      <c r="AJ227" s="3" t="str">
        <f t="shared" si="19"/>
        <v/>
      </c>
      <c r="AN227" s="3">
        <v>46100</v>
      </c>
      <c r="AO227" s="4">
        <v>242.7533</v>
      </c>
      <c r="AP227" s="74">
        <v>46100</v>
      </c>
      <c r="AQ227" s="4">
        <v>310.92399999999998</v>
      </c>
      <c r="AR227" s="6">
        <f t="shared" si="20"/>
        <v>46100</v>
      </c>
    </row>
    <row r="228" spans="1:44" x14ac:dyDescent="0.25">
      <c r="A228" s="37"/>
      <c r="B228" s="38"/>
      <c r="C228" s="2"/>
      <c r="D228" s="41"/>
      <c r="E228" s="93"/>
      <c r="F228" s="93"/>
      <c r="G228" s="93"/>
      <c r="H228" s="93"/>
      <c r="I228" s="38"/>
      <c r="J228" s="2"/>
      <c r="K228" s="41"/>
      <c r="L228" s="38"/>
      <c r="M228" s="41"/>
      <c r="N228" s="41"/>
      <c r="O228" s="42"/>
      <c r="P228" s="80"/>
      <c r="Q228" s="80"/>
      <c r="R228" s="87"/>
      <c r="S228" s="87"/>
      <c r="T228" s="87"/>
      <c r="U228" s="108"/>
      <c r="V228" s="87"/>
      <c r="W228" s="108"/>
      <c r="X228" s="87"/>
      <c r="Y228" s="87"/>
      <c r="AI228" s="3" t="str">
        <f>IF(COUNTIF(AC:AC,AA228)*COUNTIF(AE:AE,AA228)*COUNTIF(AG:AG,AA228),AA228,"")</f>
        <v/>
      </c>
      <c r="AJ228" s="3" t="str">
        <f t="shared" si="19"/>
        <v/>
      </c>
      <c r="AN228" s="3">
        <v>46101</v>
      </c>
      <c r="AO228" s="4">
        <v>241.26779999999999</v>
      </c>
      <c r="AP228" s="74">
        <v>46101</v>
      </c>
      <c r="AQ228" s="4">
        <v>349.96800000000002</v>
      </c>
      <c r="AR228" s="6">
        <f t="shared" si="20"/>
        <v>46101</v>
      </c>
    </row>
    <row r="229" spans="1:44" x14ac:dyDescent="0.25">
      <c r="A229" s="37"/>
      <c r="B229" s="38"/>
      <c r="C229" s="2"/>
      <c r="D229" s="41"/>
      <c r="E229" s="93"/>
      <c r="F229" s="93"/>
      <c r="G229" s="93"/>
      <c r="H229" s="93"/>
      <c r="I229" s="38"/>
      <c r="J229" s="2"/>
      <c r="K229" s="41"/>
      <c r="L229" s="38"/>
      <c r="M229" s="41"/>
      <c r="N229" s="41"/>
      <c r="O229" s="42"/>
      <c r="P229" s="80"/>
      <c r="Q229" s="80"/>
      <c r="R229" s="87"/>
      <c r="S229" s="87"/>
      <c r="T229" s="87"/>
      <c r="U229" s="108"/>
      <c r="V229" s="87"/>
      <c r="W229" s="108"/>
      <c r="X229" s="87"/>
      <c r="Y229" s="87"/>
      <c r="AI229" s="3" t="str">
        <f>IF(COUNTIF(AC:AC,AA229)*COUNTIF(AE:AE,AA229)*COUNTIF(AG:AG,AA229),AA229,"")</f>
        <v/>
      </c>
      <c r="AJ229" s="3" t="str">
        <f t="shared" si="19"/>
        <v/>
      </c>
      <c r="AN229" s="3">
        <v>46104</v>
      </c>
      <c r="AO229" s="4">
        <v>242.08969999999999</v>
      </c>
      <c r="AP229" s="74">
        <v>46104</v>
      </c>
      <c r="AQ229" s="4">
        <v>341.77300000000002</v>
      </c>
      <c r="AR229" s="6">
        <f t="shared" si="20"/>
        <v>46104</v>
      </c>
    </row>
    <row r="230" spans="1:44" x14ac:dyDescent="0.25">
      <c r="A230" s="37"/>
      <c r="B230" s="38"/>
      <c r="C230" s="2"/>
      <c r="D230" s="41"/>
      <c r="E230" s="93"/>
      <c r="F230" s="93"/>
      <c r="G230" s="93"/>
      <c r="H230" s="93"/>
      <c r="I230" s="38"/>
      <c r="J230" s="2"/>
      <c r="K230" s="41"/>
      <c r="L230" s="38"/>
      <c r="M230" s="41"/>
      <c r="N230" s="41"/>
      <c r="O230" s="42"/>
      <c r="P230" s="80"/>
      <c r="Q230" s="80"/>
      <c r="R230" s="87"/>
      <c r="S230" s="87"/>
      <c r="T230" s="87"/>
      <c r="U230" s="108"/>
      <c r="V230" s="87"/>
      <c r="W230" s="108"/>
      <c r="X230" s="87"/>
      <c r="Y230" s="87"/>
      <c r="AI230" s="3" t="str">
        <f>IF(COUNTIF(AC:AC,AA230)*COUNTIF(AE:AE,AA230)*COUNTIF(AG:AG,AA230),AA230,"")</f>
        <v/>
      </c>
      <c r="AJ230" s="3" t="str">
        <f t="shared" si="19"/>
        <v/>
      </c>
      <c r="AN230" s="3">
        <v>46105</v>
      </c>
      <c r="AO230" s="4">
        <v>242.32900000000001</v>
      </c>
      <c r="AP230" s="74">
        <v>46105</v>
      </c>
      <c r="AQ230" s="4">
        <v>342.03300000000002</v>
      </c>
      <c r="AR230" s="6">
        <f t="shared" si="20"/>
        <v>46105</v>
      </c>
    </row>
    <row r="231" spans="1:44" x14ac:dyDescent="0.25">
      <c r="A231" s="37"/>
      <c r="B231" s="38"/>
      <c r="C231" s="2"/>
      <c r="D231" s="41"/>
      <c r="E231" s="93"/>
      <c r="F231" s="93"/>
      <c r="G231" s="93"/>
      <c r="H231" s="93"/>
      <c r="I231" s="38"/>
      <c r="J231" s="2"/>
      <c r="K231" s="41"/>
      <c r="L231" s="38"/>
      <c r="M231" s="41"/>
      <c r="N231" s="41"/>
      <c r="O231" s="42"/>
      <c r="P231" s="80"/>
      <c r="Q231" s="80"/>
      <c r="R231" s="87"/>
      <c r="S231" s="87"/>
      <c r="T231" s="87"/>
      <c r="U231" s="108"/>
      <c r="V231" s="87"/>
      <c r="W231" s="108"/>
      <c r="X231" s="87"/>
      <c r="Y231" s="87"/>
      <c r="AI231" s="3" t="str">
        <f>IF(COUNTIF(AC:AC,AA231)*COUNTIF(AE:AE,AA231)*COUNTIF(AG:AG,AA231),AA231,"")</f>
        <v/>
      </c>
      <c r="AJ231" s="3" t="str">
        <f t="shared" si="19"/>
        <v/>
      </c>
      <c r="AN231" s="3">
        <v>46106</v>
      </c>
      <c r="AO231" s="4">
        <v>243.4736</v>
      </c>
      <c r="AP231" s="74">
        <v>46106</v>
      </c>
      <c r="AQ231" s="4">
        <v>330.851</v>
      </c>
      <c r="AR231" s="6">
        <f t="shared" si="20"/>
        <v>46106</v>
      </c>
    </row>
    <row r="232" spans="1:44" x14ac:dyDescent="0.25">
      <c r="A232" s="37"/>
      <c r="B232" s="38"/>
      <c r="C232" s="2"/>
      <c r="D232" s="41"/>
      <c r="E232" s="93"/>
      <c r="F232" s="93"/>
      <c r="G232" s="93"/>
      <c r="H232" s="93"/>
      <c r="I232" s="38"/>
      <c r="J232" s="2"/>
      <c r="K232" s="41"/>
      <c r="L232" s="38"/>
      <c r="M232" s="41"/>
      <c r="N232" s="41"/>
      <c r="O232" s="42"/>
      <c r="P232" s="80"/>
      <c r="Q232" s="80"/>
      <c r="R232" s="87"/>
      <c r="S232" s="87"/>
      <c r="T232" s="87"/>
      <c r="U232" s="108"/>
      <c r="V232" s="87"/>
      <c r="W232" s="108"/>
      <c r="X232" s="87"/>
      <c r="Y232" s="87"/>
      <c r="AI232" s="3" t="str">
        <f>IF(COUNTIF(AC:AC,AA232)*COUNTIF(AE:AE,AA232)*COUNTIF(AG:AG,AA232),AA232,"")</f>
        <v/>
      </c>
      <c r="AJ232" s="3" t="str">
        <f t="shared" si="19"/>
        <v/>
      </c>
      <c r="AN232" s="3">
        <v>46107</v>
      </c>
      <c r="AO232" s="4">
        <v>241.38650000000001</v>
      </c>
      <c r="AP232" s="74">
        <v>46107</v>
      </c>
      <c r="AQ232" s="4">
        <v>351.12799999999999</v>
      </c>
      <c r="AR232" s="6">
        <f t="shared" si="20"/>
        <v>46107</v>
      </c>
    </row>
    <row r="233" spans="1:44" x14ac:dyDescent="0.25">
      <c r="A233" s="37"/>
      <c r="B233" s="38"/>
      <c r="C233" s="2"/>
      <c r="D233" s="41"/>
      <c r="E233" s="93"/>
      <c r="F233" s="93"/>
      <c r="G233" s="93"/>
      <c r="H233" s="93"/>
      <c r="I233" s="38"/>
      <c r="J233" s="2"/>
      <c r="K233" s="41"/>
      <c r="L233" s="38"/>
      <c r="M233" s="41"/>
      <c r="N233" s="41"/>
      <c r="O233" s="42"/>
      <c r="P233" s="80"/>
      <c r="Q233" s="80"/>
      <c r="R233" s="87"/>
      <c r="S233" s="87"/>
      <c r="T233" s="87"/>
      <c r="U233" s="108"/>
      <c r="V233" s="87"/>
      <c r="W233" s="108"/>
      <c r="X233" s="87"/>
      <c r="Y233" s="87"/>
      <c r="AI233" s="3" t="str">
        <f>IF(COUNTIF(AC:AC,AA233)*COUNTIF(AE:AE,AA233)*COUNTIF(AG:AG,AA233),AA233,"")</f>
        <v/>
      </c>
      <c r="AJ233" s="3" t="str">
        <f t="shared" si="19"/>
        <v/>
      </c>
      <c r="AN233" s="3">
        <v>46108</v>
      </c>
      <c r="AO233" s="4">
        <v>240.04679999999999</v>
      </c>
      <c r="AP233" s="74">
        <v>46108</v>
      </c>
      <c r="AQ233" s="4">
        <v>361.84800000000001</v>
      </c>
      <c r="AR233" s="6">
        <f t="shared" si="20"/>
        <v>46108</v>
      </c>
    </row>
    <row r="234" spans="1:44" x14ac:dyDescent="0.25">
      <c r="A234" s="37"/>
      <c r="B234" s="38"/>
      <c r="C234" s="2"/>
      <c r="D234" s="41"/>
      <c r="E234" s="93"/>
      <c r="F234" s="93"/>
      <c r="G234" s="93"/>
      <c r="H234" s="93"/>
      <c r="I234" s="38"/>
      <c r="J234" s="2"/>
      <c r="K234" s="41"/>
      <c r="L234" s="38"/>
      <c r="M234" s="41"/>
      <c r="N234" s="41"/>
      <c r="O234" s="42"/>
      <c r="P234" s="80"/>
      <c r="Q234" s="80"/>
      <c r="R234" s="87"/>
      <c r="S234" s="87"/>
      <c r="T234" s="87"/>
      <c r="U234" s="108"/>
      <c r="V234" s="87"/>
      <c r="W234" s="108"/>
      <c r="X234" s="87"/>
      <c r="Y234" s="87"/>
      <c r="AI234" s="3" t="str">
        <f>IF(COUNTIF(AC:AC,AA234)*COUNTIF(AE:AE,AA234)*COUNTIF(AG:AG,AA234),AA234,"")</f>
        <v/>
      </c>
      <c r="AJ234" s="3" t="str">
        <f t="shared" si="19"/>
        <v/>
      </c>
      <c r="AN234" s="3">
        <v>46111</v>
      </c>
      <c r="AO234" s="4">
        <v>240.15790000000001</v>
      </c>
      <c r="AP234" s="74">
        <v>46111</v>
      </c>
      <c r="AQ234" s="4">
        <v>361.5</v>
      </c>
      <c r="AR234" s="6">
        <f t="shared" si="20"/>
        <v>46111</v>
      </c>
    </row>
    <row r="235" spans="1:44" x14ac:dyDescent="0.25">
      <c r="A235" s="37"/>
      <c r="B235" s="38"/>
      <c r="C235" s="2"/>
      <c r="D235" s="41"/>
      <c r="E235" s="93"/>
      <c r="F235" s="93"/>
      <c r="G235" s="93"/>
      <c r="H235" s="93"/>
      <c r="I235" s="38"/>
      <c r="J235" s="2"/>
      <c r="K235" s="41"/>
      <c r="L235" s="38"/>
      <c r="M235" s="41"/>
      <c r="N235" s="41"/>
      <c r="O235" s="42"/>
      <c r="P235" s="80"/>
      <c r="Q235" s="80"/>
      <c r="R235" s="87"/>
      <c r="S235" s="87"/>
      <c r="T235" s="87"/>
      <c r="U235" s="108"/>
      <c r="V235" s="87"/>
      <c r="W235" s="108"/>
      <c r="X235" s="87"/>
      <c r="Y235" s="87"/>
      <c r="AI235" s="3" t="str">
        <f>IF(COUNTIF(AC:AC,AA235)*COUNTIF(AE:AE,AA235)*COUNTIF(AG:AG,AA235),AA235,"")</f>
        <v/>
      </c>
      <c r="AJ235" s="3" t="str">
        <f t="shared" si="19"/>
        <v/>
      </c>
      <c r="AN235" s="3">
        <v>46112</v>
      </c>
      <c r="AO235" s="4">
        <v>241.21780000000001</v>
      </c>
      <c r="AP235" s="74">
        <v>46112</v>
      </c>
      <c r="AQ235" s="4">
        <v>353.01900000000001</v>
      </c>
      <c r="AR235" s="6">
        <f t="shared" si="20"/>
        <v>46112</v>
      </c>
    </row>
    <row r="236" spans="1:44" x14ac:dyDescent="0.25">
      <c r="A236" s="37"/>
      <c r="B236" s="38"/>
      <c r="C236" s="2"/>
      <c r="D236" s="41"/>
      <c r="E236" s="93"/>
      <c r="F236" s="93"/>
      <c r="G236" s="93"/>
      <c r="H236" s="93"/>
      <c r="I236" s="38"/>
      <c r="J236" s="2"/>
      <c r="K236" s="41"/>
      <c r="L236" s="38"/>
      <c r="M236" s="41"/>
      <c r="N236" s="41"/>
      <c r="O236" s="42"/>
      <c r="P236" s="80"/>
      <c r="Q236" s="80"/>
      <c r="R236" s="87"/>
      <c r="S236" s="87"/>
      <c r="T236" s="87"/>
      <c r="U236" s="108"/>
      <c r="V236" s="87"/>
      <c r="W236" s="108"/>
      <c r="X236" s="87"/>
      <c r="Y236" s="87"/>
      <c r="AI236" s="3" t="str">
        <f>IF(COUNTIF(AC:AC,AA236)*COUNTIF(AE:AE,AA236)*COUNTIF(AG:AG,AA236),AA236,"")</f>
        <v/>
      </c>
      <c r="AJ236" s="3" t="str">
        <f t="shared" si="19"/>
        <v/>
      </c>
      <c r="AN236" s="3">
        <v>46113</v>
      </c>
      <c r="AO236" s="4">
        <v>244.02869999999999</v>
      </c>
      <c r="AP236" s="74">
        <v>46113</v>
      </c>
      <c r="AQ236" s="4">
        <v>327.18900000000002</v>
      </c>
      <c r="AR236" s="6">
        <f t="shared" si="20"/>
        <v>46113</v>
      </c>
    </row>
    <row r="237" spans="1:44" x14ac:dyDescent="0.25">
      <c r="A237" s="37"/>
      <c r="B237" s="38"/>
      <c r="C237" s="2"/>
      <c r="D237" s="41"/>
      <c r="E237" s="93"/>
      <c r="F237" s="93"/>
      <c r="G237" s="93"/>
      <c r="H237" s="93"/>
      <c r="I237" s="38"/>
      <c r="J237" s="2"/>
      <c r="K237" s="41"/>
      <c r="L237" s="38"/>
      <c r="M237" s="41"/>
      <c r="N237" s="41"/>
      <c r="O237" s="42"/>
      <c r="P237" s="80"/>
      <c r="Q237" s="80"/>
      <c r="R237" s="87"/>
      <c r="S237" s="87"/>
      <c r="T237" s="87"/>
      <c r="U237" s="108"/>
      <c r="V237" s="87"/>
      <c r="W237" s="108"/>
      <c r="X237" s="87"/>
      <c r="Y237" s="87"/>
      <c r="AI237" s="3" t="str">
        <f>IF(COUNTIF(AC:AC,AA237)*COUNTIF(AE:AE,AA237)*COUNTIF(AG:AG,AA237),AA237,"")</f>
        <v/>
      </c>
      <c r="AJ237" s="3" t="str">
        <f t="shared" si="19"/>
        <v/>
      </c>
      <c r="AN237" s="3">
        <v>46114</v>
      </c>
      <c r="AO237" s="4">
        <v>244.23920000000001</v>
      </c>
      <c r="AP237" s="74">
        <v>46114</v>
      </c>
      <c r="AQ237" s="4">
        <v>325.447</v>
      </c>
      <c r="AR237" s="6">
        <f t="shared" si="20"/>
        <v>46114</v>
      </c>
    </row>
    <row r="238" spans="1:44" x14ac:dyDescent="0.25">
      <c r="A238" s="37"/>
      <c r="B238" s="38"/>
      <c r="C238" s="2"/>
      <c r="D238" s="41"/>
      <c r="E238" s="93"/>
      <c r="F238" s="93"/>
      <c r="G238" s="93"/>
      <c r="H238" s="93"/>
      <c r="I238" s="38"/>
      <c r="J238" s="2"/>
      <c r="K238" s="41"/>
      <c r="L238" s="38"/>
      <c r="M238" s="41"/>
      <c r="N238" s="41"/>
      <c r="O238" s="42"/>
      <c r="P238" s="80"/>
      <c r="Q238" s="80"/>
      <c r="R238" s="87"/>
      <c r="S238" s="87"/>
      <c r="T238" s="87"/>
      <c r="U238" s="108"/>
      <c r="V238" s="87"/>
      <c r="W238" s="108"/>
      <c r="X238" s="87"/>
      <c r="Y238" s="87"/>
      <c r="AI238" s="3" t="str">
        <f>IF(COUNTIF(AC:AC,AA238)*COUNTIF(AE:AE,AA238)*COUNTIF(AG:AG,AA238),AA238,"")</f>
        <v/>
      </c>
      <c r="AJ238" s="3" t="str">
        <f t="shared" si="19"/>
        <v/>
      </c>
      <c r="AN238" s="3">
        <v>46119</v>
      </c>
      <c r="AO238" s="4">
        <v>243.34200000000001</v>
      </c>
      <c r="AP238" s="74">
        <v>46119</v>
      </c>
      <c r="AQ238" s="4">
        <v>335.255</v>
      </c>
      <c r="AR238" s="6">
        <f t="shared" si="20"/>
        <v>46119</v>
      </c>
    </row>
    <row r="239" spans="1:44" x14ac:dyDescent="0.25">
      <c r="A239" s="37"/>
      <c r="B239" s="38"/>
      <c r="C239" s="2"/>
      <c r="D239" s="41"/>
      <c r="E239" s="93"/>
      <c r="F239" s="93"/>
      <c r="G239" s="93"/>
      <c r="H239" s="93"/>
      <c r="I239" s="38"/>
      <c r="J239" s="2"/>
      <c r="K239" s="41"/>
      <c r="L239" s="38"/>
      <c r="M239" s="41"/>
      <c r="N239" s="41"/>
      <c r="O239" s="42"/>
      <c r="P239" s="80"/>
      <c r="Q239" s="80"/>
      <c r="R239" s="87"/>
      <c r="S239" s="87"/>
      <c r="T239" s="87"/>
      <c r="U239" s="108"/>
      <c r="V239" s="87"/>
      <c r="W239" s="108"/>
      <c r="X239" s="87"/>
      <c r="Y239" s="87"/>
      <c r="AI239" s="3" t="str">
        <f>IF(COUNTIF(AC:AC,AA239)*COUNTIF(AE:AE,AA239)*COUNTIF(AG:AG,AA239),AA239,"")</f>
        <v/>
      </c>
      <c r="AJ239" s="3" t="str">
        <f t="shared" si="19"/>
        <v/>
      </c>
      <c r="AN239" s="3">
        <v>46120</v>
      </c>
      <c r="AO239" s="4">
        <v>247.41990000000001</v>
      </c>
      <c r="AP239" s="74">
        <v>46120</v>
      </c>
      <c r="AQ239" s="4">
        <v>297.39699999999999</v>
      </c>
      <c r="AR239" s="6">
        <f t="shared" si="20"/>
        <v>46120</v>
      </c>
    </row>
    <row r="240" spans="1:44" x14ac:dyDescent="0.25">
      <c r="A240" s="37"/>
      <c r="B240" s="38"/>
      <c r="C240" s="2"/>
      <c r="D240" s="41"/>
      <c r="E240" s="93"/>
      <c r="F240" s="93"/>
      <c r="G240" s="93"/>
      <c r="H240" s="93"/>
      <c r="I240" s="38"/>
      <c r="J240" s="2"/>
      <c r="K240" s="41"/>
      <c r="L240" s="38"/>
      <c r="M240" s="41"/>
      <c r="N240" s="41"/>
      <c r="O240" s="42"/>
      <c r="P240" s="80"/>
      <c r="Q240" s="80"/>
      <c r="R240" s="87"/>
      <c r="S240" s="87"/>
      <c r="T240" s="87"/>
      <c r="U240" s="108"/>
      <c r="V240" s="87"/>
      <c r="W240" s="108"/>
      <c r="X240" s="87"/>
      <c r="Y240" s="87"/>
      <c r="AI240" s="3" t="str">
        <f>IF(COUNTIF(AC:AC,AA240)*COUNTIF(AE:AE,AA240)*COUNTIF(AG:AG,AA240),AA240,"")</f>
        <v/>
      </c>
      <c r="AJ240" s="3" t="str">
        <f t="shared" si="19"/>
        <v/>
      </c>
      <c r="AN240" s="3">
        <v>46121</v>
      </c>
      <c r="AO240" s="4">
        <v>248.24930000000001</v>
      </c>
      <c r="AP240" s="74">
        <v>46121</v>
      </c>
      <c r="AQ240" s="4">
        <v>290.79300000000001</v>
      </c>
      <c r="AR240" s="6">
        <f t="shared" si="20"/>
        <v>46121</v>
      </c>
    </row>
    <row r="241" spans="1:44" x14ac:dyDescent="0.25">
      <c r="A241" s="37"/>
      <c r="B241" s="38"/>
      <c r="C241" s="2"/>
      <c r="D241" s="41"/>
      <c r="E241" s="93"/>
      <c r="F241" s="93"/>
      <c r="G241" s="93"/>
      <c r="H241" s="93"/>
      <c r="I241" s="38"/>
      <c r="J241" s="2"/>
      <c r="K241" s="41"/>
      <c r="L241" s="38"/>
      <c r="M241" s="41"/>
      <c r="N241" s="41"/>
      <c r="O241" s="42"/>
      <c r="P241" s="80"/>
      <c r="Q241" s="80"/>
      <c r="R241" s="87"/>
      <c r="S241" s="87"/>
      <c r="T241" s="87"/>
      <c r="U241" s="108"/>
      <c r="V241" s="87"/>
      <c r="W241" s="108"/>
      <c r="X241" s="87"/>
      <c r="Y241" s="87"/>
      <c r="AI241" s="3" t="str">
        <f>IF(COUNTIF(AC:AC,AA241)*COUNTIF(AE:AE,AA241)*COUNTIF(AG:AG,AA241),AA241,"")</f>
        <v/>
      </c>
      <c r="AJ241" s="3" t="str">
        <f t="shared" si="19"/>
        <v/>
      </c>
      <c r="AN241" s="3">
        <v>46122</v>
      </c>
      <c r="AO241" s="4">
        <v>248.2782</v>
      </c>
      <c r="AP241" s="74">
        <v>46122</v>
      </c>
      <c r="AQ241" s="4">
        <v>294.03300000000002</v>
      </c>
      <c r="AR241" s="6">
        <f t="shared" si="20"/>
        <v>46122</v>
      </c>
    </row>
    <row r="242" spans="1:44" x14ac:dyDescent="0.25">
      <c r="A242" s="37"/>
      <c r="B242" s="38"/>
      <c r="C242" s="2"/>
      <c r="D242" s="41"/>
      <c r="E242" s="93"/>
      <c r="F242" s="93"/>
      <c r="G242" s="93"/>
      <c r="H242" s="93"/>
      <c r="I242" s="38"/>
      <c r="J242" s="2"/>
      <c r="K242" s="41"/>
      <c r="L242" s="38"/>
      <c r="M242" s="41"/>
      <c r="N242" s="41"/>
      <c r="O242" s="42"/>
      <c r="P242" s="80"/>
      <c r="Q242" s="80"/>
      <c r="R242" s="87"/>
      <c r="S242" s="87"/>
      <c r="T242" s="87"/>
      <c r="U242" s="108"/>
      <c r="V242" s="87"/>
      <c r="W242" s="108"/>
      <c r="X242" s="87"/>
      <c r="Y242" s="87"/>
      <c r="AI242" s="3" t="str">
        <f>IF(COUNTIF(AC:AC,AA242)*COUNTIF(AE:AE,AA242)*COUNTIF(AG:AG,AA242),AA242,"")</f>
        <v/>
      </c>
      <c r="AJ242" s="3" t="str">
        <f t="shared" si="19"/>
        <v/>
      </c>
      <c r="AN242" s="3">
        <v>46125</v>
      </c>
      <c r="AO242" s="4">
        <v>248.03890000000001</v>
      </c>
      <c r="AP242" s="74">
        <v>46125</v>
      </c>
      <c r="AQ242" s="4">
        <v>295.34500000000003</v>
      </c>
      <c r="AR242" s="6">
        <f t="shared" si="20"/>
        <v>46125</v>
      </c>
    </row>
    <row r="243" spans="1:44" x14ac:dyDescent="0.25">
      <c r="A243" s="37"/>
      <c r="B243" s="38"/>
      <c r="C243" s="2"/>
      <c r="D243" s="41"/>
      <c r="E243" s="93"/>
      <c r="F243" s="93"/>
      <c r="G243" s="93"/>
      <c r="H243" s="93"/>
      <c r="I243" s="38"/>
      <c r="J243" s="2"/>
      <c r="K243" s="41"/>
      <c r="L243" s="38"/>
      <c r="M243" s="41"/>
      <c r="N243" s="41"/>
      <c r="O243" s="42"/>
      <c r="P243" s="80"/>
      <c r="Q243" s="80"/>
      <c r="R243" s="87"/>
      <c r="S243" s="87"/>
      <c r="T243" s="87"/>
      <c r="U243" s="108"/>
      <c r="V243" s="87"/>
      <c r="W243" s="108"/>
      <c r="X243" s="87"/>
      <c r="Y243" s="87"/>
      <c r="AI243" s="3" t="str">
        <f>IF(COUNTIF(AC:AC,AA243)*COUNTIF(AE:AE,AA243)*COUNTIF(AG:AG,AA243),AA243,"")</f>
        <v/>
      </c>
      <c r="AJ243" s="3" t="str">
        <f t="shared" si="19"/>
        <v/>
      </c>
      <c r="AN243" s="3">
        <v>46126</v>
      </c>
      <c r="AO243" s="4">
        <v>249.5992</v>
      </c>
      <c r="AP243" s="74">
        <v>46126</v>
      </c>
      <c r="AQ243" s="4">
        <v>281.303</v>
      </c>
      <c r="AR243" s="6">
        <f t="shared" si="20"/>
        <v>46126</v>
      </c>
    </row>
    <row r="244" spans="1:44" x14ac:dyDescent="0.25">
      <c r="A244" s="37"/>
      <c r="B244" s="38"/>
      <c r="C244" s="2"/>
      <c r="D244" s="41"/>
      <c r="E244" s="93"/>
      <c r="F244" s="93"/>
      <c r="G244" s="93"/>
      <c r="H244" s="93"/>
      <c r="I244" s="38"/>
      <c r="J244" s="2"/>
      <c r="K244" s="41"/>
      <c r="L244" s="38"/>
      <c r="M244" s="41"/>
      <c r="N244" s="41"/>
      <c r="O244" s="42"/>
      <c r="P244" s="80"/>
      <c r="Q244" s="80"/>
      <c r="R244" s="87"/>
      <c r="S244" s="87"/>
      <c r="T244" s="87"/>
      <c r="U244" s="108"/>
      <c r="V244" s="87"/>
      <c r="W244" s="108"/>
      <c r="X244" s="87"/>
      <c r="Y244" s="87"/>
      <c r="AI244" s="3" t="str">
        <f>IF(COUNTIF(AC:AC,AA244)*COUNTIF(AE:AE,AA244)*COUNTIF(AG:AG,AA244),AA244,"")</f>
        <v/>
      </c>
      <c r="AJ244" s="3" t="str">
        <f t="shared" si="19"/>
        <v/>
      </c>
      <c r="AN244" s="3">
        <v>46127</v>
      </c>
      <c r="AO244" s="4">
        <v>249.53909999999999</v>
      </c>
      <c r="AP244" s="74">
        <v>46127</v>
      </c>
      <c r="AQ244" s="4">
        <v>283.45699999999999</v>
      </c>
      <c r="AR244" s="6">
        <f t="shared" si="20"/>
        <v>46127</v>
      </c>
    </row>
    <row r="245" spans="1:44" x14ac:dyDescent="0.25">
      <c r="A245" s="37"/>
      <c r="B245" s="38"/>
      <c r="C245" s="2"/>
      <c r="D245" s="41"/>
      <c r="E245" s="93"/>
      <c r="F245" s="93"/>
      <c r="G245" s="93"/>
      <c r="H245" s="93"/>
      <c r="I245" s="38"/>
      <c r="J245" s="2"/>
      <c r="K245" s="41"/>
      <c r="L245" s="38"/>
      <c r="M245" s="41"/>
      <c r="N245" s="41"/>
      <c r="O245" s="42"/>
      <c r="P245" s="80"/>
      <c r="Q245" s="80"/>
      <c r="R245" s="87"/>
      <c r="S245" s="87"/>
      <c r="T245" s="87"/>
      <c r="U245" s="108"/>
      <c r="V245" s="87"/>
      <c r="W245" s="108"/>
      <c r="X245" s="87"/>
      <c r="Y245" s="87"/>
      <c r="AI245" s="3" t="str">
        <f>IF(COUNTIF(AC:AC,AA245)*COUNTIF(AE:AE,AA245)*COUNTIF(AG:AG,AA245),AA245,"")</f>
        <v/>
      </c>
      <c r="AJ245" s="3" t="str">
        <f t="shared" si="19"/>
        <v/>
      </c>
      <c r="AN245" s="3">
        <v>46128</v>
      </c>
      <c r="AO245" s="4">
        <v>249.1765</v>
      </c>
      <c r="AP245" s="74">
        <v>46128</v>
      </c>
      <c r="AQ245" s="4">
        <v>287.08800000000002</v>
      </c>
      <c r="AR245" s="6">
        <f t="shared" si="20"/>
        <v>46128</v>
      </c>
    </row>
    <row r="246" spans="1:44" x14ac:dyDescent="0.25">
      <c r="A246" s="37"/>
      <c r="B246" s="38"/>
      <c r="C246" s="2"/>
      <c r="D246" s="41"/>
      <c r="E246" s="93"/>
      <c r="F246" s="93"/>
      <c r="G246" s="93"/>
      <c r="H246" s="93"/>
      <c r="I246" s="38"/>
      <c r="J246" s="2"/>
      <c r="K246" s="41"/>
      <c r="L246" s="38"/>
      <c r="M246" s="41"/>
      <c r="N246" s="41"/>
      <c r="O246" s="42"/>
      <c r="P246" s="80"/>
      <c r="Q246" s="80"/>
      <c r="R246" s="87"/>
      <c r="S246" s="87"/>
      <c r="T246" s="87"/>
      <c r="U246" s="108"/>
      <c r="V246" s="87"/>
      <c r="W246" s="108"/>
      <c r="X246" s="87"/>
      <c r="Y246" s="87"/>
      <c r="AI246" s="3" t="str">
        <f>IF(COUNTIF(AC:AC,AA246)*COUNTIF(AE:AE,AA246)*COUNTIF(AG:AG,AA246),AA246,"")</f>
        <v/>
      </c>
      <c r="AJ246" s="3" t="str">
        <f t="shared" si="19"/>
        <v/>
      </c>
      <c r="AN246" s="3">
        <v>46129</v>
      </c>
      <c r="AO246" s="4">
        <v>250.45760000000001</v>
      </c>
      <c r="AP246" s="74">
        <v>46129</v>
      </c>
      <c r="AQ246" s="4">
        <v>275.86700000000002</v>
      </c>
      <c r="AR246" s="6">
        <f t="shared" si="20"/>
        <v>46129</v>
      </c>
    </row>
    <row r="247" spans="1:44" x14ac:dyDescent="0.25">
      <c r="A247" s="37"/>
      <c r="B247" s="38"/>
      <c r="C247" s="2"/>
      <c r="D247" s="41"/>
      <c r="E247" s="93"/>
      <c r="F247" s="93"/>
      <c r="G247" s="93"/>
      <c r="H247" s="93"/>
      <c r="I247" s="38"/>
      <c r="J247" s="2"/>
      <c r="K247" s="41"/>
      <c r="L247" s="38"/>
      <c r="M247" s="41"/>
      <c r="N247" s="41"/>
      <c r="O247" s="42"/>
      <c r="P247" s="80"/>
      <c r="Q247" s="80"/>
      <c r="R247" s="87"/>
      <c r="S247" s="87"/>
      <c r="T247" s="87"/>
      <c r="U247" s="108"/>
      <c r="V247" s="87"/>
      <c r="W247" s="108"/>
      <c r="X247" s="87"/>
      <c r="Y247" s="87"/>
      <c r="AI247" s="3" t="str">
        <f>IF(COUNTIF(AC:AC,AA247)*COUNTIF(AE:AE,AA247)*COUNTIF(AG:AG,AA247),AA247,"")</f>
        <v/>
      </c>
      <c r="AJ247" s="3" t="str">
        <f t="shared" si="19"/>
        <v/>
      </c>
      <c r="AN247" s="3">
        <v>46132</v>
      </c>
      <c r="AO247" s="4">
        <v>250.11789999999999</v>
      </c>
      <c r="AP247" s="74">
        <v>46132</v>
      </c>
      <c r="AQ247" s="4">
        <v>279.73</v>
      </c>
      <c r="AR247" s="6">
        <f t="shared" si="20"/>
        <v>46132</v>
      </c>
    </row>
    <row r="248" spans="1:44" x14ac:dyDescent="0.25">
      <c r="A248" s="37"/>
      <c r="B248" s="38"/>
      <c r="C248" s="2"/>
      <c r="D248" s="41"/>
      <c r="E248" s="93"/>
      <c r="F248" s="93"/>
      <c r="G248" s="93"/>
      <c r="H248" s="93"/>
      <c r="I248" s="38"/>
      <c r="J248" s="2"/>
      <c r="K248" s="41"/>
      <c r="L248" s="38"/>
      <c r="M248" s="41"/>
      <c r="N248" s="41"/>
      <c r="O248" s="42"/>
      <c r="P248" s="80"/>
      <c r="Q248" s="80"/>
      <c r="R248" s="87"/>
      <c r="S248" s="87"/>
      <c r="T248" s="87"/>
      <c r="U248" s="108"/>
      <c r="V248" s="87"/>
      <c r="W248" s="108"/>
      <c r="X248" s="87"/>
      <c r="Y248" s="87"/>
      <c r="AI248" s="3" t="str">
        <f>IF(COUNTIF(AC:AC,AA248)*COUNTIF(AE:AE,AA248)*COUNTIF(AG:AG,AA248),AA248,"")</f>
        <v/>
      </c>
      <c r="AJ248" s="3" t="str">
        <f t="shared" si="19"/>
        <v/>
      </c>
      <c r="AN248" s="3">
        <v>46133</v>
      </c>
      <c r="AO248" s="4">
        <v>249.51689999999999</v>
      </c>
      <c r="AP248" s="74">
        <v>46133</v>
      </c>
      <c r="AQ248" s="4">
        <v>285.02300000000002</v>
      </c>
      <c r="AR248" s="6">
        <f t="shared" si="20"/>
        <v>46133</v>
      </c>
    </row>
    <row r="249" spans="1:44" x14ac:dyDescent="0.25">
      <c r="A249" s="37"/>
      <c r="B249" s="38"/>
      <c r="C249" s="2"/>
      <c r="D249" s="41"/>
      <c r="E249" s="93"/>
      <c r="F249" s="93"/>
      <c r="G249" s="93"/>
      <c r="H249" s="93"/>
      <c r="I249" s="38"/>
      <c r="J249" s="2"/>
      <c r="K249" s="41"/>
      <c r="L249" s="38"/>
      <c r="M249" s="41"/>
      <c r="N249" s="41"/>
      <c r="O249" s="42"/>
      <c r="P249" s="80"/>
      <c r="Q249" s="80"/>
      <c r="R249" s="87"/>
      <c r="S249" s="87"/>
      <c r="T249" s="87"/>
      <c r="U249" s="108"/>
      <c r="V249" s="87"/>
      <c r="W249" s="108"/>
      <c r="X249" s="87"/>
      <c r="Y249" s="87"/>
      <c r="AI249" s="3" t="str">
        <f>IF(COUNTIF(AC:AC,AA249)*COUNTIF(AE:AE,AA249)*COUNTIF(AG:AG,AA249),AA249,"")</f>
        <v/>
      </c>
      <c r="AJ249" s="3" t="str">
        <f t="shared" si="19"/>
        <v/>
      </c>
      <c r="AN249" s="3">
        <v>46134</v>
      </c>
      <c r="AO249" s="4">
        <v>249.46960000000001</v>
      </c>
      <c r="AP249" s="74">
        <v>46134</v>
      </c>
      <c r="AQ249" s="4">
        <v>285.94499999999999</v>
      </c>
      <c r="AR249" s="6">
        <f t="shared" si="20"/>
        <v>46134</v>
      </c>
    </row>
    <row r="250" spans="1:44" x14ac:dyDescent="0.25">
      <c r="A250" s="37"/>
      <c r="B250" s="38"/>
      <c r="C250" s="2"/>
      <c r="D250" s="41"/>
      <c r="E250" s="93"/>
      <c r="F250" s="93"/>
      <c r="G250" s="93"/>
      <c r="H250" s="93"/>
      <c r="I250" s="38"/>
      <c r="J250" s="2"/>
      <c r="K250" s="41"/>
      <c r="L250" s="38"/>
      <c r="M250" s="41"/>
      <c r="N250" s="41"/>
      <c r="O250" s="42"/>
      <c r="P250" s="80"/>
      <c r="Q250" s="80"/>
      <c r="R250" s="87"/>
      <c r="S250" s="87"/>
      <c r="T250" s="87"/>
      <c r="U250" s="108"/>
      <c r="V250" s="87"/>
      <c r="W250" s="108"/>
      <c r="X250" s="87"/>
      <c r="Y250" s="87"/>
      <c r="AI250" s="3" t="str">
        <f>IF(COUNTIF(AC:AC,AA250)*COUNTIF(AE:AE,AA250)*COUNTIF(AG:AG,AA250),AA250,"")</f>
        <v/>
      </c>
      <c r="AJ250" s="3" t="str">
        <f t="shared" si="19"/>
        <v/>
      </c>
      <c r="AN250" s="3">
        <v>46135</v>
      </c>
      <c r="AO250" s="4">
        <v>249.30770000000001</v>
      </c>
      <c r="AP250" s="74">
        <v>46135</v>
      </c>
      <c r="AQ250" s="4">
        <v>288.49599999999998</v>
      </c>
      <c r="AR250" s="6">
        <f t="shared" si="20"/>
        <v>46135</v>
      </c>
    </row>
    <row r="251" spans="1:44" x14ac:dyDescent="0.25">
      <c r="A251" s="37"/>
      <c r="B251" s="38"/>
      <c r="C251" s="2"/>
      <c r="D251" s="41"/>
      <c r="E251" s="93"/>
      <c r="F251" s="93"/>
      <c r="G251" s="93"/>
      <c r="H251" s="93"/>
      <c r="I251" s="38"/>
      <c r="J251" s="2"/>
      <c r="K251" s="41"/>
      <c r="L251" s="38"/>
      <c r="M251" s="41"/>
      <c r="N251" s="41"/>
      <c r="O251" s="42"/>
      <c r="P251" s="80"/>
      <c r="Q251" s="80"/>
      <c r="R251" s="87"/>
      <c r="S251" s="87"/>
      <c r="T251" s="87"/>
      <c r="U251" s="108"/>
      <c r="V251" s="87"/>
      <c r="W251" s="108"/>
      <c r="X251" s="87"/>
      <c r="Y251" s="87"/>
      <c r="AI251" s="3" t="str">
        <f>IF(COUNTIF(AC:AC,AA251)*COUNTIF(AE:AE,AA251)*COUNTIF(AG:AG,AA251),AA251,"")</f>
        <v/>
      </c>
      <c r="AJ251" s="3" t="str">
        <f t="shared" si="19"/>
        <v/>
      </c>
      <c r="AN251" s="3">
        <v>46136</v>
      </c>
      <c r="AO251" s="4">
        <v>249.20050000000001</v>
      </c>
      <c r="AP251" s="74">
        <v>46136</v>
      </c>
      <c r="AQ251" s="4">
        <v>287.25799999999998</v>
      </c>
      <c r="AR251" s="6">
        <f t="shared" si="20"/>
        <v>46136</v>
      </c>
    </row>
    <row r="252" spans="1:44" x14ac:dyDescent="0.25">
      <c r="A252" s="37"/>
      <c r="B252" s="38"/>
      <c r="C252" s="2"/>
      <c r="D252" s="41"/>
      <c r="E252" s="93"/>
      <c r="F252" s="93"/>
      <c r="G252" s="93"/>
      <c r="H252" s="93"/>
      <c r="I252" s="38"/>
      <c r="J252" s="2"/>
      <c r="K252" s="41"/>
      <c r="L252" s="38"/>
      <c r="M252" s="41"/>
      <c r="N252" s="41"/>
      <c r="O252" s="42"/>
      <c r="P252" s="80"/>
      <c r="Q252" s="80"/>
      <c r="R252" s="87"/>
      <c r="S252" s="87"/>
      <c r="T252" s="87"/>
      <c r="U252" s="108"/>
      <c r="V252" s="87"/>
      <c r="W252" s="108"/>
      <c r="X252" s="87"/>
      <c r="Y252" s="87"/>
      <c r="AI252" s="3" t="str">
        <f>IF(COUNTIF(AC:AC,AA252)*COUNTIF(AE:AE,AA252)*COUNTIF(AG:AG,AA252),AA252,"")</f>
        <v/>
      </c>
      <c r="AJ252" s="3" t="str">
        <f t="shared" si="19"/>
        <v/>
      </c>
      <c r="AN252" s="3">
        <v>46139</v>
      </c>
      <c r="AO252" s="4">
        <v>249.10599999999999</v>
      </c>
      <c r="AP252" s="74">
        <v>46139</v>
      </c>
      <c r="AQ252" s="4">
        <v>288.53300000000002</v>
      </c>
      <c r="AR252" s="6">
        <f t="shared" si="20"/>
        <v>46139</v>
      </c>
    </row>
    <row r="253" spans="1:44" x14ac:dyDescent="0.25">
      <c r="A253" s="37"/>
      <c r="B253" s="38"/>
      <c r="C253" s="2"/>
      <c r="D253" s="41"/>
      <c r="E253" s="93"/>
      <c r="F253" s="93"/>
      <c r="G253" s="93"/>
      <c r="H253" s="93"/>
      <c r="I253" s="38"/>
      <c r="J253" s="2"/>
      <c r="K253" s="41"/>
      <c r="L253" s="38"/>
      <c r="M253" s="41"/>
      <c r="N253" s="41"/>
      <c r="O253" s="42"/>
      <c r="P253" s="80"/>
      <c r="Q253" s="80"/>
      <c r="R253" s="87"/>
      <c r="S253" s="87"/>
      <c r="T253" s="87"/>
      <c r="U253" s="108"/>
      <c r="V253" s="87"/>
      <c r="W253" s="108"/>
      <c r="X253" s="87"/>
      <c r="Y253" s="87"/>
      <c r="AI253" s="3" t="str">
        <f>IF(COUNTIF(AC:AC,AA253)*COUNTIF(AE:AE,AA253)*COUNTIF(AG:AG,AA253),AA253,"")</f>
        <v/>
      </c>
      <c r="AJ253" s="3" t="str">
        <f t="shared" si="19"/>
        <v/>
      </c>
      <c r="AN253" s="3">
        <v>46140</v>
      </c>
      <c r="AO253" s="4">
        <v>248.827</v>
      </c>
      <c r="AP253" s="74">
        <v>46140</v>
      </c>
      <c r="AQ253" s="4">
        <v>292.154</v>
      </c>
      <c r="AR253" s="6">
        <f t="shared" si="20"/>
        <v>46140</v>
      </c>
    </row>
    <row r="254" spans="1:44" x14ac:dyDescent="0.25">
      <c r="A254" s="37"/>
      <c r="B254" s="38"/>
      <c r="C254" s="2"/>
      <c r="D254" s="41"/>
      <c r="E254" s="93"/>
      <c r="F254" s="93"/>
      <c r="G254" s="93"/>
      <c r="H254" s="93"/>
      <c r="I254" s="38"/>
      <c r="J254" s="2"/>
      <c r="K254" s="41"/>
      <c r="L254" s="38"/>
      <c r="M254" s="41"/>
      <c r="N254" s="41"/>
      <c r="O254" s="42"/>
      <c r="P254" s="80"/>
      <c r="Q254" s="80"/>
      <c r="R254" s="87"/>
      <c r="S254" s="87"/>
      <c r="T254" s="87"/>
      <c r="U254" s="108"/>
      <c r="V254" s="87"/>
      <c r="W254" s="108"/>
      <c r="X254" s="87"/>
      <c r="Y254" s="87"/>
      <c r="AI254" s="3" t="str">
        <f>IF(COUNTIF(AC:AC,AA254)*COUNTIF(AE:AE,AA254)*COUNTIF(AG:AG,AA254),AA254,"")</f>
        <v/>
      </c>
      <c r="AJ254" s="3" t="str">
        <f t="shared" si="19"/>
        <v/>
      </c>
      <c r="AN254" s="3">
        <v>46141</v>
      </c>
      <c r="AO254" s="4">
        <v>248.28469999999999</v>
      </c>
      <c r="AP254" s="74">
        <v>46141</v>
      </c>
      <c r="AQ254" s="4">
        <v>297.69</v>
      </c>
      <c r="AR254" s="6">
        <f t="shared" si="20"/>
        <v>46141</v>
      </c>
    </row>
    <row r="255" spans="1:44" x14ac:dyDescent="0.25">
      <c r="A255" s="37"/>
      <c r="B255" s="38"/>
      <c r="C255" s="2"/>
      <c r="D255" s="41"/>
      <c r="E255" s="93"/>
      <c r="F255" s="93"/>
      <c r="G255" s="93"/>
      <c r="H255" s="93"/>
      <c r="I255" s="38"/>
      <c r="J255" s="2"/>
      <c r="K255" s="41"/>
      <c r="L255" s="38"/>
      <c r="M255" s="41"/>
      <c r="N255" s="41"/>
      <c r="O255" s="42"/>
      <c r="P255" s="80"/>
      <c r="Q255" s="80"/>
      <c r="R255" s="87"/>
      <c r="S255" s="87"/>
      <c r="T255" s="87"/>
      <c r="U255" s="108"/>
      <c r="V255" s="87"/>
      <c r="W255" s="108"/>
      <c r="X255" s="87"/>
      <c r="Y255" s="87"/>
      <c r="AI255" s="3" t="str">
        <f>IF(COUNTIF(AC:AC,AA255)*COUNTIF(AE:AE,AA255)*COUNTIF(AG:AG,AA255),AA255,"")</f>
        <v/>
      </c>
      <c r="AJ255" s="3" t="str">
        <f t="shared" si="19"/>
        <v/>
      </c>
      <c r="AN255" s="3">
        <v>46142</v>
      </c>
      <c r="AO255" s="4">
        <v>248.685</v>
      </c>
      <c r="AP255" s="74">
        <v>46142</v>
      </c>
      <c r="AQ255" s="4">
        <v>292.53100000000001</v>
      </c>
      <c r="AR255" s="6">
        <f t="shared" si="20"/>
        <v>46142</v>
      </c>
    </row>
    <row r="256" spans="1:44" x14ac:dyDescent="0.25">
      <c r="A256" s="37"/>
      <c r="B256" s="38"/>
      <c r="C256" s="2"/>
      <c r="D256" s="41"/>
      <c r="E256" s="93"/>
      <c r="F256" s="93"/>
      <c r="G256" s="93"/>
      <c r="H256" s="93"/>
      <c r="I256" s="38"/>
      <c r="J256" s="2"/>
      <c r="K256" s="41"/>
      <c r="L256" s="38"/>
      <c r="M256" s="41"/>
      <c r="N256" s="41"/>
      <c r="O256" s="42"/>
      <c r="P256" s="80"/>
      <c r="Q256" s="80"/>
      <c r="R256" s="87"/>
      <c r="S256" s="87"/>
      <c r="T256" s="87"/>
      <c r="U256" s="108"/>
      <c r="V256" s="87"/>
      <c r="W256" s="108"/>
      <c r="X256" s="87"/>
      <c r="Y256" s="87"/>
      <c r="AI256" s="3" t="str">
        <f>IF(COUNTIF(AC:AC,AA256)*COUNTIF(AE:AE,AA256)*COUNTIF(AG:AG,AA256),AA256,"")</f>
        <v/>
      </c>
      <c r="AJ256" s="3" t="str">
        <f t="shared" si="19"/>
        <v/>
      </c>
      <c r="AN256" s="3">
        <v>46143</v>
      </c>
      <c r="AO256" s="4">
        <v>249.75620000000001</v>
      </c>
      <c r="AP256" s="74">
        <v>46143</v>
      </c>
      <c r="AQ256" s="4">
        <v>284.60300000000001</v>
      </c>
      <c r="AR256" s="6">
        <f t="shared" si="20"/>
        <v>46143</v>
      </c>
    </row>
    <row r="257" spans="1:44" x14ac:dyDescent="0.25">
      <c r="A257" s="37"/>
      <c r="B257" s="38"/>
      <c r="C257" s="2"/>
      <c r="D257" s="41"/>
      <c r="E257" s="93"/>
      <c r="F257" s="93"/>
      <c r="G257" s="93"/>
      <c r="H257" s="93"/>
      <c r="I257" s="38"/>
      <c r="J257" s="2"/>
      <c r="K257" s="41"/>
      <c r="L257" s="38"/>
      <c r="M257" s="41"/>
      <c r="N257" s="41"/>
      <c r="O257" s="42"/>
      <c r="P257" s="80"/>
      <c r="Q257" s="80"/>
      <c r="R257" s="87"/>
      <c r="S257" s="87"/>
      <c r="T257" s="87"/>
      <c r="U257" s="108"/>
      <c r="V257" s="87"/>
      <c r="W257" s="108"/>
      <c r="X257" s="87"/>
      <c r="Y257" s="87"/>
      <c r="AI257" s="3" t="str">
        <f>IF(COUNTIF(AC:AC,AA257)*COUNTIF(AE:AE,AA257)*COUNTIF(AG:AG,AA257),AA257,"")</f>
        <v/>
      </c>
      <c r="AJ257" s="3" t="str">
        <f t="shared" si="19"/>
        <v/>
      </c>
      <c r="AN257" s="3">
        <v>46147</v>
      </c>
      <c r="AO257" s="4">
        <v>249.4753</v>
      </c>
      <c r="AP257" s="74">
        <v>46147</v>
      </c>
      <c r="AQ257" s="4">
        <v>287.411</v>
      </c>
      <c r="AR257" s="6">
        <f t="shared" si="20"/>
        <v>46147</v>
      </c>
    </row>
    <row r="258" spans="1:44" x14ac:dyDescent="0.25">
      <c r="A258" s="37"/>
      <c r="B258" s="38"/>
      <c r="C258" s="2"/>
      <c r="D258" s="41"/>
      <c r="E258" s="93"/>
      <c r="F258" s="93"/>
      <c r="G258" s="93"/>
      <c r="H258" s="93"/>
      <c r="I258" s="38"/>
      <c r="J258" s="2"/>
      <c r="K258" s="41"/>
      <c r="L258" s="38"/>
      <c r="M258" s="41"/>
      <c r="N258" s="41"/>
      <c r="O258" s="42"/>
      <c r="P258" s="80"/>
      <c r="Q258" s="80"/>
      <c r="R258" s="87"/>
      <c r="S258" s="87"/>
      <c r="T258" s="87"/>
      <c r="U258" s="108"/>
      <c r="V258" s="87"/>
      <c r="W258" s="108"/>
      <c r="X258" s="87"/>
      <c r="Y258" s="87"/>
      <c r="AI258" s="3" t="str">
        <f>IF(COUNTIF(AC:AC,AA258)*COUNTIF(AE:AE,AA258)*COUNTIF(AG:AG,AA258),AA258,"")</f>
        <v/>
      </c>
      <c r="AJ258" s="3" t="str">
        <f t="shared" si="19"/>
        <v/>
      </c>
      <c r="AN258" s="3">
        <v>46148</v>
      </c>
      <c r="AO258" s="4">
        <v>250.94749999999999</v>
      </c>
      <c r="AP258" s="74">
        <v>46148</v>
      </c>
      <c r="AQ258" s="4">
        <v>275.23200000000003</v>
      </c>
      <c r="AR258" s="6">
        <f t="shared" si="20"/>
        <v>46148</v>
      </c>
    </row>
    <row r="259" spans="1:44" x14ac:dyDescent="0.25">
      <c r="A259" s="37"/>
      <c r="B259" s="38"/>
      <c r="C259" s="2"/>
      <c r="D259" s="41"/>
      <c r="E259" s="93"/>
      <c r="F259" s="93"/>
      <c r="G259" s="93"/>
      <c r="H259" s="93"/>
      <c r="I259" s="38"/>
      <c r="J259" s="2"/>
      <c r="K259" s="41"/>
      <c r="L259" s="38"/>
      <c r="M259" s="41"/>
      <c r="N259" s="41"/>
      <c r="O259" s="42"/>
      <c r="P259" s="80"/>
      <c r="Q259" s="80"/>
      <c r="R259" s="87"/>
      <c r="S259" s="87"/>
      <c r="T259" s="87"/>
      <c r="U259" s="108"/>
      <c r="V259" s="87"/>
      <c r="W259" s="108"/>
      <c r="X259" s="87"/>
      <c r="Y259" s="87"/>
      <c r="AI259" s="3" t="str">
        <f>IF(COUNTIF(AC:AC,AA259)*COUNTIF(AE:AE,AA259)*COUNTIF(AG:AG,AA259),AA259,"")</f>
        <v/>
      </c>
      <c r="AJ259" s="3" t="str">
        <f t="shared" si="19"/>
        <v/>
      </c>
      <c r="AN259" s="3">
        <v>46149</v>
      </c>
      <c r="AO259" s="4">
        <v>250.63929999999999</v>
      </c>
      <c r="AP259" s="74">
        <v>46149</v>
      </c>
      <c r="AQ259" s="4">
        <v>278.976</v>
      </c>
      <c r="AR259" s="6">
        <f t="shared" si="20"/>
        <v>46149</v>
      </c>
    </row>
    <row r="260" spans="1:44" x14ac:dyDescent="0.25">
      <c r="A260" s="37"/>
      <c r="B260" s="38"/>
      <c r="C260" s="2"/>
      <c r="D260" s="41"/>
      <c r="E260" s="93"/>
      <c r="F260" s="93"/>
      <c r="G260" s="93"/>
      <c r="H260" s="93"/>
      <c r="I260" s="38"/>
      <c r="J260" s="2"/>
      <c r="K260" s="41"/>
      <c r="L260" s="38"/>
      <c r="M260" s="41"/>
      <c r="N260" s="41"/>
      <c r="O260" s="42"/>
      <c r="P260" s="80"/>
      <c r="Q260" s="80"/>
      <c r="R260" s="87"/>
      <c r="S260" s="87"/>
      <c r="T260" s="87"/>
      <c r="U260" s="108"/>
      <c r="V260" s="87"/>
      <c r="W260" s="108"/>
      <c r="X260" s="87"/>
      <c r="Y260" s="87"/>
      <c r="AI260" s="3" t="str">
        <f>IF(COUNTIF(AC:AC,AA260)*COUNTIF(AE:AE,AA260)*COUNTIF(AG:AG,AA260),AA260,"")</f>
        <v/>
      </c>
      <c r="AJ260" s="3" t="str">
        <f t="shared" ref="AJ260:AJ323" si="21">IF(AI260&gt;=$A$14,AI260,"")</f>
        <v/>
      </c>
      <c r="AN260" s="3">
        <v>46150</v>
      </c>
      <c r="AO260" s="4">
        <v>250.6848</v>
      </c>
      <c r="AP260" s="74">
        <v>46150</v>
      </c>
      <c r="AQ260" s="4">
        <v>277.91800000000001</v>
      </c>
      <c r="AR260" s="6">
        <f t="shared" ref="AR260:AR323" si="22">IF(COUNTIF(AP:AP,AN260),AN260,"")</f>
        <v>46150</v>
      </c>
    </row>
    <row r="261" spans="1:44" x14ac:dyDescent="0.25">
      <c r="A261" s="37"/>
      <c r="B261" s="38"/>
      <c r="C261" s="2"/>
      <c r="D261" s="41"/>
      <c r="E261" s="93"/>
      <c r="F261" s="93"/>
      <c r="G261" s="93"/>
      <c r="H261" s="93"/>
      <c r="I261" s="38"/>
      <c r="J261" s="2"/>
      <c r="K261" s="41"/>
      <c r="L261" s="38"/>
      <c r="M261" s="41"/>
      <c r="N261" s="41"/>
      <c r="O261" s="42"/>
      <c r="P261" s="80"/>
      <c r="Q261" s="80"/>
      <c r="R261" s="87"/>
      <c r="S261" s="87"/>
      <c r="T261" s="87"/>
      <c r="U261" s="108"/>
      <c r="V261" s="87"/>
      <c r="W261" s="108"/>
      <c r="X261" s="87"/>
      <c r="Y261" s="87"/>
      <c r="AI261" s="3" t="str">
        <f>IF(COUNTIF(AC:AC,AA261)*COUNTIF(AE:AE,AA261)*COUNTIF(AG:AG,AA261),AA261,"")</f>
        <v/>
      </c>
      <c r="AJ261" s="3" t="str">
        <f t="shared" si="21"/>
        <v/>
      </c>
      <c r="AN261" s="3">
        <v>46153</v>
      </c>
      <c r="AO261" s="4">
        <v>250.97389999999999</v>
      </c>
      <c r="AP261" s="74">
        <v>46153</v>
      </c>
      <c r="AQ261" s="4">
        <v>276.47399999999999</v>
      </c>
      <c r="AR261" s="6">
        <f t="shared" si="22"/>
        <v>46153</v>
      </c>
    </row>
    <row r="262" spans="1:44" x14ac:dyDescent="0.25">
      <c r="A262" s="37"/>
      <c r="B262" s="38"/>
      <c r="C262" s="2"/>
      <c r="D262" s="41"/>
      <c r="E262" s="93"/>
      <c r="F262" s="93"/>
      <c r="G262" s="93"/>
      <c r="H262" s="93"/>
      <c r="I262" s="38"/>
      <c r="J262" s="2"/>
      <c r="K262" s="41"/>
      <c r="L262" s="38"/>
      <c r="M262" s="41"/>
      <c r="N262" s="41"/>
      <c r="O262" s="42"/>
      <c r="P262" s="80"/>
      <c r="Q262" s="80"/>
      <c r="R262" s="87"/>
      <c r="S262" s="87"/>
      <c r="T262" s="87"/>
      <c r="U262" s="108"/>
      <c r="V262" s="87"/>
      <c r="W262" s="108"/>
      <c r="X262" s="87"/>
      <c r="Y262" s="87"/>
      <c r="AI262" s="3" t="str">
        <f>IF(COUNTIF(AC:AC,AA262)*COUNTIF(AE:AE,AA262)*COUNTIF(AG:AG,AA262),AA262,"")</f>
        <v/>
      </c>
      <c r="AJ262" s="3" t="str">
        <f t="shared" si="21"/>
        <v/>
      </c>
      <c r="AN262" s="3">
        <v>46154</v>
      </c>
      <c r="AO262" s="4">
        <v>250.0761</v>
      </c>
      <c r="AP262" s="74">
        <v>46154</v>
      </c>
      <c r="AQ262" s="4">
        <v>284.12599999999998</v>
      </c>
      <c r="AR262" s="6">
        <f t="shared" si="22"/>
        <v>46154</v>
      </c>
    </row>
    <row r="263" spans="1:44" x14ac:dyDescent="0.25">
      <c r="A263" s="37"/>
      <c r="B263" s="38"/>
      <c r="C263" s="2"/>
      <c r="D263" s="41"/>
      <c r="E263" s="93"/>
      <c r="F263" s="93"/>
      <c r="G263" s="93"/>
      <c r="H263" s="93"/>
      <c r="I263" s="38"/>
      <c r="J263" s="2"/>
      <c r="K263" s="41"/>
      <c r="L263" s="38"/>
      <c r="M263" s="41"/>
      <c r="N263" s="41"/>
      <c r="O263" s="42"/>
      <c r="P263" s="80"/>
      <c r="Q263" s="80"/>
      <c r="R263" s="87"/>
      <c r="S263" s="87"/>
      <c r="T263" s="87"/>
      <c r="U263" s="108"/>
      <c r="V263" s="87"/>
      <c r="W263" s="108"/>
      <c r="X263" s="87"/>
      <c r="Y263" s="87"/>
      <c r="AI263" s="3" t="str">
        <f>IF(COUNTIF(AC:AC,AA263)*COUNTIF(AE:AE,AA263)*COUNTIF(AG:AG,AA263),AA263,"")</f>
        <v/>
      </c>
      <c r="AJ263" s="3" t="str">
        <f t="shared" si="21"/>
        <v/>
      </c>
      <c r="AN263" s="3">
        <v>46155</v>
      </c>
      <c r="AO263" s="4">
        <v>250.61799999999999</v>
      </c>
      <c r="AP263" s="74">
        <v>46155</v>
      </c>
      <c r="AQ263" s="4">
        <v>278.68400000000003</v>
      </c>
      <c r="AR263" s="6">
        <f t="shared" si="22"/>
        <v>46155</v>
      </c>
    </row>
    <row r="264" spans="1:44" x14ac:dyDescent="0.25">
      <c r="A264" s="37"/>
      <c r="B264" s="38"/>
      <c r="C264" s="2"/>
      <c r="D264" s="41"/>
      <c r="E264" s="93"/>
      <c r="F264" s="93"/>
      <c r="G264" s="93"/>
      <c r="H264" s="93"/>
      <c r="I264" s="38"/>
      <c r="J264" s="2"/>
      <c r="K264" s="41"/>
      <c r="L264" s="38"/>
      <c r="M264" s="41"/>
      <c r="N264" s="41"/>
      <c r="O264" s="42"/>
      <c r="P264" s="80"/>
      <c r="Q264" s="80"/>
      <c r="R264" s="87"/>
      <c r="S264" s="87"/>
      <c r="T264" s="87"/>
      <c r="U264" s="108"/>
      <c r="V264" s="87"/>
      <c r="W264" s="108"/>
      <c r="X264" s="87"/>
      <c r="Y264" s="87"/>
      <c r="AI264" s="3" t="str">
        <f>IF(COUNTIF(AC:AC,AA264)*COUNTIF(AE:AE,AA264)*COUNTIF(AG:AG,AA264),AA264,"")</f>
        <v/>
      </c>
      <c r="AJ264" s="3" t="str">
        <f t="shared" si="21"/>
        <v/>
      </c>
      <c r="AN264" s="3">
        <v>46156</v>
      </c>
      <c r="AO264" s="4">
        <v>251.22890000000001</v>
      </c>
      <c r="AP264" s="74">
        <v>46156</v>
      </c>
      <c r="AQ264" s="4">
        <v>273.61</v>
      </c>
      <c r="AR264" s="6">
        <f t="shared" si="22"/>
        <v>46156</v>
      </c>
    </row>
    <row r="265" spans="1:44" x14ac:dyDescent="0.25">
      <c r="A265" s="37"/>
      <c r="B265" s="38"/>
      <c r="C265" s="2"/>
      <c r="D265" s="41"/>
      <c r="E265" s="93"/>
      <c r="F265" s="93"/>
      <c r="G265" s="93"/>
      <c r="H265" s="93"/>
      <c r="I265" s="38"/>
      <c r="J265" s="2"/>
      <c r="K265" s="41"/>
      <c r="L265" s="38"/>
      <c r="M265" s="41"/>
      <c r="N265" s="41"/>
      <c r="O265" s="42"/>
      <c r="P265" s="80"/>
      <c r="Q265" s="80"/>
      <c r="R265" s="87"/>
      <c r="S265" s="87"/>
      <c r="T265" s="87"/>
      <c r="U265" s="108"/>
      <c r="V265" s="87"/>
      <c r="W265" s="108"/>
      <c r="X265" s="87"/>
      <c r="Y265" s="87"/>
      <c r="AI265" s="3" t="str">
        <f>IF(COUNTIF(AC:AC,AA265)*COUNTIF(AE:AE,AA265)*COUNTIF(AG:AG,AA265),AA265,"")</f>
        <v/>
      </c>
      <c r="AJ265" s="3" t="str">
        <f t="shared" si="21"/>
        <v/>
      </c>
      <c r="AN265" s="3">
        <v>46157</v>
      </c>
      <c r="AO265" s="4">
        <v>250.38300000000001</v>
      </c>
      <c r="AP265" s="74">
        <v>46157</v>
      </c>
      <c r="AQ265" s="4">
        <v>282.07</v>
      </c>
      <c r="AR265" s="6">
        <f t="shared" si="22"/>
        <v>46157</v>
      </c>
    </row>
    <row r="266" spans="1:44" x14ac:dyDescent="0.25">
      <c r="A266" s="37"/>
      <c r="B266" s="38"/>
      <c r="C266" s="2"/>
      <c r="D266" s="41"/>
      <c r="E266" s="93"/>
      <c r="F266" s="93"/>
      <c r="G266" s="93"/>
      <c r="H266" s="93"/>
      <c r="I266" s="38"/>
      <c r="J266" s="2"/>
      <c r="K266" s="41"/>
      <c r="L266" s="38"/>
      <c r="M266" s="41"/>
      <c r="N266" s="41"/>
      <c r="O266" s="42"/>
      <c r="P266" s="80"/>
      <c r="Q266" s="80"/>
      <c r="R266" s="87"/>
      <c r="S266" s="87"/>
      <c r="T266" s="87"/>
      <c r="U266" s="108"/>
      <c r="V266" s="87"/>
      <c r="W266" s="108"/>
      <c r="X266" s="87"/>
      <c r="Y266" s="87"/>
      <c r="AI266" s="3" t="str">
        <f>IF(COUNTIF(AC:AC,AA266)*COUNTIF(AE:AE,AA266)*COUNTIF(AG:AG,AA266),AA266,"")</f>
        <v/>
      </c>
      <c r="AJ266" s="3" t="str">
        <f t="shared" si="21"/>
        <v/>
      </c>
      <c r="AN266" s="3">
        <v>46160</v>
      </c>
      <c r="AO266" s="4">
        <v>250.5284</v>
      </c>
      <c r="AP266" s="74">
        <v>46160</v>
      </c>
      <c r="AQ266" s="4">
        <v>280.35000000000002</v>
      </c>
      <c r="AR266" s="6">
        <f t="shared" si="22"/>
        <v>46160</v>
      </c>
    </row>
    <row r="267" spans="1:44" x14ac:dyDescent="0.25">
      <c r="A267" s="37"/>
      <c r="B267" s="38"/>
      <c r="C267" s="2"/>
      <c r="D267" s="41"/>
      <c r="E267" s="93"/>
      <c r="F267" s="93"/>
      <c r="G267" s="93"/>
      <c r="H267" s="93"/>
      <c r="I267" s="38"/>
      <c r="J267" s="2"/>
      <c r="K267" s="41"/>
      <c r="L267" s="38"/>
      <c r="M267" s="41"/>
      <c r="N267" s="41"/>
      <c r="O267" s="42"/>
      <c r="P267" s="80"/>
      <c r="Q267" s="80"/>
      <c r="R267" s="87"/>
      <c r="S267" s="87"/>
      <c r="T267" s="87"/>
      <c r="U267" s="108"/>
      <c r="V267" s="87"/>
      <c r="W267" s="108"/>
      <c r="X267" s="87"/>
      <c r="Y267" s="87"/>
      <c r="AI267" s="3" t="str">
        <f>IF(COUNTIF(AC:AC,AA267)*COUNTIF(AE:AE,AA267)*COUNTIF(AG:AG,AA267),AA267,"")</f>
        <v/>
      </c>
      <c r="AJ267" s="3" t="str">
        <f t="shared" si="21"/>
        <v/>
      </c>
      <c r="AN267" s="3">
        <v>46161</v>
      </c>
      <c r="AO267" s="4">
        <v>249.98050000000001</v>
      </c>
      <c r="AP267" s="74">
        <v>46161</v>
      </c>
      <c r="AQ267" s="4">
        <v>285.892</v>
      </c>
      <c r="AR267" s="6">
        <f t="shared" si="22"/>
        <v>46161</v>
      </c>
    </row>
    <row r="268" spans="1:44" x14ac:dyDescent="0.25">
      <c r="A268" s="37"/>
      <c r="B268" s="38"/>
      <c r="C268" s="2"/>
      <c r="D268" s="41"/>
      <c r="E268" s="93"/>
      <c r="F268" s="93"/>
      <c r="G268" s="93"/>
      <c r="H268" s="93"/>
      <c r="I268" s="38"/>
      <c r="J268" s="2"/>
      <c r="K268" s="41"/>
      <c r="L268" s="38"/>
      <c r="M268" s="41"/>
      <c r="N268" s="41"/>
      <c r="O268" s="42"/>
      <c r="P268" s="80"/>
      <c r="Q268" s="80"/>
      <c r="R268" s="87"/>
      <c r="S268" s="87"/>
      <c r="T268" s="87"/>
      <c r="U268" s="108"/>
      <c r="V268" s="87"/>
      <c r="W268" s="108"/>
      <c r="X268" s="87"/>
      <c r="Y268" s="87"/>
      <c r="AI268" s="3" t="str">
        <f>IF(COUNTIF(AC:AC,AA268)*COUNTIF(AE:AE,AA268)*COUNTIF(AG:AG,AA268),AA268,"")</f>
        <v/>
      </c>
      <c r="AJ268" s="3" t="str">
        <f t="shared" si="21"/>
        <v/>
      </c>
      <c r="AN268" s="3">
        <v>46162</v>
      </c>
      <c r="AO268" s="4">
        <v>251.0129</v>
      </c>
      <c r="AP268" s="74">
        <v>46162</v>
      </c>
      <c r="AQ268" s="4">
        <v>276.52</v>
      </c>
      <c r="AR268" s="6">
        <f t="shared" si="22"/>
        <v>46162</v>
      </c>
    </row>
    <row r="269" spans="1:44" x14ac:dyDescent="0.25">
      <c r="A269" s="37"/>
      <c r="B269" s="38"/>
      <c r="C269" s="2"/>
      <c r="D269" s="41"/>
      <c r="E269" s="93"/>
      <c r="F269" s="93"/>
      <c r="G269" s="93"/>
      <c r="H269" s="93"/>
      <c r="I269" s="38"/>
      <c r="J269" s="2"/>
      <c r="K269" s="41"/>
      <c r="L269" s="38"/>
      <c r="M269" s="41"/>
      <c r="N269" s="41"/>
      <c r="O269" s="42"/>
      <c r="P269" s="80"/>
      <c r="Q269" s="80"/>
      <c r="R269" s="87"/>
      <c r="S269" s="87"/>
      <c r="T269" s="87"/>
      <c r="U269" s="108"/>
      <c r="V269" s="87"/>
      <c r="W269" s="108"/>
      <c r="X269" s="87"/>
      <c r="Y269" s="87"/>
      <c r="AI269" s="3" t="str">
        <f>IF(COUNTIF(AC:AC,AA269)*COUNTIF(AE:AE,AA269)*COUNTIF(AG:AG,AA269),AA269,"")</f>
        <v/>
      </c>
      <c r="AJ269" s="3" t="str">
        <f t="shared" si="21"/>
        <v/>
      </c>
      <c r="AN269" s="3">
        <v>46163</v>
      </c>
      <c r="AO269" s="4">
        <v>250.6669</v>
      </c>
      <c r="AP269" s="74">
        <v>46163</v>
      </c>
      <c r="AQ269" s="4">
        <v>279.66300000000001</v>
      </c>
      <c r="AR269" s="6">
        <f t="shared" si="22"/>
        <v>46163</v>
      </c>
    </row>
    <row r="270" spans="1:44" x14ac:dyDescent="0.25">
      <c r="A270" s="37"/>
      <c r="B270" s="38"/>
      <c r="C270" s="2"/>
      <c r="D270" s="41"/>
      <c r="E270" s="93"/>
      <c r="F270" s="93"/>
      <c r="G270" s="93"/>
      <c r="H270" s="93"/>
      <c r="I270" s="38"/>
      <c r="J270" s="2"/>
      <c r="K270" s="41"/>
      <c r="L270" s="38"/>
      <c r="M270" s="41"/>
      <c r="N270" s="41"/>
      <c r="O270" s="42"/>
      <c r="P270" s="80"/>
      <c r="Q270" s="80"/>
      <c r="R270" s="87"/>
      <c r="S270" s="87"/>
      <c r="T270" s="87"/>
      <c r="U270" s="108"/>
      <c r="V270" s="87"/>
      <c r="W270" s="108"/>
      <c r="X270" s="87"/>
      <c r="Y270" s="87"/>
      <c r="AI270" s="3" t="str">
        <f>IF(COUNTIF(AC:AC,AA270)*COUNTIF(AE:AE,AA270)*COUNTIF(AG:AG,AA270),AA270,"")</f>
        <v/>
      </c>
      <c r="AJ270" s="3" t="str">
        <f t="shared" si="21"/>
        <v/>
      </c>
      <c r="AN270" s="3">
        <v>46164</v>
      </c>
      <c r="AO270" s="4">
        <v>251.4649</v>
      </c>
      <c r="AP270" s="74">
        <v>46164</v>
      </c>
      <c r="AQ270" s="4">
        <v>273.38799999999998</v>
      </c>
      <c r="AR270" s="6">
        <f t="shared" si="22"/>
        <v>46164</v>
      </c>
    </row>
    <row r="271" spans="1:44" x14ac:dyDescent="0.25">
      <c r="A271" s="37"/>
      <c r="B271" s="38"/>
      <c r="C271" s="2"/>
      <c r="D271" s="41"/>
      <c r="E271" s="93"/>
      <c r="F271" s="93"/>
      <c r="G271" s="93"/>
      <c r="H271" s="93"/>
      <c r="I271" s="38"/>
      <c r="J271" s="2"/>
      <c r="K271" s="41"/>
      <c r="L271" s="38"/>
      <c r="M271" s="41"/>
      <c r="N271" s="41"/>
      <c r="O271" s="42"/>
      <c r="P271" s="80"/>
      <c r="Q271" s="80"/>
      <c r="R271" s="87"/>
      <c r="S271" s="87"/>
      <c r="T271" s="87"/>
      <c r="U271" s="108"/>
      <c r="V271" s="87"/>
      <c r="W271" s="108"/>
      <c r="X271" s="87"/>
      <c r="Y271" s="87"/>
      <c r="AI271" s="3" t="str">
        <f>IF(COUNTIF(AC:AC,AA271)*COUNTIF(AE:AE,AA271)*COUNTIF(AG:AG,AA271),AA271,"")</f>
        <v/>
      </c>
      <c r="AJ271" s="3" t="str">
        <f t="shared" si="21"/>
        <v/>
      </c>
      <c r="AN271" s="3">
        <v>46168</v>
      </c>
      <c r="AO271" s="4">
        <v>252.1686</v>
      </c>
      <c r="AP271" s="74">
        <v>46168</v>
      </c>
      <c r="AQ271" s="4">
        <v>269.02600000000001</v>
      </c>
      <c r="AR271" s="6">
        <f t="shared" si="22"/>
        <v>46168</v>
      </c>
    </row>
    <row r="272" spans="1:44" x14ac:dyDescent="0.25">
      <c r="A272" s="37"/>
      <c r="B272" s="38"/>
      <c r="C272" s="2"/>
      <c r="D272" s="41"/>
      <c r="E272" s="93"/>
      <c r="F272" s="93"/>
      <c r="G272" s="93"/>
      <c r="H272" s="93"/>
      <c r="I272" s="38"/>
      <c r="J272" s="2"/>
      <c r="K272" s="41"/>
      <c r="L272" s="38"/>
      <c r="M272" s="41"/>
      <c r="N272" s="41"/>
      <c r="O272" s="42"/>
      <c r="P272" s="80"/>
      <c r="Q272" s="80"/>
      <c r="R272" s="87"/>
      <c r="S272" s="87"/>
      <c r="T272" s="87"/>
      <c r="U272" s="108"/>
      <c r="V272" s="87"/>
      <c r="W272" s="108"/>
      <c r="X272" s="87"/>
      <c r="Y272" s="87"/>
      <c r="AI272" s="3" t="str">
        <f>IF(COUNTIF(AC:AC,AA272)*COUNTIF(AE:AE,AA272)*COUNTIF(AG:AG,AA272),AA272,"")</f>
        <v/>
      </c>
      <c r="AJ272" s="3" t="str">
        <f t="shared" si="21"/>
        <v/>
      </c>
      <c r="AN272" s="3">
        <v>46169</v>
      </c>
      <c r="AO272" s="4">
        <v>252.41059999999999</v>
      </c>
      <c r="AP272" s="74">
        <v>46169</v>
      </c>
      <c r="AQ272" s="4">
        <v>267.50200000000001</v>
      </c>
      <c r="AR272" s="6">
        <f t="shared" si="22"/>
        <v>46169</v>
      </c>
    </row>
    <row r="273" spans="1:44" x14ac:dyDescent="0.25">
      <c r="A273" s="37"/>
      <c r="B273" s="38"/>
      <c r="C273" s="2"/>
      <c r="D273" s="41"/>
      <c r="E273" s="93"/>
      <c r="F273" s="93"/>
      <c r="G273" s="93"/>
      <c r="H273" s="93"/>
      <c r="I273" s="38"/>
      <c r="J273" s="2"/>
      <c r="K273" s="41"/>
      <c r="L273" s="38"/>
      <c r="M273" s="41"/>
      <c r="N273" s="41"/>
      <c r="O273" s="42"/>
      <c r="P273" s="80"/>
      <c r="Q273" s="80"/>
      <c r="R273" s="87"/>
      <c r="S273" s="87"/>
      <c r="T273" s="87"/>
      <c r="U273" s="108"/>
      <c r="V273" s="87"/>
      <c r="W273" s="108"/>
      <c r="X273" s="87"/>
      <c r="Y273" s="87"/>
      <c r="AI273" s="3" t="str">
        <f>IF(COUNTIF(AC:AC,AA273)*COUNTIF(AE:AE,AA273)*COUNTIF(AG:AG,AA273),AA273,"")</f>
        <v/>
      </c>
      <c r="AJ273" s="3" t="str">
        <f t="shared" si="21"/>
        <v/>
      </c>
      <c r="AN273" s="3">
        <v>46170</v>
      </c>
      <c r="AO273" s="4">
        <v>252.9316</v>
      </c>
      <c r="AP273" s="74">
        <v>46170</v>
      </c>
      <c r="AQ273" s="4">
        <v>263.03699999999998</v>
      </c>
      <c r="AR273" s="6">
        <f t="shared" si="22"/>
        <v>46170</v>
      </c>
    </row>
    <row r="274" spans="1:44" x14ac:dyDescent="0.25">
      <c r="A274" s="37"/>
      <c r="B274" s="38"/>
      <c r="C274" s="2"/>
      <c r="D274" s="41"/>
      <c r="E274" s="93"/>
      <c r="F274" s="93"/>
      <c r="G274" s="93"/>
      <c r="H274" s="93"/>
      <c r="I274" s="38"/>
      <c r="J274" s="2"/>
      <c r="K274" s="41"/>
      <c r="L274" s="38"/>
      <c r="M274" s="41"/>
      <c r="N274" s="41"/>
      <c r="O274" s="42"/>
      <c r="P274" s="80"/>
      <c r="Q274" s="80"/>
      <c r="R274" s="87"/>
      <c r="S274" s="87"/>
      <c r="T274" s="87"/>
      <c r="U274" s="108"/>
      <c r="V274" s="87"/>
      <c r="W274" s="108"/>
      <c r="X274" s="87"/>
      <c r="Y274" s="87"/>
      <c r="AI274" s="3" t="str">
        <f>IF(COUNTIF(AC:AC,AA274)*COUNTIF(AE:AE,AA274)*COUNTIF(AG:AG,AA274),AA274,"")</f>
        <v/>
      </c>
      <c r="AJ274" s="3" t="str">
        <f t="shared" si="21"/>
        <v/>
      </c>
      <c r="AN274" s="3">
        <v>46171</v>
      </c>
      <c r="AO274" s="4">
        <v>253.4469</v>
      </c>
      <c r="AP274" s="74">
        <v>46171</v>
      </c>
      <c r="AQ274" s="4">
        <v>258.964</v>
      </c>
      <c r="AR274" s="6">
        <f t="shared" si="22"/>
        <v>46171</v>
      </c>
    </row>
    <row r="275" spans="1:44" x14ac:dyDescent="0.25">
      <c r="A275" s="37"/>
      <c r="B275" s="38"/>
      <c r="C275" s="2"/>
      <c r="D275" s="41"/>
      <c r="E275" s="93"/>
      <c r="F275" s="93"/>
      <c r="G275" s="93"/>
      <c r="H275" s="93"/>
      <c r="I275" s="38"/>
      <c r="J275" s="2"/>
      <c r="K275" s="41"/>
      <c r="L275" s="38"/>
      <c r="M275" s="41"/>
      <c r="N275" s="41"/>
      <c r="O275" s="42"/>
      <c r="P275" s="80"/>
      <c r="Q275" s="80"/>
      <c r="R275" s="87"/>
      <c r="S275" s="87"/>
      <c r="T275" s="87"/>
      <c r="U275" s="108"/>
      <c r="V275" s="87"/>
      <c r="W275" s="108"/>
      <c r="X275" s="87"/>
      <c r="Y275" s="87"/>
      <c r="AI275" s="3" t="str">
        <f>IF(COUNTIF(AC:AC,AA275)*COUNTIF(AE:AE,AA275)*COUNTIF(AG:AG,AA275),AA275,"")</f>
        <v/>
      </c>
      <c r="AJ275" s="3" t="str">
        <f t="shared" si="21"/>
        <v/>
      </c>
      <c r="AN275" s="3">
        <v>46174</v>
      </c>
      <c r="AO275" s="4">
        <v>253.10400000000001</v>
      </c>
      <c r="AP275" s="74">
        <v>46174</v>
      </c>
      <c r="AQ275" s="4">
        <v>262.60300000000001</v>
      </c>
      <c r="AR275" s="6">
        <f t="shared" si="22"/>
        <v>46174</v>
      </c>
    </row>
    <row r="276" spans="1:44" x14ac:dyDescent="0.25">
      <c r="A276" s="37"/>
      <c r="B276" s="38"/>
      <c r="C276" s="2"/>
      <c r="D276" s="41"/>
      <c r="E276" s="93"/>
      <c r="F276" s="93"/>
      <c r="G276" s="93"/>
      <c r="H276" s="93"/>
      <c r="I276" s="38"/>
      <c r="J276" s="2"/>
      <c r="K276" s="41"/>
      <c r="L276" s="38"/>
      <c r="M276" s="41"/>
      <c r="N276" s="41"/>
      <c r="O276" s="42"/>
      <c r="P276" s="80"/>
      <c r="Q276" s="80"/>
      <c r="R276" s="87"/>
      <c r="S276" s="87"/>
      <c r="T276" s="87"/>
      <c r="U276" s="108"/>
      <c r="V276" s="87"/>
      <c r="W276" s="108"/>
      <c r="X276" s="87"/>
      <c r="Y276" s="87"/>
      <c r="AI276" s="3" t="str">
        <f>IF(COUNTIF(AC:AC,AA276)*COUNTIF(AE:AE,AA276)*COUNTIF(AG:AG,AA276),AA276,"")</f>
        <v/>
      </c>
      <c r="AJ276" s="3" t="str">
        <f t="shared" si="21"/>
        <v/>
      </c>
      <c r="AN276" s="3">
        <v>46175</v>
      </c>
      <c r="AO276" s="4">
        <v>253.5762</v>
      </c>
      <c r="AP276" s="74">
        <v>46175</v>
      </c>
      <c r="AQ276" s="4">
        <v>258.23399999999998</v>
      </c>
      <c r="AR276" s="6">
        <f t="shared" si="22"/>
        <v>46175</v>
      </c>
    </row>
    <row r="277" spans="1:44" x14ac:dyDescent="0.25">
      <c r="A277" s="37"/>
      <c r="B277" s="38"/>
      <c r="C277" s="2"/>
      <c r="D277" s="41"/>
      <c r="E277" s="93"/>
      <c r="F277" s="93"/>
      <c r="G277" s="93"/>
      <c r="H277" s="93"/>
      <c r="I277" s="38"/>
      <c r="J277" s="2"/>
      <c r="K277" s="41"/>
      <c r="L277" s="38"/>
      <c r="M277" s="41"/>
      <c r="N277" s="41"/>
      <c r="O277" s="42"/>
      <c r="P277" s="80"/>
      <c r="Q277" s="80"/>
      <c r="R277" s="87"/>
      <c r="S277" s="87"/>
      <c r="T277" s="87"/>
      <c r="U277" s="108"/>
      <c r="V277" s="87"/>
      <c r="W277" s="108"/>
      <c r="X277" s="87"/>
      <c r="Y277" s="87"/>
      <c r="AI277" s="3" t="str">
        <f>IF(COUNTIF(AC:AC,AA277)*COUNTIF(AE:AE,AA277)*COUNTIF(AG:AG,AA277),AA277,"")</f>
        <v/>
      </c>
      <c r="AJ277" s="3" t="str">
        <f t="shared" si="21"/>
        <v/>
      </c>
      <c r="AN277" s="3">
        <v>46176</v>
      </c>
      <c r="AO277" s="4">
        <v>253.11359999999999</v>
      </c>
      <c r="AP277" s="74">
        <v>46176</v>
      </c>
      <c r="AQ277" s="4">
        <v>263.00799999999998</v>
      </c>
      <c r="AR277" s="6">
        <f t="shared" si="22"/>
        <v>46176</v>
      </c>
    </row>
    <row r="278" spans="1:44" x14ac:dyDescent="0.25">
      <c r="A278" s="37"/>
      <c r="B278" s="38"/>
      <c r="C278" s="2"/>
      <c r="D278" s="41"/>
      <c r="E278" s="93"/>
      <c r="F278" s="93"/>
      <c r="G278" s="93"/>
      <c r="H278" s="93"/>
      <c r="I278" s="38"/>
      <c r="J278" s="2"/>
      <c r="K278" s="41"/>
      <c r="L278" s="38"/>
      <c r="M278" s="41"/>
      <c r="N278" s="41"/>
      <c r="O278" s="42"/>
      <c r="P278" s="80"/>
      <c r="Q278" s="80"/>
      <c r="R278" s="87"/>
      <c r="S278" s="87"/>
      <c r="T278" s="87"/>
      <c r="U278" s="108"/>
      <c r="V278" s="87"/>
      <c r="W278" s="108"/>
      <c r="X278" s="87"/>
      <c r="Y278" s="87"/>
      <c r="AI278" s="3" t="str">
        <f>IF(COUNTIF(AC:AC,AA278)*COUNTIF(AE:AE,AA278)*COUNTIF(AG:AG,AA278),AA278,"")</f>
        <v/>
      </c>
      <c r="AJ278" s="3" t="str">
        <f t="shared" si="21"/>
        <v/>
      </c>
      <c r="AN278" s="3">
        <v>46177</v>
      </c>
      <c r="AO278" s="4">
        <v>253.3374</v>
      </c>
      <c r="AP278" s="74">
        <v>46177</v>
      </c>
      <c r="AQ278" s="4">
        <v>260.78100000000001</v>
      </c>
      <c r="AR278" s="6">
        <f t="shared" si="22"/>
        <v>46177</v>
      </c>
    </row>
    <row r="279" spans="1:44" x14ac:dyDescent="0.25">
      <c r="A279" s="37"/>
      <c r="B279" s="38"/>
      <c r="C279" s="2"/>
      <c r="D279" s="41"/>
      <c r="E279" s="93"/>
      <c r="F279" s="93"/>
      <c r="G279" s="93"/>
      <c r="H279" s="93"/>
      <c r="I279" s="38"/>
      <c r="J279" s="2"/>
      <c r="K279" s="41"/>
      <c r="L279" s="38"/>
      <c r="M279" s="41"/>
      <c r="N279" s="41"/>
      <c r="O279" s="42"/>
      <c r="P279" s="80"/>
      <c r="Q279" s="80"/>
      <c r="R279" s="87"/>
      <c r="S279" s="87"/>
      <c r="T279" s="87"/>
      <c r="U279" s="108"/>
      <c r="V279" s="87"/>
      <c r="W279" s="108"/>
      <c r="X279" s="87"/>
      <c r="Y279" s="87"/>
      <c r="AI279" s="3" t="str">
        <f>IF(COUNTIF(AC:AC,AA279)*COUNTIF(AE:AE,AA279)*COUNTIF(AG:AG,AA279),AA279,"")</f>
        <v/>
      </c>
      <c r="AJ279" s="3" t="str">
        <f t="shared" si="21"/>
        <v/>
      </c>
      <c r="AN279" s="3">
        <v>46178</v>
      </c>
      <c r="AO279" s="4">
        <v>253.05930000000001</v>
      </c>
      <c r="AP279" s="74">
        <v>46178</v>
      </c>
      <c r="AQ279" s="4">
        <v>263.12099999999998</v>
      </c>
      <c r="AR279" s="6">
        <f t="shared" si="22"/>
        <v>46178</v>
      </c>
    </row>
    <row r="280" spans="1:44" x14ac:dyDescent="0.25">
      <c r="A280" s="37"/>
      <c r="B280" s="38"/>
      <c r="C280" s="2"/>
      <c r="D280" s="41"/>
      <c r="E280" s="93"/>
      <c r="F280" s="93"/>
      <c r="G280" s="93"/>
      <c r="H280" s="93"/>
      <c r="I280" s="38"/>
      <c r="J280" s="2"/>
      <c r="K280" s="41"/>
      <c r="L280" s="38"/>
      <c r="M280" s="41"/>
      <c r="N280" s="41"/>
      <c r="O280" s="42"/>
      <c r="P280" s="80"/>
      <c r="Q280" s="80"/>
      <c r="R280" s="87"/>
      <c r="S280" s="87"/>
      <c r="T280" s="87"/>
      <c r="U280" s="108"/>
      <c r="V280" s="87"/>
      <c r="W280" s="108"/>
      <c r="X280" s="87"/>
      <c r="Y280" s="87"/>
      <c r="AI280" s="3" t="str">
        <f>IF(COUNTIF(AC:AC,AA280)*COUNTIF(AE:AE,AA280)*COUNTIF(AG:AG,AA280),AA280,"")</f>
        <v/>
      </c>
      <c r="AJ280" s="3" t="str">
        <f t="shared" si="21"/>
        <v/>
      </c>
      <c r="AN280" s="3">
        <v>46181</v>
      </c>
      <c r="AO280" s="4">
        <v>253.00890000000001</v>
      </c>
      <c r="AP280" s="74">
        <v>46181</v>
      </c>
      <c r="AQ280" s="4">
        <v>264.17899999999997</v>
      </c>
      <c r="AR280" s="6">
        <f t="shared" si="22"/>
        <v>46181</v>
      </c>
    </row>
    <row r="281" spans="1:44" x14ac:dyDescent="0.25">
      <c r="A281" s="37"/>
      <c r="B281" s="38"/>
      <c r="C281" s="2"/>
      <c r="D281" s="41"/>
      <c r="E281" s="93"/>
      <c r="F281" s="93"/>
      <c r="G281" s="93"/>
      <c r="H281" s="93"/>
      <c r="I281" s="38"/>
      <c r="J281" s="2"/>
      <c r="K281" s="41"/>
      <c r="L281" s="38"/>
      <c r="M281" s="41"/>
      <c r="N281" s="41"/>
      <c r="O281" s="42"/>
      <c r="P281" s="80"/>
      <c r="Q281" s="80"/>
      <c r="R281" s="87"/>
      <c r="S281" s="87"/>
      <c r="T281" s="87"/>
      <c r="U281" s="108"/>
      <c r="V281" s="87"/>
      <c r="W281" s="108"/>
      <c r="X281" s="87"/>
      <c r="Y281" s="87"/>
      <c r="AI281" s="3" t="str">
        <f>IF(COUNTIF(AC:AC,AA281)*COUNTIF(AE:AE,AA281)*COUNTIF(AG:AG,AA281),AA281,"")</f>
        <v/>
      </c>
      <c r="AJ281" s="3" t="str">
        <f t="shared" si="21"/>
        <v/>
      </c>
      <c r="AN281" s="3">
        <v>46182</v>
      </c>
      <c r="AO281" s="4">
        <v>253.04320000000001</v>
      </c>
      <c r="AP281" s="74">
        <v>46182</v>
      </c>
      <c r="AQ281" s="4">
        <v>264.78399999999999</v>
      </c>
      <c r="AR281" s="6">
        <f t="shared" si="22"/>
        <v>46182</v>
      </c>
    </row>
    <row r="282" spans="1:44" x14ac:dyDescent="0.25">
      <c r="A282" s="37"/>
      <c r="B282" s="38"/>
      <c r="C282" s="2"/>
      <c r="D282" s="41"/>
      <c r="E282" s="93"/>
      <c r="F282" s="93"/>
      <c r="G282" s="93"/>
      <c r="H282" s="93"/>
      <c r="I282" s="38"/>
      <c r="J282" s="2"/>
      <c r="K282" s="41"/>
      <c r="L282" s="38"/>
      <c r="M282" s="41"/>
      <c r="N282" s="41"/>
      <c r="O282" s="42"/>
      <c r="P282" s="80"/>
      <c r="Q282" s="80"/>
      <c r="R282" s="87"/>
      <c r="S282" s="87"/>
      <c r="T282" s="87"/>
      <c r="U282" s="108"/>
      <c r="V282" s="87"/>
      <c r="W282" s="108"/>
      <c r="X282" s="87"/>
      <c r="Y282" s="87"/>
      <c r="AI282" s="3" t="str">
        <f>IF(COUNTIF(AC:AC,AA282)*COUNTIF(AE:AE,AA282)*COUNTIF(AG:AG,AA282),AA282,"")</f>
        <v/>
      </c>
      <c r="AJ282" s="3" t="str">
        <f t="shared" si="21"/>
        <v/>
      </c>
      <c r="AN282" s="3">
        <v>46183</v>
      </c>
      <c r="AO282" s="4">
        <v>252.767</v>
      </c>
      <c r="AP282" s="74">
        <v>46183</v>
      </c>
      <c r="AQ282" s="4">
        <v>266.137</v>
      </c>
      <c r="AR282" s="6">
        <f t="shared" si="22"/>
        <v>46183</v>
      </c>
    </row>
    <row r="283" spans="1:44" x14ac:dyDescent="0.25">
      <c r="A283" s="37"/>
      <c r="B283" s="38"/>
      <c r="C283" s="2"/>
      <c r="D283" s="41"/>
      <c r="E283" s="93"/>
      <c r="F283" s="93"/>
      <c r="G283" s="93"/>
      <c r="H283" s="93"/>
      <c r="I283" s="38"/>
      <c r="J283" s="2"/>
      <c r="K283" s="41"/>
      <c r="L283" s="38"/>
      <c r="M283" s="41"/>
      <c r="N283" s="41"/>
      <c r="O283" s="42"/>
      <c r="P283" s="80"/>
      <c r="Q283" s="80"/>
      <c r="R283" s="87"/>
      <c r="S283" s="87"/>
      <c r="T283" s="87"/>
      <c r="U283" s="108"/>
      <c r="V283" s="87"/>
      <c r="W283" s="108"/>
      <c r="X283" s="87"/>
      <c r="Y283" s="87"/>
      <c r="AI283" s="3" t="str">
        <f>IF(COUNTIF(AC:AC,AA283)*COUNTIF(AE:AE,AA283)*COUNTIF(AG:AG,AA283),AA283,"")</f>
        <v/>
      </c>
      <c r="AJ283" s="3" t="str">
        <f t="shared" si="21"/>
        <v/>
      </c>
      <c r="AN283" s="3">
        <v>46184</v>
      </c>
      <c r="AO283" s="4">
        <v>253.1474</v>
      </c>
      <c r="AP283" s="74">
        <v>46184</v>
      </c>
      <c r="AQ283" s="4">
        <v>263.45299999999997</v>
      </c>
      <c r="AR283" s="6">
        <f t="shared" si="22"/>
        <v>46184</v>
      </c>
    </row>
    <row r="284" spans="1:44" x14ac:dyDescent="0.25">
      <c r="A284" s="37"/>
      <c r="B284" s="38"/>
      <c r="C284" s="2"/>
      <c r="D284" s="41"/>
      <c r="E284" s="93"/>
      <c r="F284" s="93"/>
      <c r="G284" s="93"/>
      <c r="H284" s="93"/>
      <c r="I284" s="38"/>
      <c r="J284" s="2"/>
      <c r="K284" s="41"/>
      <c r="L284" s="38"/>
      <c r="M284" s="41"/>
      <c r="N284" s="41"/>
      <c r="O284" s="42"/>
      <c r="P284" s="80"/>
      <c r="Q284" s="80"/>
      <c r="R284" s="87"/>
      <c r="S284" s="87"/>
      <c r="T284" s="87"/>
      <c r="U284" s="108"/>
      <c r="V284" s="87"/>
      <c r="W284" s="108"/>
      <c r="X284" s="87"/>
      <c r="Y284" s="87"/>
      <c r="AI284" s="3" t="str">
        <f>IF(COUNTIF(AC:AC,AA284)*COUNTIF(AE:AE,AA284)*COUNTIF(AG:AG,AA284),AA284,"")</f>
        <v/>
      </c>
      <c r="AJ284" s="3" t="str">
        <f t="shared" si="21"/>
        <v/>
      </c>
      <c r="AN284" s="3">
        <v>46185</v>
      </c>
      <c r="AO284" s="4">
        <v>254.38560000000001</v>
      </c>
      <c r="AP284" s="74">
        <v>46185</v>
      </c>
      <c r="AQ284" s="4">
        <v>253.41399999999999</v>
      </c>
      <c r="AR284" s="6">
        <f t="shared" si="22"/>
        <v>46185</v>
      </c>
    </row>
    <row r="285" spans="1:44" x14ac:dyDescent="0.25">
      <c r="A285" s="37"/>
      <c r="B285" s="38"/>
      <c r="C285" s="2"/>
      <c r="D285" s="41"/>
      <c r="E285" s="93"/>
      <c r="F285" s="93"/>
      <c r="G285" s="93"/>
      <c r="H285" s="93"/>
      <c r="I285" s="38"/>
      <c r="J285" s="2"/>
      <c r="K285" s="41"/>
      <c r="L285" s="38"/>
      <c r="M285" s="41"/>
      <c r="N285" s="41"/>
      <c r="O285" s="42"/>
      <c r="P285" s="80"/>
      <c r="Q285" s="80"/>
      <c r="R285" s="87"/>
      <c r="S285" s="87"/>
      <c r="T285" s="87"/>
      <c r="U285" s="108"/>
      <c r="V285" s="87"/>
      <c r="W285" s="108"/>
      <c r="X285" s="87"/>
      <c r="Y285" s="87"/>
      <c r="AI285" s="3" t="str">
        <f>IF(COUNTIF(AC:AC,AA285)*COUNTIF(AE:AE,AA285)*COUNTIF(AG:AG,AA285),AA285,"")</f>
        <v/>
      </c>
      <c r="AJ285" s="3" t="str">
        <f t="shared" si="21"/>
        <v/>
      </c>
      <c r="AN285" s="3">
        <v>46188</v>
      </c>
      <c r="AO285" s="4">
        <v>255.0607</v>
      </c>
      <c r="AP285" s="74">
        <v>46188</v>
      </c>
      <c r="AQ285" s="4">
        <v>247.93899999999999</v>
      </c>
      <c r="AR285" s="6">
        <f t="shared" si="22"/>
        <v>46188</v>
      </c>
    </row>
    <row r="286" spans="1:44" x14ac:dyDescent="0.25">
      <c r="A286" s="37"/>
      <c r="B286" s="38"/>
      <c r="C286" s="2"/>
      <c r="D286" s="41"/>
      <c r="E286" s="93"/>
      <c r="F286" s="93"/>
      <c r="G286" s="93"/>
      <c r="H286" s="93"/>
      <c r="I286" s="38"/>
      <c r="J286" s="2"/>
      <c r="K286" s="41"/>
      <c r="L286" s="38"/>
      <c r="M286" s="41"/>
      <c r="N286" s="41"/>
      <c r="O286" s="42"/>
      <c r="P286" s="80"/>
      <c r="Q286" s="80"/>
      <c r="R286" s="87"/>
      <c r="S286" s="87"/>
      <c r="T286" s="87"/>
      <c r="U286" s="108"/>
      <c r="V286" s="87"/>
      <c r="W286" s="108"/>
      <c r="X286" s="87"/>
      <c r="Y286" s="87"/>
      <c r="AI286" s="3" t="str">
        <f>IF(COUNTIF(AC:AC,AA286)*COUNTIF(AE:AE,AA286)*COUNTIF(AG:AG,AA286),AA286,"")</f>
        <v/>
      </c>
      <c r="AJ286" s="3" t="str">
        <f t="shared" si="21"/>
        <v/>
      </c>
      <c r="AN286" s="3">
        <v>46189</v>
      </c>
      <c r="AO286" s="4">
        <v>254.93340000000001</v>
      </c>
      <c r="AP286" s="74">
        <v>46189</v>
      </c>
      <c r="AQ286" s="4">
        <v>249.708</v>
      </c>
      <c r="AR286" s="6">
        <f t="shared" si="22"/>
        <v>46189</v>
      </c>
    </row>
    <row r="287" spans="1:44" x14ac:dyDescent="0.25">
      <c r="A287" s="37"/>
      <c r="B287" s="38"/>
      <c r="C287" s="2"/>
      <c r="D287" s="41"/>
      <c r="E287" s="93"/>
      <c r="F287" s="93"/>
      <c r="G287" s="93"/>
      <c r="H287" s="93"/>
      <c r="I287" s="38"/>
      <c r="J287" s="2"/>
      <c r="K287" s="41"/>
      <c r="L287" s="38"/>
      <c r="M287" s="41"/>
      <c r="N287" s="41"/>
      <c r="O287" s="42"/>
      <c r="P287" s="80"/>
      <c r="Q287" s="80"/>
      <c r="R287" s="87"/>
      <c r="S287" s="87"/>
      <c r="T287" s="87"/>
      <c r="U287" s="108"/>
      <c r="V287" s="87"/>
      <c r="W287" s="108"/>
      <c r="X287" s="87"/>
      <c r="Y287" s="87"/>
      <c r="AI287" s="3" t="str">
        <f>IF(COUNTIF(AC:AC,AA287)*COUNTIF(AE:AE,AA287)*COUNTIF(AG:AG,AA287),AA287,"")</f>
        <v/>
      </c>
      <c r="AJ287" s="3" t="str">
        <f t="shared" si="21"/>
        <v/>
      </c>
      <c r="AN287" s="3">
        <v>46190</v>
      </c>
      <c r="AO287" s="4">
        <v>254.77209999999999</v>
      </c>
      <c r="AP287" s="74">
        <v>46190</v>
      </c>
      <c r="AQ287" s="4">
        <v>251.36</v>
      </c>
      <c r="AR287" s="6">
        <f t="shared" si="22"/>
        <v>46190</v>
      </c>
    </row>
    <row r="288" spans="1:44" x14ac:dyDescent="0.25">
      <c r="A288" s="37"/>
      <c r="B288" s="38"/>
      <c r="C288" s="2"/>
      <c r="D288" s="41"/>
      <c r="E288" s="93"/>
      <c r="F288" s="93"/>
      <c r="G288" s="93"/>
      <c r="H288" s="93"/>
      <c r="I288" s="38"/>
      <c r="J288" s="2"/>
      <c r="K288" s="41"/>
      <c r="L288" s="38"/>
      <c r="M288" s="41"/>
      <c r="N288" s="41"/>
      <c r="O288" s="42"/>
      <c r="P288" s="80"/>
      <c r="Q288" s="80"/>
      <c r="R288" s="87"/>
      <c r="S288" s="87"/>
      <c r="T288" s="87"/>
      <c r="U288" s="108"/>
      <c r="V288" s="87"/>
      <c r="W288" s="108"/>
      <c r="X288" s="87"/>
      <c r="Y288" s="87"/>
      <c r="AI288" s="3" t="str">
        <f>IF(COUNTIF(AC:AC,AA288)*COUNTIF(AE:AE,AA288)*COUNTIF(AG:AG,AA288),AA288,"")</f>
        <v/>
      </c>
      <c r="AJ288" s="3" t="str">
        <f t="shared" si="21"/>
        <v/>
      </c>
      <c r="AN288" s="3">
        <v>46191</v>
      </c>
      <c r="AO288" s="4">
        <v>255.09270000000001</v>
      </c>
      <c r="AP288" s="74">
        <v>46191</v>
      </c>
      <c r="AQ288" s="4">
        <v>248.715</v>
      </c>
      <c r="AR288" s="6">
        <f t="shared" si="22"/>
        <v>46191</v>
      </c>
    </row>
    <row r="289" spans="1:44" x14ac:dyDescent="0.25">
      <c r="A289" s="37"/>
      <c r="B289" s="38"/>
      <c r="C289" s="2"/>
      <c r="D289" s="41"/>
      <c r="E289" s="93"/>
      <c r="F289" s="93"/>
      <c r="G289" s="93"/>
      <c r="H289" s="93"/>
      <c r="I289" s="38"/>
      <c r="J289" s="2"/>
      <c r="K289" s="41"/>
      <c r="L289" s="38"/>
      <c r="M289" s="41"/>
      <c r="N289" s="41"/>
      <c r="O289" s="42"/>
      <c r="P289" s="80"/>
      <c r="Q289" s="80"/>
      <c r="R289" s="87"/>
      <c r="S289" s="87"/>
      <c r="T289" s="87"/>
      <c r="U289" s="108"/>
      <c r="V289" s="87"/>
      <c r="W289" s="108"/>
      <c r="X289" s="87"/>
      <c r="Y289" s="87"/>
      <c r="AI289" s="3" t="str">
        <f>IF(COUNTIF(AC:AC,AA289)*COUNTIF(AE:AE,AA289)*COUNTIF(AG:AG,AA289),AA289,"")</f>
        <v/>
      </c>
      <c r="AJ289" s="3" t="str">
        <f t="shared" si="21"/>
        <v/>
      </c>
      <c r="AN289" s="3">
        <v>46192</v>
      </c>
      <c r="AO289" s="4">
        <v>255.0326</v>
      </c>
      <c r="AP289" s="74">
        <v>46192</v>
      </c>
      <c r="AQ289" s="4">
        <v>249.94499999999999</v>
      </c>
      <c r="AR289" s="6">
        <f t="shared" si="22"/>
        <v>46192</v>
      </c>
    </row>
    <row r="290" spans="1:44" x14ac:dyDescent="0.25">
      <c r="A290" s="37"/>
      <c r="B290" s="38"/>
      <c r="C290" s="2"/>
      <c r="D290" s="41"/>
      <c r="E290" s="93"/>
      <c r="F290" s="93"/>
      <c r="G290" s="93"/>
      <c r="H290" s="93"/>
      <c r="I290" s="38"/>
      <c r="J290" s="2"/>
      <c r="K290" s="41"/>
      <c r="L290" s="38"/>
      <c r="M290" s="41"/>
      <c r="N290" s="41"/>
      <c r="O290" s="42"/>
      <c r="P290" s="80"/>
      <c r="Q290" s="80"/>
      <c r="R290" s="87"/>
      <c r="S290" s="87"/>
      <c r="T290" s="87"/>
      <c r="U290" s="108"/>
      <c r="V290" s="87"/>
      <c r="W290" s="108"/>
      <c r="X290" s="87"/>
      <c r="Y290" s="87"/>
      <c r="AI290" s="3" t="str">
        <f>IF(COUNTIF(AC:AC,AA290)*COUNTIF(AE:AE,AA290)*COUNTIF(AG:AG,AA290),AA290,"")</f>
        <v/>
      </c>
      <c r="AJ290" s="3" t="str">
        <f t="shared" si="21"/>
        <v/>
      </c>
      <c r="AN290" s="3">
        <v>46195</v>
      </c>
      <c r="AO290" s="4">
        <v>255.42699999999999</v>
      </c>
      <c r="AP290" s="74">
        <v>46195</v>
      </c>
      <c r="AQ290" s="4">
        <v>246.82499999999999</v>
      </c>
      <c r="AR290" s="6">
        <f t="shared" si="22"/>
        <v>46195</v>
      </c>
    </row>
    <row r="291" spans="1:44" x14ac:dyDescent="0.25">
      <c r="A291" s="37"/>
      <c r="B291" s="38"/>
      <c r="C291" s="2"/>
      <c r="D291" s="41"/>
      <c r="E291" s="93"/>
      <c r="F291" s="93"/>
      <c r="G291" s="93"/>
      <c r="H291" s="93"/>
      <c r="I291" s="38"/>
      <c r="J291" s="2"/>
      <c r="K291" s="41"/>
      <c r="L291" s="38"/>
      <c r="M291" s="41"/>
      <c r="N291" s="41"/>
      <c r="O291" s="42"/>
      <c r="P291" s="80"/>
      <c r="Q291" s="80"/>
      <c r="R291" s="87"/>
      <c r="S291" s="87"/>
      <c r="T291" s="87"/>
      <c r="U291" s="108"/>
      <c r="V291" s="87"/>
      <c r="W291" s="108"/>
      <c r="X291" s="87"/>
      <c r="Y291" s="87"/>
      <c r="AI291" s="3" t="str">
        <f>IF(COUNTIF(AC:AC,AA291)*COUNTIF(AE:AE,AA291)*COUNTIF(AG:AG,AA291),AA291,"")</f>
        <v/>
      </c>
      <c r="AJ291" s="3" t="str">
        <f t="shared" si="21"/>
        <v/>
      </c>
      <c r="AN291" s="3">
        <v>46196</v>
      </c>
      <c r="AO291" s="4">
        <v>255.2808</v>
      </c>
      <c r="AP291" s="74">
        <v>46196</v>
      </c>
      <c r="AQ291" s="4">
        <v>248.11</v>
      </c>
      <c r="AR291" s="6">
        <f t="shared" si="22"/>
        <v>46196</v>
      </c>
    </row>
    <row r="292" spans="1:44" x14ac:dyDescent="0.25">
      <c r="A292" s="37"/>
      <c r="B292" s="38"/>
      <c r="C292" s="2"/>
      <c r="D292" s="41"/>
      <c r="E292" s="93"/>
      <c r="F292" s="93"/>
      <c r="G292" s="93"/>
      <c r="H292" s="93"/>
      <c r="I292" s="38"/>
      <c r="J292" s="2"/>
      <c r="K292" s="41"/>
      <c r="L292" s="38"/>
      <c r="M292" s="41"/>
      <c r="N292" s="41"/>
      <c r="O292" s="42"/>
      <c r="P292" s="80"/>
      <c r="Q292" s="80"/>
      <c r="R292" s="87"/>
      <c r="S292" s="87"/>
      <c r="T292" s="87"/>
      <c r="U292" s="108"/>
      <c r="V292" s="87"/>
      <c r="W292" s="108"/>
      <c r="X292" s="87"/>
      <c r="Y292" s="87"/>
      <c r="AI292" s="3" t="str">
        <f>IF(COUNTIF(AC:AC,AA292)*COUNTIF(AE:AE,AA292)*COUNTIF(AG:AG,AA292),AA292,"")</f>
        <v/>
      </c>
      <c r="AJ292" s="3" t="str">
        <f t="shared" si="21"/>
        <v/>
      </c>
      <c r="AN292" s="3">
        <v>46197</v>
      </c>
      <c r="AO292" s="4">
        <v>255.37479999999999</v>
      </c>
      <c r="AP292" s="74">
        <v>46197</v>
      </c>
      <c r="AQ292" s="4">
        <v>247.75700000000001</v>
      </c>
      <c r="AR292" s="6">
        <f t="shared" si="22"/>
        <v>46197</v>
      </c>
    </row>
    <row r="293" spans="1:44" x14ac:dyDescent="0.25">
      <c r="A293" s="37"/>
      <c r="B293" s="38"/>
      <c r="C293" s="2"/>
      <c r="D293" s="41"/>
      <c r="E293" s="93"/>
      <c r="F293" s="93"/>
      <c r="G293" s="93"/>
      <c r="H293" s="93"/>
      <c r="I293" s="38"/>
      <c r="J293" s="2"/>
      <c r="K293" s="41"/>
      <c r="L293" s="38"/>
      <c r="M293" s="41"/>
      <c r="N293" s="41"/>
      <c r="O293" s="42"/>
      <c r="P293" s="80"/>
      <c r="Q293" s="80"/>
      <c r="R293" s="87"/>
      <c r="S293" s="87"/>
      <c r="T293" s="87"/>
      <c r="U293" s="108"/>
      <c r="V293" s="87"/>
      <c r="W293" s="108"/>
      <c r="X293" s="87"/>
      <c r="Y293" s="87"/>
      <c r="AI293" s="3" t="str">
        <f>IF(COUNTIF(AC:AC,AA293)*COUNTIF(AE:AE,AA293)*COUNTIF(AG:AG,AA293),AA293,"")</f>
        <v/>
      </c>
      <c r="AJ293" s="3" t="str">
        <f t="shared" si="21"/>
        <v/>
      </c>
      <c r="AN293" s="3">
        <v>46198</v>
      </c>
      <c r="AO293" s="4">
        <v>255.54130000000001</v>
      </c>
      <c r="AP293" s="74">
        <v>46198</v>
      </c>
      <c r="AQ293" s="4">
        <v>247.30699999999999</v>
      </c>
      <c r="AR293" s="6">
        <f t="shared" si="22"/>
        <v>46198</v>
      </c>
    </row>
    <row r="294" spans="1:44" x14ac:dyDescent="0.25">
      <c r="A294" s="37"/>
      <c r="B294" s="38"/>
      <c r="C294" s="2"/>
      <c r="D294" s="41"/>
      <c r="E294" s="93"/>
      <c r="F294" s="93"/>
      <c r="G294" s="93"/>
      <c r="H294" s="93"/>
      <c r="I294" s="38"/>
      <c r="J294" s="2"/>
      <c r="K294" s="41"/>
      <c r="L294" s="38"/>
      <c r="M294" s="41"/>
      <c r="N294" s="41"/>
      <c r="O294" s="42"/>
      <c r="P294" s="80"/>
      <c r="Q294" s="80"/>
      <c r="R294" s="87"/>
      <c r="S294" s="87"/>
      <c r="T294" s="87"/>
      <c r="U294" s="108"/>
      <c r="V294" s="87"/>
      <c r="W294" s="108"/>
      <c r="X294" s="87"/>
      <c r="Y294" s="87"/>
      <c r="AI294" s="3" t="str">
        <f>IF(COUNTIF(AC:AC,AA294)*COUNTIF(AE:AE,AA294)*COUNTIF(AG:AG,AA294),AA294,"")</f>
        <v/>
      </c>
      <c r="AJ294" s="3" t="str">
        <f t="shared" si="21"/>
        <v/>
      </c>
      <c r="AP294" s="74">
        <v>46199</v>
      </c>
      <c r="AQ294" s="4">
        <v>249.30799999999999</v>
      </c>
      <c r="AR294" s="6" t="str">
        <f t="shared" si="22"/>
        <v/>
      </c>
    </row>
    <row r="295" spans="1:44" x14ac:dyDescent="0.25">
      <c r="A295" s="37"/>
      <c r="B295" s="38"/>
      <c r="C295" s="2"/>
      <c r="D295" s="41"/>
      <c r="E295" s="93"/>
      <c r="F295" s="93"/>
      <c r="G295" s="93"/>
      <c r="H295" s="93"/>
      <c r="I295" s="38"/>
      <c r="J295" s="2"/>
      <c r="K295" s="41"/>
      <c r="L295" s="38"/>
      <c r="M295" s="41"/>
      <c r="N295" s="41"/>
      <c r="O295" s="42"/>
      <c r="P295" s="80"/>
      <c r="Q295" s="80"/>
      <c r="R295" s="87"/>
      <c r="S295" s="87"/>
      <c r="T295" s="87"/>
      <c r="U295" s="108"/>
      <c r="V295" s="87"/>
      <c r="W295" s="108"/>
      <c r="X295" s="87"/>
      <c r="Y295" s="87"/>
      <c r="AI295" s="3" t="str">
        <f>IF(COUNTIF(AC:AC,AA295)*COUNTIF(AE:AE,AA295)*COUNTIF(AG:AG,AA295),AA295,"")</f>
        <v/>
      </c>
      <c r="AJ295" s="3" t="str">
        <f t="shared" si="21"/>
        <v/>
      </c>
      <c r="AR295" s="6" t="str">
        <f t="shared" si="22"/>
        <v/>
      </c>
    </row>
    <row r="296" spans="1:44" x14ac:dyDescent="0.25">
      <c r="A296" s="37"/>
      <c r="B296" s="38"/>
      <c r="C296" s="2"/>
      <c r="D296" s="41"/>
      <c r="E296" s="93"/>
      <c r="F296" s="93"/>
      <c r="G296" s="93"/>
      <c r="H296" s="93"/>
      <c r="I296" s="38"/>
      <c r="J296" s="2"/>
      <c r="K296" s="41"/>
      <c r="L296" s="38"/>
      <c r="M296" s="41"/>
      <c r="N296" s="41"/>
      <c r="O296" s="42"/>
      <c r="P296" s="80"/>
      <c r="Q296" s="80"/>
      <c r="R296" s="87"/>
      <c r="S296" s="87"/>
      <c r="T296" s="87"/>
      <c r="U296" s="108"/>
      <c r="V296" s="87"/>
      <c r="W296" s="108"/>
      <c r="X296" s="87"/>
      <c r="Y296" s="87"/>
      <c r="AI296" s="3" t="str">
        <f>IF(COUNTIF(AC:AC,AA296)*COUNTIF(AE:AE,AA296)*COUNTIF(AG:AG,AA296),AA296,"")</f>
        <v/>
      </c>
      <c r="AJ296" s="3" t="str">
        <f t="shared" si="21"/>
        <v/>
      </c>
      <c r="AR296" s="6" t="str">
        <f t="shared" si="22"/>
        <v/>
      </c>
    </row>
    <row r="297" spans="1:44" x14ac:dyDescent="0.25">
      <c r="A297" s="37"/>
      <c r="B297" s="38"/>
      <c r="C297" s="2"/>
      <c r="D297" s="41"/>
      <c r="E297" s="93"/>
      <c r="F297" s="93"/>
      <c r="G297" s="93"/>
      <c r="H297" s="93"/>
      <c r="I297" s="38"/>
      <c r="J297" s="2"/>
      <c r="K297" s="41"/>
      <c r="L297" s="38"/>
      <c r="M297" s="41"/>
      <c r="N297" s="41"/>
      <c r="O297" s="42"/>
      <c r="P297" s="80"/>
      <c r="Q297" s="80"/>
      <c r="R297" s="87"/>
      <c r="S297" s="87"/>
      <c r="T297" s="87"/>
      <c r="U297" s="108"/>
      <c r="V297" s="87"/>
      <c r="W297" s="108"/>
      <c r="X297" s="87"/>
      <c r="Y297" s="87"/>
      <c r="AI297" s="3" t="str">
        <f>IF(COUNTIF(AC:AC,AA297)*COUNTIF(AE:AE,AA297)*COUNTIF(AG:AG,AA297),AA297,"")</f>
        <v/>
      </c>
      <c r="AJ297" s="3" t="str">
        <f t="shared" si="21"/>
        <v/>
      </c>
      <c r="AR297" s="6" t="str">
        <f t="shared" si="22"/>
        <v/>
      </c>
    </row>
    <row r="298" spans="1:44" x14ac:dyDescent="0.25">
      <c r="A298" s="37"/>
      <c r="B298" s="38"/>
      <c r="C298" s="2"/>
      <c r="D298" s="41"/>
      <c r="E298" s="93"/>
      <c r="F298" s="93"/>
      <c r="G298" s="93"/>
      <c r="H298" s="93"/>
      <c r="I298" s="38"/>
      <c r="J298" s="2"/>
      <c r="K298" s="41"/>
      <c r="L298" s="38"/>
      <c r="M298" s="41"/>
      <c r="N298" s="41"/>
      <c r="O298" s="42"/>
      <c r="P298" s="80"/>
      <c r="Q298" s="80"/>
      <c r="R298" s="87"/>
      <c r="S298" s="87"/>
      <c r="T298" s="87"/>
      <c r="U298" s="108"/>
      <c r="V298" s="87"/>
      <c r="W298" s="108"/>
      <c r="X298" s="87"/>
      <c r="Y298" s="87"/>
      <c r="AI298" s="3" t="str">
        <f>IF(COUNTIF(AC:AC,AA298)*COUNTIF(AE:AE,AA298)*COUNTIF(AG:AG,AA298),AA298,"")</f>
        <v/>
      </c>
      <c r="AJ298" s="3" t="str">
        <f t="shared" si="21"/>
        <v/>
      </c>
      <c r="AR298" s="6" t="str">
        <f t="shared" si="22"/>
        <v/>
      </c>
    </row>
    <row r="299" spans="1:44" x14ac:dyDescent="0.25">
      <c r="A299" s="37"/>
      <c r="B299" s="38"/>
      <c r="C299" s="2"/>
      <c r="D299" s="41"/>
      <c r="E299" s="93"/>
      <c r="F299" s="93"/>
      <c r="G299" s="93"/>
      <c r="H299" s="93"/>
      <c r="I299" s="38"/>
      <c r="J299" s="2"/>
      <c r="K299" s="41"/>
      <c r="L299" s="38"/>
      <c r="M299" s="41"/>
      <c r="N299" s="41"/>
      <c r="O299" s="42"/>
      <c r="P299" s="80"/>
      <c r="Q299" s="80"/>
      <c r="R299" s="87"/>
      <c r="S299" s="87"/>
      <c r="T299" s="87"/>
      <c r="U299" s="108"/>
      <c r="V299" s="87"/>
      <c r="W299" s="108"/>
      <c r="X299" s="87"/>
      <c r="Y299" s="87"/>
      <c r="AI299" s="3" t="str">
        <f>IF(COUNTIF(AC:AC,AA299)*COUNTIF(AE:AE,AA299)*COUNTIF(AG:AG,AA299),AA299,"")</f>
        <v/>
      </c>
      <c r="AJ299" s="3" t="str">
        <f t="shared" si="21"/>
        <v/>
      </c>
      <c r="AR299" s="6" t="str">
        <f t="shared" si="22"/>
        <v/>
      </c>
    </row>
    <row r="300" spans="1:44" x14ac:dyDescent="0.25">
      <c r="A300" s="37"/>
      <c r="B300" s="38"/>
      <c r="C300" s="2"/>
      <c r="D300" s="41"/>
      <c r="E300" s="93"/>
      <c r="F300" s="93"/>
      <c r="G300" s="93"/>
      <c r="H300" s="93"/>
      <c r="I300" s="38"/>
      <c r="J300" s="2"/>
      <c r="K300" s="41"/>
      <c r="L300" s="38"/>
      <c r="M300" s="41"/>
      <c r="N300" s="41"/>
      <c r="O300" s="42"/>
      <c r="P300" s="80"/>
      <c r="Q300" s="80"/>
      <c r="R300" s="87"/>
      <c r="S300" s="87"/>
      <c r="T300" s="87"/>
      <c r="U300" s="108"/>
      <c r="V300" s="87"/>
      <c r="W300" s="108"/>
      <c r="X300" s="87"/>
      <c r="Y300" s="87"/>
      <c r="AI300" s="3" t="str">
        <f>IF(COUNTIF(AC:AC,AA300)*COUNTIF(AE:AE,AA300)*COUNTIF(AG:AG,AA300),AA300,"")</f>
        <v/>
      </c>
      <c r="AJ300" s="3" t="str">
        <f t="shared" si="21"/>
        <v/>
      </c>
      <c r="AR300" s="6" t="str">
        <f t="shared" si="22"/>
        <v/>
      </c>
    </row>
    <row r="301" spans="1:44" x14ac:dyDescent="0.25">
      <c r="A301" s="37"/>
      <c r="B301" s="38"/>
      <c r="C301" s="2"/>
      <c r="D301" s="41"/>
      <c r="E301" s="93"/>
      <c r="F301" s="93"/>
      <c r="G301" s="93"/>
      <c r="H301" s="93"/>
      <c r="I301" s="38"/>
      <c r="J301" s="2"/>
      <c r="K301" s="41"/>
      <c r="L301" s="38"/>
      <c r="M301" s="41"/>
      <c r="N301" s="41"/>
      <c r="O301" s="42"/>
      <c r="P301" s="80"/>
      <c r="Q301" s="80"/>
      <c r="R301" s="87"/>
      <c r="S301" s="87"/>
      <c r="T301" s="87"/>
      <c r="U301" s="108"/>
      <c r="V301" s="87"/>
      <c r="W301" s="108"/>
      <c r="X301" s="87"/>
      <c r="Y301" s="87"/>
      <c r="AI301" s="3" t="str">
        <f>IF(COUNTIF(AC:AC,AA301)*COUNTIF(AE:AE,AA301)*COUNTIF(AG:AG,AA301),AA301,"")</f>
        <v/>
      </c>
      <c r="AJ301" s="3" t="str">
        <f t="shared" si="21"/>
        <v/>
      </c>
      <c r="AR301" s="6" t="str">
        <f t="shared" si="22"/>
        <v/>
      </c>
    </row>
    <row r="302" spans="1:44" x14ac:dyDescent="0.25">
      <c r="A302" s="37"/>
      <c r="B302" s="38"/>
      <c r="C302" s="2"/>
      <c r="D302" s="41"/>
      <c r="E302" s="93"/>
      <c r="F302" s="93"/>
      <c r="G302" s="93"/>
      <c r="H302" s="93"/>
      <c r="I302" s="38"/>
      <c r="J302" s="2"/>
      <c r="K302" s="41"/>
      <c r="L302" s="38"/>
      <c r="M302" s="41"/>
      <c r="N302" s="41"/>
      <c r="O302" s="42"/>
      <c r="P302" s="80"/>
      <c r="Q302" s="80"/>
      <c r="R302" s="87"/>
      <c r="S302" s="87"/>
      <c r="T302" s="87"/>
      <c r="U302" s="108"/>
      <c r="V302" s="87"/>
      <c r="W302" s="108"/>
      <c r="X302" s="87"/>
      <c r="Y302" s="87"/>
      <c r="AI302" s="3" t="str">
        <f>IF(COUNTIF(AC:AC,AA302)*COUNTIF(AE:AE,AA302)*COUNTIF(AG:AG,AA302),AA302,"")</f>
        <v/>
      </c>
      <c r="AJ302" s="3" t="str">
        <f t="shared" si="21"/>
        <v/>
      </c>
      <c r="AR302" s="6" t="str">
        <f t="shared" si="22"/>
        <v/>
      </c>
    </row>
    <row r="303" spans="1:44" x14ac:dyDescent="0.25">
      <c r="A303" s="37"/>
      <c r="B303" s="38"/>
      <c r="C303" s="2"/>
      <c r="D303" s="41"/>
      <c r="E303" s="93"/>
      <c r="F303" s="93"/>
      <c r="G303" s="93"/>
      <c r="H303" s="93"/>
      <c r="I303" s="38"/>
      <c r="J303" s="2"/>
      <c r="K303" s="41"/>
      <c r="L303" s="38"/>
      <c r="M303" s="41"/>
      <c r="N303" s="41"/>
      <c r="O303" s="42"/>
      <c r="P303" s="80"/>
      <c r="Q303" s="80"/>
      <c r="R303" s="87"/>
      <c r="S303" s="87"/>
      <c r="T303" s="87"/>
      <c r="U303" s="108"/>
      <c r="V303" s="87"/>
      <c r="W303" s="108"/>
      <c r="X303" s="87"/>
      <c r="Y303" s="87"/>
      <c r="AI303" s="3" t="str">
        <f>IF(COUNTIF(AC:AC,AA303)*COUNTIF(AE:AE,AA303)*COUNTIF(AG:AG,AA303),AA303,"")</f>
        <v/>
      </c>
      <c r="AJ303" s="3" t="str">
        <f t="shared" si="21"/>
        <v/>
      </c>
      <c r="AR303" s="6" t="str">
        <f t="shared" si="22"/>
        <v/>
      </c>
    </row>
    <row r="304" spans="1:44" x14ac:dyDescent="0.25">
      <c r="A304" s="37"/>
      <c r="B304" s="38"/>
      <c r="C304" s="2"/>
      <c r="D304" s="41"/>
      <c r="E304" s="93"/>
      <c r="F304" s="93"/>
      <c r="G304" s="93"/>
      <c r="H304" s="93"/>
      <c r="I304" s="38"/>
      <c r="J304" s="2"/>
      <c r="K304" s="41"/>
      <c r="L304" s="38"/>
      <c r="M304" s="41"/>
      <c r="N304" s="41"/>
      <c r="O304" s="42"/>
      <c r="P304" s="80"/>
      <c r="Q304" s="80"/>
      <c r="R304" s="87"/>
      <c r="S304" s="87"/>
      <c r="T304" s="87"/>
      <c r="U304" s="108"/>
      <c r="V304" s="87"/>
      <c r="W304" s="108"/>
      <c r="X304" s="87"/>
      <c r="Y304" s="87"/>
      <c r="AI304" s="3" t="str">
        <f>IF(COUNTIF(AC:AC,AA304)*COUNTIF(AE:AE,AA304)*COUNTIF(AG:AG,AA304),AA304,"")</f>
        <v/>
      </c>
      <c r="AJ304" s="3" t="str">
        <f t="shared" si="21"/>
        <v/>
      </c>
      <c r="AR304" s="6" t="str">
        <f t="shared" si="22"/>
        <v/>
      </c>
    </row>
    <row r="305" spans="1:44" x14ac:dyDescent="0.25">
      <c r="A305" s="37"/>
      <c r="B305" s="38"/>
      <c r="C305" s="2"/>
      <c r="D305" s="41"/>
      <c r="E305" s="93"/>
      <c r="F305" s="93"/>
      <c r="G305" s="93"/>
      <c r="H305" s="93"/>
      <c r="I305" s="38"/>
      <c r="J305" s="2"/>
      <c r="K305" s="41"/>
      <c r="L305" s="38"/>
      <c r="M305" s="41"/>
      <c r="N305" s="41"/>
      <c r="O305" s="42"/>
      <c r="P305" s="80"/>
      <c r="Q305" s="80"/>
      <c r="R305" s="87"/>
      <c r="S305" s="87"/>
      <c r="T305" s="87"/>
      <c r="U305" s="108"/>
      <c r="V305" s="87"/>
      <c r="W305" s="108"/>
      <c r="X305" s="87"/>
      <c r="Y305" s="87"/>
      <c r="AI305" s="3" t="str">
        <f>IF(COUNTIF(AC:AC,AA305)*COUNTIF(AE:AE,AA305)*COUNTIF(AG:AG,AA305),AA305,"")</f>
        <v/>
      </c>
      <c r="AJ305" s="3" t="str">
        <f t="shared" si="21"/>
        <v/>
      </c>
      <c r="AR305" s="6" t="str">
        <f t="shared" si="22"/>
        <v/>
      </c>
    </row>
    <row r="306" spans="1:44" x14ac:dyDescent="0.25">
      <c r="A306" s="37"/>
      <c r="B306" s="38"/>
      <c r="C306" s="2"/>
      <c r="D306" s="41"/>
      <c r="E306" s="93"/>
      <c r="F306" s="93"/>
      <c r="G306" s="93"/>
      <c r="H306" s="93"/>
      <c r="I306" s="38"/>
      <c r="J306" s="2"/>
      <c r="K306" s="41"/>
      <c r="L306" s="38"/>
      <c r="M306" s="41"/>
      <c r="N306" s="41"/>
      <c r="O306" s="42"/>
      <c r="P306" s="80"/>
      <c r="Q306" s="80"/>
      <c r="R306" s="87"/>
      <c r="S306" s="87"/>
      <c r="T306" s="87"/>
      <c r="U306" s="108"/>
      <c r="V306" s="87"/>
      <c r="W306" s="108"/>
      <c r="X306" s="87"/>
      <c r="Y306" s="87"/>
      <c r="AI306" s="3" t="str">
        <f>IF(COUNTIF(AC:AC,AA306)*COUNTIF(AE:AE,AA306)*COUNTIF(AG:AG,AA306),AA306,"")</f>
        <v/>
      </c>
      <c r="AJ306" s="3" t="str">
        <f t="shared" si="21"/>
        <v/>
      </c>
      <c r="AR306" s="6" t="str">
        <f t="shared" si="22"/>
        <v/>
      </c>
    </row>
    <row r="307" spans="1:44" x14ac:dyDescent="0.25">
      <c r="A307" s="37"/>
      <c r="B307" s="38"/>
      <c r="C307" s="2"/>
      <c r="D307" s="41"/>
      <c r="E307" s="93"/>
      <c r="F307" s="93"/>
      <c r="G307" s="93"/>
      <c r="H307" s="93"/>
      <c r="I307" s="38"/>
      <c r="J307" s="2"/>
      <c r="K307" s="41"/>
      <c r="L307" s="38"/>
      <c r="M307" s="41"/>
      <c r="N307" s="41"/>
      <c r="O307" s="42"/>
      <c r="P307" s="80"/>
      <c r="Q307" s="80"/>
      <c r="R307" s="87"/>
      <c r="S307" s="87"/>
      <c r="T307" s="87"/>
      <c r="U307" s="108"/>
      <c r="V307" s="87"/>
      <c r="W307" s="108"/>
      <c r="X307" s="87"/>
      <c r="Y307" s="87"/>
      <c r="AI307" s="3" t="str">
        <f>IF(COUNTIF(AC:AC,AA307)*COUNTIF(AE:AE,AA307)*COUNTIF(AG:AG,AA307),AA307,"")</f>
        <v/>
      </c>
      <c r="AJ307" s="3" t="str">
        <f t="shared" si="21"/>
        <v/>
      </c>
      <c r="AR307" s="6" t="str">
        <f t="shared" si="22"/>
        <v/>
      </c>
    </row>
    <row r="308" spans="1:44" x14ac:dyDescent="0.25">
      <c r="A308" s="37"/>
      <c r="B308" s="38"/>
      <c r="C308" s="2"/>
      <c r="D308" s="41"/>
      <c r="E308" s="93"/>
      <c r="F308" s="93"/>
      <c r="G308" s="93"/>
      <c r="H308" s="93"/>
      <c r="I308" s="38"/>
      <c r="J308" s="2"/>
      <c r="K308" s="41"/>
      <c r="L308" s="38"/>
      <c r="M308" s="41"/>
      <c r="N308" s="41"/>
      <c r="O308" s="42"/>
      <c r="P308" s="80"/>
      <c r="Q308" s="80"/>
      <c r="R308" s="87"/>
      <c r="S308" s="87"/>
      <c r="T308" s="87"/>
      <c r="U308" s="108"/>
      <c r="V308" s="87"/>
      <c r="W308" s="108"/>
      <c r="X308" s="87"/>
      <c r="Y308" s="87"/>
      <c r="AI308" s="3" t="str">
        <f>IF(COUNTIF(AC:AC,AA308)*COUNTIF(AE:AE,AA308)*COUNTIF(AG:AG,AA308),AA308,"")</f>
        <v/>
      </c>
      <c r="AJ308" s="3" t="str">
        <f t="shared" si="21"/>
        <v/>
      </c>
      <c r="AR308" s="6" t="str">
        <f t="shared" si="22"/>
        <v/>
      </c>
    </row>
    <row r="309" spans="1:44" x14ac:dyDescent="0.25">
      <c r="A309" s="37"/>
      <c r="B309" s="38"/>
      <c r="C309" s="2"/>
      <c r="D309" s="41"/>
      <c r="E309" s="93"/>
      <c r="F309" s="93"/>
      <c r="G309" s="93"/>
      <c r="H309" s="93"/>
      <c r="I309" s="38"/>
      <c r="J309" s="2"/>
      <c r="K309" s="41"/>
      <c r="L309" s="38"/>
      <c r="M309" s="41"/>
      <c r="N309" s="41"/>
      <c r="O309" s="42"/>
      <c r="P309" s="80"/>
      <c r="Q309" s="80"/>
      <c r="R309" s="87"/>
      <c r="S309" s="87"/>
      <c r="T309" s="87"/>
      <c r="U309" s="108"/>
      <c r="V309" s="87"/>
      <c r="W309" s="108"/>
      <c r="X309" s="87"/>
      <c r="Y309" s="87"/>
      <c r="AI309" s="3" t="str">
        <f>IF(COUNTIF(AC:AC,AA309)*COUNTIF(AE:AE,AA309)*COUNTIF(AG:AG,AA309),AA309,"")</f>
        <v/>
      </c>
      <c r="AJ309" s="3" t="str">
        <f t="shared" si="21"/>
        <v/>
      </c>
      <c r="AR309" s="6" t="str">
        <f t="shared" si="22"/>
        <v/>
      </c>
    </row>
    <row r="310" spans="1:44" x14ac:dyDescent="0.25">
      <c r="A310" s="37"/>
      <c r="B310" s="38"/>
      <c r="C310" s="2"/>
      <c r="D310" s="41"/>
      <c r="E310" s="93"/>
      <c r="F310" s="93"/>
      <c r="G310" s="93"/>
      <c r="H310" s="93"/>
      <c r="I310" s="38"/>
      <c r="J310" s="2"/>
      <c r="K310" s="41"/>
      <c r="L310" s="38"/>
      <c r="M310" s="41"/>
      <c r="N310" s="41"/>
      <c r="O310" s="42"/>
      <c r="P310" s="80"/>
      <c r="Q310" s="80"/>
      <c r="R310" s="87"/>
      <c r="S310" s="87"/>
      <c r="T310" s="87"/>
      <c r="U310" s="108"/>
      <c r="V310" s="87"/>
      <c r="W310" s="108"/>
      <c r="X310" s="87"/>
      <c r="Y310" s="87"/>
      <c r="AI310" s="3" t="str">
        <f>IF(COUNTIF(AC:AC,AA310)*COUNTIF(AE:AE,AA310)*COUNTIF(AG:AG,AA310),AA310,"")</f>
        <v/>
      </c>
      <c r="AJ310" s="3" t="str">
        <f t="shared" si="21"/>
        <v/>
      </c>
      <c r="AR310" s="6" t="str">
        <f t="shared" si="22"/>
        <v/>
      </c>
    </row>
    <row r="311" spans="1:44" x14ac:dyDescent="0.25">
      <c r="A311" s="37"/>
      <c r="B311" s="38"/>
      <c r="C311" s="2"/>
      <c r="D311" s="41"/>
      <c r="E311" s="93"/>
      <c r="F311" s="93"/>
      <c r="G311" s="93"/>
      <c r="H311" s="93"/>
      <c r="I311" s="38"/>
      <c r="J311" s="2"/>
      <c r="K311" s="41"/>
      <c r="L311" s="38"/>
      <c r="M311" s="41"/>
      <c r="N311" s="41"/>
      <c r="O311" s="42"/>
      <c r="P311" s="80"/>
      <c r="Q311" s="80"/>
      <c r="R311" s="87"/>
      <c r="S311" s="87"/>
      <c r="T311" s="87"/>
      <c r="U311" s="108"/>
      <c r="V311" s="87"/>
      <c r="W311" s="108"/>
      <c r="X311" s="87"/>
      <c r="Y311" s="87"/>
      <c r="AI311" s="3" t="str">
        <f>IF(COUNTIF(AC:AC,AA311)*COUNTIF(AE:AE,AA311)*COUNTIF(AG:AG,AA311),AA311,"")</f>
        <v/>
      </c>
      <c r="AJ311" s="3" t="str">
        <f t="shared" si="21"/>
        <v/>
      </c>
      <c r="AR311" s="6" t="str">
        <f t="shared" si="22"/>
        <v/>
      </c>
    </row>
    <row r="312" spans="1:44" x14ac:dyDescent="0.25">
      <c r="A312" s="37"/>
      <c r="B312" s="38"/>
      <c r="C312" s="2"/>
      <c r="D312" s="41"/>
      <c r="E312" s="93"/>
      <c r="F312" s="93"/>
      <c r="G312" s="93"/>
      <c r="H312" s="93"/>
      <c r="I312" s="38"/>
      <c r="J312" s="2"/>
      <c r="K312" s="41"/>
      <c r="L312" s="38"/>
      <c r="M312" s="41"/>
      <c r="N312" s="41"/>
      <c r="O312" s="42"/>
      <c r="P312" s="80"/>
      <c r="Q312" s="80"/>
      <c r="R312" s="87"/>
      <c r="S312" s="87"/>
      <c r="T312" s="87"/>
      <c r="U312" s="108"/>
      <c r="V312" s="87"/>
      <c r="W312" s="108"/>
      <c r="X312" s="87"/>
      <c r="Y312" s="87"/>
      <c r="AI312" s="3" t="str">
        <f>IF(COUNTIF(AC:AC,AA312)*COUNTIF(AE:AE,AA312)*COUNTIF(AG:AG,AA312),AA312,"")</f>
        <v/>
      </c>
      <c r="AJ312" s="3" t="str">
        <f t="shared" si="21"/>
        <v/>
      </c>
      <c r="AR312" s="6" t="str">
        <f t="shared" si="22"/>
        <v/>
      </c>
    </row>
    <row r="313" spans="1:44" x14ac:dyDescent="0.25">
      <c r="A313" s="37"/>
      <c r="B313" s="38"/>
      <c r="C313" s="2"/>
      <c r="D313" s="41"/>
      <c r="E313" s="93"/>
      <c r="F313" s="93"/>
      <c r="G313" s="93"/>
      <c r="H313" s="93"/>
      <c r="I313" s="38"/>
      <c r="J313" s="2"/>
      <c r="K313" s="41"/>
      <c r="L313" s="38"/>
      <c r="M313" s="41"/>
      <c r="N313" s="41"/>
      <c r="O313" s="42"/>
      <c r="P313" s="80"/>
      <c r="Q313" s="80"/>
      <c r="R313" s="87"/>
      <c r="S313" s="87"/>
      <c r="T313" s="87"/>
      <c r="U313" s="108"/>
      <c r="V313" s="87"/>
      <c r="W313" s="108"/>
      <c r="X313" s="87"/>
      <c r="Y313" s="87"/>
      <c r="AI313" s="3" t="str">
        <f>IF(COUNTIF(AC:AC,AA313)*COUNTIF(AE:AE,AA313)*COUNTIF(AG:AG,AA313),AA313,"")</f>
        <v/>
      </c>
      <c r="AJ313" s="3" t="str">
        <f t="shared" si="21"/>
        <v/>
      </c>
      <c r="AR313" s="6" t="str">
        <f t="shared" si="22"/>
        <v/>
      </c>
    </row>
    <row r="314" spans="1:44" x14ac:dyDescent="0.25">
      <c r="A314" s="37"/>
      <c r="B314" s="38"/>
      <c r="C314" s="2"/>
      <c r="D314" s="41"/>
      <c r="E314" s="93"/>
      <c r="F314" s="93"/>
      <c r="G314" s="93"/>
      <c r="H314" s="93"/>
      <c r="I314" s="38"/>
      <c r="J314" s="2"/>
      <c r="K314" s="41"/>
      <c r="L314" s="38"/>
      <c r="M314" s="41"/>
      <c r="N314" s="41"/>
      <c r="O314" s="42"/>
      <c r="P314" s="80"/>
      <c r="Q314" s="80"/>
      <c r="R314" s="87"/>
      <c r="S314" s="87"/>
      <c r="T314" s="87"/>
      <c r="U314" s="108"/>
      <c r="V314" s="87"/>
      <c r="W314" s="108"/>
      <c r="X314" s="87"/>
      <c r="Y314" s="87"/>
      <c r="AI314" s="3" t="str">
        <f>IF(COUNTIF(AC:AC,AA314)*COUNTIF(AE:AE,AA314)*COUNTIF(AG:AG,AA314),AA314,"")</f>
        <v/>
      </c>
      <c r="AJ314" s="3" t="str">
        <f t="shared" si="21"/>
        <v/>
      </c>
      <c r="AR314" s="6" t="str">
        <f t="shared" si="22"/>
        <v/>
      </c>
    </row>
    <row r="315" spans="1:44" x14ac:dyDescent="0.25">
      <c r="A315" s="37"/>
      <c r="B315" s="38"/>
      <c r="C315" s="2"/>
      <c r="D315" s="41"/>
      <c r="E315" s="93"/>
      <c r="F315" s="93"/>
      <c r="G315" s="93"/>
      <c r="H315" s="93"/>
      <c r="I315" s="38"/>
      <c r="J315" s="2"/>
      <c r="K315" s="41"/>
      <c r="L315" s="38"/>
      <c r="M315" s="41"/>
      <c r="N315" s="41"/>
      <c r="O315" s="42"/>
      <c r="P315" s="80"/>
      <c r="Q315" s="80"/>
      <c r="R315" s="87"/>
      <c r="S315" s="87"/>
      <c r="T315" s="87"/>
      <c r="U315" s="108"/>
      <c r="V315" s="87"/>
      <c r="W315" s="108"/>
      <c r="X315" s="87"/>
      <c r="Y315" s="87"/>
      <c r="AI315" s="3" t="str">
        <f>IF(COUNTIF(AC:AC,AA315)*COUNTIF(AE:AE,AA315)*COUNTIF(AG:AG,AA315),AA315,"")</f>
        <v/>
      </c>
      <c r="AJ315" s="3" t="str">
        <f t="shared" si="21"/>
        <v/>
      </c>
      <c r="AR315" s="6" t="str">
        <f t="shared" si="22"/>
        <v/>
      </c>
    </row>
    <row r="316" spans="1:44" x14ac:dyDescent="0.25">
      <c r="A316" s="37"/>
      <c r="B316" s="38"/>
      <c r="C316" s="2"/>
      <c r="D316" s="41"/>
      <c r="E316" s="93"/>
      <c r="F316" s="93"/>
      <c r="G316" s="93"/>
      <c r="H316" s="93"/>
      <c r="I316" s="38"/>
      <c r="J316" s="2"/>
      <c r="K316" s="41"/>
      <c r="L316" s="38"/>
      <c r="M316" s="41"/>
      <c r="N316" s="41"/>
      <c r="O316" s="42"/>
      <c r="P316" s="80"/>
      <c r="Q316" s="80"/>
      <c r="R316" s="87"/>
      <c r="S316" s="87"/>
      <c r="T316" s="87"/>
      <c r="U316" s="108"/>
      <c r="V316" s="87"/>
      <c r="W316" s="108"/>
      <c r="X316" s="87"/>
      <c r="Y316" s="87"/>
      <c r="AI316" s="3" t="str">
        <f>IF(COUNTIF(AC:AC,AA316)*COUNTIF(AE:AE,AA316)*COUNTIF(AG:AG,AA316),AA316,"")</f>
        <v/>
      </c>
      <c r="AJ316" s="3" t="str">
        <f t="shared" si="21"/>
        <v/>
      </c>
      <c r="AR316" s="6" t="str">
        <f t="shared" si="22"/>
        <v/>
      </c>
    </row>
    <row r="317" spans="1:44" x14ac:dyDescent="0.25">
      <c r="A317" s="37"/>
      <c r="B317" s="38"/>
      <c r="C317" s="2"/>
      <c r="D317" s="41"/>
      <c r="E317" s="93"/>
      <c r="F317" s="93"/>
      <c r="G317" s="93"/>
      <c r="H317" s="93"/>
      <c r="I317" s="38"/>
      <c r="J317" s="2"/>
      <c r="K317" s="41"/>
      <c r="L317" s="38"/>
      <c r="M317" s="41"/>
      <c r="N317" s="41"/>
      <c r="O317" s="42"/>
      <c r="P317" s="80"/>
      <c r="Q317" s="80"/>
      <c r="R317" s="87"/>
      <c r="S317" s="87"/>
      <c r="T317" s="87"/>
      <c r="U317" s="108"/>
      <c r="V317" s="87"/>
      <c r="W317" s="108"/>
      <c r="X317" s="87"/>
      <c r="Y317" s="87"/>
      <c r="AI317" s="3" t="str">
        <f>IF(COUNTIF(AC:AC,AA317)*COUNTIF(AE:AE,AA317)*COUNTIF(AG:AG,AA317),AA317,"")</f>
        <v/>
      </c>
      <c r="AJ317" s="3" t="str">
        <f t="shared" si="21"/>
        <v/>
      </c>
      <c r="AR317" s="6" t="str">
        <f t="shared" si="22"/>
        <v/>
      </c>
    </row>
    <row r="318" spans="1:44" x14ac:dyDescent="0.25">
      <c r="A318" s="37"/>
      <c r="B318" s="38"/>
      <c r="C318" s="2"/>
      <c r="D318" s="41"/>
      <c r="E318" s="93"/>
      <c r="F318" s="93"/>
      <c r="G318" s="93"/>
      <c r="H318" s="93"/>
      <c r="I318" s="38"/>
      <c r="J318" s="2"/>
      <c r="K318" s="41"/>
      <c r="L318" s="38"/>
      <c r="M318" s="41"/>
      <c r="N318" s="41"/>
      <c r="O318" s="42"/>
      <c r="P318" s="80"/>
      <c r="Q318" s="80"/>
      <c r="R318" s="87"/>
      <c r="S318" s="87"/>
      <c r="T318" s="87"/>
      <c r="U318" s="108"/>
      <c r="V318" s="87"/>
      <c r="W318" s="108"/>
      <c r="X318" s="87"/>
      <c r="Y318" s="87"/>
      <c r="AI318" s="3" t="str">
        <f>IF(COUNTIF(AC:AC,AA318)*COUNTIF(AE:AE,AA318)*COUNTIF(AG:AG,AA318),AA318,"")</f>
        <v/>
      </c>
      <c r="AJ318" s="3" t="str">
        <f t="shared" si="21"/>
        <v/>
      </c>
      <c r="AR318" s="6" t="str">
        <f t="shared" si="22"/>
        <v/>
      </c>
    </row>
    <row r="319" spans="1:44" x14ac:dyDescent="0.25">
      <c r="A319" s="37"/>
      <c r="B319" s="38"/>
      <c r="C319" s="2"/>
      <c r="D319" s="41"/>
      <c r="E319" s="93"/>
      <c r="F319" s="93"/>
      <c r="G319" s="93"/>
      <c r="H319" s="93"/>
      <c r="I319" s="38"/>
      <c r="J319" s="2"/>
      <c r="K319" s="41"/>
      <c r="L319" s="38"/>
      <c r="M319" s="41"/>
      <c r="N319" s="41"/>
      <c r="O319" s="42"/>
      <c r="P319" s="80"/>
      <c r="Q319" s="80"/>
      <c r="R319" s="87"/>
      <c r="S319" s="87"/>
      <c r="T319" s="87"/>
      <c r="U319" s="108"/>
      <c r="V319" s="87"/>
      <c r="W319" s="108"/>
      <c r="X319" s="87"/>
      <c r="Y319" s="87"/>
      <c r="AI319" s="3" t="str">
        <f>IF(COUNTIF(AC:AC,AA319)*COUNTIF(AE:AE,AA319)*COUNTIF(AG:AG,AA319),AA319,"")</f>
        <v/>
      </c>
      <c r="AJ319" s="3" t="str">
        <f t="shared" si="21"/>
        <v/>
      </c>
      <c r="AR319" s="6" t="str">
        <f t="shared" si="22"/>
        <v/>
      </c>
    </row>
    <row r="320" spans="1:44" x14ac:dyDescent="0.25">
      <c r="A320" s="37"/>
      <c r="B320" s="38"/>
      <c r="C320" s="2"/>
      <c r="D320" s="41"/>
      <c r="E320" s="93"/>
      <c r="F320" s="93"/>
      <c r="G320" s="93"/>
      <c r="H320" s="93"/>
      <c r="I320" s="38"/>
      <c r="J320" s="2"/>
      <c r="K320" s="41"/>
      <c r="L320" s="38"/>
      <c r="M320" s="41"/>
      <c r="N320" s="41"/>
      <c r="O320" s="42"/>
      <c r="P320" s="80"/>
      <c r="Q320" s="80"/>
      <c r="R320" s="87"/>
      <c r="S320" s="87"/>
      <c r="T320" s="87"/>
      <c r="U320" s="108"/>
      <c r="V320" s="87"/>
      <c r="W320" s="108"/>
      <c r="X320" s="87"/>
      <c r="Y320" s="87"/>
      <c r="AI320" s="3" t="str">
        <f>IF(COUNTIF(AC:AC,AA320)*COUNTIF(AE:AE,AA320)*COUNTIF(AG:AG,AA320),AA320,"")</f>
        <v/>
      </c>
      <c r="AJ320" s="3" t="str">
        <f t="shared" si="21"/>
        <v/>
      </c>
      <c r="AR320" s="6" t="str">
        <f t="shared" si="22"/>
        <v/>
      </c>
    </row>
    <row r="321" spans="1:44" x14ac:dyDescent="0.25">
      <c r="A321" s="37"/>
      <c r="B321" s="38"/>
      <c r="C321" s="2"/>
      <c r="D321" s="41"/>
      <c r="E321" s="93"/>
      <c r="F321" s="93"/>
      <c r="G321" s="93"/>
      <c r="H321" s="93"/>
      <c r="I321" s="38"/>
      <c r="J321" s="2"/>
      <c r="K321" s="41"/>
      <c r="L321" s="38"/>
      <c r="M321" s="41"/>
      <c r="N321" s="41"/>
      <c r="O321" s="42"/>
      <c r="P321" s="80"/>
      <c r="Q321" s="80"/>
      <c r="R321" s="87"/>
      <c r="S321" s="87"/>
      <c r="T321" s="87"/>
      <c r="U321" s="108"/>
      <c r="V321" s="87"/>
      <c r="W321" s="108"/>
      <c r="X321" s="87"/>
      <c r="Y321" s="87"/>
      <c r="AI321" s="3" t="str">
        <f>IF(COUNTIF(AC:AC,AA321)*COUNTIF(AE:AE,AA321)*COUNTIF(AG:AG,AA321),AA321,"")</f>
        <v/>
      </c>
      <c r="AJ321" s="3" t="str">
        <f t="shared" si="21"/>
        <v/>
      </c>
      <c r="AR321" s="6" t="str">
        <f t="shared" si="22"/>
        <v/>
      </c>
    </row>
    <row r="322" spans="1:44" x14ac:dyDescent="0.25">
      <c r="A322" s="37"/>
      <c r="B322" s="38"/>
      <c r="C322" s="2"/>
      <c r="D322" s="41"/>
      <c r="E322" s="93"/>
      <c r="F322" s="93"/>
      <c r="G322" s="93"/>
      <c r="H322" s="93"/>
      <c r="I322" s="38"/>
      <c r="J322" s="2"/>
      <c r="K322" s="41"/>
      <c r="L322" s="38"/>
      <c r="M322" s="41"/>
      <c r="N322" s="41"/>
      <c r="O322" s="42"/>
      <c r="P322" s="80"/>
      <c r="Q322" s="80"/>
      <c r="R322" s="87"/>
      <c r="S322" s="87"/>
      <c r="T322" s="87"/>
      <c r="U322" s="108"/>
      <c r="V322" s="87"/>
      <c r="W322" s="108"/>
      <c r="X322" s="87"/>
      <c r="Y322" s="87"/>
      <c r="AI322" s="3" t="str">
        <f>IF(COUNTIF(AC:AC,AA322)*COUNTIF(AE:AE,AA322)*COUNTIF(AG:AG,AA322),AA322,"")</f>
        <v/>
      </c>
      <c r="AJ322" s="3" t="str">
        <f t="shared" si="21"/>
        <v/>
      </c>
      <c r="AR322" s="6" t="str">
        <f t="shared" si="22"/>
        <v/>
      </c>
    </row>
    <row r="323" spans="1:44" x14ac:dyDescent="0.25">
      <c r="A323" s="37"/>
      <c r="B323" s="38"/>
      <c r="C323" s="2"/>
      <c r="D323" s="41"/>
      <c r="E323" s="93"/>
      <c r="F323" s="93"/>
      <c r="G323" s="93"/>
      <c r="H323" s="93"/>
      <c r="I323" s="38"/>
      <c r="J323" s="2"/>
      <c r="K323" s="41"/>
      <c r="L323" s="38"/>
      <c r="M323" s="41"/>
      <c r="N323" s="41"/>
      <c r="O323" s="42"/>
      <c r="P323" s="80"/>
      <c r="Q323" s="80"/>
      <c r="R323" s="87"/>
      <c r="S323" s="87"/>
      <c r="T323" s="87"/>
      <c r="U323" s="108"/>
      <c r="V323" s="87"/>
      <c r="W323" s="108"/>
      <c r="X323" s="87"/>
      <c r="Y323" s="87"/>
      <c r="AI323" s="3" t="str">
        <f>IF(COUNTIF(AC:AC,AA323)*COUNTIF(AE:AE,AA323)*COUNTIF(AG:AG,AA323),AA323,"")</f>
        <v/>
      </c>
      <c r="AJ323" s="3" t="str">
        <f t="shared" si="21"/>
        <v/>
      </c>
      <c r="AR323" s="6" t="str">
        <f t="shared" si="22"/>
        <v/>
      </c>
    </row>
    <row r="324" spans="1:44" x14ac:dyDescent="0.25">
      <c r="A324" s="37"/>
      <c r="B324" s="38"/>
      <c r="C324" s="2"/>
      <c r="D324" s="41"/>
      <c r="E324" s="93"/>
      <c r="F324" s="93"/>
      <c r="G324" s="93"/>
      <c r="H324" s="93"/>
      <c r="I324" s="38"/>
      <c r="J324" s="2"/>
      <c r="K324" s="41"/>
      <c r="L324" s="38"/>
      <c r="M324" s="41"/>
      <c r="N324" s="41"/>
      <c r="O324" s="42"/>
      <c r="P324" s="80"/>
      <c r="Q324" s="80"/>
      <c r="R324" s="87"/>
      <c r="S324" s="87"/>
      <c r="T324" s="87"/>
      <c r="U324" s="108"/>
      <c r="V324" s="87"/>
      <c r="W324" s="108"/>
      <c r="X324" s="87"/>
      <c r="Y324" s="87"/>
      <c r="AI324" s="3" t="str">
        <f>IF(COUNTIF(AC:AC,AA324)*COUNTIF(AE:AE,AA324)*COUNTIF(AG:AG,AA324),AA324,"")</f>
        <v/>
      </c>
      <c r="AJ324" s="3" t="str">
        <f t="shared" ref="AJ324:AJ387" si="23">IF(AI324&gt;=$A$14,AI324,"")</f>
        <v/>
      </c>
      <c r="AR324" s="6" t="str">
        <f t="shared" ref="AR324:AR387" si="24">IF(COUNTIF(AP:AP,AN324),AN324,"")</f>
        <v/>
      </c>
    </row>
    <row r="325" spans="1:44" x14ac:dyDescent="0.25">
      <c r="A325" s="37"/>
      <c r="B325" s="38"/>
      <c r="C325" s="2"/>
      <c r="D325" s="41"/>
      <c r="E325" s="93"/>
      <c r="F325" s="93"/>
      <c r="G325" s="93"/>
      <c r="H325" s="93"/>
      <c r="I325" s="38"/>
      <c r="J325" s="2"/>
      <c r="K325" s="41"/>
      <c r="L325" s="38"/>
      <c r="M325" s="41"/>
      <c r="N325" s="41"/>
      <c r="O325" s="42"/>
      <c r="P325" s="80"/>
      <c r="Q325" s="80"/>
      <c r="R325" s="87"/>
      <c r="S325" s="87"/>
      <c r="T325" s="87"/>
      <c r="U325" s="108"/>
      <c r="V325" s="87"/>
      <c r="W325" s="108"/>
      <c r="X325" s="87"/>
      <c r="Y325" s="87"/>
      <c r="AI325" s="3" t="str">
        <f>IF(COUNTIF(AC:AC,AA325)*COUNTIF(AE:AE,AA325)*COUNTIF(AG:AG,AA325),AA325,"")</f>
        <v/>
      </c>
      <c r="AJ325" s="3" t="str">
        <f t="shared" si="23"/>
        <v/>
      </c>
      <c r="AR325" s="6" t="str">
        <f t="shared" si="24"/>
        <v/>
      </c>
    </row>
    <row r="326" spans="1:44" x14ac:dyDescent="0.25">
      <c r="A326" s="37"/>
      <c r="B326" s="38"/>
      <c r="C326" s="2"/>
      <c r="D326" s="41"/>
      <c r="E326" s="93"/>
      <c r="F326" s="93"/>
      <c r="G326" s="93"/>
      <c r="H326" s="93"/>
      <c r="I326" s="38"/>
      <c r="J326" s="2"/>
      <c r="K326" s="41"/>
      <c r="L326" s="38"/>
      <c r="M326" s="41"/>
      <c r="N326" s="41"/>
      <c r="O326" s="42"/>
      <c r="P326" s="80"/>
      <c r="Q326" s="80"/>
      <c r="R326" s="87"/>
      <c r="S326" s="87"/>
      <c r="T326" s="87"/>
      <c r="U326" s="108"/>
      <c r="V326" s="87"/>
      <c r="W326" s="108"/>
      <c r="X326" s="87"/>
      <c r="Y326" s="87"/>
      <c r="AI326" s="3" t="str">
        <f>IF(COUNTIF(AC:AC,AA326)*COUNTIF(AE:AE,AA326)*COUNTIF(AG:AG,AA326),AA326,"")</f>
        <v/>
      </c>
      <c r="AJ326" s="3" t="str">
        <f t="shared" si="23"/>
        <v/>
      </c>
      <c r="AR326" s="6" t="str">
        <f t="shared" si="24"/>
        <v/>
      </c>
    </row>
    <row r="327" spans="1:44" x14ac:dyDescent="0.25">
      <c r="A327" s="37"/>
      <c r="B327" s="38"/>
      <c r="C327" s="2"/>
      <c r="D327" s="41"/>
      <c r="E327" s="93"/>
      <c r="F327" s="93"/>
      <c r="G327" s="93"/>
      <c r="H327" s="93"/>
      <c r="I327" s="38"/>
      <c r="J327" s="2"/>
      <c r="K327" s="41"/>
      <c r="L327" s="38"/>
      <c r="M327" s="41"/>
      <c r="N327" s="41"/>
      <c r="O327" s="42"/>
      <c r="P327" s="80"/>
      <c r="Q327" s="80"/>
      <c r="R327" s="87"/>
      <c r="S327" s="87"/>
      <c r="T327" s="87"/>
      <c r="U327" s="108"/>
      <c r="V327" s="87"/>
      <c r="W327" s="108"/>
      <c r="X327" s="87"/>
      <c r="Y327" s="87"/>
      <c r="AI327" s="3" t="str">
        <f>IF(COUNTIF(AC:AC,AA327)*COUNTIF(AE:AE,AA327)*COUNTIF(AG:AG,AA327),AA327,"")</f>
        <v/>
      </c>
      <c r="AJ327" s="3" t="str">
        <f t="shared" si="23"/>
        <v/>
      </c>
      <c r="AR327" s="6" t="str">
        <f t="shared" si="24"/>
        <v/>
      </c>
    </row>
    <row r="328" spans="1:44" x14ac:dyDescent="0.25">
      <c r="A328" s="37"/>
      <c r="B328" s="38"/>
      <c r="C328" s="2"/>
      <c r="D328" s="41"/>
      <c r="E328" s="93"/>
      <c r="F328" s="93"/>
      <c r="G328" s="93"/>
      <c r="H328" s="93"/>
      <c r="I328" s="38"/>
      <c r="J328" s="2"/>
      <c r="K328" s="41"/>
      <c r="L328" s="38"/>
      <c r="M328" s="41"/>
      <c r="N328" s="41"/>
      <c r="O328" s="42"/>
      <c r="P328" s="80"/>
      <c r="Q328" s="80"/>
      <c r="R328" s="87"/>
      <c r="S328" s="87"/>
      <c r="T328" s="87"/>
      <c r="U328" s="108"/>
      <c r="V328" s="87"/>
      <c r="W328" s="108"/>
      <c r="X328" s="87"/>
      <c r="Y328" s="87"/>
      <c r="AI328" s="3" t="str">
        <f>IF(COUNTIF(AC:AC,AA328)*COUNTIF(AE:AE,AA328)*COUNTIF(AG:AG,AA328),AA328,"")</f>
        <v/>
      </c>
      <c r="AJ328" s="3" t="str">
        <f t="shared" si="23"/>
        <v/>
      </c>
      <c r="AR328" s="6" t="str">
        <f t="shared" si="24"/>
        <v/>
      </c>
    </row>
    <row r="329" spans="1:44" x14ac:dyDescent="0.25">
      <c r="A329" s="37"/>
      <c r="B329" s="38"/>
      <c r="C329" s="2"/>
      <c r="D329" s="41"/>
      <c r="E329" s="93"/>
      <c r="F329" s="93"/>
      <c r="G329" s="93"/>
      <c r="H329" s="93"/>
      <c r="I329" s="38"/>
      <c r="J329" s="2"/>
      <c r="K329" s="41"/>
      <c r="L329" s="38"/>
      <c r="M329" s="41"/>
      <c r="N329" s="41"/>
      <c r="O329" s="42"/>
      <c r="P329" s="80"/>
      <c r="Q329" s="80"/>
      <c r="R329" s="87"/>
      <c r="S329" s="87"/>
      <c r="T329" s="87"/>
      <c r="U329" s="108"/>
      <c r="V329" s="87"/>
      <c r="W329" s="108"/>
      <c r="X329" s="87"/>
      <c r="Y329" s="87"/>
      <c r="AI329" s="3" t="str">
        <f>IF(COUNTIF(AC:AC,AA329)*COUNTIF(AE:AE,AA329)*COUNTIF(AG:AG,AA329),AA329,"")</f>
        <v/>
      </c>
      <c r="AJ329" s="3" t="str">
        <f t="shared" si="23"/>
        <v/>
      </c>
      <c r="AR329" s="6" t="str">
        <f t="shared" si="24"/>
        <v/>
      </c>
    </row>
    <row r="330" spans="1:44" x14ac:dyDescent="0.25">
      <c r="A330" s="37"/>
      <c r="B330" s="38"/>
      <c r="C330" s="2"/>
      <c r="D330" s="41"/>
      <c r="E330" s="93"/>
      <c r="F330" s="93"/>
      <c r="G330" s="93"/>
      <c r="H330" s="93"/>
      <c r="I330" s="38"/>
      <c r="J330" s="2"/>
      <c r="K330" s="41"/>
      <c r="L330" s="38"/>
      <c r="M330" s="41"/>
      <c r="N330" s="41"/>
      <c r="O330" s="42"/>
      <c r="P330" s="80"/>
      <c r="Q330" s="80"/>
      <c r="R330" s="87"/>
      <c r="S330" s="87"/>
      <c r="T330" s="87"/>
      <c r="U330" s="108"/>
      <c r="V330" s="87"/>
      <c r="W330" s="108"/>
      <c r="X330" s="87"/>
      <c r="Y330" s="87"/>
      <c r="AI330" s="3" t="str">
        <f>IF(COUNTIF(AC:AC,AA330)*COUNTIF(AE:AE,AA330)*COUNTIF(AG:AG,AA330),AA330,"")</f>
        <v/>
      </c>
      <c r="AJ330" s="3" t="str">
        <f t="shared" si="23"/>
        <v/>
      </c>
      <c r="AR330" s="6" t="str">
        <f t="shared" si="24"/>
        <v/>
      </c>
    </row>
    <row r="331" spans="1:44" x14ac:dyDescent="0.25">
      <c r="A331" s="37"/>
      <c r="B331" s="38"/>
      <c r="C331" s="2"/>
      <c r="D331" s="41"/>
      <c r="E331" s="93"/>
      <c r="F331" s="93"/>
      <c r="G331" s="93"/>
      <c r="H331" s="93"/>
      <c r="I331" s="38"/>
      <c r="J331" s="2"/>
      <c r="K331" s="41"/>
      <c r="L331" s="38"/>
      <c r="M331" s="41"/>
      <c r="N331" s="41"/>
      <c r="O331" s="42"/>
      <c r="P331" s="80"/>
      <c r="Q331" s="80"/>
      <c r="R331" s="87"/>
      <c r="S331" s="87"/>
      <c r="T331" s="87"/>
      <c r="U331" s="108"/>
      <c r="V331" s="87"/>
      <c r="W331" s="108"/>
      <c r="X331" s="87"/>
      <c r="Y331" s="87"/>
      <c r="AI331" s="3" t="str">
        <f>IF(COUNTIF(AC:AC,AA331)*COUNTIF(AE:AE,AA331)*COUNTIF(AG:AG,AA331),AA331,"")</f>
        <v/>
      </c>
      <c r="AJ331" s="3" t="str">
        <f t="shared" si="23"/>
        <v/>
      </c>
      <c r="AR331" s="6" t="str">
        <f t="shared" si="24"/>
        <v/>
      </c>
    </row>
    <row r="332" spans="1:44" x14ac:dyDescent="0.25">
      <c r="A332" s="37"/>
      <c r="B332" s="38"/>
      <c r="C332" s="2"/>
      <c r="D332" s="41"/>
      <c r="E332" s="93"/>
      <c r="F332" s="93"/>
      <c r="G332" s="93"/>
      <c r="H332" s="93"/>
      <c r="I332" s="38"/>
      <c r="J332" s="2"/>
      <c r="K332" s="41"/>
      <c r="L332" s="38"/>
      <c r="M332" s="41"/>
      <c r="N332" s="41"/>
      <c r="O332" s="42"/>
      <c r="P332" s="80"/>
      <c r="Q332" s="80"/>
      <c r="R332" s="87"/>
      <c r="S332" s="87"/>
      <c r="T332" s="87"/>
      <c r="U332" s="108"/>
      <c r="V332" s="87"/>
      <c r="W332" s="108"/>
      <c r="X332" s="87"/>
      <c r="Y332" s="87"/>
      <c r="AI332" s="3" t="str">
        <f>IF(COUNTIF(AC:AC,AA332)*COUNTIF(AE:AE,AA332)*COUNTIF(AG:AG,AA332),AA332,"")</f>
        <v/>
      </c>
      <c r="AJ332" s="3" t="str">
        <f t="shared" si="23"/>
        <v/>
      </c>
      <c r="AR332" s="6" t="str">
        <f t="shared" si="24"/>
        <v/>
      </c>
    </row>
    <row r="333" spans="1:44" x14ac:dyDescent="0.25">
      <c r="A333" s="37"/>
      <c r="B333" s="38"/>
      <c r="C333" s="2"/>
      <c r="D333" s="41"/>
      <c r="E333" s="93"/>
      <c r="F333" s="93"/>
      <c r="G333" s="93"/>
      <c r="H333" s="93"/>
      <c r="I333" s="38"/>
      <c r="J333" s="2"/>
      <c r="K333" s="41"/>
      <c r="L333" s="38"/>
      <c r="M333" s="41"/>
      <c r="N333" s="41"/>
      <c r="O333" s="42"/>
      <c r="P333" s="80"/>
      <c r="Q333" s="80"/>
      <c r="R333" s="87"/>
      <c r="S333" s="87"/>
      <c r="T333" s="87"/>
      <c r="U333" s="108"/>
      <c r="V333" s="87"/>
      <c r="W333" s="108"/>
      <c r="X333" s="87"/>
      <c r="Y333" s="87"/>
      <c r="AI333" s="3" t="str">
        <f>IF(COUNTIF(AC:AC,AA333)*COUNTIF(AE:AE,AA333)*COUNTIF(AG:AG,AA333),AA333,"")</f>
        <v/>
      </c>
      <c r="AJ333" s="3" t="str">
        <f t="shared" si="23"/>
        <v/>
      </c>
      <c r="AR333" s="6" t="str">
        <f t="shared" si="24"/>
        <v/>
      </c>
    </row>
    <row r="334" spans="1:44" x14ac:dyDescent="0.25">
      <c r="A334" s="37"/>
      <c r="B334" s="38"/>
      <c r="C334" s="2"/>
      <c r="D334" s="41"/>
      <c r="E334" s="93"/>
      <c r="F334" s="93"/>
      <c r="G334" s="93"/>
      <c r="H334" s="93"/>
      <c r="I334" s="38"/>
      <c r="J334" s="2"/>
      <c r="K334" s="41"/>
      <c r="L334" s="38"/>
      <c r="M334" s="41"/>
      <c r="N334" s="41"/>
      <c r="O334" s="42"/>
      <c r="P334" s="80"/>
      <c r="Q334" s="80"/>
      <c r="R334" s="87"/>
      <c r="S334" s="87"/>
      <c r="T334" s="87"/>
      <c r="U334" s="108"/>
      <c r="V334" s="87"/>
      <c r="W334" s="108"/>
      <c r="X334" s="87"/>
      <c r="Y334" s="87"/>
      <c r="AI334" s="3" t="str">
        <f>IF(COUNTIF(AC:AC,AA334)*COUNTIF(AE:AE,AA334)*COUNTIF(AG:AG,AA334),AA334,"")</f>
        <v/>
      </c>
      <c r="AJ334" s="3" t="str">
        <f t="shared" si="23"/>
        <v/>
      </c>
      <c r="AR334" s="6" t="str">
        <f t="shared" si="24"/>
        <v/>
      </c>
    </row>
    <row r="335" spans="1:44" x14ac:dyDescent="0.25">
      <c r="A335" s="37"/>
      <c r="B335" s="38"/>
      <c r="C335" s="2"/>
      <c r="D335" s="41"/>
      <c r="E335" s="93"/>
      <c r="F335" s="93"/>
      <c r="G335" s="93"/>
      <c r="H335" s="93"/>
      <c r="I335" s="38"/>
      <c r="J335" s="2"/>
      <c r="K335" s="41"/>
      <c r="L335" s="38"/>
      <c r="M335" s="41"/>
      <c r="N335" s="41"/>
      <c r="O335" s="42"/>
      <c r="P335" s="80"/>
      <c r="Q335" s="80"/>
      <c r="R335" s="87"/>
      <c r="S335" s="87"/>
      <c r="T335" s="87"/>
      <c r="U335" s="108"/>
      <c r="V335" s="87"/>
      <c r="W335" s="108"/>
      <c r="X335" s="87"/>
      <c r="Y335" s="87"/>
      <c r="AI335" s="3" t="str">
        <f>IF(COUNTIF(AC:AC,AA335)*COUNTIF(AE:AE,AA335)*COUNTIF(AG:AG,AA335),AA335,"")</f>
        <v/>
      </c>
      <c r="AJ335" s="3" t="str">
        <f t="shared" si="23"/>
        <v/>
      </c>
      <c r="AR335" s="6" t="str">
        <f t="shared" si="24"/>
        <v/>
      </c>
    </row>
    <row r="336" spans="1:44" x14ac:dyDescent="0.25">
      <c r="A336" s="37"/>
      <c r="B336" s="38"/>
      <c r="C336" s="2"/>
      <c r="D336" s="41"/>
      <c r="E336" s="93"/>
      <c r="F336" s="93"/>
      <c r="G336" s="93"/>
      <c r="H336" s="93"/>
      <c r="I336" s="38"/>
      <c r="J336" s="2"/>
      <c r="K336" s="41"/>
      <c r="L336" s="38"/>
      <c r="M336" s="41"/>
      <c r="N336" s="41"/>
      <c r="O336" s="42"/>
      <c r="P336" s="80"/>
      <c r="Q336" s="80"/>
      <c r="R336" s="87"/>
      <c r="S336" s="87"/>
      <c r="T336" s="87"/>
      <c r="U336" s="108"/>
      <c r="V336" s="87"/>
      <c r="W336" s="108"/>
      <c r="X336" s="87"/>
      <c r="Y336" s="87"/>
      <c r="AI336" s="3" t="str">
        <f>IF(COUNTIF(AC:AC,AA336)*COUNTIF(AE:AE,AA336)*COUNTIF(AG:AG,AA336),AA336,"")</f>
        <v/>
      </c>
      <c r="AJ336" s="3" t="str">
        <f t="shared" si="23"/>
        <v/>
      </c>
      <c r="AR336" s="6" t="str">
        <f t="shared" si="24"/>
        <v/>
      </c>
    </row>
    <row r="337" spans="1:44" x14ac:dyDescent="0.25">
      <c r="A337" s="37"/>
      <c r="B337" s="38"/>
      <c r="C337" s="2"/>
      <c r="D337" s="41"/>
      <c r="E337" s="93"/>
      <c r="F337" s="93"/>
      <c r="G337" s="93"/>
      <c r="H337" s="93"/>
      <c r="I337" s="38"/>
      <c r="J337" s="2"/>
      <c r="K337" s="41"/>
      <c r="L337" s="38"/>
      <c r="M337" s="41"/>
      <c r="N337" s="41"/>
      <c r="O337" s="42"/>
      <c r="P337" s="80"/>
      <c r="Q337" s="80"/>
      <c r="R337" s="87"/>
      <c r="S337" s="87"/>
      <c r="T337" s="87"/>
      <c r="U337" s="108"/>
      <c r="V337" s="87"/>
      <c r="W337" s="108"/>
      <c r="X337" s="87"/>
      <c r="Y337" s="87"/>
      <c r="AI337" s="3" t="str">
        <f>IF(COUNTIF(AC:AC,AA337)*COUNTIF(AE:AE,AA337)*COUNTIF(AG:AG,AA337),AA337,"")</f>
        <v/>
      </c>
      <c r="AJ337" s="3" t="str">
        <f t="shared" si="23"/>
        <v/>
      </c>
      <c r="AR337" s="6" t="str">
        <f t="shared" si="24"/>
        <v/>
      </c>
    </row>
    <row r="338" spans="1:44" x14ac:dyDescent="0.25">
      <c r="A338" s="37"/>
      <c r="B338" s="38"/>
      <c r="C338" s="2"/>
      <c r="D338" s="41"/>
      <c r="E338" s="93"/>
      <c r="F338" s="93"/>
      <c r="G338" s="93"/>
      <c r="H338" s="93"/>
      <c r="I338" s="38"/>
      <c r="J338" s="2"/>
      <c r="K338" s="41"/>
      <c r="L338" s="38"/>
      <c r="M338" s="41"/>
      <c r="N338" s="41"/>
      <c r="O338" s="42"/>
      <c r="P338" s="80"/>
      <c r="Q338" s="80"/>
      <c r="R338" s="87"/>
      <c r="S338" s="87"/>
      <c r="T338" s="87"/>
      <c r="U338" s="108"/>
      <c r="V338" s="87"/>
      <c r="W338" s="108"/>
      <c r="X338" s="87"/>
      <c r="Y338" s="87"/>
      <c r="AI338" s="3" t="str">
        <f>IF(COUNTIF(AC:AC,AA338)*COUNTIF(AE:AE,AA338)*COUNTIF(AG:AG,AA338),AA338,"")</f>
        <v/>
      </c>
      <c r="AJ338" s="3" t="str">
        <f t="shared" si="23"/>
        <v/>
      </c>
      <c r="AR338" s="6" t="str">
        <f t="shared" si="24"/>
        <v/>
      </c>
    </row>
    <row r="339" spans="1:44" x14ac:dyDescent="0.25">
      <c r="A339" s="37"/>
      <c r="B339" s="38"/>
      <c r="C339" s="2"/>
      <c r="D339" s="41"/>
      <c r="E339" s="93"/>
      <c r="F339" s="93"/>
      <c r="G339" s="93"/>
      <c r="H339" s="93"/>
      <c r="I339" s="38"/>
      <c r="J339" s="2"/>
      <c r="K339" s="41"/>
      <c r="L339" s="38"/>
      <c r="M339" s="41"/>
      <c r="N339" s="41"/>
      <c r="O339" s="42"/>
      <c r="P339" s="80"/>
      <c r="Q339" s="80"/>
      <c r="R339" s="87"/>
      <c r="S339" s="87"/>
      <c r="T339" s="87"/>
      <c r="U339" s="108"/>
      <c r="V339" s="87"/>
      <c r="W339" s="108"/>
      <c r="X339" s="87"/>
      <c r="Y339" s="87"/>
      <c r="AI339" s="3" t="str">
        <f>IF(COUNTIF(AC:AC,AA339)*COUNTIF(AE:AE,AA339)*COUNTIF(AG:AG,AA339),AA339,"")</f>
        <v/>
      </c>
      <c r="AJ339" s="3" t="str">
        <f t="shared" si="23"/>
        <v/>
      </c>
      <c r="AR339" s="6" t="str">
        <f t="shared" si="24"/>
        <v/>
      </c>
    </row>
    <row r="340" spans="1:44" x14ac:dyDescent="0.25">
      <c r="A340" s="37"/>
      <c r="B340" s="38"/>
      <c r="C340" s="2"/>
      <c r="D340" s="41"/>
      <c r="E340" s="93"/>
      <c r="F340" s="93"/>
      <c r="G340" s="93"/>
      <c r="H340" s="93"/>
      <c r="I340" s="38"/>
      <c r="J340" s="2"/>
      <c r="K340" s="41"/>
      <c r="L340" s="38"/>
      <c r="M340" s="41"/>
      <c r="N340" s="41"/>
      <c r="O340" s="42"/>
      <c r="P340" s="80"/>
      <c r="Q340" s="80"/>
      <c r="R340" s="87"/>
      <c r="S340" s="87"/>
      <c r="T340" s="87"/>
      <c r="U340" s="108"/>
      <c r="V340" s="87"/>
      <c r="W340" s="108"/>
      <c r="X340" s="87"/>
      <c r="Y340" s="87"/>
      <c r="AI340" s="3" t="str">
        <f>IF(COUNTIF(AC:AC,AA340)*COUNTIF(AE:AE,AA340)*COUNTIF(AG:AG,AA340),AA340,"")</f>
        <v/>
      </c>
      <c r="AJ340" s="3" t="str">
        <f t="shared" si="23"/>
        <v/>
      </c>
      <c r="AR340" s="6" t="str">
        <f t="shared" si="24"/>
        <v/>
      </c>
    </row>
    <row r="341" spans="1:44" x14ac:dyDescent="0.25">
      <c r="A341" s="37"/>
      <c r="B341" s="38"/>
      <c r="C341" s="2"/>
      <c r="D341" s="41"/>
      <c r="E341" s="93"/>
      <c r="F341" s="93"/>
      <c r="G341" s="93"/>
      <c r="H341" s="93"/>
      <c r="I341" s="38"/>
      <c r="J341" s="2"/>
      <c r="K341" s="41"/>
      <c r="L341" s="38"/>
      <c r="M341" s="41"/>
      <c r="N341" s="41"/>
      <c r="O341" s="42"/>
      <c r="P341" s="80"/>
      <c r="Q341" s="80"/>
      <c r="R341" s="87"/>
      <c r="S341" s="87"/>
      <c r="T341" s="87"/>
      <c r="U341" s="108"/>
      <c r="V341" s="87"/>
      <c r="W341" s="108"/>
      <c r="X341" s="87"/>
      <c r="Y341" s="87"/>
      <c r="AI341" s="3" t="str">
        <f>IF(COUNTIF(AC:AC,AA341)*COUNTIF(AE:AE,AA341)*COUNTIF(AG:AG,AA341),AA341,"")</f>
        <v/>
      </c>
      <c r="AJ341" s="3" t="str">
        <f t="shared" si="23"/>
        <v/>
      </c>
      <c r="AR341" s="6" t="str">
        <f t="shared" si="24"/>
        <v/>
      </c>
    </row>
    <row r="342" spans="1:44" x14ac:dyDescent="0.25">
      <c r="A342" s="37"/>
      <c r="B342" s="38"/>
      <c r="C342" s="2"/>
      <c r="D342" s="41"/>
      <c r="E342" s="93"/>
      <c r="F342" s="93"/>
      <c r="G342" s="93"/>
      <c r="H342" s="93"/>
      <c r="I342" s="38"/>
      <c r="J342" s="2"/>
      <c r="K342" s="41"/>
      <c r="L342" s="38"/>
      <c r="M342" s="41"/>
      <c r="N342" s="41"/>
      <c r="O342" s="42"/>
      <c r="P342" s="80"/>
      <c r="Q342" s="80"/>
      <c r="R342" s="87"/>
      <c r="S342" s="87"/>
      <c r="T342" s="87"/>
      <c r="U342" s="108"/>
      <c r="V342" s="87"/>
      <c r="W342" s="108"/>
      <c r="X342" s="87"/>
      <c r="Y342" s="87"/>
      <c r="AI342" s="3" t="str">
        <f>IF(COUNTIF(AC:AC,AA342)*COUNTIF(AE:AE,AA342)*COUNTIF(AG:AG,AA342),AA342,"")</f>
        <v/>
      </c>
      <c r="AJ342" s="3" t="str">
        <f t="shared" si="23"/>
        <v/>
      </c>
      <c r="AR342" s="6" t="str">
        <f t="shared" si="24"/>
        <v/>
      </c>
    </row>
    <row r="343" spans="1:44" x14ac:dyDescent="0.25">
      <c r="A343" s="37"/>
      <c r="B343" s="38"/>
      <c r="C343" s="2"/>
      <c r="D343" s="41"/>
      <c r="E343" s="93"/>
      <c r="F343" s="93"/>
      <c r="G343" s="93"/>
      <c r="H343" s="93"/>
      <c r="I343" s="38"/>
      <c r="J343" s="2"/>
      <c r="K343" s="41"/>
      <c r="L343" s="38"/>
      <c r="M343" s="41"/>
      <c r="N343" s="41"/>
      <c r="O343" s="42"/>
      <c r="P343" s="80"/>
      <c r="Q343" s="80"/>
      <c r="R343" s="87"/>
      <c r="S343" s="87"/>
      <c r="T343" s="87"/>
      <c r="U343" s="108"/>
      <c r="V343" s="87"/>
      <c r="W343" s="108"/>
      <c r="X343" s="87"/>
      <c r="Y343" s="87"/>
      <c r="AI343" s="3" t="str">
        <f>IF(COUNTIF(AC:AC,AA343)*COUNTIF(AE:AE,AA343)*COUNTIF(AG:AG,AA343),AA343,"")</f>
        <v/>
      </c>
      <c r="AJ343" s="3" t="str">
        <f t="shared" si="23"/>
        <v/>
      </c>
      <c r="AR343" s="6" t="str">
        <f t="shared" si="24"/>
        <v/>
      </c>
    </row>
    <row r="344" spans="1:44" x14ac:dyDescent="0.25">
      <c r="A344" s="37"/>
      <c r="B344" s="38"/>
      <c r="C344" s="2"/>
      <c r="D344" s="41"/>
      <c r="E344" s="93"/>
      <c r="F344" s="93"/>
      <c r="G344" s="93"/>
      <c r="H344" s="93"/>
      <c r="I344" s="38"/>
      <c r="J344" s="2"/>
      <c r="K344" s="41"/>
      <c r="L344" s="38"/>
      <c r="M344" s="41"/>
      <c r="N344" s="41"/>
      <c r="O344" s="42"/>
      <c r="P344" s="80"/>
      <c r="Q344" s="80"/>
      <c r="R344" s="87"/>
      <c r="S344" s="87"/>
      <c r="T344" s="87"/>
      <c r="U344" s="108"/>
      <c r="V344" s="87"/>
      <c r="W344" s="108"/>
      <c r="X344" s="87"/>
      <c r="Y344" s="87"/>
      <c r="AI344" s="3" t="str">
        <f>IF(COUNTIF(AC:AC,AA344)*COUNTIF(AE:AE,AA344)*COUNTIF(AG:AG,AA344),AA344,"")</f>
        <v/>
      </c>
      <c r="AJ344" s="3" t="str">
        <f t="shared" si="23"/>
        <v/>
      </c>
      <c r="AR344" s="6" t="str">
        <f t="shared" si="24"/>
        <v/>
      </c>
    </row>
    <row r="345" spans="1:44" x14ac:dyDescent="0.25">
      <c r="A345" s="37"/>
      <c r="B345" s="38"/>
      <c r="C345" s="2"/>
      <c r="D345" s="41"/>
      <c r="E345" s="93"/>
      <c r="F345" s="93"/>
      <c r="G345" s="93"/>
      <c r="H345" s="93"/>
      <c r="I345" s="38"/>
      <c r="J345" s="2"/>
      <c r="K345" s="41"/>
      <c r="L345" s="38"/>
      <c r="M345" s="41"/>
      <c r="N345" s="41"/>
      <c r="O345" s="42"/>
      <c r="P345" s="80"/>
      <c r="Q345" s="80"/>
      <c r="R345" s="87"/>
      <c r="S345" s="87"/>
      <c r="T345" s="87"/>
      <c r="U345" s="108"/>
      <c r="V345" s="87"/>
      <c r="W345" s="108"/>
      <c r="X345" s="87"/>
      <c r="Y345" s="87"/>
      <c r="AI345" s="3" t="str">
        <f>IF(COUNTIF(AC:AC,AA345)*COUNTIF(AE:AE,AA345)*COUNTIF(AG:AG,AA345),AA345,"")</f>
        <v/>
      </c>
      <c r="AJ345" s="3" t="str">
        <f t="shared" si="23"/>
        <v/>
      </c>
      <c r="AR345" s="6" t="str">
        <f t="shared" si="24"/>
        <v/>
      </c>
    </row>
    <row r="346" spans="1:44" x14ac:dyDescent="0.25">
      <c r="A346" s="37"/>
      <c r="B346" s="38"/>
      <c r="C346" s="2"/>
      <c r="D346" s="41"/>
      <c r="E346" s="93"/>
      <c r="F346" s="93"/>
      <c r="G346" s="93"/>
      <c r="H346" s="93"/>
      <c r="I346" s="38"/>
      <c r="J346" s="2"/>
      <c r="K346" s="41"/>
      <c r="L346" s="38"/>
      <c r="M346" s="41"/>
      <c r="N346" s="41"/>
      <c r="O346" s="42"/>
      <c r="P346" s="80"/>
      <c r="Q346" s="80"/>
      <c r="R346" s="87"/>
      <c r="S346" s="87"/>
      <c r="T346" s="87"/>
      <c r="U346" s="108"/>
      <c r="V346" s="87"/>
      <c r="W346" s="108"/>
      <c r="X346" s="87"/>
      <c r="Y346" s="87"/>
      <c r="AI346" s="3" t="str">
        <f>IF(COUNTIF(AC:AC,AA346)*COUNTIF(AE:AE,AA346)*COUNTIF(AG:AG,AA346),AA346,"")</f>
        <v/>
      </c>
      <c r="AJ346" s="3" t="str">
        <f t="shared" si="23"/>
        <v/>
      </c>
      <c r="AR346" s="6" t="str">
        <f t="shared" si="24"/>
        <v/>
      </c>
    </row>
    <row r="347" spans="1:44" x14ac:dyDescent="0.25">
      <c r="A347" s="37"/>
      <c r="B347" s="38"/>
      <c r="C347" s="2"/>
      <c r="D347" s="41"/>
      <c r="E347" s="93"/>
      <c r="F347" s="93"/>
      <c r="G347" s="93"/>
      <c r="H347" s="93"/>
      <c r="I347" s="38"/>
      <c r="J347" s="2"/>
      <c r="K347" s="41"/>
      <c r="L347" s="38"/>
      <c r="M347" s="41"/>
      <c r="N347" s="41"/>
      <c r="O347" s="42"/>
      <c r="P347" s="80"/>
      <c r="Q347" s="80"/>
      <c r="R347" s="87"/>
      <c r="S347" s="87"/>
      <c r="T347" s="87"/>
      <c r="U347" s="108"/>
      <c r="V347" s="87"/>
      <c r="W347" s="108"/>
      <c r="X347" s="87"/>
      <c r="Y347" s="87"/>
      <c r="AI347" s="3" t="str">
        <f>IF(COUNTIF(AC:AC,AA347)*COUNTIF(AE:AE,AA347)*COUNTIF(AG:AG,AA347),AA347,"")</f>
        <v/>
      </c>
      <c r="AJ347" s="3" t="str">
        <f t="shared" si="23"/>
        <v/>
      </c>
      <c r="AR347" s="6" t="str">
        <f t="shared" si="24"/>
        <v/>
      </c>
    </row>
    <row r="348" spans="1:44" x14ac:dyDescent="0.25">
      <c r="A348" s="37"/>
      <c r="B348" s="38"/>
      <c r="C348" s="2"/>
      <c r="D348" s="41"/>
      <c r="E348" s="93"/>
      <c r="F348" s="93"/>
      <c r="G348" s="93"/>
      <c r="H348" s="93"/>
      <c r="I348" s="38"/>
      <c r="J348" s="2"/>
      <c r="K348" s="41"/>
      <c r="L348" s="38"/>
      <c r="M348" s="41"/>
      <c r="N348" s="41"/>
      <c r="O348" s="42"/>
      <c r="P348" s="80"/>
      <c r="Q348" s="80"/>
      <c r="R348" s="87"/>
      <c r="S348" s="87"/>
      <c r="T348" s="87"/>
      <c r="U348" s="108"/>
      <c r="V348" s="87"/>
      <c r="W348" s="108"/>
      <c r="X348" s="87"/>
      <c r="Y348" s="87"/>
      <c r="AI348" s="3" t="str">
        <f>IF(COUNTIF(AC:AC,AA348)*COUNTIF(AE:AE,AA348)*COUNTIF(AG:AG,AA348),AA348,"")</f>
        <v/>
      </c>
      <c r="AJ348" s="3" t="str">
        <f t="shared" si="23"/>
        <v/>
      </c>
      <c r="AR348" s="6" t="str">
        <f t="shared" si="24"/>
        <v/>
      </c>
    </row>
    <row r="349" spans="1:44" x14ac:dyDescent="0.25">
      <c r="A349" s="37"/>
      <c r="B349" s="38"/>
      <c r="C349" s="2"/>
      <c r="D349" s="41"/>
      <c r="E349" s="93"/>
      <c r="F349" s="93"/>
      <c r="G349" s="93"/>
      <c r="H349" s="93"/>
      <c r="I349" s="38"/>
      <c r="J349" s="2"/>
      <c r="K349" s="41"/>
      <c r="L349" s="38"/>
      <c r="M349" s="41"/>
      <c r="N349" s="41"/>
      <c r="O349" s="42"/>
      <c r="P349" s="80"/>
      <c r="Q349" s="80"/>
      <c r="R349" s="87"/>
      <c r="S349" s="87"/>
      <c r="T349" s="87"/>
      <c r="U349" s="108"/>
      <c r="V349" s="87"/>
      <c r="W349" s="108"/>
      <c r="X349" s="87"/>
      <c r="Y349" s="87"/>
      <c r="AI349" s="3" t="str">
        <f>IF(COUNTIF(AC:AC,AA349)*COUNTIF(AE:AE,AA349)*COUNTIF(AG:AG,AA349),AA349,"")</f>
        <v/>
      </c>
      <c r="AJ349" s="3" t="str">
        <f t="shared" si="23"/>
        <v/>
      </c>
      <c r="AR349" s="6" t="str">
        <f t="shared" si="24"/>
        <v/>
      </c>
    </row>
    <row r="350" spans="1:44" x14ac:dyDescent="0.25">
      <c r="A350" s="37"/>
      <c r="B350" s="38"/>
      <c r="C350" s="2"/>
      <c r="D350" s="41"/>
      <c r="E350" s="93"/>
      <c r="F350" s="93"/>
      <c r="G350" s="93"/>
      <c r="H350" s="93"/>
      <c r="I350" s="38"/>
      <c r="J350" s="2"/>
      <c r="K350" s="41"/>
      <c r="L350" s="38"/>
      <c r="M350" s="41"/>
      <c r="N350" s="41"/>
      <c r="O350" s="42"/>
      <c r="P350" s="80"/>
      <c r="Q350" s="80"/>
      <c r="R350" s="87"/>
      <c r="S350" s="87"/>
      <c r="T350" s="87"/>
      <c r="U350" s="108"/>
      <c r="V350" s="87"/>
      <c r="W350" s="108"/>
      <c r="X350" s="87"/>
      <c r="Y350" s="87"/>
      <c r="AI350" s="3" t="str">
        <f>IF(COUNTIF(AC:AC,AA350)*COUNTIF(AE:AE,AA350)*COUNTIF(AG:AG,AA350),AA350,"")</f>
        <v/>
      </c>
      <c r="AJ350" s="3" t="str">
        <f t="shared" si="23"/>
        <v/>
      </c>
      <c r="AR350" s="6" t="str">
        <f t="shared" si="24"/>
        <v/>
      </c>
    </row>
    <row r="351" spans="1:44" x14ac:dyDescent="0.25">
      <c r="A351" s="37"/>
      <c r="B351" s="38"/>
      <c r="C351" s="2"/>
      <c r="D351" s="41"/>
      <c r="E351" s="93"/>
      <c r="F351" s="93"/>
      <c r="G351" s="93"/>
      <c r="H351" s="93"/>
      <c r="I351" s="38"/>
      <c r="J351" s="2"/>
      <c r="K351" s="41"/>
      <c r="L351" s="38"/>
      <c r="M351" s="41"/>
      <c r="N351" s="41"/>
      <c r="O351" s="42"/>
      <c r="P351" s="80"/>
      <c r="Q351" s="80"/>
      <c r="R351" s="87"/>
      <c r="S351" s="87"/>
      <c r="T351" s="87"/>
      <c r="U351" s="108"/>
      <c r="V351" s="87"/>
      <c r="W351" s="108"/>
      <c r="X351" s="87"/>
      <c r="Y351" s="87"/>
      <c r="AI351" s="3" t="str">
        <f>IF(COUNTIF(AC:AC,AA351)*COUNTIF(AE:AE,AA351)*COUNTIF(AG:AG,AA351),AA351,"")</f>
        <v/>
      </c>
      <c r="AJ351" s="3" t="str">
        <f t="shared" si="23"/>
        <v/>
      </c>
      <c r="AR351" s="6" t="str">
        <f t="shared" si="24"/>
        <v/>
      </c>
    </row>
    <row r="352" spans="1:44" x14ac:dyDescent="0.25">
      <c r="A352" s="37"/>
      <c r="B352" s="38"/>
      <c r="C352" s="2"/>
      <c r="D352" s="41"/>
      <c r="E352" s="93"/>
      <c r="F352" s="93"/>
      <c r="G352" s="93"/>
      <c r="H352" s="93"/>
      <c r="I352" s="38"/>
      <c r="J352" s="2"/>
      <c r="K352" s="41"/>
      <c r="L352" s="38"/>
      <c r="M352" s="41"/>
      <c r="N352" s="41"/>
      <c r="O352" s="42"/>
      <c r="P352" s="80"/>
      <c r="Q352" s="80"/>
      <c r="R352" s="87"/>
      <c r="S352" s="87"/>
      <c r="T352" s="87"/>
      <c r="U352" s="108"/>
      <c r="V352" s="87"/>
      <c r="W352" s="108"/>
      <c r="X352" s="87"/>
      <c r="Y352" s="87"/>
      <c r="AI352" s="3" t="str">
        <f>IF(COUNTIF(AC:AC,AA352)*COUNTIF(AE:AE,AA352)*COUNTIF(AG:AG,AA352),AA352,"")</f>
        <v/>
      </c>
      <c r="AJ352" s="3" t="str">
        <f t="shared" si="23"/>
        <v/>
      </c>
      <c r="AR352" s="6" t="str">
        <f t="shared" si="24"/>
        <v/>
      </c>
    </row>
    <row r="353" spans="1:44" x14ac:dyDescent="0.25">
      <c r="A353" s="37"/>
      <c r="B353" s="38"/>
      <c r="C353" s="2"/>
      <c r="D353" s="41"/>
      <c r="E353" s="93"/>
      <c r="F353" s="93"/>
      <c r="G353" s="93"/>
      <c r="H353" s="93"/>
      <c r="I353" s="38"/>
      <c r="J353" s="2"/>
      <c r="K353" s="41"/>
      <c r="L353" s="38"/>
      <c r="M353" s="41"/>
      <c r="N353" s="41"/>
      <c r="O353" s="42"/>
      <c r="P353" s="80"/>
      <c r="Q353" s="80"/>
      <c r="R353" s="87"/>
      <c r="S353" s="87"/>
      <c r="T353" s="87"/>
      <c r="U353" s="108"/>
      <c r="V353" s="87"/>
      <c r="W353" s="108"/>
      <c r="X353" s="87"/>
      <c r="Y353" s="87"/>
      <c r="AI353" s="3" t="str">
        <f>IF(COUNTIF(AC:AC,AA353)*COUNTIF(AE:AE,AA353)*COUNTIF(AG:AG,AA353),AA353,"")</f>
        <v/>
      </c>
      <c r="AJ353" s="3" t="str">
        <f t="shared" si="23"/>
        <v/>
      </c>
      <c r="AR353" s="6" t="str">
        <f t="shared" si="24"/>
        <v/>
      </c>
    </row>
    <row r="354" spans="1:44" x14ac:dyDescent="0.25">
      <c r="A354" s="37"/>
      <c r="B354" s="38"/>
      <c r="C354" s="2"/>
      <c r="D354" s="41"/>
      <c r="E354" s="93"/>
      <c r="F354" s="93"/>
      <c r="G354" s="93"/>
      <c r="H354" s="93"/>
      <c r="I354" s="38"/>
      <c r="J354" s="2"/>
      <c r="K354" s="41"/>
      <c r="L354" s="38"/>
      <c r="M354" s="41"/>
      <c r="N354" s="41"/>
      <c r="O354" s="42"/>
      <c r="P354" s="80"/>
      <c r="Q354" s="80"/>
      <c r="R354" s="87"/>
      <c r="S354" s="87"/>
      <c r="T354" s="87"/>
      <c r="U354" s="108"/>
      <c r="V354" s="87"/>
      <c r="W354" s="108"/>
      <c r="X354" s="87"/>
      <c r="Y354" s="87"/>
      <c r="AI354" s="3" t="str">
        <f>IF(COUNTIF(AC:AC,AA354)*COUNTIF(AE:AE,AA354)*COUNTIF(AG:AG,AA354),AA354,"")</f>
        <v/>
      </c>
      <c r="AJ354" s="3" t="str">
        <f t="shared" si="23"/>
        <v/>
      </c>
      <c r="AR354" s="6" t="str">
        <f t="shared" si="24"/>
        <v/>
      </c>
    </row>
    <row r="355" spans="1:44" x14ac:dyDescent="0.25">
      <c r="A355" s="37"/>
      <c r="B355" s="38"/>
      <c r="C355" s="2"/>
      <c r="D355" s="41"/>
      <c r="E355" s="93"/>
      <c r="F355" s="93"/>
      <c r="G355" s="93"/>
      <c r="H355" s="93"/>
      <c r="I355" s="38"/>
      <c r="J355" s="2"/>
      <c r="K355" s="41"/>
      <c r="L355" s="38"/>
      <c r="M355" s="41"/>
      <c r="N355" s="41"/>
      <c r="O355" s="42"/>
      <c r="P355" s="80"/>
      <c r="Q355" s="80"/>
      <c r="R355" s="87"/>
      <c r="S355" s="87"/>
      <c r="T355" s="87"/>
      <c r="U355" s="108"/>
      <c r="V355" s="87"/>
      <c r="W355" s="108"/>
      <c r="X355" s="87"/>
      <c r="Y355" s="87"/>
      <c r="AI355" s="3" t="str">
        <f>IF(COUNTIF(AC:AC,AA355)*COUNTIF(AE:AE,AA355)*COUNTIF(AG:AG,AA355),AA355,"")</f>
        <v/>
      </c>
      <c r="AJ355" s="3" t="str">
        <f t="shared" si="23"/>
        <v/>
      </c>
      <c r="AR355" s="6" t="str">
        <f t="shared" si="24"/>
        <v/>
      </c>
    </row>
    <row r="356" spans="1:44" x14ac:dyDescent="0.25">
      <c r="A356" s="37"/>
      <c r="B356" s="38"/>
      <c r="C356" s="2"/>
      <c r="D356" s="41"/>
      <c r="E356" s="93"/>
      <c r="F356" s="93"/>
      <c r="G356" s="93"/>
      <c r="H356" s="93"/>
      <c r="I356" s="38"/>
      <c r="J356" s="2"/>
      <c r="K356" s="41"/>
      <c r="L356" s="38"/>
      <c r="M356" s="41"/>
      <c r="N356" s="41"/>
      <c r="O356" s="42"/>
      <c r="P356" s="80"/>
      <c r="Q356" s="80"/>
      <c r="R356" s="87"/>
      <c r="S356" s="87"/>
      <c r="T356" s="87"/>
      <c r="U356" s="108"/>
      <c r="V356" s="87"/>
      <c r="W356" s="108"/>
      <c r="X356" s="87"/>
      <c r="Y356" s="87"/>
      <c r="AI356" s="3" t="str">
        <f>IF(COUNTIF(AC:AC,AA356)*COUNTIF(AE:AE,AA356)*COUNTIF(AG:AG,AA356),AA356,"")</f>
        <v/>
      </c>
      <c r="AJ356" s="3" t="str">
        <f t="shared" si="23"/>
        <v/>
      </c>
      <c r="AR356" s="6" t="str">
        <f t="shared" si="24"/>
        <v/>
      </c>
    </row>
    <row r="357" spans="1:44" x14ac:dyDescent="0.25">
      <c r="A357" s="37"/>
      <c r="B357" s="38"/>
      <c r="C357" s="2"/>
      <c r="D357" s="41"/>
      <c r="E357" s="93"/>
      <c r="F357" s="93"/>
      <c r="G357" s="93"/>
      <c r="H357" s="93"/>
      <c r="I357" s="38"/>
      <c r="J357" s="2"/>
      <c r="K357" s="41"/>
      <c r="L357" s="38"/>
      <c r="M357" s="41"/>
      <c r="N357" s="41"/>
      <c r="O357" s="42"/>
      <c r="P357" s="80"/>
      <c r="Q357" s="80"/>
      <c r="R357" s="87"/>
      <c r="S357" s="87"/>
      <c r="T357" s="87"/>
      <c r="U357" s="108"/>
      <c r="V357" s="87"/>
      <c r="W357" s="108"/>
      <c r="X357" s="87"/>
      <c r="Y357" s="87"/>
      <c r="AI357" s="3" t="str">
        <f>IF(COUNTIF(AC:AC,AA357)*COUNTIF(AE:AE,AA357)*COUNTIF(AG:AG,AA357),AA357,"")</f>
        <v/>
      </c>
      <c r="AJ357" s="3" t="str">
        <f t="shared" si="23"/>
        <v/>
      </c>
      <c r="AR357" s="6" t="str">
        <f t="shared" si="24"/>
        <v/>
      </c>
    </row>
    <row r="358" spans="1:44" x14ac:dyDescent="0.25">
      <c r="A358" s="37"/>
      <c r="B358" s="38"/>
      <c r="C358" s="2"/>
      <c r="D358" s="41"/>
      <c r="E358" s="93"/>
      <c r="F358" s="93"/>
      <c r="G358" s="93"/>
      <c r="H358" s="93"/>
      <c r="I358" s="38"/>
      <c r="J358" s="2"/>
      <c r="K358" s="41"/>
      <c r="L358" s="38"/>
      <c r="M358" s="41"/>
      <c r="N358" s="41"/>
      <c r="O358" s="42"/>
      <c r="P358" s="80"/>
      <c r="Q358" s="80"/>
      <c r="R358" s="87"/>
      <c r="S358" s="87"/>
      <c r="T358" s="87"/>
      <c r="U358" s="108"/>
      <c r="V358" s="87"/>
      <c r="W358" s="108"/>
      <c r="X358" s="87"/>
      <c r="Y358" s="87"/>
      <c r="AI358" s="3" t="str">
        <f>IF(COUNTIF(AC:AC,AA358)*COUNTIF(AE:AE,AA358)*COUNTIF(AG:AG,AA358),AA358,"")</f>
        <v/>
      </c>
      <c r="AJ358" s="3" t="str">
        <f t="shared" si="23"/>
        <v/>
      </c>
      <c r="AR358" s="6" t="str">
        <f t="shared" si="24"/>
        <v/>
      </c>
    </row>
    <row r="359" spans="1:44" x14ac:dyDescent="0.25">
      <c r="A359" s="37"/>
      <c r="B359" s="38"/>
      <c r="C359" s="2"/>
      <c r="D359" s="41"/>
      <c r="E359" s="93"/>
      <c r="F359" s="93"/>
      <c r="G359" s="93"/>
      <c r="H359" s="93"/>
      <c r="I359" s="38"/>
      <c r="J359" s="2"/>
      <c r="K359" s="41"/>
      <c r="L359" s="38"/>
      <c r="M359" s="41"/>
      <c r="N359" s="41"/>
      <c r="O359" s="42"/>
      <c r="P359" s="80"/>
      <c r="Q359" s="80"/>
      <c r="R359" s="87"/>
      <c r="S359" s="87"/>
      <c r="T359" s="87"/>
      <c r="U359" s="108"/>
      <c r="V359" s="87"/>
      <c r="W359" s="108"/>
      <c r="X359" s="87"/>
      <c r="Y359" s="87"/>
      <c r="AI359" s="3" t="str">
        <f>IF(COUNTIF(AC:AC,AA359)*COUNTIF(AE:AE,AA359)*COUNTIF(AG:AG,AA359),AA359,"")</f>
        <v/>
      </c>
      <c r="AJ359" s="3" t="str">
        <f t="shared" si="23"/>
        <v/>
      </c>
      <c r="AR359" s="6" t="str">
        <f t="shared" si="24"/>
        <v/>
      </c>
    </row>
    <row r="360" spans="1:44" x14ac:dyDescent="0.25">
      <c r="A360" s="37"/>
      <c r="B360" s="38"/>
      <c r="C360" s="2"/>
      <c r="D360" s="41"/>
      <c r="E360" s="93"/>
      <c r="F360" s="93"/>
      <c r="G360" s="93"/>
      <c r="H360" s="93"/>
      <c r="I360" s="38"/>
      <c r="J360" s="2"/>
      <c r="K360" s="41"/>
      <c r="L360" s="38"/>
      <c r="M360" s="41"/>
      <c r="N360" s="41"/>
      <c r="O360" s="42"/>
      <c r="P360" s="80"/>
      <c r="Q360" s="80"/>
      <c r="R360" s="87"/>
      <c r="S360" s="87"/>
      <c r="T360" s="87"/>
      <c r="U360" s="108"/>
      <c r="V360" s="87"/>
      <c r="W360" s="108"/>
      <c r="X360" s="87"/>
      <c r="Y360" s="87"/>
      <c r="AI360" s="3" t="str">
        <f>IF(COUNTIF(AC:AC,AA360)*COUNTIF(AE:AE,AA360)*COUNTIF(AG:AG,AA360),AA360,"")</f>
        <v/>
      </c>
      <c r="AJ360" s="3" t="str">
        <f t="shared" si="23"/>
        <v/>
      </c>
      <c r="AR360" s="6" t="str">
        <f t="shared" si="24"/>
        <v/>
      </c>
    </row>
    <row r="361" spans="1:44" x14ac:dyDescent="0.25">
      <c r="A361" s="37"/>
      <c r="B361" s="38"/>
      <c r="C361" s="2"/>
      <c r="D361" s="41"/>
      <c r="E361" s="93"/>
      <c r="F361" s="93"/>
      <c r="G361" s="93"/>
      <c r="H361" s="93"/>
      <c r="I361" s="38"/>
      <c r="J361" s="2"/>
      <c r="K361" s="41"/>
      <c r="L361" s="38"/>
      <c r="M361" s="41"/>
      <c r="N361" s="41"/>
      <c r="O361" s="42"/>
      <c r="P361" s="80"/>
      <c r="Q361" s="80"/>
      <c r="R361" s="87"/>
      <c r="S361" s="87"/>
      <c r="T361" s="87"/>
      <c r="U361" s="108"/>
      <c r="V361" s="87"/>
      <c r="W361" s="108"/>
      <c r="X361" s="87"/>
      <c r="Y361" s="87"/>
      <c r="AI361" s="3" t="str">
        <f>IF(COUNTIF(AC:AC,AA361)*COUNTIF(AE:AE,AA361)*COUNTIF(AG:AG,AA361),AA361,"")</f>
        <v/>
      </c>
      <c r="AJ361" s="3" t="str">
        <f t="shared" si="23"/>
        <v/>
      </c>
      <c r="AR361" s="6" t="str">
        <f t="shared" si="24"/>
        <v/>
      </c>
    </row>
    <row r="362" spans="1:44" x14ac:dyDescent="0.25">
      <c r="A362" s="37"/>
      <c r="B362" s="38"/>
      <c r="C362" s="2"/>
      <c r="D362" s="41"/>
      <c r="E362" s="93"/>
      <c r="F362" s="93"/>
      <c r="G362" s="93"/>
      <c r="H362" s="93"/>
      <c r="I362" s="38"/>
      <c r="J362" s="2"/>
      <c r="K362" s="41"/>
      <c r="L362" s="38"/>
      <c r="M362" s="41"/>
      <c r="N362" s="41"/>
      <c r="O362" s="42"/>
      <c r="P362" s="80"/>
      <c r="Q362" s="80"/>
      <c r="R362" s="87"/>
      <c r="S362" s="87"/>
      <c r="T362" s="87"/>
      <c r="U362" s="108"/>
      <c r="V362" s="87"/>
      <c r="W362" s="108"/>
      <c r="X362" s="87"/>
      <c r="Y362" s="87"/>
      <c r="AI362" s="3" t="str">
        <f>IF(COUNTIF(AC:AC,AA362)*COUNTIF(AE:AE,AA362)*COUNTIF(AG:AG,AA362),AA362,"")</f>
        <v/>
      </c>
      <c r="AJ362" s="3" t="str">
        <f t="shared" si="23"/>
        <v/>
      </c>
      <c r="AR362" s="6" t="str">
        <f t="shared" si="24"/>
        <v/>
      </c>
    </row>
    <row r="363" spans="1:44" x14ac:dyDescent="0.25">
      <c r="A363" s="37"/>
      <c r="B363" s="38"/>
      <c r="C363" s="2"/>
      <c r="D363" s="41"/>
      <c r="E363" s="93"/>
      <c r="F363" s="93"/>
      <c r="G363" s="93"/>
      <c r="H363" s="93"/>
      <c r="I363" s="38"/>
      <c r="J363" s="2"/>
      <c r="K363" s="41"/>
      <c r="L363" s="38"/>
      <c r="M363" s="41"/>
      <c r="N363" s="41"/>
      <c r="O363" s="42"/>
      <c r="P363" s="80"/>
      <c r="Q363" s="80"/>
      <c r="R363" s="87"/>
      <c r="S363" s="87"/>
      <c r="T363" s="87"/>
      <c r="U363" s="108"/>
      <c r="V363" s="87"/>
      <c r="W363" s="108"/>
      <c r="X363" s="87"/>
      <c r="Y363" s="87"/>
      <c r="AI363" s="3" t="str">
        <f>IF(COUNTIF(AC:AC,AA363)*COUNTIF(AE:AE,AA363)*COUNTIF(AG:AG,AA363),AA363,"")</f>
        <v/>
      </c>
      <c r="AJ363" s="3" t="str">
        <f t="shared" si="23"/>
        <v/>
      </c>
      <c r="AR363" s="6" t="str">
        <f t="shared" si="24"/>
        <v/>
      </c>
    </row>
    <row r="364" spans="1:44" x14ac:dyDescent="0.25">
      <c r="A364" s="37"/>
      <c r="B364" s="38"/>
      <c r="C364" s="2"/>
      <c r="D364" s="41"/>
      <c r="E364" s="93"/>
      <c r="F364" s="93"/>
      <c r="G364" s="93"/>
      <c r="H364" s="93"/>
      <c r="I364" s="38"/>
      <c r="J364" s="2"/>
      <c r="K364" s="41"/>
      <c r="L364" s="38"/>
      <c r="M364" s="41"/>
      <c r="N364" s="41"/>
      <c r="O364" s="42"/>
      <c r="P364" s="80"/>
      <c r="Q364" s="80"/>
      <c r="R364" s="87"/>
      <c r="S364" s="87"/>
      <c r="T364" s="87"/>
      <c r="U364" s="108"/>
      <c r="V364" s="87"/>
      <c r="W364" s="108"/>
      <c r="X364" s="87"/>
      <c r="Y364" s="87"/>
      <c r="AI364" s="3" t="str">
        <f>IF(COUNTIF(AC:AC,AA364)*COUNTIF(AE:AE,AA364)*COUNTIF(AG:AG,AA364),AA364,"")</f>
        <v/>
      </c>
      <c r="AJ364" s="3" t="str">
        <f t="shared" si="23"/>
        <v/>
      </c>
      <c r="AR364" s="6" t="str">
        <f t="shared" si="24"/>
        <v/>
      </c>
    </row>
    <row r="365" spans="1:44" x14ac:dyDescent="0.25">
      <c r="A365" s="37"/>
      <c r="B365" s="38"/>
      <c r="C365" s="2"/>
      <c r="D365" s="41"/>
      <c r="E365" s="93"/>
      <c r="F365" s="93"/>
      <c r="G365" s="93"/>
      <c r="H365" s="93"/>
      <c r="I365" s="38"/>
      <c r="J365" s="2"/>
      <c r="K365" s="41"/>
      <c r="L365" s="38"/>
      <c r="M365" s="41"/>
      <c r="N365" s="41"/>
      <c r="O365" s="42"/>
      <c r="P365" s="80"/>
      <c r="Q365" s="80"/>
      <c r="R365" s="87"/>
      <c r="S365" s="87"/>
      <c r="T365" s="87"/>
      <c r="U365" s="108"/>
      <c r="V365" s="87"/>
      <c r="W365" s="108"/>
      <c r="X365" s="87"/>
      <c r="Y365" s="87"/>
      <c r="AI365" s="3" t="str">
        <f>IF(COUNTIF(AC:AC,AA365)*COUNTIF(AE:AE,AA365)*COUNTIF(AG:AG,AA365),AA365,"")</f>
        <v/>
      </c>
      <c r="AJ365" s="3" t="str">
        <f t="shared" si="23"/>
        <v/>
      </c>
      <c r="AR365" s="6" t="str">
        <f t="shared" si="24"/>
        <v/>
      </c>
    </row>
    <row r="366" spans="1:44" x14ac:dyDescent="0.25">
      <c r="A366" s="37"/>
      <c r="B366" s="38"/>
      <c r="C366" s="2"/>
      <c r="D366" s="41"/>
      <c r="E366" s="93"/>
      <c r="F366" s="93"/>
      <c r="G366" s="93"/>
      <c r="H366" s="93"/>
      <c r="I366" s="38"/>
      <c r="J366" s="2"/>
      <c r="K366" s="41"/>
      <c r="L366" s="38"/>
      <c r="M366" s="41"/>
      <c r="N366" s="41"/>
      <c r="O366" s="42"/>
      <c r="P366" s="80"/>
      <c r="Q366" s="80"/>
      <c r="R366" s="87"/>
      <c r="S366" s="87"/>
      <c r="T366" s="87"/>
      <c r="U366" s="108"/>
      <c r="V366" s="87"/>
      <c r="W366" s="108"/>
      <c r="X366" s="87"/>
      <c r="Y366" s="87"/>
      <c r="AI366" s="3" t="str">
        <f>IF(COUNTIF(AC:AC,AA366)*COUNTIF(AE:AE,AA366)*COUNTIF(AG:AG,AA366),AA366,"")</f>
        <v/>
      </c>
      <c r="AJ366" s="3" t="str">
        <f t="shared" si="23"/>
        <v/>
      </c>
      <c r="AR366" s="6" t="str">
        <f t="shared" si="24"/>
        <v/>
      </c>
    </row>
    <row r="367" spans="1:44" x14ac:dyDescent="0.25">
      <c r="A367" s="37"/>
      <c r="B367" s="38"/>
      <c r="C367" s="2"/>
      <c r="D367" s="41"/>
      <c r="E367" s="93"/>
      <c r="F367" s="93"/>
      <c r="G367" s="93"/>
      <c r="H367" s="93"/>
      <c r="I367" s="38"/>
      <c r="J367" s="2"/>
      <c r="K367" s="41"/>
      <c r="L367" s="38"/>
      <c r="M367" s="41"/>
      <c r="N367" s="41"/>
      <c r="O367" s="42"/>
      <c r="P367" s="80"/>
      <c r="Q367" s="80"/>
      <c r="R367" s="87"/>
      <c r="S367" s="87"/>
      <c r="T367" s="87"/>
      <c r="U367" s="108"/>
      <c r="V367" s="87"/>
      <c r="W367" s="108"/>
      <c r="X367" s="87"/>
      <c r="Y367" s="87"/>
      <c r="AI367" s="3" t="str">
        <f>IF(COUNTIF(AC:AC,AA367)*COUNTIF(AE:AE,AA367)*COUNTIF(AG:AG,AA367),AA367,"")</f>
        <v/>
      </c>
      <c r="AJ367" s="3" t="str">
        <f t="shared" si="23"/>
        <v/>
      </c>
      <c r="AR367" s="6" t="str">
        <f t="shared" si="24"/>
        <v/>
      </c>
    </row>
    <row r="368" spans="1:44" x14ac:dyDescent="0.25">
      <c r="A368" s="37"/>
      <c r="B368" s="38"/>
      <c r="C368" s="2"/>
      <c r="D368" s="41"/>
      <c r="E368" s="93"/>
      <c r="F368" s="93"/>
      <c r="G368" s="93"/>
      <c r="H368" s="93"/>
      <c r="I368" s="38"/>
      <c r="J368" s="2"/>
      <c r="K368" s="41"/>
      <c r="L368" s="38"/>
      <c r="M368" s="41"/>
      <c r="N368" s="41"/>
      <c r="O368" s="42"/>
      <c r="P368" s="80"/>
      <c r="Q368" s="80"/>
      <c r="R368" s="87"/>
      <c r="S368" s="87"/>
      <c r="T368" s="87"/>
      <c r="U368" s="108"/>
      <c r="V368" s="87"/>
      <c r="W368" s="108"/>
      <c r="X368" s="87"/>
      <c r="Y368" s="87"/>
      <c r="AI368" s="3" t="str">
        <f>IF(COUNTIF(AC:AC,AA368)*COUNTIF(AE:AE,AA368)*COUNTIF(AG:AG,AA368),AA368,"")</f>
        <v/>
      </c>
      <c r="AJ368" s="3" t="str">
        <f t="shared" si="23"/>
        <v/>
      </c>
      <c r="AR368" s="6" t="str">
        <f t="shared" si="24"/>
        <v/>
      </c>
    </row>
    <row r="369" spans="1:44" x14ac:dyDescent="0.25">
      <c r="A369" s="37"/>
      <c r="B369" s="38"/>
      <c r="C369" s="2"/>
      <c r="D369" s="41"/>
      <c r="E369" s="93"/>
      <c r="F369" s="93"/>
      <c r="G369" s="93"/>
      <c r="H369" s="93"/>
      <c r="I369" s="38"/>
      <c r="J369" s="2"/>
      <c r="K369" s="41"/>
      <c r="L369" s="38"/>
      <c r="M369" s="41"/>
      <c r="N369" s="41"/>
      <c r="O369" s="42"/>
      <c r="P369" s="80"/>
      <c r="Q369" s="80"/>
      <c r="R369" s="87"/>
      <c r="S369" s="87"/>
      <c r="T369" s="87"/>
      <c r="U369" s="108"/>
      <c r="V369" s="87"/>
      <c r="W369" s="108"/>
      <c r="X369" s="87"/>
      <c r="Y369" s="87"/>
      <c r="AI369" s="3" t="str">
        <f>IF(COUNTIF(AC:AC,AA369)*COUNTIF(AE:AE,AA369)*COUNTIF(AG:AG,AA369),AA369,"")</f>
        <v/>
      </c>
      <c r="AJ369" s="3" t="str">
        <f t="shared" si="23"/>
        <v/>
      </c>
      <c r="AR369" s="6" t="str">
        <f t="shared" si="24"/>
        <v/>
      </c>
    </row>
    <row r="370" spans="1:44" x14ac:dyDescent="0.25">
      <c r="A370" s="37"/>
      <c r="B370" s="38"/>
      <c r="C370" s="2"/>
      <c r="D370" s="41"/>
      <c r="E370" s="93"/>
      <c r="F370" s="93"/>
      <c r="G370" s="93"/>
      <c r="H370" s="93"/>
      <c r="I370" s="38"/>
      <c r="J370" s="2"/>
      <c r="K370" s="41"/>
      <c r="L370" s="38"/>
      <c r="M370" s="41"/>
      <c r="N370" s="41"/>
      <c r="O370" s="42"/>
      <c r="P370" s="80"/>
      <c r="Q370" s="80"/>
      <c r="R370" s="87"/>
      <c r="S370" s="87"/>
      <c r="T370" s="87"/>
      <c r="U370" s="108"/>
      <c r="V370" s="87"/>
      <c r="W370" s="108"/>
      <c r="X370" s="87"/>
      <c r="Y370" s="87"/>
      <c r="AI370" s="3" t="str">
        <f>IF(COUNTIF(AC:AC,AA370)*COUNTIF(AE:AE,AA370)*COUNTIF(AG:AG,AA370),AA370,"")</f>
        <v/>
      </c>
      <c r="AJ370" s="3" t="str">
        <f t="shared" si="23"/>
        <v/>
      </c>
      <c r="AR370" s="6" t="str">
        <f t="shared" si="24"/>
        <v/>
      </c>
    </row>
    <row r="371" spans="1:44" x14ac:dyDescent="0.25">
      <c r="A371" s="37"/>
      <c r="B371" s="38"/>
      <c r="C371" s="2"/>
      <c r="D371" s="41"/>
      <c r="E371" s="93"/>
      <c r="F371" s="93"/>
      <c r="G371" s="93"/>
      <c r="H371" s="93"/>
      <c r="I371" s="38"/>
      <c r="J371" s="2"/>
      <c r="K371" s="41"/>
      <c r="L371" s="38"/>
      <c r="M371" s="41"/>
      <c r="N371" s="41"/>
      <c r="O371" s="42"/>
      <c r="P371" s="80"/>
      <c r="Q371" s="80"/>
      <c r="R371" s="87"/>
      <c r="S371" s="87"/>
      <c r="T371" s="87"/>
      <c r="U371" s="108"/>
      <c r="V371" s="87"/>
      <c r="W371" s="108"/>
      <c r="X371" s="87"/>
      <c r="Y371" s="87"/>
      <c r="AI371" s="3" t="str">
        <f>IF(COUNTIF(AC:AC,AA371)*COUNTIF(AE:AE,AA371)*COUNTIF(AG:AG,AA371),AA371,"")</f>
        <v/>
      </c>
      <c r="AJ371" s="3" t="str">
        <f t="shared" si="23"/>
        <v/>
      </c>
      <c r="AR371" s="6" t="str">
        <f t="shared" si="24"/>
        <v/>
      </c>
    </row>
    <row r="372" spans="1:44" x14ac:dyDescent="0.25">
      <c r="A372" s="37"/>
      <c r="B372" s="38"/>
      <c r="C372" s="2"/>
      <c r="D372" s="41"/>
      <c r="E372" s="93"/>
      <c r="F372" s="93"/>
      <c r="G372" s="93"/>
      <c r="H372" s="93"/>
      <c r="I372" s="38"/>
      <c r="J372" s="2"/>
      <c r="K372" s="41"/>
      <c r="L372" s="38"/>
      <c r="M372" s="41"/>
      <c r="N372" s="41"/>
      <c r="O372" s="42"/>
      <c r="P372" s="80"/>
      <c r="Q372" s="80"/>
      <c r="R372" s="87"/>
      <c r="S372" s="87"/>
      <c r="T372" s="87"/>
      <c r="U372" s="108"/>
      <c r="V372" s="87"/>
      <c r="W372" s="108"/>
      <c r="X372" s="87"/>
      <c r="Y372" s="87"/>
      <c r="AI372" s="3" t="str">
        <f>IF(COUNTIF(AC:AC,AA372)*COUNTIF(AE:AE,AA372)*COUNTIF(AG:AG,AA372),AA372,"")</f>
        <v/>
      </c>
      <c r="AJ372" s="3" t="str">
        <f t="shared" si="23"/>
        <v/>
      </c>
      <c r="AR372" s="6" t="str">
        <f t="shared" si="24"/>
        <v/>
      </c>
    </row>
    <row r="373" spans="1:44" x14ac:dyDescent="0.25">
      <c r="A373" s="37"/>
      <c r="B373" s="38"/>
      <c r="C373" s="2"/>
      <c r="D373" s="41"/>
      <c r="E373" s="93"/>
      <c r="F373" s="93"/>
      <c r="G373" s="93"/>
      <c r="H373" s="93"/>
      <c r="I373" s="38"/>
      <c r="J373" s="2"/>
      <c r="K373" s="41"/>
      <c r="L373" s="38"/>
      <c r="M373" s="41"/>
      <c r="N373" s="41"/>
      <c r="O373" s="42"/>
      <c r="P373" s="80"/>
      <c r="Q373" s="80"/>
      <c r="R373" s="87"/>
      <c r="S373" s="87"/>
      <c r="T373" s="87"/>
      <c r="U373" s="108"/>
      <c r="V373" s="87"/>
      <c r="W373" s="108"/>
      <c r="X373" s="87"/>
      <c r="Y373" s="87"/>
      <c r="AI373" s="3" t="str">
        <f>IF(COUNTIF(AC:AC,AA373)*COUNTIF(AE:AE,AA373)*COUNTIF(AG:AG,AA373),AA373,"")</f>
        <v/>
      </c>
      <c r="AJ373" s="3" t="str">
        <f t="shared" si="23"/>
        <v/>
      </c>
      <c r="AR373" s="6" t="str">
        <f t="shared" si="24"/>
        <v/>
      </c>
    </row>
    <row r="374" spans="1:44" x14ac:dyDescent="0.25">
      <c r="A374" s="37"/>
      <c r="B374" s="38"/>
      <c r="C374" s="2"/>
      <c r="D374" s="41"/>
      <c r="E374" s="93"/>
      <c r="F374" s="93"/>
      <c r="G374" s="93"/>
      <c r="H374" s="93"/>
      <c r="I374" s="38"/>
      <c r="J374" s="2"/>
      <c r="K374" s="41"/>
      <c r="L374" s="38"/>
      <c r="M374" s="41"/>
      <c r="N374" s="41"/>
      <c r="O374" s="42"/>
      <c r="P374" s="80"/>
      <c r="Q374" s="80"/>
      <c r="R374" s="87"/>
      <c r="S374" s="87"/>
      <c r="T374" s="87"/>
      <c r="U374" s="108"/>
      <c r="V374" s="87"/>
      <c r="W374" s="108"/>
      <c r="X374" s="87"/>
      <c r="Y374" s="87"/>
      <c r="AI374" s="3" t="str">
        <f>IF(COUNTIF(AC:AC,AA374)*COUNTIF(AE:AE,AA374)*COUNTIF(AG:AG,AA374),AA374,"")</f>
        <v/>
      </c>
      <c r="AJ374" s="3" t="str">
        <f t="shared" si="23"/>
        <v/>
      </c>
      <c r="AR374" s="6" t="str">
        <f t="shared" si="24"/>
        <v/>
      </c>
    </row>
    <row r="375" spans="1:44" x14ac:dyDescent="0.25">
      <c r="A375" s="37"/>
      <c r="B375" s="38"/>
      <c r="C375" s="2"/>
      <c r="D375" s="41"/>
      <c r="E375" s="93"/>
      <c r="F375" s="93"/>
      <c r="G375" s="93"/>
      <c r="H375" s="93"/>
      <c r="I375" s="38"/>
      <c r="J375" s="2"/>
      <c r="K375" s="41"/>
      <c r="L375" s="38"/>
      <c r="M375" s="41"/>
      <c r="N375" s="41"/>
      <c r="O375" s="42"/>
      <c r="P375" s="80"/>
      <c r="Q375" s="80"/>
      <c r="R375" s="87"/>
      <c r="S375" s="87"/>
      <c r="T375" s="87"/>
      <c r="U375" s="108"/>
      <c r="V375" s="87"/>
      <c r="W375" s="108"/>
      <c r="X375" s="87"/>
      <c r="Y375" s="87"/>
      <c r="AI375" s="3" t="str">
        <f>IF(COUNTIF(AC:AC,AA375)*COUNTIF(AE:AE,AA375)*COUNTIF(AG:AG,AA375),AA375,"")</f>
        <v/>
      </c>
      <c r="AJ375" s="3" t="str">
        <f t="shared" si="23"/>
        <v/>
      </c>
      <c r="AR375" s="6" t="str">
        <f t="shared" si="24"/>
        <v/>
      </c>
    </row>
    <row r="376" spans="1:44" x14ac:dyDescent="0.25">
      <c r="A376" s="37"/>
      <c r="B376" s="38"/>
      <c r="C376" s="2"/>
      <c r="D376" s="41"/>
      <c r="E376" s="93"/>
      <c r="F376" s="93"/>
      <c r="G376" s="93"/>
      <c r="H376" s="93"/>
      <c r="I376" s="38"/>
      <c r="J376" s="2"/>
      <c r="K376" s="41"/>
      <c r="L376" s="38"/>
      <c r="M376" s="41"/>
      <c r="N376" s="41"/>
      <c r="O376" s="42"/>
      <c r="P376" s="80"/>
      <c r="Q376" s="80"/>
      <c r="R376" s="87"/>
      <c r="S376" s="87"/>
      <c r="T376" s="87"/>
      <c r="U376" s="108"/>
      <c r="V376" s="87"/>
      <c r="W376" s="108"/>
      <c r="X376" s="87"/>
      <c r="Y376" s="87"/>
      <c r="AI376" s="3" t="str">
        <f>IF(COUNTIF(AC:AC,AA376)*COUNTIF(AE:AE,AA376)*COUNTIF(AG:AG,AA376),AA376,"")</f>
        <v/>
      </c>
      <c r="AJ376" s="3" t="str">
        <f t="shared" si="23"/>
        <v/>
      </c>
      <c r="AR376" s="6" t="str">
        <f t="shared" si="24"/>
        <v/>
      </c>
    </row>
    <row r="377" spans="1:44" x14ac:dyDescent="0.25">
      <c r="A377" s="37"/>
      <c r="B377" s="38"/>
      <c r="C377" s="2"/>
      <c r="D377" s="41"/>
      <c r="E377" s="93"/>
      <c r="F377" s="93"/>
      <c r="G377" s="93"/>
      <c r="H377" s="93"/>
      <c r="I377" s="38"/>
      <c r="J377" s="2"/>
      <c r="K377" s="41"/>
      <c r="L377" s="38"/>
      <c r="M377" s="41"/>
      <c r="N377" s="41"/>
      <c r="O377" s="42"/>
      <c r="P377" s="80"/>
      <c r="Q377" s="80"/>
      <c r="R377" s="87"/>
      <c r="S377" s="87"/>
      <c r="T377" s="87"/>
      <c r="U377" s="108"/>
      <c r="V377" s="87"/>
      <c r="W377" s="108"/>
      <c r="X377" s="87"/>
      <c r="Y377" s="87"/>
      <c r="AI377" s="3" t="str">
        <f>IF(COUNTIF(AC:AC,AA377)*COUNTIF(AE:AE,AA377)*COUNTIF(AG:AG,AA377),AA377,"")</f>
        <v/>
      </c>
      <c r="AJ377" s="3" t="str">
        <f t="shared" si="23"/>
        <v/>
      </c>
      <c r="AR377" s="6" t="str">
        <f t="shared" si="24"/>
        <v/>
      </c>
    </row>
    <row r="378" spans="1:44" x14ac:dyDescent="0.25">
      <c r="A378" s="37"/>
      <c r="B378" s="38"/>
      <c r="C378" s="2"/>
      <c r="D378" s="41"/>
      <c r="E378" s="93"/>
      <c r="F378" s="93"/>
      <c r="G378" s="93"/>
      <c r="H378" s="93"/>
      <c r="I378" s="38"/>
      <c r="J378" s="2"/>
      <c r="K378" s="41"/>
      <c r="L378" s="38"/>
      <c r="M378" s="41"/>
      <c r="N378" s="41"/>
      <c r="O378" s="42"/>
      <c r="P378" s="80"/>
      <c r="Q378" s="80"/>
      <c r="R378" s="87"/>
      <c r="S378" s="87"/>
      <c r="T378" s="87"/>
      <c r="U378" s="108"/>
      <c r="V378" s="87"/>
      <c r="W378" s="108"/>
      <c r="X378" s="87"/>
      <c r="Y378" s="87"/>
      <c r="AI378" s="3" t="str">
        <f>IF(COUNTIF(AC:AC,AA378)*COUNTIF(AE:AE,AA378)*COUNTIF(AG:AG,AA378),AA378,"")</f>
        <v/>
      </c>
      <c r="AJ378" s="3" t="str">
        <f t="shared" si="23"/>
        <v/>
      </c>
      <c r="AR378" s="6" t="str">
        <f t="shared" si="24"/>
        <v/>
      </c>
    </row>
    <row r="379" spans="1:44" x14ac:dyDescent="0.25">
      <c r="A379" s="37"/>
      <c r="B379" s="38"/>
      <c r="C379" s="2"/>
      <c r="D379" s="41"/>
      <c r="E379" s="93"/>
      <c r="F379" s="93"/>
      <c r="G379" s="93"/>
      <c r="H379" s="93"/>
      <c r="I379" s="38"/>
      <c r="J379" s="2"/>
      <c r="K379" s="41"/>
      <c r="L379" s="38"/>
      <c r="M379" s="41"/>
      <c r="N379" s="41"/>
      <c r="O379" s="42"/>
      <c r="P379" s="80"/>
      <c r="Q379" s="80"/>
      <c r="R379" s="87"/>
      <c r="S379" s="87"/>
      <c r="T379" s="87"/>
      <c r="U379" s="108"/>
      <c r="V379" s="87"/>
      <c r="W379" s="108"/>
      <c r="X379" s="87"/>
      <c r="Y379" s="87"/>
      <c r="AI379" s="3" t="str">
        <f>IF(COUNTIF(AC:AC,AA379)*COUNTIF(AE:AE,AA379)*COUNTIF(AG:AG,AA379),AA379,"")</f>
        <v/>
      </c>
      <c r="AJ379" s="3" t="str">
        <f t="shared" si="23"/>
        <v/>
      </c>
      <c r="AR379" s="6" t="str">
        <f t="shared" si="24"/>
        <v/>
      </c>
    </row>
    <row r="380" spans="1:44" x14ac:dyDescent="0.25">
      <c r="A380" s="37"/>
      <c r="B380" s="38"/>
      <c r="C380" s="2"/>
      <c r="D380" s="41"/>
      <c r="E380" s="93"/>
      <c r="F380" s="93"/>
      <c r="G380" s="93"/>
      <c r="H380" s="93"/>
      <c r="I380" s="38"/>
      <c r="J380" s="2"/>
      <c r="K380" s="41"/>
      <c r="L380" s="38"/>
      <c r="M380" s="41"/>
      <c r="N380" s="41"/>
      <c r="O380" s="42"/>
      <c r="P380" s="80"/>
      <c r="Q380" s="80"/>
      <c r="R380" s="87"/>
      <c r="S380" s="87"/>
      <c r="T380" s="87"/>
      <c r="U380" s="108"/>
      <c r="V380" s="87"/>
      <c r="W380" s="108"/>
      <c r="X380" s="87"/>
      <c r="Y380" s="87"/>
      <c r="AI380" s="3" t="str">
        <f>IF(COUNTIF(AC:AC,AA380)*COUNTIF(AE:AE,AA380)*COUNTIF(AG:AG,AA380),AA380,"")</f>
        <v/>
      </c>
      <c r="AJ380" s="3" t="str">
        <f t="shared" si="23"/>
        <v/>
      </c>
      <c r="AR380" s="6" t="str">
        <f t="shared" si="24"/>
        <v/>
      </c>
    </row>
    <row r="381" spans="1:44" x14ac:dyDescent="0.25">
      <c r="A381" s="37"/>
      <c r="B381" s="38"/>
      <c r="C381" s="2"/>
      <c r="D381" s="41"/>
      <c r="E381" s="93"/>
      <c r="F381" s="93"/>
      <c r="G381" s="93"/>
      <c r="H381" s="93"/>
      <c r="I381" s="38"/>
      <c r="J381" s="2"/>
      <c r="K381" s="41"/>
      <c r="L381" s="38"/>
      <c r="M381" s="41"/>
      <c r="N381" s="41"/>
      <c r="O381" s="42"/>
      <c r="P381" s="80"/>
      <c r="Q381" s="80"/>
      <c r="R381" s="87"/>
      <c r="S381" s="87"/>
      <c r="T381" s="87"/>
      <c r="U381" s="108"/>
      <c r="V381" s="87"/>
      <c r="W381" s="108"/>
      <c r="X381" s="87"/>
      <c r="Y381" s="87"/>
      <c r="AI381" s="3" t="str">
        <f>IF(COUNTIF(AC:AC,AA381)*COUNTIF(AE:AE,AA381)*COUNTIF(AG:AG,AA381),AA381,"")</f>
        <v/>
      </c>
      <c r="AJ381" s="3" t="str">
        <f t="shared" si="23"/>
        <v/>
      </c>
      <c r="AR381" s="6" t="str">
        <f t="shared" si="24"/>
        <v/>
      </c>
    </row>
    <row r="382" spans="1:44" x14ac:dyDescent="0.25">
      <c r="A382" s="37"/>
      <c r="B382" s="38"/>
      <c r="C382" s="2"/>
      <c r="D382" s="41"/>
      <c r="E382" s="93"/>
      <c r="F382" s="93"/>
      <c r="G382" s="93"/>
      <c r="H382" s="93"/>
      <c r="I382" s="38"/>
      <c r="J382" s="2"/>
      <c r="K382" s="41"/>
      <c r="L382" s="38"/>
      <c r="M382" s="41"/>
      <c r="N382" s="41"/>
      <c r="O382" s="42"/>
      <c r="P382" s="80"/>
      <c r="Q382" s="80"/>
      <c r="R382" s="87"/>
      <c r="S382" s="87"/>
      <c r="T382" s="87"/>
      <c r="U382" s="108"/>
      <c r="V382" s="87"/>
      <c r="W382" s="108"/>
      <c r="X382" s="87"/>
      <c r="Y382" s="87"/>
      <c r="AI382" s="3" t="str">
        <f>IF(COUNTIF(AC:AC,AA382)*COUNTIF(AE:AE,AA382)*COUNTIF(AG:AG,AA382),AA382,"")</f>
        <v/>
      </c>
      <c r="AJ382" s="3" t="str">
        <f t="shared" si="23"/>
        <v/>
      </c>
      <c r="AR382" s="6" t="str">
        <f t="shared" si="24"/>
        <v/>
      </c>
    </row>
    <row r="383" spans="1:44" x14ac:dyDescent="0.25">
      <c r="A383" s="37"/>
      <c r="B383" s="38"/>
      <c r="C383" s="2"/>
      <c r="D383" s="41"/>
      <c r="E383" s="93"/>
      <c r="F383" s="93"/>
      <c r="G383" s="93"/>
      <c r="H383" s="93"/>
      <c r="I383" s="38"/>
      <c r="J383" s="2"/>
      <c r="K383" s="41"/>
      <c r="L383" s="38"/>
      <c r="M383" s="41"/>
      <c r="N383" s="41"/>
      <c r="O383" s="42"/>
      <c r="P383" s="80"/>
      <c r="Q383" s="80"/>
      <c r="R383" s="87"/>
      <c r="S383" s="87"/>
      <c r="T383" s="87"/>
      <c r="U383" s="108"/>
      <c r="V383" s="87"/>
      <c r="W383" s="108"/>
      <c r="X383" s="87"/>
      <c r="Y383" s="87"/>
      <c r="AI383" s="3" t="str">
        <f>IF(COUNTIF(AC:AC,AA383)*COUNTIF(AE:AE,AA383)*COUNTIF(AG:AG,AA383),AA383,"")</f>
        <v/>
      </c>
      <c r="AJ383" s="3" t="str">
        <f t="shared" si="23"/>
        <v/>
      </c>
      <c r="AR383" s="6" t="str">
        <f t="shared" si="24"/>
        <v/>
      </c>
    </row>
    <row r="384" spans="1:44" x14ac:dyDescent="0.25">
      <c r="A384" s="37"/>
      <c r="B384" s="38"/>
      <c r="C384" s="2"/>
      <c r="D384" s="41"/>
      <c r="E384" s="93"/>
      <c r="F384" s="93"/>
      <c r="G384" s="93"/>
      <c r="H384" s="93"/>
      <c r="I384" s="38"/>
      <c r="J384" s="2"/>
      <c r="K384" s="41"/>
      <c r="L384" s="38"/>
      <c r="M384" s="41"/>
      <c r="N384" s="41"/>
      <c r="O384" s="42"/>
      <c r="P384" s="80"/>
      <c r="Q384" s="80"/>
      <c r="R384" s="87"/>
      <c r="S384" s="87"/>
      <c r="T384" s="87"/>
      <c r="U384" s="108"/>
      <c r="V384" s="87"/>
      <c r="W384" s="108"/>
      <c r="X384" s="87"/>
      <c r="Y384" s="87"/>
      <c r="AI384" s="3" t="str">
        <f>IF(COUNTIF(AC:AC,AA384)*COUNTIF(AE:AE,AA384)*COUNTIF(AG:AG,AA384),AA384,"")</f>
        <v/>
      </c>
      <c r="AJ384" s="3" t="str">
        <f t="shared" si="23"/>
        <v/>
      </c>
      <c r="AR384" s="6" t="str">
        <f t="shared" si="24"/>
        <v/>
      </c>
    </row>
    <row r="385" spans="1:44" x14ac:dyDescent="0.25">
      <c r="A385" s="37"/>
      <c r="B385" s="38"/>
      <c r="C385" s="2"/>
      <c r="D385" s="41"/>
      <c r="E385" s="93"/>
      <c r="F385" s="93"/>
      <c r="G385" s="93"/>
      <c r="H385" s="93"/>
      <c r="I385" s="38"/>
      <c r="J385" s="2"/>
      <c r="K385" s="41"/>
      <c r="L385" s="38"/>
      <c r="M385" s="41"/>
      <c r="N385" s="41"/>
      <c r="O385" s="42"/>
      <c r="P385" s="80"/>
      <c r="Q385" s="80"/>
      <c r="R385" s="87"/>
      <c r="S385" s="87"/>
      <c r="T385" s="87"/>
      <c r="U385" s="108"/>
      <c r="V385" s="87"/>
      <c r="W385" s="108"/>
      <c r="X385" s="87"/>
      <c r="Y385" s="87"/>
      <c r="AI385" s="3" t="str">
        <f>IF(COUNTIF(AC:AC,AA385)*COUNTIF(AE:AE,AA385)*COUNTIF(AG:AG,AA385),AA385,"")</f>
        <v/>
      </c>
      <c r="AJ385" s="3" t="str">
        <f t="shared" si="23"/>
        <v/>
      </c>
      <c r="AR385" s="6" t="str">
        <f t="shared" si="24"/>
        <v/>
      </c>
    </row>
    <row r="386" spans="1:44" x14ac:dyDescent="0.25">
      <c r="A386" s="37"/>
      <c r="B386" s="38"/>
      <c r="C386" s="2"/>
      <c r="D386" s="41"/>
      <c r="E386" s="93"/>
      <c r="F386" s="93"/>
      <c r="G386" s="93"/>
      <c r="H386" s="93"/>
      <c r="I386" s="38"/>
      <c r="J386" s="2"/>
      <c r="K386" s="41"/>
      <c r="L386" s="38"/>
      <c r="M386" s="41"/>
      <c r="N386" s="41"/>
      <c r="O386" s="42"/>
      <c r="P386" s="80"/>
      <c r="Q386" s="80"/>
      <c r="R386" s="87"/>
      <c r="S386" s="87"/>
      <c r="T386" s="87"/>
      <c r="U386" s="108"/>
      <c r="V386" s="87"/>
      <c r="W386" s="108"/>
      <c r="X386" s="87"/>
      <c r="Y386" s="87"/>
      <c r="AI386" s="3" t="str">
        <f>IF(COUNTIF(AC:AC,AA386)*COUNTIF(AE:AE,AA386)*COUNTIF(AG:AG,AA386),AA386,"")</f>
        <v/>
      </c>
      <c r="AJ386" s="3" t="str">
        <f t="shared" si="23"/>
        <v/>
      </c>
      <c r="AR386" s="6" t="str">
        <f t="shared" si="24"/>
        <v/>
      </c>
    </row>
    <row r="387" spans="1:44" x14ac:dyDescent="0.25">
      <c r="A387" s="37"/>
      <c r="B387" s="38"/>
      <c r="C387" s="2"/>
      <c r="D387" s="41"/>
      <c r="E387" s="93"/>
      <c r="F387" s="93"/>
      <c r="G387" s="93"/>
      <c r="H387" s="93"/>
      <c r="I387" s="38"/>
      <c r="J387" s="2"/>
      <c r="K387" s="41"/>
      <c r="L387" s="38"/>
      <c r="M387" s="41"/>
      <c r="N387" s="41"/>
      <c r="O387" s="42"/>
      <c r="P387" s="80"/>
      <c r="Q387" s="80"/>
      <c r="R387" s="87"/>
      <c r="S387" s="87"/>
      <c r="T387" s="87"/>
      <c r="U387" s="108"/>
      <c r="V387" s="87"/>
      <c r="W387" s="108"/>
      <c r="X387" s="87"/>
      <c r="Y387" s="87"/>
      <c r="AI387" s="3" t="str">
        <f>IF(COUNTIF(AC:AC,AA387)*COUNTIF(AE:AE,AA387)*COUNTIF(AG:AG,AA387),AA387,"")</f>
        <v/>
      </c>
      <c r="AJ387" s="3" t="str">
        <f t="shared" si="23"/>
        <v/>
      </c>
      <c r="AR387" s="6" t="str">
        <f t="shared" si="24"/>
        <v/>
      </c>
    </row>
    <row r="388" spans="1:44" x14ac:dyDescent="0.25">
      <c r="A388" s="37"/>
      <c r="B388" s="38"/>
      <c r="C388" s="2"/>
      <c r="D388" s="41"/>
      <c r="E388" s="93"/>
      <c r="F388" s="93"/>
      <c r="G388" s="93"/>
      <c r="H388" s="93"/>
      <c r="I388" s="38"/>
      <c r="J388" s="2"/>
      <c r="K388" s="41"/>
      <c r="L388" s="38"/>
      <c r="M388" s="41"/>
      <c r="N388" s="41"/>
      <c r="O388" s="42"/>
      <c r="P388" s="80"/>
      <c r="Q388" s="80"/>
      <c r="R388" s="87"/>
      <c r="S388" s="87"/>
      <c r="T388" s="87"/>
      <c r="U388" s="108"/>
      <c r="V388" s="87"/>
      <c r="W388" s="108"/>
      <c r="X388" s="87"/>
      <c r="Y388" s="87"/>
      <c r="AI388" s="3" t="str">
        <f>IF(COUNTIF(AC:AC,AA388)*COUNTIF(AE:AE,AA388)*COUNTIF(AG:AG,AA388),AA388,"")</f>
        <v/>
      </c>
      <c r="AJ388" s="3" t="str">
        <f t="shared" ref="AJ388:AJ451" si="25">IF(AI388&gt;=$A$14,AI388,"")</f>
        <v/>
      </c>
      <c r="AR388" s="6" t="str">
        <f t="shared" ref="AR388:AR421" si="26">IF(COUNTIF(AP:AP,AN388),AN388,"")</f>
        <v/>
      </c>
    </row>
    <row r="389" spans="1:44" x14ac:dyDescent="0.25">
      <c r="A389" s="37"/>
      <c r="B389" s="38"/>
      <c r="C389" s="2"/>
      <c r="D389" s="41"/>
      <c r="E389" s="93"/>
      <c r="F389" s="93"/>
      <c r="G389" s="93"/>
      <c r="H389" s="93"/>
      <c r="I389" s="38"/>
      <c r="J389" s="2"/>
      <c r="K389" s="41"/>
      <c r="L389" s="38"/>
      <c r="M389" s="41"/>
      <c r="N389" s="41"/>
      <c r="O389" s="42"/>
      <c r="P389" s="80"/>
      <c r="Q389" s="80"/>
      <c r="R389" s="87"/>
      <c r="S389" s="87"/>
      <c r="T389" s="87"/>
      <c r="U389" s="108"/>
      <c r="V389" s="87"/>
      <c r="W389" s="108"/>
      <c r="X389" s="87"/>
      <c r="Y389" s="87"/>
      <c r="AI389" s="3" t="str">
        <f>IF(COUNTIF(AC:AC,AA389)*COUNTIF(AE:AE,AA389)*COUNTIF(AG:AG,AA389),AA389,"")</f>
        <v/>
      </c>
      <c r="AJ389" s="3" t="str">
        <f t="shared" si="25"/>
        <v/>
      </c>
      <c r="AR389" s="6" t="str">
        <f t="shared" si="26"/>
        <v/>
      </c>
    </row>
    <row r="390" spans="1:44" x14ac:dyDescent="0.25">
      <c r="A390" s="37"/>
      <c r="B390" s="38"/>
      <c r="C390" s="2"/>
      <c r="D390" s="41"/>
      <c r="E390" s="93"/>
      <c r="F390" s="93"/>
      <c r="G390" s="93"/>
      <c r="H390" s="93"/>
      <c r="I390" s="38"/>
      <c r="J390" s="2"/>
      <c r="K390" s="41"/>
      <c r="L390" s="38"/>
      <c r="M390" s="41"/>
      <c r="N390" s="41"/>
      <c r="O390" s="42"/>
      <c r="P390" s="80"/>
      <c r="Q390" s="80"/>
      <c r="R390" s="87"/>
      <c r="S390" s="87"/>
      <c r="T390" s="87"/>
      <c r="U390" s="108"/>
      <c r="V390" s="87"/>
      <c r="W390" s="108"/>
      <c r="X390" s="87"/>
      <c r="Y390" s="87"/>
      <c r="AI390" s="3" t="str">
        <f>IF(COUNTIF(AC:AC,AA390)*COUNTIF(AE:AE,AA390)*COUNTIF(AG:AG,AA390),AA390,"")</f>
        <v/>
      </c>
      <c r="AJ390" s="3" t="str">
        <f t="shared" si="25"/>
        <v/>
      </c>
      <c r="AR390" s="6" t="str">
        <f t="shared" si="26"/>
        <v/>
      </c>
    </row>
    <row r="391" spans="1:44" x14ac:dyDescent="0.25">
      <c r="A391" s="37"/>
      <c r="B391" s="38"/>
      <c r="C391" s="2"/>
      <c r="D391" s="41"/>
      <c r="E391" s="93"/>
      <c r="F391" s="93"/>
      <c r="G391" s="93"/>
      <c r="H391" s="93"/>
      <c r="I391" s="38"/>
      <c r="J391" s="2"/>
      <c r="K391" s="41"/>
      <c r="L391" s="38"/>
      <c r="M391" s="41"/>
      <c r="N391" s="41"/>
      <c r="O391" s="42"/>
      <c r="P391" s="80"/>
      <c r="Q391" s="80"/>
      <c r="R391" s="87"/>
      <c r="S391" s="87"/>
      <c r="T391" s="87"/>
      <c r="U391" s="108"/>
      <c r="V391" s="87"/>
      <c r="W391" s="108"/>
      <c r="X391" s="87"/>
      <c r="Y391" s="87"/>
      <c r="AI391" s="3" t="str">
        <f>IF(COUNTIF(AC:AC,AA391)*COUNTIF(AE:AE,AA391)*COUNTIF(AG:AG,AA391),AA391,"")</f>
        <v/>
      </c>
      <c r="AJ391" s="3" t="str">
        <f t="shared" si="25"/>
        <v/>
      </c>
      <c r="AR391" s="6" t="str">
        <f t="shared" si="26"/>
        <v/>
      </c>
    </row>
    <row r="392" spans="1:44" x14ac:dyDescent="0.25">
      <c r="A392" s="37"/>
      <c r="B392" s="38"/>
      <c r="C392" s="2"/>
      <c r="D392" s="41"/>
      <c r="E392" s="93"/>
      <c r="F392" s="93"/>
      <c r="G392" s="93"/>
      <c r="H392" s="93"/>
      <c r="I392" s="38"/>
      <c r="J392" s="2"/>
      <c r="K392" s="41"/>
      <c r="L392" s="38"/>
      <c r="M392" s="41"/>
      <c r="N392" s="41"/>
      <c r="O392" s="42"/>
      <c r="P392" s="80"/>
      <c r="Q392" s="80"/>
      <c r="R392" s="87"/>
      <c r="S392" s="87"/>
      <c r="T392" s="87"/>
      <c r="U392" s="108"/>
      <c r="V392" s="87"/>
      <c r="W392" s="108"/>
      <c r="X392" s="87"/>
      <c r="Y392" s="87"/>
      <c r="AI392" s="3" t="str">
        <f>IF(COUNTIF(AC:AC,AA392)*COUNTIF(AE:AE,AA392)*COUNTIF(AG:AG,AA392),AA392,"")</f>
        <v/>
      </c>
      <c r="AJ392" s="3" t="str">
        <f t="shared" si="25"/>
        <v/>
      </c>
      <c r="AR392" s="6" t="str">
        <f t="shared" si="26"/>
        <v/>
      </c>
    </row>
    <row r="393" spans="1:44" x14ac:dyDescent="0.25">
      <c r="A393" s="37"/>
      <c r="B393" s="38"/>
      <c r="C393" s="2"/>
      <c r="D393" s="41"/>
      <c r="E393" s="93"/>
      <c r="F393" s="93"/>
      <c r="G393" s="93"/>
      <c r="H393" s="93"/>
      <c r="I393" s="38"/>
      <c r="J393" s="2"/>
      <c r="K393" s="41"/>
      <c r="L393" s="38"/>
      <c r="M393" s="41"/>
      <c r="N393" s="41"/>
      <c r="O393" s="42"/>
      <c r="P393" s="80"/>
      <c r="Q393" s="80"/>
      <c r="R393" s="87"/>
      <c r="S393" s="87"/>
      <c r="T393" s="87"/>
      <c r="U393" s="108"/>
      <c r="V393" s="87"/>
      <c r="W393" s="108"/>
      <c r="X393" s="87"/>
      <c r="Y393" s="87"/>
      <c r="AI393" s="3" t="str">
        <f>IF(COUNTIF(AC:AC,AA393)*COUNTIF(AE:AE,AA393)*COUNTIF(AG:AG,AA393),AA393,"")</f>
        <v/>
      </c>
      <c r="AJ393" s="3" t="str">
        <f t="shared" si="25"/>
        <v/>
      </c>
      <c r="AR393" s="6" t="str">
        <f t="shared" si="26"/>
        <v/>
      </c>
    </row>
    <row r="394" spans="1:44" x14ac:dyDescent="0.25">
      <c r="A394" s="37"/>
      <c r="B394" s="38"/>
      <c r="C394" s="2"/>
      <c r="D394" s="41"/>
      <c r="E394" s="93"/>
      <c r="F394" s="93"/>
      <c r="G394" s="93"/>
      <c r="H394" s="93"/>
      <c r="I394" s="38"/>
      <c r="J394" s="2"/>
      <c r="K394" s="41"/>
      <c r="L394" s="38"/>
      <c r="M394" s="41"/>
      <c r="N394" s="41"/>
      <c r="O394" s="42"/>
      <c r="P394" s="80"/>
      <c r="Q394" s="80"/>
      <c r="R394" s="87"/>
      <c r="S394" s="87"/>
      <c r="T394" s="87"/>
      <c r="U394" s="108"/>
      <c r="V394" s="87"/>
      <c r="W394" s="108"/>
      <c r="X394" s="87"/>
      <c r="Y394" s="87"/>
      <c r="AI394" s="3" t="str">
        <f>IF(COUNTIF(AC:AC,AA394)*COUNTIF(AE:AE,AA394)*COUNTIF(AG:AG,AA394),AA394,"")</f>
        <v/>
      </c>
      <c r="AJ394" s="3" t="str">
        <f t="shared" si="25"/>
        <v/>
      </c>
      <c r="AR394" s="6" t="str">
        <f t="shared" si="26"/>
        <v/>
      </c>
    </row>
    <row r="395" spans="1:44" x14ac:dyDescent="0.25">
      <c r="A395" s="37"/>
      <c r="B395" s="38"/>
      <c r="C395" s="2"/>
      <c r="D395" s="41"/>
      <c r="E395" s="93"/>
      <c r="F395" s="93"/>
      <c r="G395" s="93"/>
      <c r="H395" s="93"/>
      <c r="I395" s="38"/>
      <c r="J395" s="2"/>
      <c r="K395" s="41"/>
      <c r="L395" s="38"/>
      <c r="M395" s="41"/>
      <c r="N395" s="41"/>
      <c r="O395" s="42"/>
      <c r="P395" s="80"/>
      <c r="Q395" s="80"/>
      <c r="R395" s="87"/>
      <c r="S395" s="87"/>
      <c r="T395" s="87"/>
      <c r="U395" s="108"/>
      <c r="V395" s="87"/>
      <c r="W395" s="108"/>
      <c r="X395" s="87"/>
      <c r="Y395" s="87"/>
      <c r="AI395" s="3" t="str">
        <f>IF(COUNTIF(AC:AC,AA395)*COUNTIF(AE:AE,AA395)*COUNTIF(AG:AG,AA395),AA395,"")</f>
        <v/>
      </c>
      <c r="AJ395" s="3" t="str">
        <f t="shared" si="25"/>
        <v/>
      </c>
      <c r="AR395" s="6" t="str">
        <f t="shared" si="26"/>
        <v/>
      </c>
    </row>
    <row r="396" spans="1:44" x14ac:dyDescent="0.25">
      <c r="A396" s="37"/>
      <c r="B396" s="38"/>
      <c r="C396" s="2"/>
      <c r="D396" s="41"/>
      <c r="E396" s="93"/>
      <c r="F396" s="93"/>
      <c r="G396" s="93"/>
      <c r="H396" s="93"/>
      <c r="I396" s="38"/>
      <c r="J396" s="2"/>
      <c r="K396" s="41"/>
      <c r="L396" s="38"/>
      <c r="M396" s="41"/>
      <c r="N396" s="41"/>
      <c r="O396" s="42"/>
      <c r="P396" s="80"/>
      <c r="Q396" s="80"/>
      <c r="R396" s="87"/>
      <c r="S396" s="87"/>
      <c r="T396" s="87"/>
      <c r="U396" s="108"/>
      <c r="V396" s="87"/>
      <c r="W396" s="108"/>
      <c r="X396" s="87"/>
      <c r="Y396" s="87"/>
      <c r="AI396" s="3" t="str">
        <f>IF(COUNTIF(AC:AC,AA396)*COUNTIF(AE:AE,AA396)*COUNTIF(AG:AG,AA396),AA396,"")</f>
        <v/>
      </c>
      <c r="AJ396" s="3" t="str">
        <f t="shared" si="25"/>
        <v/>
      </c>
      <c r="AR396" s="6" t="str">
        <f t="shared" si="26"/>
        <v/>
      </c>
    </row>
    <row r="397" spans="1:44" x14ac:dyDescent="0.25">
      <c r="A397" s="37"/>
      <c r="B397" s="38"/>
      <c r="C397" s="2"/>
      <c r="D397" s="41"/>
      <c r="E397" s="93"/>
      <c r="F397" s="93"/>
      <c r="G397" s="93"/>
      <c r="H397" s="93"/>
      <c r="I397" s="38"/>
      <c r="J397" s="2"/>
      <c r="K397" s="41"/>
      <c r="L397" s="38"/>
      <c r="M397" s="41"/>
      <c r="N397" s="41"/>
      <c r="O397" s="42"/>
      <c r="P397" s="80"/>
      <c r="Q397" s="80"/>
      <c r="R397" s="87"/>
      <c r="S397" s="87"/>
      <c r="T397" s="87"/>
      <c r="U397" s="108"/>
      <c r="V397" s="87"/>
      <c r="W397" s="108"/>
      <c r="X397" s="87"/>
      <c r="Y397" s="87"/>
      <c r="AI397" s="3" t="str">
        <f>IF(COUNTIF(AC:AC,AA397)*COUNTIF(AE:AE,AA397)*COUNTIF(AG:AG,AA397),AA397,"")</f>
        <v/>
      </c>
      <c r="AJ397" s="3" t="str">
        <f t="shared" si="25"/>
        <v/>
      </c>
      <c r="AR397" s="6" t="str">
        <f t="shared" si="26"/>
        <v/>
      </c>
    </row>
    <row r="398" spans="1:44" x14ac:dyDescent="0.25">
      <c r="A398" s="37"/>
      <c r="B398" s="38"/>
      <c r="C398" s="2"/>
      <c r="D398" s="41"/>
      <c r="E398" s="93"/>
      <c r="F398" s="93"/>
      <c r="G398" s="93"/>
      <c r="H398" s="93"/>
      <c r="I398" s="38"/>
      <c r="J398" s="2"/>
      <c r="K398" s="41"/>
      <c r="L398" s="38"/>
      <c r="M398" s="41"/>
      <c r="N398" s="41"/>
      <c r="O398" s="42"/>
      <c r="P398" s="80"/>
      <c r="Q398" s="80"/>
      <c r="R398" s="87"/>
      <c r="S398" s="87"/>
      <c r="T398" s="87"/>
      <c r="U398" s="108"/>
      <c r="V398" s="87"/>
      <c r="W398" s="108"/>
      <c r="X398" s="87"/>
      <c r="Y398" s="87"/>
      <c r="AI398" s="3" t="str">
        <f>IF(COUNTIF(AC:AC,AA398)*COUNTIF(AE:AE,AA398)*COUNTIF(AG:AG,AA398),AA398,"")</f>
        <v/>
      </c>
      <c r="AJ398" s="3" t="str">
        <f t="shared" si="25"/>
        <v/>
      </c>
      <c r="AR398" s="6" t="str">
        <f t="shared" si="26"/>
        <v/>
      </c>
    </row>
    <row r="399" spans="1:44" x14ac:dyDescent="0.25">
      <c r="A399" s="37"/>
      <c r="B399" s="38"/>
      <c r="C399" s="2"/>
      <c r="D399" s="41"/>
      <c r="E399" s="93"/>
      <c r="F399" s="93"/>
      <c r="G399" s="93"/>
      <c r="H399" s="93"/>
      <c r="I399" s="38"/>
      <c r="J399" s="2"/>
      <c r="K399" s="41"/>
      <c r="L399" s="38"/>
      <c r="M399" s="41"/>
      <c r="N399" s="41"/>
      <c r="O399" s="42"/>
      <c r="P399" s="80"/>
      <c r="Q399" s="80"/>
      <c r="R399" s="87"/>
      <c r="S399" s="87"/>
      <c r="T399" s="87"/>
      <c r="U399" s="108"/>
      <c r="V399" s="87"/>
      <c r="W399" s="108"/>
      <c r="X399" s="87"/>
      <c r="Y399" s="87"/>
      <c r="AI399" s="3" t="str">
        <f>IF(COUNTIF(AC:AC,AA399)*COUNTIF(AE:AE,AA399)*COUNTIF(AG:AG,AA399),AA399,"")</f>
        <v/>
      </c>
      <c r="AJ399" s="3" t="str">
        <f t="shared" si="25"/>
        <v/>
      </c>
      <c r="AR399" s="6" t="str">
        <f t="shared" si="26"/>
        <v/>
      </c>
    </row>
    <row r="400" spans="1:44" x14ac:dyDescent="0.25">
      <c r="A400" s="37"/>
      <c r="B400" s="38"/>
      <c r="C400" s="2"/>
      <c r="D400" s="41"/>
      <c r="E400" s="93"/>
      <c r="F400" s="93"/>
      <c r="G400" s="93"/>
      <c r="H400" s="93"/>
      <c r="I400" s="38"/>
      <c r="J400" s="2"/>
      <c r="K400" s="41"/>
      <c r="L400" s="38"/>
      <c r="M400" s="41"/>
      <c r="N400" s="41"/>
      <c r="O400" s="42"/>
      <c r="P400" s="80"/>
      <c r="Q400" s="80"/>
      <c r="R400" s="87"/>
      <c r="S400" s="87"/>
      <c r="T400" s="87"/>
      <c r="U400" s="108"/>
      <c r="V400" s="87"/>
      <c r="W400" s="108"/>
      <c r="X400" s="87"/>
      <c r="Y400" s="87"/>
      <c r="AI400" s="3" t="str">
        <f>IF(COUNTIF(AC:AC,AA400)*COUNTIF(AE:AE,AA400)*COUNTIF(AG:AG,AA400),AA400,"")</f>
        <v/>
      </c>
      <c r="AJ400" s="3" t="str">
        <f t="shared" si="25"/>
        <v/>
      </c>
      <c r="AR400" s="6" t="str">
        <f t="shared" si="26"/>
        <v/>
      </c>
    </row>
    <row r="401" spans="1:44" x14ac:dyDescent="0.25">
      <c r="A401" s="37"/>
      <c r="B401" s="38"/>
      <c r="C401" s="2"/>
      <c r="D401" s="41"/>
      <c r="E401" s="93"/>
      <c r="F401" s="93"/>
      <c r="G401" s="93"/>
      <c r="H401" s="93"/>
      <c r="I401" s="38"/>
      <c r="J401" s="2"/>
      <c r="K401" s="41"/>
      <c r="L401" s="38"/>
      <c r="M401" s="41"/>
      <c r="N401" s="41"/>
      <c r="O401" s="42"/>
      <c r="P401" s="80"/>
      <c r="Q401" s="80"/>
      <c r="R401" s="87"/>
      <c r="S401" s="87"/>
      <c r="T401" s="87"/>
      <c r="U401" s="108"/>
      <c r="V401" s="87"/>
      <c r="W401" s="108"/>
      <c r="X401" s="87"/>
      <c r="Y401" s="87"/>
      <c r="AI401" s="3" t="str">
        <f>IF(COUNTIF(AC:AC,AA401)*COUNTIF(AE:AE,AA401)*COUNTIF(AG:AG,AA401),AA401,"")</f>
        <v/>
      </c>
      <c r="AJ401" s="3" t="str">
        <f t="shared" si="25"/>
        <v/>
      </c>
      <c r="AR401" s="6" t="str">
        <f t="shared" si="26"/>
        <v/>
      </c>
    </row>
    <row r="402" spans="1:44" x14ac:dyDescent="0.25">
      <c r="A402" s="37"/>
      <c r="B402" s="38"/>
      <c r="C402" s="2"/>
      <c r="D402" s="41"/>
      <c r="E402" s="93"/>
      <c r="F402" s="93"/>
      <c r="G402" s="93"/>
      <c r="H402" s="93"/>
      <c r="I402" s="38"/>
      <c r="J402" s="2"/>
      <c r="K402" s="41"/>
      <c r="L402" s="38"/>
      <c r="M402" s="41"/>
      <c r="N402" s="41"/>
      <c r="O402" s="42"/>
      <c r="P402" s="80"/>
      <c r="Q402" s="80"/>
      <c r="R402" s="87"/>
      <c r="S402" s="87"/>
      <c r="T402" s="87"/>
      <c r="U402" s="108"/>
      <c r="V402" s="87"/>
      <c r="W402" s="108"/>
      <c r="X402" s="87"/>
      <c r="Y402" s="87"/>
      <c r="AI402" s="3" t="str">
        <f>IF(COUNTIF(AC:AC,AA402)*COUNTIF(AE:AE,AA402)*COUNTIF(AG:AG,AA402),AA402,"")</f>
        <v/>
      </c>
      <c r="AJ402" s="3" t="str">
        <f t="shared" si="25"/>
        <v/>
      </c>
      <c r="AR402" s="6" t="str">
        <f t="shared" si="26"/>
        <v/>
      </c>
    </row>
    <row r="403" spans="1:44" x14ac:dyDescent="0.25">
      <c r="A403" s="37"/>
      <c r="B403" s="38"/>
      <c r="C403" s="2"/>
      <c r="D403" s="41"/>
      <c r="E403" s="93"/>
      <c r="F403" s="93"/>
      <c r="G403" s="93"/>
      <c r="H403" s="93"/>
      <c r="I403" s="38"/>
      <c r="J403" s="2"/>
      <c r="K403" s="41"/>
      <c r="L403" s="38"/>
      <c r="M403" s="41"/>
      <c r="N403" s="41"/>
      <c r="O403" s="42"/>
      <c r="P403" s="80"/>
      <c r="Q403" s="80"/>
      <c r="R403" s="87"/>
      <c r="S403" s="87"/>
      <c r="T403" s="87"/>
      <c r="U403" s="108"/>
      <c r="V403" s="87"/>
      <c r="W403" s="108"/>
      <c r="X403" s="87"/>
      <c r="Y403" s="87"/>
      <c r="AI403" s="3" t="str">
        <f>IF(COUNTIF(AC:AC,AA403)*COUNTIF(AE:AE,AA403)*COUNTIF(AG:AG,AA403),AA403,"")</f>
        <v/>
      </c>
      <c r="AJ403" s="3" t="str">
        <f t="shared" si="25"/>
        <v/>
      </c>
      <c r="AR403" s="6" t="str">
        <f t="shared" si="26"/>
        <v/>
      </c>
    </row>
    <row r="404" spans="1:44" x14ac:dyDescent="0.25">
      <c r="A404" s="37"/>
      <c r="B404" s="38"/>
      <c r="C404" s="2"/>
      <c r="D404" s="41"/>
      <c r="E404" s="93"/>
      <c r="F404" s="93"/>
      <c r="G404" s="93"/>
      <c r="H404" s="93"/>
      <c r="I404" s="38"/>
      <c r="J404" s="2"/>
      <c r="K404" s="41"/>
      <c r="L404" s="38"/>
      <c r="M404" s="41"/>
      <c r="N404" s="41"/>
      <c r="O404" s="42"/>
      <c r="P404" s="80"/>
      <c r="Q404" s="80"/>
      <c r="R404" s="87"/>
      <c r="S404" s="87"/>
      <c r="T404" s="87"/>
      <c r="U404" s="108"/>
      <c r="V404" s="87"/>
      <c r="W404" s="108"/>
      <c r="X404" s="87"/>
      <c r="Y404" s="87"/>
      <c r="AI404" s="3" t="str">
        <f>IF(COUNTIF(AC:AC,AA404)*COUNTIF(AE:AE,AA404)*COUNTIF(AG:AG,AA404),AA404,"")</f>
        <v/>
      </c>
      <c r="AJ404" s="3" t="str">
        <f t="shared" si="25"/>
        <v/>
      </c>
      <c r="AR404" s="6" t="str">
        <f t="shared" si="26"/>
        <v/>
      </c>
    </row>
    <row r="405" spans="1:44" x14ac:dyDescent="0.25">
      <c r="A405" s="37"/>
      <c r="B405" s="38"/>
      <c r="C405" s="2"/>
      <c r="D405" s="41"/>
      <c r="E405" s="93"/>
      <c r="F405" s="93"/>
      <c r="G405" s="93"/>
      <c r="H405" s="93"/>
      <c r="I405" s="38"/>
      <c r="J405" s="2"/>
      <c r="K405" s="41"/>
      <c r="L405" s="38"/>
      <c r="M405" s="41"/>
      <c r="N405" s="41"/>
      <c r="O405" s="42"/>
      <c r="P405" s="80"/>
      <c r="Q405" s="80"/>
      <c r="R405" s="87"/>
      <c r="S405" s="87"/>
      <c r="T405" s="87"/>
      <c r="U405" s="108"/>
      <c r="V405" s="87"/>
      <c r="W405" s="108"/>
      <c r="X405" s="87"/>
      <c r="Y405" s="87"/>
      <c r="AI405" s="3" t="str">
        <f>IF(COUNTIF(AC:AC,AA405)*COUNTIF(AE:AE,AA405)*COUNTIF(AG:AG,AA405),AA405,"")</f>
        <v/>
      </c>
      <c r="AJ405" s="3" t="str">
        <f t="shared" si="25"/>
        <v/>
      </c>
      <c r="AR405" s="6" t="str">
        <f t="shared" si="26"/>
        <v/>
      </c>
    </row>
    <row r="406" spans="1:44" x14ac:dyDescent="0.25">
      <c r="A406" s="37"/>
      <c r="B406" s="38"/>
      <c r="C406" s="2"/>
      <c r="D406" s="41"/>
      <c r="E406" s="93"/>
      <c r="F406" s="93"/>
      <c r="G406" s="93"/>
      <c r="H406" s="93"/>
      <c r="I406" s="38"/>
      <c r="J406" s="2"/>
      <c r="K406" s="41"/>
      <c r="L406" s="38"/>
      <c r="M406" s="41"/>
      <c r="N406" s="41"/>
      <c r="O406" s="42"/>
      <c r="P406" s="80"/>
      <c r="Q406" s="80"/>
      <c r="R406" s="87"/>
      <c r="S406" s="87"/>
      <c r="T406" s="87"/>
      <c r="U406" s="108"/>
      <c r="V406" s="87"/>
      <c r="W406" s="108"/>
      <c r="X406" s="87"/>
      <c r="Y406" s="87"/>
      <c r="AI406" s="3" t="str">
        <f>IF(COUNTIF(AC:AC,AA406)*COUNTIF(AE:AE,AA406)*COUNTIF(AG:AG,AA406),AA406,"")</f>
        <v/>
      </c>
      <c r="AJ406" s="3" t="str">
        <f t="shared" si="25"/>
        <v/>
      </c>
      <c r="AR406" s="6" t="str">
        <f t="shared" si="26"/>
        <v/>
      </c>
    </row>
    <row r="407" spans="1:44" x14ac:dyDescent="0.25">
      <c r="A407" s="37"/>
      <c r="B407" s="38"/>
      <c r="C407" s="2"/>
      <c r="D407" s="41"/>
      <c r="E407" s="93"/>
      <c r="F407" s="93"/>
      <c r="G407" s="93"/>
      <c r="H407" s="93"/>
      <c r="I407" s="38"/>
      <c r="J407" s="2"/>
      <c r="K407" s="41"/>
      <c r="L407" s="38"/>
      <c r="M407" s="41"/>
      <c r="N407" s="41"/>
      <c r="O407" s="42"/>
      <c r="P407" s="80"/>
      <c r="Q407" s="80"/>
      <c r="R407" s="87"/>
      <c r="S407" s="87"/>
      <c r="T407" s="87"/>
      <c r="U407" s="108"/>
      <c r="V407" s="87"/>
      <c r="W407" s="108"/>
      <c r="X407" s="87"/>
      <c r="Y407" s="87"/>
      <c r="AI407" s="3" t="str">
        <f>IF(COUNTIF(AC:AC,AA407)*COUNTIF(AE:AE,AA407)*COUNTIF(AG:AG,AA407),AA407,"")</f>
        <v/>
      </c>
      <c r="AJ407" s="3" t="str">
        <f t="shared" si="25"/>
        <v/>
      </c>
      <c r="AR407" s="6" t="str">
        <f t="shared" si="26"/>
        <v/>
      </c>
    </row>
    <row r="408" spans="1:44" x14ac:dyDescent="0.25">
      <c r="A408" s="37"/>
      <c r="B408" s="38"/>
      <c r="C408" s="2"/>
      <c r="D408" s="41"/>
      <c r="E408" s="93"/>
      <c r="F408" s="93"/>
      <c r="G408" s="93"/>
      <c r="H408" s="93"/>
      <c r="I408" s="38"/>
      <c r="J408" s="2"/>
      <c r="K408" s="41"/>
      <c r="L408" s="38"/>
      <c r="M408" s="41"/>
      <c r="N408" s="41"/>
      <c r="O408" s="42"/>
      <c r="P408" s="80"/>
      <c r="Q408" s="80"/>
      <c r="R408" s="87"/>
      <c r="S408" s="87"/>
      <c r="T408" s="87"/>
      <c r="U408" s="108"/>
      <c r="V408" s="87"/>
      <c r="W408" s="108"/>
      <c r="X408" s="87"/>
      <c r="Y408" s="87"/>
      <c r="AI408" s="3" t="str">
        <f>IF(COUNTIF(AC:AC,AA408)*COUNTIF(AE:AE,AA408)*COUNTIF(AG:AG,AA408),AA408,"")</f>
        <v/>
      </c>
      <c r="AJ408" s="3" t="str">
        <f t="shared" si="25"/>
        <v/>
      </c>
      <c r="AR408" s="6" t="str">
        <f t="shared" si="26"/>
        <v/>
      </c>
    </row>
    <row r="409" spans="1:44" x14ac:dyDescent="0.25">
      <c r="A409" s="37"/>
      <c r="B409" s="38"/>
      <c r="C409" s="2"/>
      <c r="D409" s="41"/>
      <c r="E409" s="93"/>
      <c r="F409" s="93"/>
      <c r="G409" s="93"/>
      <c r="H409" s="93"/>
      <c r="I409" s="38"/>
      <c r="J409" s="2"/>
      <c r="K409" s="41"/>
      <c r="L409" s="38"/>
      <c r="M409" s="41"/>
      <c r="N409" s="41"/>
      <c r="O409" s="42"/>
      <c r="P409" s="80"/>
      <c r="Q409" s="80"/>
      <c r="R409" s="87"/>
      <c r="S409" s="87"/>
      <c r="T409" s="87"/>
      <c r="U409" s="108"/>
      <c r="V409" s="87"/>
      <c r="W409" s="108"/>
      <c r="X409" s="87"/>
      <c r="Y409" s="87"/>
      <c r="AI409" s="3" t="str">
        <f>IF(COUNTIF(AC:AC,AA409)*COUNTIF(AE:AE,AA409)*COUNTIF(AG:AG,AA409),AA409,"")</f>
        <v/>
      </c>
      <c r="AJ409" s="3" t="str">
        <f t="shared" si="25"/>
        <v/>
      </c>
      <c r="AR409" s="6" t="str">
        <f t="shared" si="26"/>
        <v/>
      </c>
    </row>
    <row r="410" spans="1:44" x14ac:dyDescent="0.25">
      <c r="A410" s="37"/>
      <c r="B410" s="38"/>
      <c r="C410" s="2"/>
      <c r="D410" s="41"/>
      <c r="E410" s="93"/>
      <c r="F410" s="93"/>
      <c r="G410" s="93"/>
      <c r="H410" s="93"/>
      <c r="I410" s="38"/>
      <c r="J410" s="2"/>
      <c r="K410" s="41"/>
      <c r="L410" s="38"/>
      <c r="M410" s="41"/>
      <c r="N410" s="41"/>
      <c r="O410" s="42"/>
      <c r="P410" s="80"/>
      <c r="Q410" s="80"/>
      <c r="R410" s="87"/>
      <c r="S410" s="87"/>
      <c r="T410" s="87"/>
      <c r="U410" s="108"/>
      <c r="V410" s="87"/>
      <c r="W410" s="108"/>
      <c r="X410" s="87"/>
      <c r="Y410" s="87"/>
      <c r="AI410" s="3" t="str">
        <f>IF(COUNTIF(AC:AC,AA410)*COUNTIF(AE:AE,AA410)*COUNTIF(AG:AG,AA410),AA410,"")</f>
        <v/>
      </c>
      <c r="AJ410" s="3" t="str">
        <f t="shared" si="25"/>
        <v/>
      </c>
      <c r="AR410" s="6" t="str">
        <f t="shared" si="26"/>
        <v/>
      </c>
    </row>
    <row r="411" spans="1:44" x14ac:dyDescent="0.25">
      <c r="A411" s="37"/>
      <c r="B411" s="38"/>
      <c r="C411" s="2"/>
      <c r="D411" s="41"/>
      <c r="E411" s="93"/>
      <c r="F411" s="93"/>
      <c r="G411" s="93"/>
      <c r="H411" s="93"/>
      <c r="I411" s="38"/>
      <c r="J411" s="2"/>
      <c r="K411" s="41"/>
      <c r="L411" s="38"/>
      <c r="M411" s="41"/>
      <c r="N411" s="41"/>
      <c r="O411" s="42"/>
      <c r="P411" s="80"/>
      <c r="Q411" s="80"/>
      <c r="R411" s="87"/>
      <c r="S411" s="87"/>
      <c r="T411" s="87"/>
      <c r="U411" s="108"/>
      <c r="V411" s="87"/>
      <c r="W411" s="108"/>
      <c r="X411" s="87"/>
      <c r="Y411" s="87"/>
      <c r="AI411" s="3" t="str">
        <f>IF(COUNTIF(AC:AC,AA411)*COUNTIF(AE:AE,AA411)*COUNTIF(AG:AG,AA411),AA411,"")</f>
        <v/>
      </c>
      <c r="AJ411" s="3" t="str">
        <f t="shared" si="25"/>
        <v/>
      </c>
      <c r="AR411" s="6" t="str">
        <f t="shared" si="26"/>
        <v/>
      </c>
    </row>
    <row r="412" spans="1:44" x14ac:dyDescent="0.25">
      <c r="A412" s="37"/>
      <c r="B412" s="38"/>
      <c r="C412" s="2"/>
      <c r="D412" s="41"/>
      <c r="E412" s="93"/>
      <c r="F412" s="93"/>
      <c r="G412" s="93"/>
      <c r="H412" s="93"/>
      <c r="I412" s="38"/>
      <c r="J412" s="2"/>
      <c r="K412" s="41"/>
      <c r="L412" s="38"/>
      <c r="M412" s="41"/>
      <c r="N412" s="41"/>
      <c r="O412" s="42"/>
      <c r="P412" s="80"/>
      <c r="Q412" s="80"/>
      <c r="R412" s="87"/>
      <c r="S412" s="87"/>
      <c r="T412" s="87"/>
      <c r="U412" s="108"/>
      <c r="V412" s="87"/>
      <c r="W412" s="108"/>
      <c r="X412" s="87"/>
      <c r="Y412" s="87"/>
      <c r="AI412" s="3" t="str">
        <f>IF(COUNTIF(AC:AC,AA412)*COUNTIF(AE:AE,AA412)*COUNTIF(AG:AG,AA412),AA412,"")</f>
        <v/>
      </c>
      <c r="AJ412" s="3" t="str">
        <f t="shared" si="25"/>
        <v/>
      </c>
      <c r="AR412" s="6" t="str">
        <f t="shared" si="26"/>
        <v/>
      </c>
    </row>
    <row r="413" spans="1:44" x14ac:dyDescent="0.25">
      <c r="A413" s="37"/>
      <c r="B413" s="38"/>
      <c r="C413" s="2"/>
      <c r="D413" s="41"/>
      <c r="E413" s="93"/>
      <c r="F413" s="93"/>
      <c r="G413" s="93"/>
      <c r="H413" s="93"/>
      <c r="I413" s="38"/>
      <c r="J413" s="2"/>
      <c r="K413" s="41"/>
      <c r="L413" s="38"/>
      <c r="M413" s="41"/>
      <c r="N413" s="41"/>
      <c r="O413" s="42"/>
      <c r="P413" s="80"/>
      <c r="Q413" s="80"/>
      <c r="R413" s="87"/>
      <c r="S413" s="87"/>
      <c r="T413" s="87"/>
      <c r="U413" s="108"/>
      <c r="V413" s="87"/>
      <c r="W413" s="108"/>
      <c r="X413" s="87"/>
      <c r="Y413" s="87"/>
      <c r="AI413" s="3" t="str">
        <f>IF(COUNTIF(AC:AC,AA413)*COUNTIF(AE:AE,AA413)*COUNTIF(AG:AG,AA413),AA413,"")</f>
        <v/>
      </c>
      <c r="AJ413" s="3" t="str">
        <f t="shared" si="25"/>
        <v/>
      </c>
      <c r="AR413" s="6" t="str">
        <f t="shared" si="26"/>
        <v/>
      </c>
    </row>
    <row r="414" spans="1:44" x14ac:dyDescent="0.25">
      <c r="A414" s="37"/>
      <c r="B414" s="38"/>
      <c r="C414" s="2"/>
      <c r="D414" s="41"/>
      <c r="E414" s="93"/>
      <c r="F414" s="93"/>
      <c r="G414" s="93"/>
      <c r="H414" s="93"/>
      <c r="I414" s="38"/>
      <c r="J414" s="2"/>
      <c r="K414" s="41"/>
      <c r="L414" s="38"/>
      <c r="M414" s="41"/>
      <c r="N414" s="41"/>
      <c r="O414" s="42"/>
      <c r="P414" s="80"/>
      <c r="Q414" s="80"/>
      <c r="R414" s="87"/>
      <c r="S414" s="87"/>
      <c r="T414" s="87"/>
      <c r="U414" s="108"/>
      <c r="V414" s="87"/>
      <c r="W414" s="108"/>
      <c r="X414" s="87"/>
      <c r="Y414" s="87"/>
      <c r="AI414" s="3" t="str">
        <f>IF(COUNTIF(AC:AC,AA414)*COUNTIF(AE:AE,AA414)*COUNTIF(AG:AG,AA414),AA414,"")</f>
        <v/>
      </c>
      <c r="AJ414" s="3" t="str">
        <f t="shared" si="25"/>
        <v/>
      </c>
      <c r="AR414" s="6" t="str">
        <f t="shared" si="26"/>
        <v/>
      </c>
    </row>
    <row r="415" spans="1:44" x14ac:dyDescent="0.25">
      <c r="A415" s="37"/>
      <c r="B415" s="38"/>
      <c r="C415" s="2"/>
      <c r="D415" s="41"/>
      <c r="E415" s="93"/>
      <c r="F415" s="93"/>
      <c r="G415" s="93"/>
      <c r="H415" s="93"/>
      <c r="I415" s="38"/>
      <c r="J415" s="2"/>
      <c r="K415" s="41"/>
      <c r="L415" s="38"/>
      <c r="M415" s="41"/>
      <c r="N415" s="41"/>
      <c r="O415" s="42"/>
      <c r="P415" s="80"/>
      <c r="Q415" s="80"/>
      <c r="R415" s="87"/>
      <c r="S415" s="87"/>
      <c r="T415" s="87"/>
      <c r="U415" s="108"/>
      <c r="V415" s="87"/>
      <c r="W415" s="108"/>
      <c r="X415" s="87"/>
      <c r="Y415" s="87"/>
      <c r="AI415" s="3" t="str">
        <f>IF(COUNTIF(AC:AC,AA415)*COUNTIF(AE:AE,AA415)*COUNTIF(AG:AG,AA415),AA415,"")</f>
        <v/>
      </c>
      <c r="AJ415" s="3" t="str">
        <f t="shared" si="25"/>
        <v/>
      </c>
      <c r="AR415" s="6" t="str">
        <f t="shared" si="26"/>
        <v/>
      </c>
    </row>
    <row r="416" spans="1:44" x14ac:dyDescent="0.25">
      <c r="A416" s="37"/>
      <c r="B416" s="38"/>
      <c r="C416" s="2"/>
      <c r="D416" s="41"/>
      <c r="E416" s="93"/>
      <c r="F416" s="93"/>
      <c r="G416" s="93"/>
      <c r="H416" s="93"/>
      <c r="I416" s="38"/>
      <c r="J416" s="2"/>
      <c r="K416" s="41"/>
      <c r="L416" s="38"/>
      <c r="M416" s="41"/>
      <c r="N416" s="41"/>
      <c r="O416" s="42"/>
      <c r="P416" s="80"/>
      <c r="Q416" s="80"/>
      <c r="R416" s="87"/>
      <c r="S416" s="87"/>
      <c r="T416" s="87"/>
      <c r="U416" s="108"/>
      <c r="V416" s="87"/>
      <c r="W416" s="108"/>
      <c r="X416" s="87"/>
      <c r="Y416" s="87"/>
      <c r="AI416" s="3" t="str">
        <f>IF(COUNTIF(AC:AC,AA416)*COUNTIF(AE:AE,AA416)*COUNTIF(AG:AG,AA416),AA416,"")</f>
        <v/>
      </c>
      <c r="AJ416" s="3" t="str">
        <f t="shared" si="25"/>
        <v/>
      </c>
      <c r="AR416" s="6" t="str">
        <f t="shared" si="26"/>
        <v/>
      </c>
    </row>
    <row r="417" spans="1:44" x14ac:dyDescent="0.25">
      <c r="A417" s="37"/>
      <c r="B417" s="38"/>
      <c r="C417" s="2"/>
      <c r="D417" s="41"/>
      <c r="E417" s="93"/>
      <c r="F417" s="93"/>
      <c r="G417" s="93"/>
      <c r="H417" s="93"/>
      <c r="I417" s="38"/>
      <c r="J417" s="2"/>
      <c r="K417" s="41"/>
      <c r="L417" s="38"/>
      <c r="M417" s="41"/>
      <c r="N417" s="41"/>
      <c r="O417" s="42"/>
      <c r="P417" s="80"/>
      <c r="Q417" s="80"/>
      <c r="R417" s="87"/>
      <c r="S417" s="87"/>
      <c r="T417" s="87"/>
      <c r="U417" s="108"/>
      <c r="V417" s="87"/>
      <c r="W417" s="108"/>
      <c r="X417" s="87"/>
      <c r="Y417" s="87"/>
      <c r="AI417" s="3" t="str">
        <f>IF(COUNTIF(AC:AC,AA417)*COUNTIF(AE:AE,AA417)*COUNTIF(AG:AG,AA417),AA417,"")</f>
        <v/>
      </c>
      <c r="AJ417" s="3" t="str">
        <f t="shared" si="25"/>
        <v/>
      </c>
      <c r="AR417" s="6" t="str">
        <f t="shared" si="26"/>
        <v/>
      </c>
    </row>
    <row r="418" spans="1:44" x14ac:dyDescent="0.25">
      <c r="A418" s="37"/>
      <c r="B418" s="38"/>
      <c r="C418" s="2"/>
      <c r="D418" s="41"/>
      <c r="E418" s="93"/>
      <c r="F418" s="93"/>
      <c r="G418" s="93"/>
      <c r="H418" s="93"/>
      <c r="I418" s="38"/>
      <c r="J418" s="2"/>
      <c r="K418" s="41"/>
      <c r="L418" s="38"/>
      <c r="M418" s="41"/>
      <c r="N418" s="41"/>
      <c r="O418" s="42"/>
      <c r="P418" s="80"/>
      <c r="Q418" s="80"/>
      <c r="R418" s="87"/>
      <c r="S418" s="87"/>
      <c r="T418" s="87"/>
      <c r="U418" s="108"/>
      <c r="V418" s="87"/>
      <c r="W418" s="108"/>
      <c r="X418" s="87"/>
      <c r="Y418" s="87"/>
      <c r="AI418" s="3" t="str">
        <f>IF(COUNTIF(AC:AC,AA418)*COUNTIF(AE:AE,AA418)*COUNTIF(AG:AG,AA418),AA418,"")</f>
        <v/>
      </c>
      <c r="AJ418" s="3" t="str">
        <f t="shared" si="25"/>
        <v/>
      </c>
      <c r="AR418" s="6" t="str">
        <f t="shared" si="26"/>
        <v/>
      </c>
    </row>
    <row r="419" spans="1:44" x14ac:dyDescent="0.25">
      <c r="A419" s="37"/>
      <c r="B419" s="38"/>
      <c r="C419" s="2"/>
      <c r="D419" s="41"/>
      <c r="E419" s="93"/>
      <c r="F419" s="93"/>
      <c r="G419" s="93"/>
      <c r="H419" s="93"/>
      <c r="I419" s="38"/>
      <c r="J419" s="2"/>
      <c r="K419" s="41"/>
      <c r="L419" s="38"/>
      <c r="M419" s="41"/>
      <c r="N419" s="41"/>
      <c r="O419" s="42"/>
      <c r="P419" s="80"/>
      <c r="Q419" s="80"/>
      <c r="R419" s="87"/>
      <c r="S419" s="87"/>
      <c r="T419" s="87"/>
      <c r="U419" s="108"/>
      <c r="V419" s="87"/>
      <c r="W419" s="108"/>
      <c r="X419" s="87"/>
      <c r="Y419" s="87"/>
      <c r="AI419" s="3" t="str">
        <f>IF(COUNTIF(AC:AC,AA419)*COUNTIF(AE:AE,AA419)*COUNTIF(AG:AG,AA419),AA419,"")</f>
        <v/>
      </c>
      <c r="AJ419" s="3" t="str">
        <f t="shared" si="25"/>
        <v/>
      </c>
      <c r="AR419" s="6" t="str">
        <f t="shared" si="26"/>
        <v/>
      </c>
    </row>
    <row r="420" spans="1:44" x14ac:dyDescent="0.25">
      <c r="A420" s="37"/>
      <c r="B420" s="38"/>
      <c r="C420" s="2"/>
      <c r="D420" s="41"/>
      <c r="E420" s="93"/>
      <c r="F420" s="93"/>
      <c r="G420" s="93"/>
      <c r="H420" s="93"/>
      <c r="I420" s="38"/>
      <c r="J420" s="2"/>
      <c r="K420" s="41"/>
      <c r="L420" s="38"/>
      <c r="M420" s="41"/>
      <c r="N420" s="41"/>
      <c r="O420" s="42"/>
      <c r="P420" s="80"/>
      <c r="Q420" s="80"/>
      <c r="R420" s="87"/>
      <c r="S420" s="87"/>
      <c r="T420" s="87"/>
      <c r="U420" s="108"/>
      <c r="V420" s="87"/>
      <c r="W420" s="108"/>
      <c r="X420" s="87"/>
      <c r="Y420" s="87"/>
      <c r="AI420" s="3" t="str">
        <f>IF(COUNTIF(AC:AC,AA420)*COUNTIF(AE:AE,AA420)*COUNTIF(AG:AG,AA420),AA420,"")</f>
        <v/>
      </c>
      <c r="AJ420" s="3" t="str">
        <f t="shared" si="25"/>
        <v/>
      </c>
      <c r="AR420" s="6" t="str">
        <f t="shared" si="26"/>
        <v/>
      </c>
    </row>
    <row r="421" spans="1:44" x14ac:dyDescent="0.25">
      <c r="A421" s="37"/>
      <c r="B421" s="38"/>
      <c r="C421" s="2"/>
      <c r="D421" s="41"/>
      <c r="E421" s="93"/>
      <c r="F421" s="93"/>
      <c r="G421" s="93"/>
      <c r="H421" s="93"/>
      <c r="I421" s="38"/>
      <c r="J421" s="2"/>
      <c r="K421" s="41"/>
      <c r="L421" s="38"/>
      <c r="M421" s="41"/>
      <c r="N421" s="41"/>
      <c r="O421" s="42"/>
      <c r="P421" s="80"/>
      <c r="Q421" s="80"/>
      <c r="R421" s="87"/>
      <c r="S421" s="87"/>
      <c r="T421" s="87"/>
      <c r="U421" s="108"/>
      <c r="V421" s="87"/>
      <c r="W421" s="108"/>
      <c r="X421" s="87"/>
      <c r="Y421" s="87"/>
      <c r="AI421" s="3" t="str">
        <f>IF(COUNTIF(AC:AC,AA421)*COUNTIF(AE:AE,AA421)*COUNTIF(AG:AG,AA421),AA421,"")</f>
        <v/>
      </c>
      <c r="AJ421" s="3" t="str">
        <f t="shared" si="25"/>
        <v/>
      </c>
      <c r="AR421" s="6" t="str">
        <f t="shared" si="26"/>
        <v/>
      </c>
    </row>
    <row r="422" spans="1:44" x14ac:dyDescent="0.25">
      <c r="A422" s="37"/>
      <c r="B422" s="38"/>
      <c r="C422" s="2"/>
      <c r="D422" s="41"/>
      <c r="E422" s="93"/>
      <c r="F422" s="93"/>
      <c r="G422" s="93"/>
      <c r="H422" s="93"/>
      <c r="I422" s="38"/>
      <c r="J422" s="2"/>
      <c r="K422" s="41"/>
      <c r="L422" s="38"/>
      <c r="M422" s="41"/>
      <c r="N422" s="41"/>
      <c r="O422" s="42"/>
      <c r="P422" s="80"/>
      <c r="Q422" s="80"/>
      <c r="R422" s="87"/>
      <c r="S422" s="87"/>
      <c r="T422" s="87"/>
      <c r="U422" s="108"/>
      <c r="V422" s="87"/>
      <c r="W422" s="108"/>
      <c r="X422" s="87"/>
      <c r="Y422" s="87"/>
      <c r="AI422" s="3" t="str">
        <f>IF(COUNTIF(AC:AC,AA422)*COUNTIF(AE:AE,AA422)*COUNTIF(AG:AG,AA422),AA422,"")</f>
        <v/>
      </c>
      <c r="AJ422" s="3" t="str">
        <f t="shared" si="25"/>
        <v/>
      </c>
    </row>
    <row r="423" spans="1:44" x14ac:dyDescent="0.25">
      <c r="A423" s="37"/>
      <c r="B423" s="38"/>
      <c r="C423" s="2"/>
      <c r="D423" s="41"/>
      <c r="E423" s="93"/>
      <c r="F423" s="93"/>
      <c r="G423" s="93"/>
      <c r="H423" s="93"/>
      <c r="I423" s="38"/>
      <c r="J423" s="2"/>
      <c r="K423" s="41"/>
      <c r="L423" s="38"/>
      <c r="M423" s="41"/>
      <c r="N423" s="41"/>
      <c r="O423" s="42"/>
      <c r="P423" s="80"/>
      <c r="Q423" s="80"/>
      <c r="R423" s="87"/>
      <c r="S423" s="87"/>
      <c r="T423" s="87"/>
      <c r="U423" s="108"/>
      <c r="V423" s="87"/>
      <c r="W423" s="108"/>
      <c r="X423" s="87"/>
      <c r="Y423" s="87"/>
      <c r="AI423" s="3" t="str">
        <f>IF(COUNTIF(AC:AC,AA423)*COUNTIF(AE:AE,AA423)*COUNTIF(AG:AG,AA423),AA423,"")</f>
        <v/>
      </c>
      <c r="AJ423" s="3" t="str">
        <f t="shared" si="25"/>
        <v/>
      </c>
    </row>
    <row r="424" spans="1:44" x14ac:dyDescent="0.25">
      <c r="A424" s="37"/>
      <c r="B424" s="38"/>
      <c r="C424" s="2"/>
      <c r="D424" s="41"/>
      <c r="E424" s="93"/>
      <c r="F424" s="93"/>
      <c r="G424" s="93"/>
      <c r="H424" s="93"/>
      <c r="I424" s="38"/>
      <c r="J424" s="2"/>
      <c r="K424" s="41"/>
      <c r="L424" s="38"/>
      <c r="M424" s="41"/>
      <c r="N424" s="41"/>
      <c r="O424" s="42"/>
      <c r="P424" s="80"/>
      <c r="Q424" s="80"/>
      <c r="R424" s="87"/>
      <c r="S424" s="87"/>
      <c r="T424" s="87"/>
      <c r="U424" s="108"/>
      <c r="V424" s="87"/>
      <c r="W424" s="108"/>
      <c r="X424" s="87"/>
      <c r="Y424" s="87"/>
      <c r="AI424" s="3" t="str">
        <f>IF(COUNTIF(AC:AC,AA424)*COUNTIF(AE:AE,AA424)*COUNTIF(AG:AG,AA424),AA424,"")</f>
        <v/>
      </c>
      <c r="AJ424" s="3" t="str">
        <f t="shared" si="25"/>
        <v/>
      </c>
    </row>
    <row r="425" spans="1:44" x14ac:dyDescent="0.25">
      <c r="A425" s="37"/>
      <c r="B425" s="38"/>
      <c r="C425" s="2"/>
      <c r="D425" s="41"/>
      <c r="E425" s="93"/>
      <c r="F425" s="93"/>
      <c r="G425" s="93"/>
      <c r="H425" s="93"/>
      <c r="I425" s="38"/>
      <c r="J425" s="2"/>
      <c r="K425" s="41"/>
      <c r="L425" s="38"/>
      <c r="M425" s="41"/>
      <c r="N425" s="41"/>
      <c r="O425" s="42"/>
      <c r="P425" s="80"/>
      <c r="Q425" s="80"/>
      <c r="R425" s="87"/>
      <c r="S425" s="87"/>
      <c r="T425" s="87"/>
      <c r="U425" s="108"/>
      <c r="V425" s="87"/>
      <c r="W425" s="108"/>
      <c r="X425" s="87"/>
      <c r="Y425" s="87"/>
      <c r="AI425" s="3" t="str">
        <f>IF(COUNTIF(AC:AC,AA425)*COUNTIF(AE:AE,AA425)*COUNTIF(AG:AG,AA425),AA425,"")</f>
        <v/>
      </c>
      <c r="AJ425" s="3" t="str">
        <f t="shared" si="25"/>
        <v/>
      </c>
    </row>
    <row r="426" spans="1:44" x14ac:dyDescent="0.25">
      <c r="A426" s="37"/>
      <c r="B426" s="38"/>
      <c r="C426" s="2"/>
      <c r="D426" s="41"/>
      <c r="E426" s="93"/>
      <c r="F426" s="93"/>
      <c r="G426" s="93"/>
      <c r="H426" s="93"/>
      <c r="I426" s="38"/>
      <c r="J426" s="2"/>
      <c r="K426" s="41"/>
      <c r="L426" s="38"/>
      <c r="M426" s="41"/>
      <c r="N426" s="41"/>
      <c r="O426" s="42"/>
      <c r="P426" s="80"/>
      <c r="Q426" s="80"/>
      <c r="R426" s="87"/>
      <c r="S426" s="87"/>
      <c r="T426" s="87"/>
      <c r="U426" s="108"/>
      <c r="V426" s="87"/>
      <c r="W426" s="108"/>
      <c r="X426" s="87"/>
      <c r="Y426" s="87"/>
      <c r="AI426" s="3" t="str">
        <f>IF(COUNTIF(AC:AC,AA426)*COUNTIF(AE:AE,AA426)*COUNTIF(AG:AG,AA426),AA426,"")</f>
        <v/>
      </c>
      <c r="AJ426" s="3" t="str">
        <f t="shared" si="25"/>
        <v/>
      </c>
    </row>
    <row r="427" spans="1:44" x14ac:dyDescent="0.25">
      <c r="A427" s="37"/>
      <c r="B427" s="38"/>
      <c r="C427" s="2"/>
      <c r="D427" s="41"/>
      <c r="E427" s="93"/>
      <c r="F427" s="93"/>
      <c r="G427" s="93"/>
      <c r="H427" s="93"/>
      <c r="I427" s="38"/>
      <c r="J427" s="2"/>
      <c r="K427" s="41"/>
      <c r="L427" s="38"/>
      <c r="M427" s="41"/>
      <c r="N427" s="41"/>
      <c r="O427" s="42"/>
      <c r="P427" s="80"/>
      <c r="Q427" s="80"/>
      <c r="R427" s="87"/>
      <c r="S427" s="87"/>
      <c r="T427" s="87"/>
      <c r="U427" s="108"/>
      <c r="V427" s="87"/>
      <c r="W427" s="108"/>
      <c r="X427" s="87"/>
      <c r="Y427" s="87"/>
      <c r="AI427" s="3" t="str">
        <f>IF(COUNTIF(AC:AC,AA427)*COUNTIF(AE:AE,AA427)*COUNTIF(AG:AG,AA427),AA427,"")</f>
        <v/>
      </c>
      <c r="AJ427" s="3" t="str">
        <f t="shared" si="25"/>
        <v/>
      </c>
    </row>
    <row r="428" spans="1:44" x14ac:dyDescent="0.25">
      <c r="A428" s="37"/>
      <c r="B428" s="38"/>
      <c r="C428" s="2"/>
      <c r="D428" s="41"/>
      <c r="E428" s="93"/>
      <c r="F428" s="93"/>
      <c r="G428" s="93"/>
      <c r="H428" s="93"/>
      <c r="I428" s="38"/>
      <c r="J428" s="2"/>
      <c r="K428" s="41"/>
      <c r="L428" s="38"/>
      <c r="M428" s="41"/>
      <c r="N428" s="41"/>
      <c r="O428" s="42"/>
      <c r="P428" s="80"/>
      <c r="Q428" s="80"/>
      <c r="R428" s="87"/>
      <c r="S428" s="87"/>
      <c r="T428" s="87"/>
      <c r="U428" s="108"/>
      <c r="V428" s="87"/>
      <c r="W428" s="108"/>
      <c r="X428" s="87"/>
      <c r="Y428" s="87"/>
      <c r="AI428" s="3" t="str">
        <f>IF(COUNTIF(AC:AC,AA428)*COUNTIF(AE:AE,AA428)*COUNTIF(AG:AG,AA428),AA428,"")</f>
        <v/>
      </c>
      <c r="AJ428" s="3" t="str">
        <f t="shared" si="25"/>
        <v/>
      </c>
    </row>
    <row r="429" spans="1:44" x14ac:dyDescent="0.25">
      <c r="A429" s="37"/>
      <c r="B429" s="38"/>
      <c r="C429" s="2"/>
      <c r="D429" s="41"/>
      <c r="E429" s="93"/>
      <c r="F429" s="93"/>
      <c r="G429" s="93"/>
      <c r="H429" s="93"/>
      <c r="I429" s="38"/>
      <c r="J429" s="2"/>
      <c r="K429" s="41"/>
      <c r="L429" s="38"/>
      <c r="M429" s="41"/>
      <c r="N429" s="41"/>
      <c r="O429" s="42"/>
      <c r="P429" s="80"/>
      <c r="Q429" s="80"/>
      <c r="R429" s="87"/>
      <c r="S429" s="87"/>
      <c r="T429" s="87"/>
      <c r="U429" s="108"/>
      <c r="V429" s="87"/>
      <c r="W429" s="108"/>
      <c r="X429" s="87"/>
      <c r="Y429" s="87"/>
      <c r="AI429" s="3" t="str">
        <f>IF(COUNTIF(AC:AC,AA429)*COUNTIF(AE:AE,AA429)*COUNTIF(AG:AG,AA429),AA429,"")</f>
        <v/>
      </c>
      <c r="AJ429" s="3" t="str">
        <f t="shared" si="25"/>
        <v/>
      </c>
    </row>
    <row r="430" spans="1:44" x14ac:dyDescent="0.25">
      <c r="A430" s="37"/>
      <c r="B430" s="38"/>
      <c r="C430" s="2"/>
      <c r="D430" s="41"/>
      <c r="E430" s="93"/>
      <c r="F430" s="93"/>
      <c r="G430" s="93"/>
      <c r="H430" s="93"/>
      <c r="I430" s="38"/>
      <c r="J430" s="2"/>
      <c r="K430" s="41"/>
      <c r="L430" s="38"/>
      <c r="M430" s="41"/>
      <c r="N430" s="41"/>
      <c r="O430" s="42"/>
      <c r="P430" s="80"/>
      <c r="Q430" s="80"/>
      <c r="R430" s="87"/>
      <c r="S430" s="87"/>
      <c r="T430" s="87"/>
      <c r="U430" s="108"/>
      <c r="V430" s="87"/>
      <c r="W430" s="108"/>
      <c r="X430" s="87"/>
      <c r="Y430" s="87"/>
      <c r="AI430" s="3" t="str">
        <f>IF(COUNTIF(AC:AC,AA430)*COUNTIF(AE:AE,AA430)*COUNTIF(AG:AG,AA430),AA430,"")</f>
        <v/>
      </c>
      <c r="AJ430" s="3" t="str">
        <f t="shared" si="25"/>
        <v/>
      </c>
    </row>
    <row r="431" spans="1:44" x14ac:dyDescent="0.25">
      <c r="A431" s="37"/>
      <c r="B431" s="38"/>
      <c r="C431" s="2"/>
      <c r="D431" s="41"/>
      <c r="E431" s="93"/>
      <c r="F431" s="93"/>
      <c r="G431" s="93"/>
      <c r="H431" s="93"/>
      <c r="I431" s="38"/>
      <c r="J431" s="2"/>
      <c r="K431" s="41"/>
      <c r="L431" s="38"/>
      <c r="M431" s="41"/>
      <c r="N431" s="41"/>
      <c r="O431" s="42"/>
      <c r="P431" s="80"/>
      <c r="Q431" s="80"/>
      <c r="R431" s="87"/>
      <c r="S431" s="87"/>
      <c r="T431" s="87"/>
      <c r="U431" s="108"/>
      <c r="V431" s="87"/>
      <c r="W431" s="108"/>
      <c r="X431" s="87"/>
      <c r="Y431" s="87"/>
      <c r="AI431" s="3" t="str">
        <f>IF(COUNTIF(AC:AC,AA431)*COUNTIF(AE:AE,AA431)*COUNTIF(AG:AG,AA431),AA431,"")</f>
        <v/>
      </c>
      <c r="AJ431" s="3" t="str">
        <f t="shared" si="25"/>
        <v/>
      </c>
    </row>
    <row r="432" spans="1:44" x14ac:dyDescent="0.25">
      <c r="A432" s="37"/>
      <c r="B432" s="38"/>
      <c r="C432" s="2"/>
      <c r="D432" s="41"/>
      <c r="E432" s="93"/>
      <c r="F432" s="93"/>
      <c r="G432" s="93"/>
      <c r="H432" s="93"/>
      <c r="I432" s="38"/>
      <c r="J432" s="2"/>
      <c r="K432" s="41"/>
      <c r="L432" s="38"/>
      <c r="M432" s="41"/>
      <c r="N432" s="41"/>
      <c r="O432" s="42"/>
      <c r="P432" s="80"/>
      <c r="Q432" s="80"/>
      <c r="R432" s="87"/>
      <c r="S432" s="87"/>
      <c r="T432" s="87"/>
      <c r="U432" s="108"/>
      <c r="V432" s="87"/>
      <c r="W432" s="108"/>
      <c r="X432" s="87"/>
      <c r="Y432" s="87"/>
      <c r="AI432" s="3" t="str">
        <f>IF(COUNTIF(AC:AC,AA432)*COUNTIF(AE:AE,AA432)*COUNTIF(AG:AG,AA432),AA432,"")</f>
        <v/>
      </c>
      <c r="AJ432" s="3" t="str">
        <f t="shared" si="25"/>
        <v/>
      </c>
    </row>
    <row r="433" spans="1:36" x14ac:dyDescent="0.25">
      <c r="A433" s="37"/>
      <c r="B433" s="38"/>
      <c r="C433" s="2"/>
      <c r="D433" s="41"/>
      <c r="E433" s="93"/>
      <c r="F433" s="93"/>
      <c r="G433" s="93"/>
      <c r="H433" s="93"/>
      <c r="I433" s="38"/>
      <c r="J433" s="2"/>
      <c r="K433" s="41"/>
      <c r="L433" s="38"/>
      <c r="M433" s="41"/>
      <c r="N433" s="41"/>
      <c r="O433" s="42"/>
      <c r="P433" s="80"/>
      <c r="Q433" s="80"/>
      <c r="R433" s="87"/>
      <c r="S433" s="87"/>
      <c r="T433" s="87"/>
      <c r="U433" s="108"/>
      <c r="V433" s="87"/>
      <c r="W433" s="108"/>
      <c r="X433" s="87"/>
      <c r="Y433" s="87"/>
      <c r="AI433" s="3" t="str">
        <f>IF(COUNTIF(AC:AC,AA433)*COUNTIF(AE:AE,AA433)*COUNTIF(AG:AG,AA433),AA433,"")</f>
        <v/>
      </c>
      <c r="AJ433" s="3" t="str">
        <f t="shared" si="25"/>
        <v/>
      </c>
    </row>
    <row r="434" spans="1:36" x14ac:dyDescent="0.25">
      <c r="A434" s="37"/>
      <c r="B434" s="38"/>
      <c r="C434" s="2"/>
      <c r="D434" s="41"/>
      <c r="E434" s="93"/>
      <c r="F434" s="93"/>
      <c r="G434" s="93"/>
      <c r="H434" s="93"/>
      <c r="I434" s="38"/>
      <c r="J434" s="2"/>
      <c r="K434" s="41"/>
      <c r="L434" s="38"/>
      <c r="M434" s="41"/>
      <c r="N434" s="41"/>
      <c r="O434" s="42"/>
      <c r="P434" s="80"/>
      <c r="Q434" s="80"/>
      <c r="R434" s="87"/>
      <c r="S434" s="87"/>
      <c r="T434" s="87"/>
      <c r="U434" s="108"/>
      <c r="V434" s="87"/>
      <c r="W434" s="108"/>
      <c r="X434" s="87"/>
      <c r="Y434" s="87"/>
      <c r="AI434" s="3" t="str">
        <f>IF(COUNTIF(AC:AC,AA434)*COUNTIF(AE:AE,AA434)*COUNTIF(AG:AG,AA434),AA434,"")</f>
        <v/>
      </c>
      <c r="AJ434" s="3" t="str">
        <f t="shared" si="25"/>
        <v/>
      </c>
    </row>
    <row r="435" spans="1:36" x14ac:dyDescent="0.25">
      <c r="A435" s="37"/>
      <c r="B435" s="38"/>
      <c r="C435" s="2"/>
      <c r="D435" s="41"/>
      <c r="E435" s="93"/>
      <c r="F435" s="93"/>
      <c r="G435" s="93"/>
      <c r="H435" s="93"/>
      <c r="I435" s="38"/>
      <c r="J435" s="2"/>
      <c r="K435" s="41"/>
      <c r="L435" s="38"/>
      <c r="M435" s="41"/>
      <c r="N435" s="41"/>
      <c r="O435" s="42"/>
      <c r="P435" s="80"/>
      <c r="Q435" s="80"/>
      <c r="R435" s="87"/>
      <c r="S435" s="87"/>
      <c r="T435" s="87"/>
      <c r="U435" s="108"/>
      <c r="V435" s="87"/>
      <c r="W435" s="108"/>
      <c r="X435" s="87"/>
      <c r="Y435" s="87"/>
      <c r="AI435" s="3" t="str">
        <f>IF(COUNTIF(AC:AC,AA435)*COUNTIF(AE:AE,AA435)*COUNTIF(AG:AG,AA435),AA435,"")</f>
        <v/>
      </c>
      <c r="AJ435" s="3" t="str">
        <f t="shared" si="25"/>
        <v/>
      </c>
    </row>
    <row r="436" spans="1:36" x14ac:dyDescent="0.25">
      <c r="A436" s="37"/>
      <c r="B436" s="38"/>
      <c r="C436" s="2"/>
      <c r="D436" s="41"/>
      <c r="E436" s="93"/>
      <c r="F436" s="93"/>
      <c r="G436" s="93"/>
      <c r="H436" s="93"/>
      <c r="I436" s="38"/>
      <c r="J436" s="2"/>
      <c r="K436" s="41"/>
      <c r="L436" s="38"/>
      <c r="M436" s="41"/>
      <c r="N436" s="41"/>
      <c r="O436" s="42"/>
      <c r="P436" s="80"/>
      <c r="Q436" s="80"/>
      <c r="R436" s="87"/>
      <c r="S436" s="87"/>
      <c r="T436" s="87"/>
      <c r="U436" s="108"/>
      <c r="V436" s="87"/>
      <c r="W436" s="108"/>
      <c r="X436" s="87"/>
      <c r="Y436" s="87"/>
      <c r="AI436" s="3" t="str">
        <f>IF(COUNTIF(AC:AC,AA436)*COUNTIF(AE:AE,AA436)*COUNTIF(AG:AG,AA436),AA436,"")</f>
        <v/>
      </c>
      <c r="AJ436" s="3" t="str">
        <f t="shared" si="25"/>
        <v/>
      </c>
    </row>
    <row r="437" spans="1:36" x14ac:dyDescent="0.25">
      <c r="A437" s="37"/>
      <c r="B437" s="38"/>
      <c r="C437" s="2"/>
      <c r="D437" s="41"/>
      <c r="E437" s="93"/>
      <c r="F437" s="93"/>
      <c r="G437" s="93"/>
      <c r="H437" s="93"/>
      <c r="I437" s="38"/>
      <c r="J437" s="2"/>
      <c r="K437" s="41"/>
      <c r="L437" s="38"/>
      <c r="M437" s="41"/>
      <c r="N437" s="41"/>
      <c r="O437" s="42"/>
      <c r="P437" s="80"/>
      <c r="Q437" s="80"/>
      <c r="R437" s="87"/>
      <c r="S437" s="87"/>
      <c r="T437" s="87"/>
      <c r="U437" s="108"/>
      <c r="V437" s="87"/>
      <c r="W437" s="108"/>
      <c r="X437" s="87"/>
      <c r="Y437" s="87"/>
      <c r="AI437" s="3" t="str">
        <f>IF(COUNTIF(AC:AC,AA437)*COUNTIF(AE:AE,AA437)*COUNTIF(AG:AG,AA437),AA437,"")</f>
        <v/>
      </c>
      <c r="AJ437" s="3" t="str">
        <f t="shared" si="25"/>
        <v/>
      </c>
    </row>
    <row r="438" spans="1:36" x14ac:dyDescent="0.25">
      <c r="A438" s="37"/>
      <c r="B438" s="38"/>
      <c r="C438" s="2"/>
      <c r="D438" s="41"/>
      <c r="E438" s="93"/>
      <c r="F438" s="93"/>
      <c r="G438" s="93"/>
      <c r="H438" s="93"/>
      <c r="I438" s="38"/>
      <c r="J438" s="2"/>
      <c r="K438" s="41"/>
      <c r="L438" s="38"/>
      <c r="M438" s="41"/>
      <c r="N438" s="41"/>
      <c r="O438" s="42"/>
      <c r="P438" s="80"/>
      <c r="Q438" s="80"/>
      <c r="R438" s="87"/>
      <c r="S438" s="87"/>
      <c r="T438" s="87"/>
      <c r="U438" s="108"/>
      <c r="V438" s="87"/>
      <c r="W438" s="108"/>
      <c r="X438" s="87"/>
      <c r="Y438" s="87"/>
      <c r="AI438" s="3" t="str">
        <f>IF(COUNTIF(AC:AC,AA438)*COUNTIF(AE:AE,AA438)*COUNTIF(AG:AG,AA438),AA438,"")</f>
        <v/>
      </c>
      <c r="AJ438" s="3" t="str">
        <f t="shared" si="25"/>
        <v/>
      </c>
    </row>
    <row r="439" spans="1:36" x14ac:dyDescent="0.25">
      <c r="A439" s="37"/>
      <c r="B439" s="38"/>
      <c r="C439" s="2"/>
      <c r="D439" s="41"/>
      <c r="E439" s="93"/>
      <c r="F439" s="93"/>
      <c r="G439" s="93"/>
      <c r="H439" s="93"/>
      <c r="I439" s="38"/>
      <c r="J439" s="2"/>
      <c r="K439" s="41"/>
      <c r="L439" s="38"/>
      <c r="M439" s="41"/>
      <c r="N439" s="41"/>
      <c r="O439" s="42"/>
      <c r="P439" s="80"/>
      <c r="Q439" s="80"/>
      <c r="R439" s="87"/>
      <c r="S439" s="87"/>
      <c r="T439" s="87"/>
      <c r="U439" s="108"/>
      <c r="V439" s="87"/>
      <c r="W439" s="108"/>
      <c r="X439" s="87"/>
      <c r="Y439" s="87"/>
      <c r="AI439" s="3" t="str">
        <f>IF(COUNTIF(AC:AC,AA439)*COUNTIF(AE:AE,AA439)*COUNTIF(AG:AG,AA439),AA439,"")</f>
        <v/>
      </c>
      <c r="AJ439" s="3" t="str">
        <f t="shared" si="25"/>
        <v/>
      </c>
    </row>
    <row r="440" spans="1:36" x14ac:dyDescent="0.25">
      <c r="A440" s="37"/>
      <c r="B440" s="38"/>
      <c r="C440" s="2"/>
      <c r="D440" s="41"/>
      <c r="E440" s="93"/>
      <c r="F440" s="93"/>
      <c r="G440" s="93"/>
      <c r="H440" s="93"/>
      <c r="I440" s="38"/>
      <c r="J440" s="2"/>
      <c r="K440" s="41"/>
      <c r="L440" s="38"/>
      <c r="M440" s="41"/>
      <c r="N440" s="41"/>
      <c r="O440" s="42"/>
      <c r="P440" s="80"/>
      <c r="Q440" s="80"/>
      <c r="R440" s="87"/>
      <c r="S440" s="87"/>
      <c r="T440" s="87"/>
      <c r="U440" s="108"/>
      <c r="V440" s="87"/>
      <c r="W440" s="108"/>
      <c r="X440" s="87"/>
      <c r="Y440" s="87"/>
      <c r="AI440" s="3" t="str">
        <f>IF(COUNTIF(AC:AC,AA440)*COUNTIF(AE:AE,AA440)*COUNTIF(AG:AG,AA440),AA440,"")</f>
        <v/>
      </c>
      <c r="AJ440" s="3" t="str">
        <f t="shared" si="25"/>
        <v/>
      </c>
    </row>
    <row r="441" spans="1:36" x14ac:dyDescent="0.25">
      <c r="A441" s="37"/>
      <c r="B441" s="38"/>
      <c r="C441" s="2"/>
      <c r="D441" s="41"/>
      <c r="E441" s="93"/>
      <c r="F441" s="93"/>
      <c r="G441" s="93"/>
      <c r="H441" s="93"/>
      <c r="I441" s="38"/>
      <c r="J441" s="2"/>
      <c r="K441" s="41"/>
      <c r="L441" s="38"/>
      <c r="M441" s="41"/>
      <c r="N441" s="41"/>
      <c r="O441" s="42"/>
      <c r="P441" s="80"/>
      <c r="Q441" s="80"/>
      <c r="R441" s="87"/>
      <c r="S441" s="87"/>
      <c r="T441" s="87"/>
      <c r="U441" s="108"/>
      <c r="V441" s="87"/>
      <c r="W441" s="108"/>
      <c r="X441" s="87"/>
      <c r="Y441" s="87"/>
      <c r="AI441" s="3" t="str">
        <f>IF(COUNTIF(AC:AC,AA441)*COUNTIF(AE:AE,AA441)*COUNTIF(AG:AG,AA441),AA441,"")</f>
        <v/>
      </c>
      <c r="AJ441" s="3" t="str">
        <f t="shared" si="25"/>
        <v/>
      </c>
    </row>
    <row r="442" spans="1:36" x14ac:dyDescent="0.25">
      <c r="A442" s="37"/>
      <c r="B442" s="38"/>
      <c r="C442" s="2"/>
      <c r="D442" s="41"/>
      <c r="E442" s="93"/>
      <c r="F442" s="93"/>
      <c r="G442" s="93"/>
      <c r="H442" s="93"/>
      <c r="I442" s="38"/>
      <c r="J442" s="2"/>
      <c r="K442" s="41"/>
      <c r="L442" s="38"/>
      <c r="M442" s="41"/>
      <c r="N442" s="41"/>
      <c r="O442" s="42"/>
      <c r="P442" s="80"/>
      <c r="Q442" s="80"/>
      <c r="R442" s="87"/>
      <c r="S442" s="87"/>
      <c r="T442" s="87"/>
      <c r="U442" s="108"/>
      <c r="V442" s="87"/>
      <c r="W442" s="108"/>
      <c r="X442" s="87"/>
      <c r="Y442" s="87"/>
      <c r="AI442" s="3" t="str">
        <f>IF(COUNTIF(AC:AC,AA442)*COUNTIF(AE:AE,AA442)*COUNTIF(AG:AG,AA442),AA442,"")</f>
        <v/>
      </c>
      <c r="AJ442" s="3" t="str">
        <f t="shared" si="25"/>
        <v/>
      </c>
    </row>
    <row r="443" spans="1:36" x14ac:dyDescent="0.25">
      <c r="A443" s="37"/>
      <c r="B443" s="38"/>
      <c r="C443" s="2"/>
      <c r="D443" s="41"/>
      <c r="E443" s="93"/>
      <c r="F443" s="93"/>
      <c r="G443" s="93"/>
      <c r="H443" s="93"/>
      <c r="I443" s="38"/>
      <c r="J443" s="2"/>
      <c r="K443" s="41"/>
      <c r="L443" s="38"/>
      <c r="M443" s="41"/>
      <c r="N443" s="41"/>
      <c r="O443" s="42"/>
      <c r="P443" s="80"/>
      <c r="Q443" s="80"/>
      <c r="R443" s="87"/>
      <c r="S443" s="87"/>
      <c r="T443" s="87"/>
      <c r="U443" s="108"/>
      <c r="V443" s="87"/>
      <c r="W443" s="108"/>
      <c r="X443" s="87"/>
      <c r="Y443" s="87"/>
      <c r="AI443" s="3" t="str">
        <f>IF(COUNTIF(AC:AC,AA443)*COUNTIF(AE:AE,AA443)*COUNTIF(AG:AG,AA443),AA443,"")</f>
        <v/>
      </c>
      <c r="AJ443" s="3" t="str">
        <f t="shared" si="25"/>
        <v/>
      </c>
    </row>
    <row r="444" spans="1:36" x14ac:dyDescent="0.25">
      <c r="A444" s="37"/>
      <c r="B444" s="38"/>
      <c r="C444" s="2"/>
      <c r="D444" s="41"/>
      <c r="E444" s="93"/>
      <c r="F444" s="93"/>
      <c r="G444" s="93"/>
      <c r="H444" s="93"/>
      <c r="I444" s="38"/>
      <c r="J444" s="2"/>
      <c r="K444" s="41"/>
      <c r="L444" s="38"/>
      <c r="M444" s="41"/>
      <c r="N444" s="41"/>
      <c r="O444" s="42"/>
      <c r="P444" s="80"/>
      <c r="Q444" s="80"/>
      <c r="R444" s="87"/>
      <c r="S444" s="87"/>
      <c r="T444" s="87"/>
      <c r="U444" s="108"/>
      <c r="V444" s="87"/>
      <c r="W444" s="108"/>
      <c r="X444" s="87"/>
      <c r="Y444" s="87"/>
      <c r="AI444" s="3" t="str">
        <f>IF(COUNTIF(AC:AC,AA444)*COUNTIF(AE:AE,AA444)*COUNTIF(AG:AG,AA444),AA444,"")</f>
        <v/>
      </c>
      <c r="AJ444" s="3" t="str">
        <f t="shared" si="25"/>
        <v/>
      </c>
    </row>
    <row r="445" spans="1:36" x14ac:dyDescent="0.25">
      <c r="A445" s="37"/>
      <c r="B445" s="38"/>
      <c r="C445" s="2"/>
      <c r="D445" s="41"/>
      <c r="E445" s="93"/>
      <c r="F445" s="93"/>
      <c r="G445" s="93"/>
      <c r="H445" s="93"/>
      <c r="I445" s="38"/>
      <c r="J445" s="2"/>
      <c r="K445" s="41"/>
      <c r="L445" s="38"/>
      <c r="M445" s="41"/>
      <c r="N445" s="41"/>
      <c r="O445" s="42"/>
      <c r="P445" s="80"/>
      <c r="Q445" s="80"/>
      <c r="R445" s="87"/>
      <c r="S445" s="87"/>
      <c r="T445" s="87"/>
      <c r="U445" s="108"/>
      <c r="V445" s="87"/>
      <c r="W445" s="108"/>
      <c r="X445" s="87"/>
      <c r="Y445" s="87"/>
      <c r="AI445" s="3" t="str">
        <f>IF(COUNTIF(AC:AC,AA445)*COUNTIF(AE:AE,AA445)*COUNTIF(AG:AG,AA445),AA445,"")</f>
        <v/>
      </c>
      <c r="AJ445" s="3" t="str">
        <f t="shared" si="25"/>
        <v/>
      </c>
    </row>
    <row r="446" spans="1:36" x14ac:dyDescent="0.25">
      <c r="A446" s="37"/>
      <c r="B446" s="38"/>
      <c r="C446" s="2"/>
      <c r="D446" s="41"/>
      <c r="E446" s="93"/>
      <c r="F446" s="93"/>
      <c r="G446" s="93"/>
      <c r="H446" s="93"/>
      <c r="I446" s="38"/>
      <c r="J446" s="2"/>
      <c r="K446" s="41"/>
      <c r="L446" s="38"/>
      <c r="M446" s="41"/>
      <c r="N446" s="41"/>
      <c r="O446" s="42"/>
      <c r="P446" s="80"/>
      <c r="Q446" s="80"/>
      <c r="R446" s="87"/>
      <c r="S446" s="87"/>
      <c r="T446" s="87"/>
      <c r="U446" s="108"/>
      <c r="V446" s="87"/>
      <c r="W446" s="108"/>
      <c r="X446" s="87"/>
      <c r="Y446" s="87"/>
      <c r="AI446" s="3" t="str">
        <f>IF(COUNTIF(AC:AC,AA446)*COUNTIF(AE:AE,AA446)*COUNTIF(AG:AG,AA446),AA446,"")</f>
        <v/>
      </c>
      <c r="AJ446" s="3" t="str">
        <f t="shared" si="25"/>
        <v/>
      </c>
    </row>
    <row r="447" spans="1:36" x14ac:dyDescent="0.25">
      <c r="A447" s="37"/>
      <c r="B447" s="38"/>
      <c r="C447" s="2"/>
      <c r="D447" s="41"/>
      <c r="E447" s="93"/>
      <c r="F447" s="93"/>
      <c r="G447" s="93"/>
      <c r="H447" s="93"/>
      <c r="I447" s="38"/>
      <c r="J447" s="2"/>
      <c r="K447" s="41"/>
      <c r="L447" s="38"/>
      <c r="M447" s="41"/>
      <c r="N447" s="41"/>
      <c r="O447" s="42"/>
      <c r="P447" s="80"/>
      <c r="Q447" s="80"/>
      <c r="R447" s="87"/>
      <c r="S447" s="87"/>
      <c r="T447" s="87"/>
      <c r="U447" s="108"/>
      <c r="V447" s="87"/>
      <c r="W447" s="108"/>
      <c r="X447" s="87"/>
      <c r="Y447" s="87"/>
      <c r="AI447" s="3" t="str">
        <f>IF(COUNTIF(AC:AC,AA447)*COUNTIF(AE:AE,AA447)*COUNTIF(AG:AG,AA447),AA447,"")</f>
        <v/>
      </c>
      <c r="AJ447" s="3" t="str">
        <f t="shared" si="25"/>
        <v/>
      </c>
    </row>
    <row r="448" spans="1:36" x14ac:dyDescent="0.25">
      <c r="A448" s="37"/>
      <c r="B448" s="38"/>
      <c r="C448" s="2"/>
      <c r="D448" s="41"/>
      <c r="E448" s="93"/>
      <c r="F448" s="93"/>
      <c r="G448" s="93"/>
      <c r="H448" s="93"/>
      <c r="I448" s="38"/>
      <c r="J448" s="2"/>
      <c r="K448" s="41"/>
      <c r="L448" s="38"/>
      <c r="M448" s="41"/>
      <c r="N448" s="41"/>
      <c r="O448" s="42"/>
      <c r="P448" s="80"/>
      <c r="Q448" s="80"/>
      <c r="R448" s="87"/>
      <c r="S448" s="87"/>
      <c r="T448" s="87"/>
      <c r="U448" s="108"/>
      <c r="V448" s="87"/>
      <c r="W448" s="108"/>
      <c r="X448" s="87"/>
      <c r="Y448" s="87"/>
      <c r="AI448" s="3" t="str">
        <f>IF(COUNTIF(AC:AC,AA448)*COUNTIF(AE:AE,AA448)*COUNTIF(AG:AG,AA448),AA448,"")</f>
        <v/>
      </c>
      <c r="AJ448" s="3" t="str">
        <f t="shared" si="25"/>
        <v/>
      </c>
    </row>
    <row r="449" spans="1:36" x14ac:dyDescent="0.25">
      <c r="A449" s="37"/>
      <c r="B449" s="38"/>
      <c r="C449" s="2"/>
      <c r="D449" s="41"/>
      <c r="E449" s="93"/>
      <c r="F449" s="93"/>
      <c r="G449" s="93"/>
      <c r="H449" s="93"/>
      <c r="I449" s="38"/>
      <c r="J449" s="2"/>
      <c r="K449" s="41"/>
      <c r="L449" s="38"/>
      <c r="M449" s="41"/>
      <c r="N449" s="41"/>
      <c r="O449" s="42"/>
      <c r="P449" s="80"/>
      <c r="Q449" s="80"/>
      <c r="R449" s="87"/>
      <c r="S449" s="87"/>
      <c r="T449" s="87"/>
      <c r="U449" s="108"/>
      <c r="V449" s="87"/>
      <c r="W449" s="108"/>
      <c r="X449" s="87"/>
      <c r="Y449" s="87"/>
      <c r="AI449" s="3" t="str">
        <f>IF(COUNTIF(AC:AC,AA449)*COUNTIF(AE:AE,AA449)*COUNTIF(AG:AG,AA449),AA449,"")</f>
        <v/>
      </c>
      <c r="AJ449" s="3" t="str">
        <f t="shared" si="25"/>
        <v/>
      </c>
    </row>
    <row r="450" spans="1:36" x14ac:dyDescent="0.25">
      <c r="A450" s="37"/>
      <c r="B450" s="38"/>
      <c r="C450" s="2"/>
      <c r="D450" s="41"/>
      <c r="E450" s="93"/>
      <c r="F450" s="93"/>
      <c r="G450" s="93"/>
      <c r="H450" s="93"/>
      <c r="I450" s="38"/>
      <c r="J450" s="2"/>
      <c r="K450" s="41"/>
      <c r="L450" s="38"/>
      <c r="M450" s="41"/>
      <c r="N450" s="41"/>
      <c r="O450" s="42"/>
      <c r="P450" s="80"/>
      <c r="Q450" s="80"/>
      <c r="R450" s="87"/>
      <c r="S450" s="87"/>
      <c r="T450" s="87"/>
      <c r="U450" s="108"/>
      <c r="V450" s="87"/>
      <c r="W450" s="108"/>
      <c r="X450" s="87"/>
      <c r="Y450" s="87"/>
      <c r="AI450" s="3" t="str">
        <f>IF(COUNTIF(AC:AC,AA450)*COUNTIF(AE:AE,AA450)*COUNTIF(AG:AG,AA450),AA450,"")</f>
        <v/>
      </c>
      <c r="AJ450" s="3" t="str">
        <f t="shared" si="25"/>
        <v/>
      </c>
    </row>
    <row r="451" spans="1:36" x14ac:dyDescent="0.25">
      <c r="A451" s="37"/>
      <c r="B451" s="38"/>
      <c r="C451" s="2"/>
      <c r="D451" s="41"/>
      <c r="E451" s="93"/>
      <c r="F451" s="93"/>
      <c r="G451" s="93"/>
      <c r="H451" s="93"/>
      <c r="I451" s="38"/>
      <c r="J451" s="2"/>
      <c r="K451" s="41"/>
      <c r="L451" s="38"/>
      <c r="M451" s="41"/>
      <c r="N451" s="41"/>
      <c r="O451" s="42"/>
      <c r="P451" s="80"/>
      <c r="Q451" s="80"/>
      <c r="R451" s="87"/>
      <c r="S451" s="87"/>
      <c r="T451" s="87"/>
      <c r="U451" s="108"/>
      <c r="V451" s="87"/>
      <c r="W451" s="108"/>
      <c r="X451" s="87"/>
      <c r="Y451" s="87"/>
      <c r="AI451" s="3" t="str">
        <f>IF(COUNTIF(AC:AC,AA451)*COUNTIF(AE:AE,AA451)*COUNTIF(AG:AG,AA451),AA451,"")</f>
        <v/>
      </c>
      <c r="AJ451" s="3" t="str">
        <f t="shared" si="25"/>
        <v/>
      </c>
    </row>
    <row r="452" spans="1:36" x14ac:dyDescent="0.25">
      <c r="A452" s="37"/>
      <c r="B452" s="38"/>
      <c r="C452" s="2"/>
      <c r="D452" s="41"/>
      <c r="E452" s="93"/>
      <c r="F452" s="93"/>
      <c r="G452" s="93"/>
      <c r="H452" s="93"/>
      <c r="I452" s="38"/>
      <c r="J452" s="2"/>
      <c r="K452" s="41"/>
      <c r="L452" s="38"/>
      <c r="M452" s="41"/>
      <c r="N452" s="41"/>
      <c r="O452" s="42"/>
      <c r="P452" s="80"/>
      <c r="Q452" s="80"/>
      <c r="R452" s="87"/>
      <c r="S452" s="87"/>
      <c r="T452" s="87"/>
      <c r="U452" s="108"/>
      <c r="V452" s="87"/>
      <c r="W452" s="108"/>
      <c r="X452" s="87"/>
      <c r="Y452" s="87"/>
      <c r="AI452" s="3" t="str">
        <f>IF(COUNTIF(AC:AC,AA452)*COUNTIF(AE:AE,AA452)*COUNTIF(AG:AG,AA452),AA452,"")</f>
        <v/>
      </c>
      <c r="AJ452" s="3" t="str">
        <f t="shared" ref="AJ452:AJ515" si="27">IF(AI452&gt;=$A$14,AI452,"")</f>
        <v/>
      </c>
    </row>
    <row r="453" spans="1:36" x14ac:dyDescent="0.25">
      <c r="A453" s="37"/>
      <c r="B453" s="38"/>
      <c r="C453" s="2"/>
      <c r="D453" s="41"/>
      <c r="E453" s="93"/>
      <c r="F453" s="93"/>
      <c r="G453" s="93"/>
      <c r="H453" s="93"/>
      <c r="I453" s="38"/>
      <c r="J453" s="2"/>
      <c r="K453" s="41"/>
      <c r="L453" s="38"/>
      <c r="M453" s="41"/>
      <c r="N453" s="41"/>
      <c r="O453" s="42"/>
      <c r="P453" s="80"/>
      <c r="Q453" s="80"/>
      <c r="R453" s="87"/>
      <c r="S453" s="87"/>
      <c r="T453" s="87"/>
      <c r="U453" s="108"/>
      <c r="V453" s="87"/>
      <c r="W453" s="108"/>
      <c r="X453" s="87"/>
      <c r="Y453" s="87"/>
      <c r="AI453" s="3" t="str">
        <f>IF(COUNTIF(AC:AC,AA453)*COUNTIF(AE:AE,AA453)*COUNTIF(AG:AG,AA453),AA453,"")</f>
        <v/>
      </c>
      <c r="AJ453" s="3" t="str">
        <f t="shared" si="27"/>
        <v/>
      </c>
    </row>
    <row r="454" spans="1:36" x14ac:dyDescent="0.25">
      <c r="A454" s="37"/>
      <c r="B454" s="38"/>
      <c r="C454" s="2"/>
      <c r="D454" s="41"/>
      <c r="E454" s="93"/>
      <c r="F454" s="93"/>
      <c r="G454" s="93"/>
      <c r="H454" s="93"/>
      <c r="I454" s="38"/>
      <c r="J454" s="2"/>
      <c r="K454" s="41"/>
      <c r="L454" s="38"/>
      <c r="M454" s="41"/>
      <c r="N454" s="41"/>
      <c r="O454" s="42"/>
      <c r="P454" s="80"/>
      <c r="Q454" s="80"/>
      <c r="R454" s="87"/>
      <c r="S454" s="87"/>
      <c r="T454" s="87"/>
      <c r="U454" s="108"/>
      <c r="V454" s="87"/>
      <c r="W454" s="108"/>
      <c r="X454" s="87"/>
      <c r="Y454" s="87"/>
      <c r="AI454" s="3" t="str">
        <f>IF(COUNTIF(AC:AC,AA454)*COUNTIF(AE:AE,AA454)*COUNTIF(AG:AG,AA454),AA454,"")</f>
        <v/>
      </c>
      <c r="AJ454" s="3" t="str">
        <f t="shared" si="27"/>
        <v/>
      </c>
    </row>
    <row r="455" spans="1:36" x14ac:dyDescent="0.25">
      <c r="A455" s="37"/>
      <c r="B455" s="38"/>
      <c r="C455" s="2"/>
      <c r="D455" s="41"/>
      <c r="E455" s="93"/>
      <c r="F455" s="93"/>
      <c r="G455" s="93"/>
      <c r="H455" s="93"/>
      <c r="I455" s="38"/>
      <c r="J455" s="2"/>
      <c r="K455" s="41"/>
      <c r="L455" s="38"/>
      <c r="M455" s="41"/>
      <c r="N455" s="41"/>
      <c r="O455" s="42"/>
      <c r="P455" s="80"/>
      <c r="Q455" s="80"/>
      <c r="R455" s="87"/>
      <c r="S455" s="87"/>
      <c r="T455" s="87"/>
      <c r="U455" s="108"/>
      <c r="V455" s="87"/>
      <c r="W455" s="108"/>
      <c r="X455" s="87"/>
      <c r="Y455" s="87"/>
      <c r="AI455" s="3" t="str">
        <f>IF(COUNTIF(AC:AC,AA455)*COUNTIF(AE:AE,AA455)*COUNTIF(AG:AG,AA455),AA455,"")</f>
        <v/>
      </c>
      <c r="AJ455" s="3" t="str">
        <f t="shared" si="27"/>
        <v/>
      </c>
    </row>
    <row r="456" spans="1:36" x14ac:dyDescent="0.25">
      <c r="A456" s="37"/>
      <c r="B456" s="38"/>
      <c r="C456" s="2"/>
      <c r="D456" s="41"/>
      <c r="E456" s="93"/>
      <c r="F456" s="93"/>
      <c r="G456" s="93"/>
      <c r="H456" s="93"/>
      <c r="I456" s="38"/>
      <c r="J456" s="2"/>
      <c r="K456" s="41"/>
      <c r="L456" s="38"/>
      <c r="M456" s="41"/>
      <c r="N456" s="41"/>
      <c r="O456" s="42"/>
      <c r="P456" s="80"/>
      <c r="Q456" s="80"/>
      <c r="R456" s="87"/>
      <c r="S456" s="87"/>
      <c r="T456" s="87"/>
      <c r="U456" s="108"/>
      <c r="V456" s="87"/>
      <c r="W456" s="108"/>
      <c r="X456" s="87"/>
      <c r="Y456" s="87"/>
      <c r="AI456" s="3" t="str">
        <f>IF(COUNTIF(AC:AC,AA456)*COUNTIF(AE:AE,AA456)*COUNTIF(AG:AG,AA456),AA456,"")</f>
        <v/>
      </c>
      <c r="AJ456" s="3" t="str">
        <f t="shared" si="27"/>
        <v/>
      </c>
    </row>
    <row r="457" spans="1:36" x14ac:dyDescent="0.25">
      <c r="A457" s="37"/>
      <c r="B457" s="38"/>
      <c r="C457" s="2"/>
      <c r="D457" s="41"/>
      <c r="E457" s="93"/>
      <c r="F457" s="93"/>
      <c r="G457" s="93"/>
      <c r="H457" s="93"/>
      <c r="I457" s="38"/>
      <c r="J457" s="2"/>
      <c r="K457" s="41"/>
      <c r="L457" s="38"/>
      <c r="M457" s="41"/>
      <c r="N457" s="41"/>
      <c r="O457" s="42"/>
      <c r="P457" s="80"/>
      <c r="Q457" s="80"/>
      <c r="R457" s="87"/>
      <c r="S457" s="87"/>
      <c r="T457" s="87"/>
      <c r="U457" s="108"/>
      <c r="V457" s="87"/>
      <c r="W457" s="108"/>
      <c r="X457" s="87"/>
      <c r="Y457" s="87"/>
      <c r="AI457" s="3" t="str">
        <f>IF(COUNTIF(AC:AC,AA457)*COUNTIF(AE:AE,AA457)*COUNTIF(AG:AG,AA457),AA457,"")</f>
        <v/>
      </c>
      <c r="AJ457" s="3" t="str">
        <f t="shared" si="27"/>
        <v/>
      </c>
    </row>
    <row r="458" spans="1:36" x14ac:dyDescent="0.25">
      <c r="A458" s="37"/>
      <c r="B458" s="38"/>
      <c r="C458" s="2"/>
      <c r="D458" s="41"/>
      <c r="E458" s="93"/>
      <c r="F458" s="93"/>
      <c r="G458" s="93"/>
      <c r="H458" s="93"/>
      <c r="I458" s="38"/>
      <c r="J458" s="2"/>
      <c r="K458" s="41"/>
      <c r="L458" s="38"/>
      <c r="M458" s="41"/>
      <c r="N458" s="41"/>
      <c r="O458" s="42"/>
      <c r="P458" s="80"/>
      <c r="Q458" s="80"/>
      <c r="R458" s="87"/>
      <c r="S458" s="87"/>
      <c r="T458" s="87"/>
      <c r="U458" s="108"/>
      <c r="V458" s="87"/>
      <c r="W458" s="108"/>
      <c r="X458" s="87"/>
      <c r="Y458" s="87"/>
      <c r="AI458" s="3" t="str">
        <f>IF(COUNTIF(AC:AC,AA458)*COUNTIF(AE:AE,AA458)*COUNTIF(AG:AG,AA458),AA458,"")</f>
        <v/>
      </c>
      <c r="AJ458" s="3" t="str">
        <f t="shared" si="27"/>
        <v/>
      </c>
    </row>
    <row r="459" spans="1:36" x14ac:dyDescent="0.25">
      <c r="A459" s="37"/>
      <c r="B459" s="38"/>
      <c r="C459" s="2"/>
      <c r="D459" s="41"/>
      <c r="E459" s="93"/>
      <c r="F459" s="93"/>
      <c r="G459" s="93"/>
      <c r="H459" s="93"/>
      <c r="I459" s="38"/>
      <c r="J459" s="2"/>
      <c r="K459" s="41"/>
      <c r="L459" s="38"/>
      <c r="M459" s="41"/>
      <c r="N459" s="41"/>
      <c r="O459" s="42"/>
      <c r="P459" s="80"/>
      <c r="Q459" s="80"/>
      <c r="R459" s="87"/>
      <c r="S459" s="87"/>
      <c r="T459" s="87"/>
      <c r="U459" s="108"/>
      <c r="V459" s="87"/>
      <c r="W459" s="108"/>
      <c r="X459" s="87"/>
      <c r="Y459" s="87"/>
      <c r="AI459" s="3" t="str">
        <f>IF(COUNTIF(AC:AC,AA459)*COUNTIF(AE:AE,AA459)*COUNTIF(AG:AG,AA459),AA459,"")</f>
        <v/>
      </c>
      <c r="AJ459" s="3" t="str">
        <f t="shared" si="27"/>
        <v/>
      </c>
    </row>
    <row r="460" spans="1:36" x14ac:dyDescent="0.25">
      <c r="A460" s="37"/>
      <c r="B460" s="38"/>
      <c r="C460" s="2"/>
      <c r="D460" s="41"/>
      <c r="E460" s="93"/>
      <c r="F460" s="93"/>
      <c r="G460" s="93"/>
      <c r="H460" s="93"/>
      <c r="I460" s="38"/>
      <c r="J460" s="2"/>
      <c r="K460" s="41"/>
      <c r="L460" s="38"/>
      <c r="M460" s="41"/>
      <c r="N460" s="41"/>
      <c r="O460" s="42"/>
      <c r="P460" s="80"/>
      <c r="Q460" s="80"/>
      <c r="R460" s="87"/>
      <c r="S460" s="87"/>
      <c r="T460" s="87"/>
      <c r="U460" s="108"/>
      <c r="V460" s="87"/>
      <c r="W460" s="108"/>
      <c r="X460" s="87"/>
      <c r="Y460" s="87"/>
      <c r="AI460" s="3" t="str">
        <f>IF(COUNTIF(AC:AC,AA460)*COUNTIF(AE:AE,AA460)*COUNTIF(AG:AG,AA460),AA460,"")</f>
        <v/>
      </c>
      <c r="AJ460" s="3" t="str">
        <f t="shared" si="27"/>
        <v/>
      </c>
    </row>
    <row r="461" spans="1:36" x14ac:dyDescent="0.25">
      <c r="A461" s="37"/>
      <c r="B461" s="38"/>
      <c r="C461" s="2"/>
      <c r="D461" s="41"/>
      <c r="E461" s="93"/>
      <c r="F461" s="93"/>
      <c r="G461" s="93"/>
      <c r="H461" s="93"/>
      <c r="I461" s="38"/>
      <c r="J461" s="2"/>
      <c r="K461" s="41"/>
      <c r="L461" s="38"/>
      <c r="M461" s="41"/>
      <c r="N461" s="41"/>
      <c r="O461" s="42"/>
      <c r="P461" s="80"/>
      <c r="Q461" s="80"/>
      <c r="R461" s="87"/>
      <c r="S461" s="87"/>
      <c r="T461" s="87"/>
      <c r="U461" s="108"/>
      <c r="V461" s="87"/>
      <c r="W461" s="108"/>
      <c r="X461" s="87"/>
      <c r="Y461" s="87"/>
      <c r="AI461" s="3" t="str">
        <f>IF(COUNTIF(AC:AC,AA461)*COUNTIF(AE:AE,AA461)*COUNTIF(AG:AG,AA461),AA461,"")</f>
        <v/>
      </c>
      <c r="AJ461" s="3" t="str">
        <f t="shared" si="27"/>
        <v/>
      </c>
    </row>
    <row r="462" spans="1:36" x14ac:dyDescent="0.25">
      <c r="A462" s="37"/>
      <c r="B462" s="38"/>
      <c r="C462" s="2"/>
      <c r="D462" s="41"/>
      <c r="E462" s="93"/>
      <c r="F462" s="93"/>
      <c r="G462" s="93"/>
      <c r="H462" s="93"/>
      <c r="I462" s="38"/>
      <c r="J462" s="2"/>
      <c r="K462" s="41"/>
      <c r="L462" s="38"/>
      <c r="M462" s="41"/>
      <c r="N462" s="41"/>
      <c r="O462" s="42"/>
      <c r="P462" s="80"/>
      <c r="Q462" s="80"/>
      <c r="R462" s="87"/>
      <c r="S462" s="87"/>
      <c r="T462" s="87"/>
      <c r="U462" s="108"/>
      <c r="V462" s="87"/>
      <c r="W462" s="108"/>
      <c r="X462" s="87"/>
      <c r="Y462" s="87"/>
      <c r="AI462" s="3" t="str">
        <f>IF(COUNTIF(AC:AC,AA462)*COUNTIF(AE:AE,AA462)*COUNTIF(AG:AG,AA462),AA462,"")</f>
        <v/>
      </c>
      <c r="AJ462" s="3" t="str">
        <f t="shared" si="27"/>
        <v/>
      </c>
    </row>
    <row r="463" spans="1:36" x14ac:dyDescent="0.25">
      <c r="A463" s="37"/>
      <c r="B463" s="38"/>
      <c r="C463" s="2"/>
      <c r="D463" s="41"/>
      <c r="E463" s="93"/>
      <c r="F463" s="93"/>
      <c r="G463" s="93"/>
      <c r="H463" s="93"/>
      <c r="I463" s="38"/>
      <c r="J463" s="2"/>
      <c r="K463" s="41"/>
      <c r="L463" s="38"/>
      <c r="M463" s="41"/>
      <c r="N463" s="41"/>
      <c r="O463" s="42"/>
      <c r="P463" s="80"/>
      <c r="Q463" s="80"/>
      <c r="R463" s="87"/>
      <c r="S463" s="87"/>
      <c r="T463" s="87"/>
      <c r="U463" s="108"/>
      <c r="V463" s="87"/>
      <c r="W463" s="108"/>
      <c r="X463" s="87"/>
      <c r="Y463" s="87"/>
      <c r="AI463" s="3" t="str">
        <f>IF(COUNTIF(AC:AC,AA463)*COUNTIF(AE:AE,AA463)*COUNTIF(AG:AG,AA463),AA463,"")</f>
        <v/>
      </c>
      <c r="AJ463" s="3" t="str">
        <f t="shared" si="27"/>
        <v/>
      </c>
    </row>
    <row r="464" spans="1:36" x14ac:dyDescent="0.25">
      <c r="A464" s="37"/>
      <c r="B464" s="38"/>
      <c r="C464" s="2"/>
      <c r="D464" s="41"/>
      <c r="E464" s="93"/>
      <c r="F464" s="93"/>
      <c r="G464" s="93"/>
      <c r="H464" s="93"/>
      <c r="I464" s="38"/>
      <c r="J464" s="2"/>
      <c r="K464" s="41"/>
      <c r="L464" s="38"/>
      <c r="M464" s="41"/>
      <c r="N464" s="41"/>
      <c r="O464" s="42"/>
      <c r="P464" s="80"/>
      <c r="Q464" s="80"/>
      <c r="R464" s="87"/>
      <c r="S464" s="87"/>
      <c r="T464" s="87"/>
      <c r="U464" s="108"/>
      <c r="V464" s="87"/>
      <c r="W464" s="108"/>
      <c r="X464" s="87"/>
      <c r="Y464" s="87"/>
      <c r="AI464" s="3" t="str">
        <f>IF(COUNTIF(AC:AC,AA464)*COUNTIF(AE:AE,AA464)*COUNTIF(AG:AG,AA464),AA464,"")</f>
        <v/>
      </c>
      <c r="AJ464" s="3" t="str">
        <f t="shared" si="27"/>
        <v/>
      </c>
    </row>
    <row r="465" spans="1:36" x14ac:dyDescent="0.25">
      <c r="A465" s="37"/>
      <c r="B465" s="38"/>
      <c r="C465" s="2"/>
      <c r="D465" s="41"/>
      <c r="E465" s="93"/>
      <c r="F465" s="93"/>
      <c r="G465" s="93"/>
      <c r="H465" s="93"/>
      <c r="I465" s="38"/>
      <c r="J465" s="2"/>
      <c r="K465" s="41"/>
      <c r="L465" s="38"/>
      <c r="M465" s="41"/>
      <c r="N465" s="41"/>
      <c r="O465" s="42"/>
      <c r="P465" s="80"/>
      <c r="Q465" s="80"/>
      <c r="R465" s="87"/>
      <c r="S465" s="87"/>
      <c r="T465" s="87"/>
      <c r="U465" s="108"/>
      <c r="V465" s="87"/>
      <c r="W465" s="108"/>
      <c r="X465" s="87"/>
      <c r="Y465" s="87"/>
      <c r="AI465" s="3" t="str">
        <f>IF(COUNTIF(AC:AC,AA465)*COUNTIF(AE:AE,AA465)*COUNTIF(AG:AG,AA465),AA465,"")</f>
        <v/>
      </c>
      <c r="AJ465" s="3" t="str">
        <f t="shared" si="27"/>
        <v/>
      </c>
    </row>
    <row r="466" spans="1:36" x14ac:dyDescent="0.25">
      <c r="A466" s="37"/>
      <c r="B466" s="38"/>
      <c r="C466" s="2"/>
      <c r="D466" s="41"/>
      <c r="E466" s="93"/>
      <c r="F466" s="93"/>
      <c r="G466" s="93"/>
      <c r="H466" s="93"/>
      <c r="I466" s="38"/>
      <c r="J466" s="2"/>
      <c r="K466" s="41"/>
      <c r="L466" s="38"/>
      <c r="M466" s="41"/>
      <c r="N466" s="41"/>
      <c r="O466" s="42"/>
      <c r="P466" s="80"/>
      <c r="Q466" s="80"/>
      <c r="R466" s="87"/>
      <c r="S466" s="87"/>
      <c r="T466" s="87"/>
      <c r="U466" s="108"/>
      <c r="V466" s="87"/>
      <c r="W466" s="108"/>
      <c r="X466" s="87"/>
      <c r="Y466" s="87"/>
      <c r="AI466" s="3" t="str">
        <f>IF(COUNTIF(AC:AC,AA466)*COUNTIF(AE:AE,AA466)*COUNTIF(AG:AG,AA466),AA466,"")</f>
        <v/>
      </c>
      <c r="AJ466" s="3" t="str">
        <f t="shared" si="27"/>
        <v/>
      </c>
    </row>
    <row r="467" spans="1:36" x14ac:dyDescent="0.25">
      <c r="A467" s="37"/>
      <c r="B467" s="38"/>
      <c r="C467" s="2"/>
      <c r="D467" s="41"/>
      <c r="E467" s="93"/>
      <c r="F467" s="93"/>
      <c r="G467" s="93"/>
      <c r="H467" s="93"/>
      <c r="I467" s="38"/>
      <c r="J467" s="2"/>
      <c r="K467" s="41"/>
      <c r="L467" s="38"/>
      <c r="M467" s="41"/>
      <c r="N467" s="41"/>
      <c r="O467" s="42"/>
      <c r="P467" s="80"/>
      <c r="Q467" s="80"/>
      <c r="R467" s="87"/>
      <c r="S467" s="87"/>
      <c r="T467" s="87"/>
      <c r="U467" s="108"/>
      <c r="V467" s="87"/>
      <c r="W467" s="108"/>
      <c r="X467" s="87"/>
      <c r="Y467" s="87"/>
      <c r="AI467" s="3" t="str">
        <f>IF(COUNTIF(AC:AC,AA467)*COUNTIF(AE:AE,AA467)*COUNTIF(AG:AG,AA467),AA467,"")</f>
        <v/>
      </c>
      <c r="AJ467" s="3" t="str">
        <f t="shared" si="27"/>
        <v/>
      </c>
    </row>
    <row r="468" spans="1:36" x14ac:dyDescent="0.25">
      <c r="A468" s="37"/>
      <c r="B468" s="38"/>
      <c r="C468" s="2"/>
      <c r="D468" s="41"/>
      <c r="E468" s="93"/>
      <c r="F468" s="93"/>
      <c r="G468" s="93"/>
      <c r="H468" s="93"/>
      <c r="I468" s="38"/>
      <c r="J468" s="2"/>
      <c r="K468" s="41"/>
      <c r="L468" s="38"/>
      <c r="M468" s="41"/>
      <c r="N468" s="41"/>
      <c r="O468" s="42"/>
      <c r="P468" s="80"/>
      <c r="Q468" s="80"/>
      <c r="R468" s="87"/>
      <c r="S468" s="87"/>
      <c r="T468" s="87"/>
      <c r="U468" s="108"/>
      <c r="V468" s="87"/>
      <c r="W468" s="108"/>
      <c r="X468" s="87"/>
      <c r="Y468" s="87"/>
      <c r="AI468" s="3" t="str">
        <f>IF(COUNTIF(AC:AC,AA468)*COUNTIF(AE:AE,AA468)*COUNTIF(AG:AG,AA468),AA468,"")</f>
        <v/>
      </c>
      <c r="AJ468" s="3" t="str">
        <f t="shared" si="27"/>
        <v/>
      </c>
    </row>
    <row r="469" spans="1:36" x14ac:dyDescent="0.25">
      <c r="A469" s="37"/>
      <c r="B469" s="38"/>
      <c r="C469" s="2"/>
      <c r="D469" s="41"/>
      <c r="E469" s="93"/>
      <c r="F469" s="93"/>
      <c r="G469" s="93"/>
      <c r="H469" s="93"/>
      <c r="I469" s="38"/>
      <c r="J469" s="2"/>
      <c r="K469" s="41"/>
      <c r="L469" s="38"/>
      <c r="M469" s="41"/>
      <c r="N469" s="41"/>
      <c r="O469" s="42"/>
      <c r="P469" s="80"/>
      <c r="Q469" s="80"/>
      <c r="R469" s="87"/>
      <c r="S469" s="87"/>
      <c r="T469" s="87"/>
      <c r="U469" s="108"/>
      <c r="V469" s="87"/>
      <c r="W469" s="108"/>
      <c r="X469" s="87"/>
      <c r="Y469" s="87"/>
      <c r="AI469" s="3" t="str">
        <f>IF(COUNTIF(AC:AC,AA469)*COUNTIF(AE:AE,AA469)*COUNTIF(AG:AG,AA469),AA469,"")</f>
        <v/>
      </c>
      <c r="AJ469" s="3" t="str">
        <f t="shared" si="27"/>
        <v/>
      </c>
    </row>
    <row r="470" spans="1:36" x14ac:dyDescent="0.25">
      <c r="A470" s="37"/>
      <c r="B470" s="38"/>
      <c r="C470" s="2"/>
      <c r="D470" s="41"/>
      <c r="E470" s="93"/>
      <c r="F470" s="93"/>
      <c r="G470" s="93"/>
      <c r="H470" s="93"/>
      <c r="I470" s="38"/>
      <c r="J470" s="2"/>
      <c r="K470" s="41"/>
      <c r="L470" s="38"/>
      <c r="M470" s="41"/>
      <c r="N470" s="41"/>
      <c r="O470" s="42"/>
      <c r="P470" s="80"/>
      <c r="Q470" s="80"/>
      <c r="R470" s="87"/>
      <c r="S470" s="87"/>
      <c r="T470" s="87"/>
      <c r="U470" s="108"/>
      <c r="V470" s="87"/>
      <c r="W470" s="108"/>
      <c r="X470" s="87"/>
      <c r="Y470" s="87"/>
      <c r="AI470" s="3" t="str">
        <f>IF(COUNTIF(AC:AC,AA470)*COUNTIF(AE:AE,AA470)*COUNTIF(AG:AG,AA470),AA470,"")</f>
        <v/>
      </c>
      <c r="AJ470" s="3" t="str">
        <f t="shared" si="27"/>
        <v/>
      </c>
    </row>
    <row r="471" spans="1:36" x14ac:dyDescent="0.25">
      <c r="A471" s="37"/>
      <c r="B471" s="38"/>
      <c r="C471" s="2"/>
      <c r="D471" s="41"/>
      <c r="E471" s="93"/>
      <c r="F471" s="93"/>
      <c r="G471" s="93"/>
      <c r="H471" s="93"/>
      <c r="I471" s="38"/>
      <c r="J471" s="2"/>
      <c r="K471" s="41"/>
      <c r="L471" s="38"/>
      <c r="M471" s="41"/>
      <c r="N471" s="41"/>
      <c r="O471" s="42"/>
      <c r="P471" s="80"/>
      <c r="Q471" s="80"/>
      <c r="R471" s="87"/>
      <c r="S471" s="87"/>
      <c r="T471" s="87"/>
      <c r="U471" s="108"/>
      <c r="V471" s="87"/>
      <c r="W471" s="108"/>
      <c r="X471" s="87"/>
      <c r="Y471" s="87"/>
      <c r="AI471" s="3" t="str">
        <f>IF(COUNTIF(AC:AC,AA471)*COUNTIF(AE:AE,AA471)*COUNTIF(AG:AG,AA471),AA471,"")</f>
        <v/>
      </c>
      <c r="AJ471" s="3" t="str">
        <f t="shared" si="27"/>
        <v/>
      </c>
    </row>
    <row r="472" spans="1:36" x14ac:dyDescent="0.25">
      <c r="A472" s="37"/>
      <c r="B472" s="38"/>
      <c r="C472" s="2"/>
      <c r="D472" s="41"/>
      <c r="E472" s="93"/>
      <c r="F472" s="93"/>
      <c r="G472" s="93"/>
      <c r="H472" s="93"/>
      <c r="I472" s="38"/>
      <c r="J472" s="2"/>
      <c r="K472" s="41"/>
      <c r="L472" s="38"/>
      <c r="M472" s="41"/>
      <c r="N472" s="41"/>
      <c r="O472" s="42"/>
      <c r="P472" s="80"/>
      <c r="Q472" s="80"/>
      <c r="R472" s="87"/>
      <c r="S472" s="87"/>
      <c r="T472" s="87"/>
      <c r="U472" s="108"/>
      <c r="V472" s="87"/>
      <c r="W472" s="108"/>
      <c r="X472" s="87"/>
      <c r="Y472" s="87"/>
      <c r="AI472" s="3" t="str">
        <f>IF(COUNTIF(AC:AC,AA472)*COUNTIF(AE:AE,AA472)*COUNTIF(AG:AG,AA472),AA472,"")</f>
        <v/>
      </c>
      <c r="AJ472" s="3" t="str">
        <f t="shared" si="27"/>
        <v/>
      </c>
    </row>
    <row r="473" spans="1:36" x14ac:dyDescent="0.25">
      <c r="A473" s="37"/>
      <c r="B473" s="38"/>
      <c r="C473" s="2"/>
      <c r="D473" s="41"/>
      <c r="E473" s="93"/>
      <c r="F473" s="93"/>
      <c r="G473" s="93"/>
      <c r="H473" s="93"/>
      <c r="I473" s="38"/>
      <c r="J473" s="2"/>
      <c r="K473" s="41"/>
      <c r="L473" s="38"/>
      <c r="M473" s="41"/>
      <c r="N473" s="41"/>
      <c r="O473" s="42"/>
      <c r="P473" s="80"/>
      <c r="Q473" s="80"/>
      <c r="R473" s="87"/>
      <c r="S473" s="87"/>
      <c r="T473" s="87"/>
      <c r="U473" s="108"/>
      <c r="V473" s="87"/>
      <c r="W473" s="108"/>
      <c r="X473" s="87"/>
      <c r="Y473" s="87"/>
      <c r="AI473" s="3" t="str">
        <f>IF(COUNTIF(AC:AC,AA473)*COUNTIF(AE:AE,AA473)*COUNTIF(AG:AG,AA473),AA473,"")</f>
        <v/>
      </c>
      <c r="AJ473" s="3" t="str">
        <f t="shared" si="27"/>
        <v/>
      </c>
    </row>
    <row r="474" spans="1:36" x14ac:dyDescent="0.25">
      <c r="A474" s="37"/>
      <c r="B474" s="38"/>
      <c r="C474" s="2"/>
      <c r="D474" s="41"/>
      <c r="E474" s="93"/>
      <c r="F474" s="93"/>
      <c r="G474" s="93"/>
      <c r="H474" s="93"/>
      <c r="I474" s="38"/>
      <c r="J474" s="2"/>
      <c r="K474" s="41"/>
      <c r="L474" s="38"/>
      <c r="M474" s="41"/>
      <c r="N474" s="41"/>
      <c r="O474" s="42"/>
      <c r="P474" s="80"/>
      <c r="Q474" s="80"/>
      <c r="R474" s="87"/>
      <c r="S474" s="87"/>
      <c r="T474" s="87"/>
      <c r="U474" s="108"/>
      <c r="V474" s="87"/>
      <c r="W474" s="108"/>
      <c r="X474" s="87"/>
      <c r="Y474" s="87"/>
      <c r="AI474" s="3" t="str">
        <f>IF(COUNTIF(AC:AC,AA474)*COUNTIF(AE:AE,AA474)*COUNTIF(AG:AG,AA474),AA474,"")</f>
        <v/>
      </c>
      <c r="AJ474" s="3" t="str">
        <f t="shared" si="27"/>
        <v/>
      </c>
    </row>
    <row r="475" spans="1:36" x14ac:dyDescent="0.25">
      <c r="A475" s="37"/>
      <c r="B475" s="38"/>
      <c r="C475" s="2"/>
      <c r="D475" s="41"/>
      <c r="E475" s="93"/>
      <c r="F475" s="93"/>
      <c r="G475" s="93"/>
      <c r="H475" s="93"/>
      <c r="I475" s="38"/>
      <c r="J475" s="2"/>
      <c r="K475" s="41"/>
      <c r="L475" s="38"/>
      <c r="M475" s="41"/>
      <c r="N475" s="41"/>
      <c r="O475" s="42"/>
      <c r="P475" s="80"/>
      <c r="Q475" s="80"/>
      <c r="R475" s="87"/>
      <c r="S475" s="87"/>
      <c r="T475" s="87"/>
      <c r="U475" s="108"/>
      <c r="V475" s="87"/>
      <c r="W475" s="108"/>
      <c r="X475" s="87"/>
      <c r="Y475" s="87"/>
      <c r="AI475" s="3" t="str">
        <f>IF(COUNTIF(AC:AC,AA475)*COUNTIF(AE:AE,AA475)*COUNTIF(AG:AG,AA475),AA475,"")</f>
        <v/>
      </c>
      <c r="AJ475" s="3" t="str">
        <f t="shared" si="27"/>
        <v/>
      </c>
    </row>
    <row r="476" spans="1:36" x14ac:dyDescent="0.25">
      <c r="A476" s="37"/>
      <c r="B476" s="38"/>
      <c r="C476" s="2"/>
      <c r="D476" s="41"/>
      <c r="E476" s="93"/>
      <c r="F476" s="93"/>
      <c r="G476" s="93"/>
      <c r="H476" s="93"/>
      <c r="I476" s="38"/>
      <c r="J476" s="2"/>
      <c r="K476" s="41"/>
      <c r="L476" s="38"/>
      <c r="M476" s="41"/>
      <c r="N476" s="41"/>
      <c r="O476" s="42"/>
      <c r="P476" s="80"/>
      <c r="Q476" s="80"/>
      <c r="R476" s="87"/>
      <c r="S476" s="87"/>
      <c r="T476" s="87"/>
      <c r="U476" s="108"/>
      <c r="V476" s="87"/>
      <c r="W476" s="108"/>
      <c r="X476" s="87"/>
      <c r="Y476" s="87"/>
      <c r="AI476" s="3" t="str">
        <f>IF(COUNTIF(AC:AC,AA476)*COUNTIF(AE:AE,AA476)*COUNTIF(AG:AG,AA476),AA476,"")</f>
        <v/>
      </c>
      <c r="AJ476" s="3" t="str">
        <f t="shared" si="27"/>
        <v/>
      </c>
    </row>
    <row r="477" spans="1:36" x14ac:dyDescent="0.25">
      <c r="A477" s="37"/>
      <c r="B477" s="38"/>
      <c r="C477" s="2"/>
      <c r="D477" s="41"/>
      <c r="E477" s="93"/>
      <c r="F477" s="93"/>
      <c r="G477" s="93"/>
      <c r="H477" s="93"/>
      <c r="I477" s="38"/>
      <c r="J477" s="2"/>
      <c r="K477" s="41"/>
      <c r="L477" s="38"/>
      <c r="M477" s="41"/>
      <c r="N477" s="41"/>
      <c r="O477" s="42"/>
      <c r="P477" s="80"/>
      <c r="Q477" s="80"/>
      <c r="R477" s="87"/>
      <c r="S477" s="87"/>
      <c r="T477" s="87"/>
      <c r="U477" s="108"/>
      <c r="V477" s="87"/>
      <c r="W477" s="108"/>
      <c r="X477" s="87"/>
      <c r="Y477" s="87"/>
      <c r="AI477" s="3" t="str">
        <f>IF(COUNTIF(AC:AC,AA477)*COUNTIF(AE:AE,AA477)*COUNTIF(AG:AG,AA477),AA477,"")</f>
        <v/>
      </c>
      <c r="AJ477" s="3" t="str">
        <f t="shared" si="27"/>
        <v/>
      </c>
    </row>
    <row r="478" spans="1:36" x14ac:dyDescent="0.25">
      <c r="A478" s="37"/>
      <c r="B478" s="38"/>
      <c r="C478" s="2"/>
      <c r="D478" s="41"/>
      <c r="E478" s="93"/>
      <c r="F478" s="93"/>
      <c r="G478" s="93"/>
      <c r="H478" s="93"/>
      <c r="I478" s="38"/>
      <c r="J478" s="2"/>
      <c r="K478" s="41"/>
      <c r="L478" s="38"/>
      <c r="M478" s="41"/>
      <c r="N478" s="41"/>
      <c r="O478" s="42"/>
      <c r="P478" s="80"/>
      <c r="Q478" s="80"/>
      <c r="R478" s="87"/>
      <c r="S478" s="87"/>
      <c r="T478" s="87"/>
      <c r="U478" s="108"/>
      <c r="V478" s="87"/>
      <c r="W478" s="108"/>
      <c r="X478" s="87"/>
      <c r="Y478" s="87"/>
      <c r="AI478" s="3" t="str">
        <f>IF(COUNTIF(AC:AC,AA478)*COUNTIF(AE:AE,AA478)*COUNTIF(AG:AG,AA478),AA478,"")</f>
        <v/>
      </c>
      <c r="AJ478" s="3" t="str">
        <f t="shared" si="27"/>
        <v/>
      </c>
    </row>
    <row r="479" spans="1:36" x14ac:dyDescent="0.25">
      <c r="A479" s="37"/>
      <c r="B479" s="38"/>
      <c r="C479" s="2"/>
      <c r="D479" s="41"/>
      <c r="E479" s="93"/>
      <c r="F479" s="93"/>
      <c r="G479" s="93"/>
      <c r="H479" s="93"/>
      <c r="I479" s="38"/>
      <c r="J479" s="2"/>
      <c r="K479" s="41"/>
      <c r="L479" s="38"/>
      <c r="M479" s="41"/>
      <c r="N479" s="41"/>
      <c r="O479" s="42"/>
      <c r="P479" s="80"/>
      <c r="Q479" s="80"/>
      <c r="R479" s="87"/>
      <c r="S479" s="87"/>
      <c r="T479" s="87"/>
      <c r="U479" s="108"/>
      <c r="V479" s="87"/>
      <c r="W479" s="108"/>
      <c r="X479" s="87"/>
      <c r="Y479" s="87"/>
      <c r="AI479" s="3" t="str">
        <f>IF(COUNTIF(AC:AC,AA479)*COUNTIF(AE:AE,AA479)*COUNTIF(AG:AG,AA479),AA479,"")</f>
        <v/>
      </c>
      <c r="AJ479" s="3" t="str">
        <f t="shared" si="27"/>
        <v/>
      </c>
    </row>
    <row r="480" spans="1:36" x14ac:dyDescent="0.25">
      <c r="A480" s="37"/>
      <c r="B480" s="38"/>
      <c r="C480" s="2"/>
      <c r="D480" s="41"/>
      <c r="E480" s="93"/>
      <c r="F480" s="93"/>
      <c r="G480" s="93"/>
      <c r="H480" s="93"/>
      <c r="I480" s="38"/>
      <c r="J480" s="2"/>
      <c r="K480" s="41"/>
      <c r="L480" s="38"/>
      <c r="M480" s="41"/>
      <c r="N480" s="41"/>
      <c r="O480" s="42"/>
      <c r="P480" s="80"/>
      <c r="Q480" s="80"/>
      <c r="R480" s="87"/>
      <c r="S480" s="87"/>
      <c r="T480" s="87"/>
      <c r="U480" s="108"/>
      <c r="V480" s="87"/>
      <c r="W480" s="108"/>
      <c r="X480" s="87"/>
      <c r="Y480" s="87"/>
      <c r="AI480" s="3" t="str">
        <f>IF(COUNTIF(AC:AC,AA480)*COUNTIF(AE:AE,AA480)*COUNTIF(AG:AG,AA480),AA480,"")</f>
        <v/>
      </c>
      <c r="AJ480" s="3" t="str">
        <f t="shared" si="27"/>
        <v/>
      </c>
    </row>
    <row r="481" spans="1:36" x14ac:dyDescent="0.25">
      <c r="A481" s="37"/>
      <c r="B481" s="38"/>
      <c r="C481" s="2"/>
      <c r="D481" s="41"/>
      <c r="E481" s="93"/>
      <c r="F481" s="93"/>
      <c r="G481" s="93"/>
      <c r="H481" s="93"/>
      <c r="I481" s="38"/>
      <c r="J481" s="2"/>
      <c r="K481" s="41"/>
      <c r="L481" s="38"/>
      <c r="M481" s="41"/>
      <c r="N481" s="41"/>
      <c r="O481" s="42"/>
      <c r="P481" s="80"/>
      <c r="Q481" s="80"/>
      <c r="R481" s="87"/>
      <c r="S481" s="87"/>
      <c r="T481" s="87"/>
      <c r="U481" s="108"/>
      <c r="V481" s="87"/>
      <c r="W481" s="108"/>
      <c r="X481" s="87"/>
      <c r="Y481" s="87"/>
      <c r="AI481" s="3" t="str">
        <f>IF(COUNTIF(AC:AC,AA481)*COUNTIF(AE:AE,AA481)*COUNTIF(AG:AG,AA481),AA481,"")</f>
        <v/>
      </c>
      <c r="AJ481" s="3" t="str">
        <f t="shared" si="27"/>
        <v/>
      </c>
    </row>
    <row r="482" spans="1:36" x14ac:dyDescent="0.25">
      <c r="A482" s="37"/>
      <c r="B482" s="38"/>
      <c r="C482" s="2"/>
      <c r="D482" s="41"/>
      <c r="E482" s="93"/>
      <c r="F482" s="93"/>
      <c r="G482" s="93"/>
      <c r="H482" s="93"/>
      <c r="I482" s="38"/>
      <c r="J482" s="2"/>
      <c r="K482" s="41"/>
      <c r="L482" s="38"/>
      <c r="M482" s="41"/>
      <c r="N482" s="41"/>
      <c r="O482" s="42"/>
      <c r="P482" s="80"/>
      <c r="Q482" s="80"/>
      <c r="R482" s="87"/>
      <c r="S482" s="87"/>
      <c r="T482" s="87"/>
      <c r="U482" s="108"/>
      <c r="V482" s="87"/>
      <c r="W482" s="108"/>
      <c r="X482" s="87"/>
      <c r="Y482" s="87"/>
      <c r="AI482" s="3" t="str">
        <f>IF(COUNTIF(AC:AC,AA482)*COUNTIF(AE:AE,AA482)*COUNTIF(AG:AG,AA482),AA482,"")</f>
        <v/>
      </c>
      <c r="AJ482" s="3" t="str">
        <f t="shared" si="27"/>
        <v/>
      </c>
    </row>
    <row r="483" spans="1:36" x14ac:dyDescent="0.25">
      <c r="A483" s="37"/>
      <c r="B483" s="38"/>
      <c r="C483" s="2"/>
      <c r="D483" s="41"/>
      <c r="E483" s="93"/>
      <c r="F483" s="93"/>
      <c r="G483" s="93"/>
      <c r="H483" s="93"/>
      <c r="I483" s="38"/>
      <c r="J483" s="2"/>
      <c r="K483" s="41"/>
      <c r="L483" s="38"/>
      <c r="M483" s="41"/>
      <c r="N483" s="41"/>
      <c r="O483" s="42"/>
      <c r="P483" s="80"/>
      <c r="Q483" s="80"/>
      <c r="R483" s="87"/>
      <c r="S483" s="87"/>
      <c r="T483" s="87"/>
      <c r="U483" s="108"/>
      <c r="V483" s="87"/>
      <c r="W483" s="108"/>
      <c r="X483" s="87"/>
      <c r="Y483" s="87"/>
      <c r="AI483" s="3" t="str">
        <f>IF(COUNTIF(AC:AC,AA483)*COUNTIF(AE:AE,AA483)*COUNTIF(AG:AG,AA483),AA483,"")</f>
        <v/>
      </c>
      <c r="AJ483" s="3" t="str">
        <f t="shared" si="27"/>
        <v/>
      </c>
    </row>
    <row r="484" spans="1:36" x14ac:dyDescent="0.25">
      <c r="A484" s="37"/>
      <c r="B484" s="38"/>
      <c r="C484" s="2"/>
      <c r="D484" s="41"/>
      <c r="E484" s="93"/>
      <c r="F484" s="93"/>
      <c r="G484" s="93"/>
      <c r="H484" s="93"/>
      <c r="I484" s="38"/>
      <c r="J484" s="2"/>
      <c r="K484" s="41"/>
      <c r="L484" s="38"/>
      <c r="M484" s="41"/>
      <c r="N484" s="41"/>
      <c r="O484" s="42"/>
      <c r="P484" s="80"/>
      <c r="Q484" s="80"/>
      <c r="R484" s="87"/>
      <c r="S484" s="87"/>
      <c r="T484" s="87"/>
      <c r="U484" s="108"/>
      <c r="V484" s="87"/>
      <c r="W484" s="108"/>
      <c r="X484" s="87"/>
      <c r="Y484" s="87"/>
      <c r="AI484" s="3" t="str">
        <f>IF(COUNTIF(AC:AC,AA484)*COUNTIF(AE:AE,AA484)*COUNTIF(AG:AG,AA484),AA484,"")</f>
        <v/>
      </c>
      <c r="AJ484" s="3" t="str">
        <f t="shared" si="27"/>
        <v/>
      </c>
    </row>
    <row r="485" spans="1:36" x14ac:dyDescent="0.25">
      <c r="A485" s="37"/>
      <c r="B485" s="38"/>
      <c r="C485" s="2"/>
      <c r="D485" s="41"/>
      <c r="E485" s="93"/>
      <c r="F485" s="93"/>
      <c r="G485" s="93"/>
      <c r="H485" s="93"/>
      <c r="I485" s="38"/>
      <c r="J485" s="2"/>
      <c r="K485" s="41"/>
      <c r="L485" s="38"/>
      <c r="M485" s="41"/>
      <c r="N485" s="41"/>
      <c r="O485" s="42"/>
      <c r="P485" s="80"/>
      <c r="Q485" s="80"/>
      <c r="R485" s="87"/>
      <c r="S485" s="87"/>
      <c r="T485" s="87"/>
      <c r="U485" s="108"/>
      <c r="V485" s="87"/>
      <c r="W485" s="108"/>
      <c r="X485" s="87"/>
      <c r="Y485" s="87"/>
      <c r="AI485" s="3" t="str">
        <f>IF(COUNTIF(AC:AC,AA485)*COUNTIF(AE:AE,AA485)*COUNTIF(AG:AG,AA485),AA485,"")</f>
        <v/>
      </c>
      <c r="AJ485" s="3" t="str">
        <f t="shared" si="27"/>
        <v/>
      </c>
    </row>
    <row r="486" spans="1:36" x14ac:dyDescent="0.25">
      <c r="A486" s="37"/>
      <c r="B486" s="38"/>
      <c r="C486" s="2"/>
      <c r="D486" s="41"/>
      <c r="E486" s="93"/>
      <c r="F486" s="93"/>
      <c r="G486" s="93"/>
      <c r="H486" s="93"/>
      <c r="I486" s="38"/>
      <c r="J486" s="2"/>
      <c r="K486" s="41"/>
      <c r="L486" s="38"/>
      <c r="M486" s="41"/>
      <c r="N486" s="41"/>
      <c r="O486" s="42"/>
      <c r="P486" s="80"/>
      <c r="Q486" s="80"/>
      <c r="R486" s="87"/>
      <c r="S486" s="87"/>
      <c r="T486" s="87"/>
      <c r="U486" s="108"/>
      <c r="V486" s="87"/>
      <c r="W486" s="108"/>
      <c r="X486" s="87"/>
      <c r="Y486" s="87"/>
      <c r="AI486" s="3" t="str">
        <f>IF(COUNTIF(AC:AC,AA486)*COUNTIF(AE:AE,AA486)*COUNTIF(AG:AG,AA486),AA486,"")</f>
        <v/>
      </c>
      <c r="AJ486" s="3" t="str">
        <f t="shared" si="27"/>
        <v/>
      </c>
    </row>
    <row r="487" spans="1:36" x14ac:dyDescent="0.25">
      <c r="A487" s="37"/>
      <c r="B487" s="38"/>
      <c r="C487" s="2"/>
      <c r="D487" s="41"/>
      <c r="E487" s="93"/>
      <c r="F487" s="93"/>
      <c r="G487" s="93"/>
      <c r="H487" s="93"/>
      <c r="I487" s="38"/>
      <c r="J487" s="2"/>
      <c r="K487" s="41"/>
      <c r="L487" s="38"/>
      <c r="M487" s="41"/>
      <c r="N487" s="41"/>
      <c r="O487" s="42"/>
      <c r="P487" s="80"/>
      <c r="Q487" s="80"/>
      <c r="R487" s="87"/>
      <c r="S487" s="87"/>
      <c r="T487" s="87"/>
      <c r="U487" s="108"/>
      <c r="V487" s="87"/>
      <c r="W487" s="108"/>
      <c r="X487" s="87"/>
      <c r="Y487" s="87"/>
      <c r="AI487" s="3" t="str">
        <f>IF(COUNTIF(AC:AC,AA487)*COUNTIF(AE:AE,AA487)*COUNTIF(AG:AG,AA487),AA487,"")</f>
        <v/>
      </c>
      <c r="AJ487" s="3" t="str">
        <f t="shared" si="27"/>
        <v/>
      </c>
    </row>
    <row r="488" spans="1:36" x14ac:dyDescent="0.25">
      <c r="A488" s="37"/>
      <c r="B488" s="38"/>
      <c r="C488" s="2"/>
      <c r="D488" s="41"/>
      <c r="E488" s="93"/>
      <c r="F488" s="93"/>
      <c r="G488" s="93"/>
      <c r="H488" s="93"/>
      <c r="I488" s="38"/>
      <c r="J488" s="2"/>
      <c r="K488" s="41"/>
      <c r="L488" s="38"/>
      <c r="M488" s="41"/>
      <c r="N488" s="41"/>
      <c r="O488" s="42"/>
      <c r="P488" s="80"/>
      <c r="Q488" s="80"/>
      <c r="R488" s="87"/>
      <c r="S488" s="87"/>
      <c r="T488" s="87"/>
      <c r="U488" s="108"/>
      <c r="V488" s="87"/>
      <c r="W488" s="108"/>
      <c r="X488" s="87"/>
      <c r="Y488" s="87"/>
      <c r="AI488" s="3" t="str">
        <f>IF(COUNTIF(AC:AC,AA488)*COUNTIF(AE:AE,AA488)*COUNTIF(AG:AG,AA488),AA488,"")</f>
        <v/>
      </c>
      <c r="AJ488" s="3" t="str">
        <f t="shared" si="27"/>
        <v/>
      </c>
    </row>
    <row r="489" spans="1:36" x14ac:dyDescent="0.25">
      <c r="A489" s="37"/>
      <c r="B489" s="38"/>
      <c r="C489" s="2"/>
      <c r="D489" s="41"/>
      <c r="E489" s="93"/>
      <c r="F489" s="93"/>
      <c r="G489" s="93"/>
      <c r="H489" s="93"/>
      <c r="I489" s="38"/>
      <c r="J489" s="2"/>
      <c r="K489" s="41"/>
      <c r="L489" s="38"/>
      <c r="M489" s="41"/>
      <c r="N489" s="41"/>
      <c r="O489" s="42"/>
      <c r="P489" s="80"/>
      <c r="Q489" s="80"/>
      <c r="R489" s="87"/>
      <c r="S489" s="87"/>
      <c r="T489" s="87"/>
      <c r="U489" s="108"/>
      <c r="V489" s="87"/>
      <c r="W489" s="108"/>
      <c r="X489" s="87"/>
      <c r="Y489" s="87"/>
      <c r="AI489" s="3" t="str">
        <f>IF(COUNTIF(AC:AC,AA489)*COUNTIF(AE:AE,AA489)*COUNTIF(AG:AG,AA489),AA489,"")</f>
        <v/>
      </c>
      <c r="AJ489" s="3" t="str">
        <f t="shared" si="27"/>
        <v/>
      </c>
    </row>
    <row r="490" spans="1:36" x14ac:dyDescent="0.25">
      <c r="A490" s="37"/>
      <c r="B490" s="38"/>
      <c r="C490" s="2"/>
      <c r="D490" s="41"/>
      <c r="E490" s="93"/>
      <c r="F490" s="93"/>
      <c r="G490" s="93"/>
      <c r="H490" s="93"/>
      <c r="I490" s="38"/>
      <c r="J490" s="2"/>
      <c r="K490" s="41"/>
      <c r="L490" s="38"/>
      <c r="M490" s="41"/>
      <c r="N490" s="41"/>
      <c r="O490" s="42"/>
      <c r="P490" s="80"/>
      <c r="Q490" s="80"/>
      <c r="R490" s="87"/>
      <c r="S490" s="87"/>
      <c r="T490" s="87"/>
      <c r="U490" s="108"/>
      <c r="V490" s="87"/>
      <c r="W490" s="108"/>
      <c r="X490" s="87"/>
      <c r="Y490" s="87"/>
      <c r="AI490" s="3" t="str">
        <f>IF(COUNTIF(AC:AC,AA490)*COUNTIF(AE:AE,AA490)*COUNTIF(AG:AG,AA490),AA490,"")</f>
        <v/>
      </c>
      <c r="AJ490" s="3" t="str">
        <f t="shared" si="27"/>
        <v/>
      </c>
    </row>
    <row r="491" spans="1:36" x14ac:dyDescent="0.25">
      <c r="A491" s="37"/>
      <c r="B491" s="38"/>
      <c r="C491" s="2"/>
      <c r="D491" s="41"/>
      <c r="E491" s="93"/>
      <c r="F491" s="93"/>
      <c r="G491" s="93"/>
      <c r="H491" s="93"/>
      <c r="I491" s="38"/>
      <c r="J491" s="2"/>
      <c r="K491" s="41"/>
      <c r="L491" s="38"/>
      <c r="M491" s="41"/>
      <c r="N491" s="41"/>
      <c r="O491" s="42"/>
      <c r="P491" s="80"/>
      <c r="Q491" s="80"/>
      <c r="R491" s="87"/>
      <c r="S491" s="87"/>
      <c r="T491" s="87"/>
      <c r="U491" s="108"/>
      <c r="V491" s="87"/>
      <c r="W491" s="108"/>
      <c r="X491" s="87"/>
      <c r="Y491" s="87"/>
      <c r="AI491" s="3" t="str">
        <f>IF(COUNTIF(AC:AC,AA491)*COUNTIF(AE:AE,AA491)*COUNTIF(AG:AG,AA491),AA491,"")</f>
        <v/>
      </c>
      <c r="AJ491" s="3" t="str">
        <f t="shared" si="27"/>
        <v/>
      </c>
    </row>
    <row r="492" spans="1:36" x14ac:dyDescent="0.25">
      <c r="A492" s="37"/>
      <c r="B492" s="38"/>
      <c r="C492" s="2"/>
      <c r="D492" s="41"/>
      <c r="E492" s="93"/>
      <c r="F492" s="93"/>
      <c r="G492" s="93"/>
      <c r="H492" s="93"/>
      <c r="I492" s="38"/>
      <c r="J492" s="2"/>
      <c r="K492" s="41"/>
      <c r="L492" s="38"/>
      <c r="M492" s="41"/>
      <c r="N492" s="41"/>
      <c r="O492" s="42"/>
      <c r="P492" s="80"/>
      <c r="Q492" s="80"/>
      <c r="R492" s="87"/>
      <c r="S492" s="87"/>
      <c r="T492" s="87"/>
      <c r="U492" s="108"/>
      <c r="V492" s="87"/>
      <c r="W492" s="108"/>
      <c r="X492" s="87"/>
      <c r="Y492" s="87"/>
      <c r="AI492" s="3" t="str">
        <f>IF(COUNTIF(AC:AC,AA492)*COUNTIF(AE:AE,AA492)*COUNTIF(AG:AG,AA492),AA492,"")</f>
        <v/>
      </c>
      <c r="AJ492" s="3" t="str">
        <f t="shared" si="27"/>
        <v/>
      </c>
    </row>
    <row r="493" spans="1:36" x14ac:dyDescent="0.25">
      <c r="A493" s="37"/>
      <c r="B493" s="38"/>
      <c r="C493" s="2"/>
      <c r="D493" s="41"/>
      <c r="E493" s="93"/>
      <c r="F493" s="93"/>
      <c r="G493" s="93"/>
      <c r="H493" s="93"/>
      <c r="I493" s="38"/>
      <c r="J493" s="2"/>
      <c r="K493" s="41"/>
      <c r="L493" s="38"/>
      <c r="M493" s="41"/>
      <c r="N493" s="41"/>
      <c r="O493" s="42"/>
      <c r="P493" s="80"/>
      <c r="Q493" s="80"/>
      <c r="R493" s="87"/>
      <c r="S493" s="87"/>
      <c r="T493" s="87"/>
      <c r="U493" s="108"/>
      <c r="V493" s="87"/>
      <c r="W493" s="108"/>
      <c r="X493" s="87"/>
      <c r="Y493" s="87"/>
      <c r="AI493" s="3" t="str">
        <f>IF(COUNTIF(AC:AC,AA493)*COUNTIF(AE:AE,AA493)*COUNTIF(AG:AG,AA493),AA493,"")</f>
        <v/>
      </c>
      <c r="AJ493" s="3" t="str">
        <f t="shared" si="27"/>
        <v/>
      </c>
    </row>
    <row r="494" spans="1:36" x14ac:dyDescent="0.25">
      <c r="A494" s="37"/>
      <c r="B494" s="38"/>
      <c r="C494" s="2"/>
      <c r="D494" s="41"/>
      <c r="E494" s="93"/>
      <c r="F494" s="93"/>
      <c r="G494" s="93"/>
      <c r="H494" s="93"/>
      <c r="I494" s="38"/>
      <c r="J494" s="2"/>
      <c r="K494" s="41"/>
      <c r="L494" s="38"/>
      <c r="M494" s="41"/>
      <c r="N494" s="41"/>
      <c r="O494" s="42"/>
      <c r="P494" s="80"/>
      <c r="Q494" s="80"/>
      <c r="R494" s="87"/>
      <c r="S494" s="87"/>
      <c r="T494" s="87"/>
      <c r="U494" s="108"/>
      <c r="V494" s="87"/>
      <c r="W494" s="108"/>
      <c r="X494" s="87"/>
      <c r="Y494" s="87"/>
      <c r="AI494" s="3" t="str">
        <f>IF(COUNTIF(AC:AC,AA494)*COUNTIF(AE:AE,AA494)*COUNTIF(AG:AG,AA494),AA494,"")</f>
        <v/>
      </c>
      <c r="AJ494" s="3" t="str">
        <f t="shared" si="27"/>
        <v/>
      </c>
    </row>
    <row r="495" spans="1:36" x14ac:dyDescent="0.25">
      <c r="A495" s="37"/>
      <c r="B495" s="38"/>
      <c r="C495" s="2"/>
      <c r="D495" s="41"/>
      <c r="E495" s="93"/>
      <c r="F495" s="93"/>
      <c r="G495" s="93"/>
      <c r="H495" s="93"/>
      <c r="I495" s="38"/>
      <c r="J495" s="2"/>
      <c r="K495" s="41"/>
      <c r="L495" s="38"/>
      <c r="M495" s="41"/>
      <c r="N495" s="41"/>
      <c r="O495" s="42"/>
      <c r="P495" s="80"/>
      <c r="Q495" s="80"/>
      <c r="R495" s="87"/>
      <c r="S495" s="87"/>
      <c r="T495" s="87"/>
      <c r="U495" s="108"/>
      <c r="V495" s="87"/>
      <c r="W495" s="108"/>
      <c r="X495" s="87"/>
      <c r="Y495" s="87"/>
      <c r="AI495" s="3" t="str">
        <f>IF(COUNTIF(AC:AC,AA495)*COUNTIF(AE:AE,AA495)*COUNTIF(AG:AG,AA495),AA495,"")</f>
        <v/>
      </c>
      <c r="AJ495" s="3" t="str">
        <f t="shared" si="27"/>
        <v/>
      </c>
    </row>
    <row r="496" spans="1:36" x14ac:dyDescent="0.25">
      <c r="A496" s="37"/>
      <c r="B496" s="38"/>
      <c r="C496" s="2"/>
      <c r="D496" s="41"/>
      <c r="E496" s="93"/>
      <c r="F496" s="93"/>
      <c r="G496" s="93"/>
      <c r="H496" s="93"/>
      <c r="I496" s="38"/>
      <c r="J496" s="2"/>
      <c r="K496" s="41"/>
      <c r="L496" s="38"/>
      <c r="M496" s="41"/>
      <c r="N496" s="41"/>
      <c r="O496" s="42"/>
      <c r="P496" s="80"/>
      <c r="Q496" s="80"/>
      <c r="R496" s="87"/>
      <c r="S496" s="87"/>
      <c r="T496" s="87"/>
      <c r="U496" s="108"/>
      <c r="V496" s="87"/>
      <c r="W496" s="108"/>
      <c r="X496" s="87"/>
      <c r="Y496" s="87"/>
      <c r="AI496" s="3" t="str">
        <f>IF(COUNTIF(AC:AC,AA496)*COUNTIF(AE:AE,AA496)*COUNTIF(AG:AG,AA496),AA496,"")</f>
        <v/>
      </c>
      <c r="AJ496" s="3" t="str">
        <f t="shared" si="27"/>
        <v/>
      </c>
    </row>
    <row r="497" spans="1:36" x14ac:dyDescent="0.25">
      <c r="A497" s="37"/>
      <c r="B497" s="38"/>
      <c r="C497" s="2"/>
      <c r="D497" s="41"/>
      <c r="E497" s="93"/>
      <c r="F497" s="93"/>
      <c r="G497" s="93"/>
      <c r="H497" s="93"/>
      <c r="I497" s="38"/>
      <c r="J497" s="2"/>
      <c r="K497" s="41"/>
      <c r="L497" s="38"/>
      <c r="M497" s="41"/>
      <c r="N497" s="41"/>
      <c r="O497" s="42"/>
      <c r="P497" s="80"/>
      <c r="Q497" s="80"/>
      <c r="R497" s="87"/>
      <c r="S497" s="87"/>
      <c r="T497" s="87"/>
      <c r="U497" s="108"/>
      <c r="V497" s="87"/>
      <c r="W497" s="108"/>
      <c r="X497" s="87"/>
      <c r="Y497" s="87"/>
      <c r="AI497" s="3" t="str">
        <f>IF(COUNTIF(AC:AC,AA497)*COUNTIF(AE:AE,AA497)*COUNTIF(AG:AG,AA497),AA497,"")</f>
        <v/>
      </c>
      <c r="AJ497" s="3" t="str">
        <f t="shared" si="27"/>
        <v/>
      </c>
    </row>
    <row r="498" spans="1:36" x14ac:dyDescent="0.25">
      <c r="A498" s="37"/>
      <c r="B498" s="38"/>
      <c r="C498" s="2"/>
      <c r="D498" s="41"/>
      <c r="E498" s="93"/>
      <c r="F498" s="93"/>
      <c r="G498" s="93"/>
      <c r="H498" s="93"/>
      <c r="I498" s="38"/>
      <c r="J498" s="2"/>
      <c r="K498" s="41"/>
      <c r="L498" s="38"/>
      <c r="M498" s="41"/>
      <c r="N498" s="41"/>
      <c r="O498" s="42"/>
      <c r="P498" s="80"/>
      <c r="Q498" s="80"/>
      <c r="R498" s="87"/>
      <c r="S498" s="87"/>
      <c r="T498" s="87"/>
      <c r="U498" s="108"/>
      <c r="V498" s="87"/>
      <c r="W498" s="108"/>
      <c r="X498" s="87"/>
      <c r="Y498" s="87"/>
      <c r="AI498" s="3" t="str">
        <f>IF(COUNTIF(AC:AC,AA498)*COUNTIF(AE:AE,AA498)*COUNTIF(AG:AG,AA498),AA498,"")</f>
        <v/>
      </c>
      <c r="AJ498" s="3" t="str">
        <f t="shared" si="27"/>
        <v/>
      </c>
    </row>
    <row r="499" spans="1:36" x14ac:dyDescent="0.25">
      <c r="A499" s="37"/>
      <c r="B499" s="38"/>
      <c r="C499" s="2"/>
      <c r="D499" s="41"/>
      <c r="E499" s="93"/>
      <c r="F499" s="93"/>
      <c r="G499" s="93"/>
      <c r="H499" s="93"/>
      <c r="I499" s="38"/>
      <c r="J499" s="2"/>
      <c r="K499" s="41"/>
      <c r="L499" s="38"/>
      <c r="M499" s="41"/>
      <c r="N499" s="41"/>
      <c r="O499" s="42"/>
      <c r="P499" s="80"/>
      <c r="Q499" s="80"/>
      <c r="R499" s="87"/>
      <c r="S499" s="87"/>
      <c r="T499" s="87"/>
      <c r="U499" s="108"/>
      <c r="V499" s="87"/>
      <c r="W499" s="108"/>
      <c r="X499" s="87"/>
      <c r="Y499" s="87"/>
      <c r="AI499" s="3" t="str">
        <f>IF(COUNTIF(AC:AC,AA499)*COUNTIF(AE:AE,AA499)*COUNTIF(AG:AG,AA499),AA499,"")</f>
        <v/>
      </c>
      <c r="AJ499" s="3" t="str">
        <f t="shared" si="27"/>
        <v/>
      </c>
    </row>
    <row r="500" spans="1:36" x14ac:dyDescent="0.25">
      <c r="A500" s="37"/>
      <c r="B500" s="38"/>
      <c r="C500" s="2"/>
      <c r="D500" s="41"/>
      <c r="E500" s="93"/>
      <c r="F500" s="93"/>
      <c r="G500" s="93"/>
      <c r="H500" s="93"/>
      <c r="I500" s="38"/>
      <c r="J500" s="2"/>
      <c r="K500" s="41"/>
      <c r="L500" s="38"/>
      <c r="M500" s="41"/>
      <c r="N500" s="41"/>
      <c r="O500" s="42"/>
      <c r="P500" s="80"/>
      <c r="Q500" s="80"/>
      <c r="R500" s="87"/>
      <c r="S500" s="87"/>
      <c r="T500" s="87"/>
      <c r="U500" s="108"/>
      <c r="V500" s="87"/>
      <c r="W500" s="108"/>
      <c r="X500" s="87"/>
      <c r="Y500" s="87"/>
      <c r="AI500" s="3" t="str">
        <f>IF(COUNTIF(AC:AC,AA500)*COUNTIF(AE:AE,AA500)*COUNTIF(AG:AG,AA500),AA500,"")</f>
        <v/>
      </c>
      <c r="AJ500" s="3" t="str">
        <f t="shared" si="27"/>
        <v/>
      </c>
    </row>
    <row r="501" spans="1:36" x14ac:dyDescent="0.25">
      <c r="A501" s="37"/>
      <c r="B501" s="38"/>
      <c r="C501" s="2"/>
      <c r="D501" s="41"/>
      <c r="E501" s="93"/>
      <c r="F501" s="93"/>
      <c r="G501" s="93"/>
      <c r="H501" s="93"/>
      <c r="I501" s="38"/>
      <c r="J501" s="2"/>
      <c r="K501" s="41"/>
      <c r="L501" s="38"/>
      <c r="M501" s="41"/>
      <c r="N501" s="41"/>
      <c r="O501" s="42"/>
      <c r="P501" s="80"/>
      <c r="Q501" s="80"/>
      <c r="R501" s="87"/>
      <c r="S501" s="87"/>
      <c r="T501" s="87"/>
      <c r="U501" s="108"/>
      <c r="V501" s="87"/>
      <c r="W501" s="108"/>
      <c r="X501" s="87"/>
      <c r="Y501" s="87"/>
      <c r="AI501" s="3" t="str">
        <f>IF(COUNTIF(AC:AC,AA501)*COUNTIF(AE:AE,AA501)*COUNTIF(AG:AG,AA501),AA501,"")</f>
        <v/>
      </c>
      <c r="AJ501" s="3" t="str">
        <f t="shared" si="27"/>
        <v/>
      </c>
    </row>
    <row r="502" spans="1:36" x14ac:dyDescent="0.25">
      <c r="A502" s="37"/>
      <c r="B502" s="38"/>
      <c r="C502" s="2"/>
      <c r="D502" s="41"/>
      <c r="E502" s="93"/>
      <c r="F502" s="93"/>
      <c r="G502" s="93"/>
      <c r="H502" s="93"/>
      <c r="I502" s="38"/>
      <c r="J502" s="2"/>
      <c r="K502" s="41"/>
      <c r="L502" s="38"/>
      <c r="M502" s="41"/>
      <c r="N502" s="41"/>
      <c r="O502" s="42"/>
      <c r="P502" s="80"/>
      <c r="Q502" s="80"/>
      <c r="R502" s="87"/>
      <c r="S502" s="87"/>
      <c r="T502" s="87"/>
      <c r="U502" s="108"/>
      <c r="V502" s="87"/>
      <c r="W502" s="108"/>
      <c r="X502" s="87"/>
      <c r="Y502" s="87"/>
      <c r="AI502" s="3" t="str">
        <f>IF(COUNTIF(AC:AC,AA502)*COUNTIF(AE:AE,AA502)*COUNTIF(AG:AG,AA502),AA502,"")</f>
        <v/>
      </c>
      <c r="AJ502" s="3" t="str">
        <f t="shared" si="27"/>
        <v/>
      </c>
    </row>
    <row r="503" spans="1:36" x14ac:dyDescent="0.25">
      <c r="A503" s="37"/>
      <c r="B503" s="38"/>
      <c r="C503" s="2"/>
      <c r="D503" s="41"/>
      <c r="E503" s="93"/>
      <c r="F503" s="93"/>
      <c r="G503" s="93"/>
      <c r="H503" s="93"/>
      <c r="I503" s="38"/>
      <c r="J503" s="2"/>
      <c r="K503" s="41"/>
      <c r="L503" s="38"/>
      <c r="M503" s="41"/>
      <c r="N503" s="41"/>
      <c r="O503" s="42"/>
      <c r="P503" s="80"/>
      <c r="Q503" s="80"/>
      <c r="R503" s="87"/>
      <c r="S503" s="87"/>
      <c r="T503" s="87"/>
      <c r="U503" s="108"/>
      <c r="V503" s="87"/>
      <c r="W503" s="108"/>
      <c r="X503" s="87"/>
      <c r="Y503" s="87"/>
      <c r="AI503" s="3" t="str">
        <f>IF(COUNTIF(AC:AC,AA503)*COUNTIF(AE:AE,AA503)*COUNTIF(AG:AG,AA503),AA503,"")</f>
        <v/>
      </c>
      <c r="AJ503" s="3" t="str">
        <f t="shared" si="27"/>
        <v/>
      </c>
    </row>
    <row r="504" spans="1:36" x14ac:dyDescent="0.25">
      <c r="A504" s="37"/>
      <c r="B504" s="38"/>
      <c r="C504" s="2"/>
      <c r="D504" s="41"/>
      <c r="E504" s="93"/>
      <c r="F504" s="93"/>
      <c r="G504" s="93"/>
      <c r="H504" s="93"/>
      <c r="I504" s="38"/>
      <c r="J504" s="2"/>
      <c r="K504" s="41"/>
      <c r="L504" s="38"/>
      <c r="M504" s="41"/>
      <c r="N504" s="41"/>
      <c r="O504" s="42"/>
      <c r="P504" s="80"/>
      <c r="Q504" s="80"/>
      <c r="R504" s="87"/>
      <c r="S504" s="87"/>
      <c r="T504" s="87"/>
      <c r="U504" s="108"/>
      <c r="V504" s="87"/>
      <c r="W504" s="108"/>
      <c r="X504" s="87"/>
      <c r="Y504" s="87"/>
      <c r="AI504" s="3" t="str">
        <f>IF(COUNTIF(AC:AC,AA504)*COUNTIF(AE:AE,AA504)*COUNTIF(AG:AG,AA504),AA504,"")</f>
        <v/>
      </c>
      <c r="AJ504" s="3" t="str">
        <f t="shared" si="27"/>
        <v/>
      </c>
    </row>
    <row r="505" spans="1:36" x14ac:dyDescent="0.25">
      <c r="A505" s="37"/>
      <c r="B505" s="38"/>
      <c r="C505" s="2"/>
      <c r="D505" s="41"/>
      <c r="E505" s="93"/>
      <c r="F505" s="93"/>
      <c r="G505" s="93"/>
      <c r="H505" s="93"/>
      <c r="I505" s="38"/>
      <c r="J505" s="2"/>
      <c r="K505" s="41"/>
      <c r="L505" s="38"/>
      <c r="M505" s="41"/>
      <c r="N505" s="41"/>
      <c r="O505" s="42"/>
      <c r="P505" s="80"/>
      <c r="Q505" s="80"/>
      <c r="R505" s="87"/>
      <c r="S505" s="87"/>
      <c r="T505" s="87"/>
      <c r="U505" s="108"/>
      <c r="V505" s="87"/>
      <c r="W505" s="108"/>
      <c r="X505" s="87"/>
      <c r="Y505" s="87"/>
      <c r="AI505" s="3" t="str">
        <f>IF(COUNTIF(AC:AC,AA505)*COUNTIF(AE:AE,AA505)*COUNTIF(AG:AG,AA505),AA505,"")</f>
        <v/>
      </c>
      <c r="AJ505" s="3" t="str">
        <f t="shared" si="27"/>
        <v/>
      </c>
    </row>
    <row r="506" spans="1:36" x14ac:dyDescent="0.25">
      <c r="A506" s="37"/>
      <c r="B506" s="38"/>
      <c r="C506" s="2"/>
      <c r="D506" s="41"/>
      <c r="E506" s="93"/>
      <c r="F506" s="93"/>
      <c r="G506" s="93"/>
      <c r="H506" s="93"/>
      <c r="I506" s="38"/>
      <c r="J506" s="2"/>
      <c r="K506" s="41"/>
      <c r="L506" s="38"/>
      <c r="M506" s="41"/>
      <c r="N506" s="41"/>
      <c r="O506" s="42"/>
      <c r="P506" s="80"/>
      <c r="Q506" s="80"/>
      <c r="R506" s="87"/>
      <c r="S506" s="87"/>
      <c r="T506" s="87"/>
      <c r="U506" s="108"/>
      <c r="V506" s="87"/>
      <c r="W506" s="108"/>
      <c r="X506" s="87"/>
      <c r="Y506" s="87"/>
      <c r="AI506" s="3" t="str">
        <f>IF(COUNTIF(AC:AC,AA506)*COUNTIF(AE:AE,AA506)*COUNTIF(AG:AG,AA506),AA506,"")</f>
        <v/>
      </c>
      <c r="AJ506" s="3" t="str">
        <f t="shared" si="27"/>
        <v/>
      </c>
    </row>
    <row r="507" spans="1:36" x14ac:dyDescent="0.25">
      <c r="A507" s="37"/>
      <c r="B507" s="38"/>
      <c r="C507" s="2"/>
      <c r="D507" s="41"/>
      <c r="E507" s="93"/>
      <c r="F507" s="93"/>
      <c r="G507" s="93"/>
      <c r="H507" s="93"/>
      <c r="I507" s="38"/>
      <c r="J507" s="2"/>
      <c r="K507" s="41"/>
      <c r="L507" s="38"/>
      <c r="M507" s="41"/>
      <c r="N507" s="41"/>
      <c r="O507" s="42"/>
      <c r="P507" s="80"/>
      <c r="Q507" s="80"/>
      <c r="R507" s="87"/>
      <c r="S507" s="87"/>
      <c r="T507" s="87"/>
      <c r="U507" s="108"/>
      <c r="V507" s="87"/>
      <c r="W507" s="108"/>
      <c r="X507" s="87"/>
      <c r="Y507" s="87"/>
      <c r="AI507" s="3" t="str">
        <f>IF(COUNTIF(AC:AC,AA507)*COUNTIF(AE:AE,AA507)*COUNTIF(AG:AG,AA507),AA507,"")</f>
        <v/>
      </c>
      <c r="AJ507" s="3" t="str">
        <f t="shared" si="27"/>
        <v/>
      </c>
    </row>
    <row r="508" spans="1:36" x14ac:dyDescent="0.25">
      <c r="A508" s="37"/>
      <c r="B508" s="38"/>
      <c r="C508" s="2"/>
      <c r="D508" s="41"/>
      <c r="E508" s="93"/>
      <c r="F508" s="93"/>
      <c r="G508" s="93"/>
      <c r="H508" s="93"/>
      <c r="I508" s="38"/>
      <c r="J508" s="2"/>
      <c r="K508" s="41"/>
      <c r="L508" s="38"/>
      <c r="M508" s="41"/>
      <c r="N508" s="41"/>
      <c r="O508" s="42"/>
      <c r="P508" s="80"/>
      <c r="Q508" s="80"/>
      <c r="R508" s="87"/>
      <c r="S508" s="87"/>
      <c r="T508" s="87"/>
      <c r="U508" s="108"/>
      <c r="V508" s="87"/>
      <c r="W508" s="108"/>
      <c r="X508" s="87"/>
      <c r="Y508" s="87"/>
      <c r="AI508" s="3" t="str">
        <f>IF(COUNTIF(AC:AC,AA508)*COUNTIF(AE:AE,AA508)*COUNTIF(AG:AG,AA508),AA508,"")</f>
        <v/>
      </c>
      <c r="AJ508" s="3" t="str">
        <f t="shared" si="27"/>
        <v/>
      </c>
    </row>
    <row r="509" spans="1:36" x14ac:dyDescent="0.25">
      <c r="A509" s="37"/>
      <c r="B509" s="38"/>
      <c r="C509" s="2"/>
      <c r="D509" s="41"/>
      <c r="E509" s="93"/>
      <c r="F509" s="93"/>
      <c r="G509" s="93"/>
      <c r="H509" s="93"/>
      <c r="I509" s="38"/>
      <c r="J509" s="2"/>
      <c r="K509" s="41"/>
      <c r="L509" s="38"/>
      <c r="M509" s="41"/>
      <c r="N509" s="41"/>
      <c r="O509" s="42"/>
      <c r="P509" s="80"/>
      <c r="Q509" s="80"/>
      <c r="R509" s="87"/>
      <c r="S509" s="87"/>
      <c r="T509" s="87"/>
      <c r="U509" s="108"/>
      <c r="V509" s="87"/>
      <c r="W509" s="108"/>
      <c r="X509" s="87"/>
      <c r="Y509" s="87"/>
      <c r="AI509" s="3" t="str">
        <f>IF(COUNTIF(AC:AC,AA509)*COUNTIF(AE:AE,AA509)*COUNTIF(AG:AG,AA509),AA509,"")</f>
        <v/>
      </c>
      <c r="AJ509" s="3" t="str">
        <f t="shared" si="27"/>
        <v/>
      </c>
    </row>
    <row r="510" spans="1:36" x14ac:dyDescent="0.25">
      <c r="A510" s="37"/>
      <c r="B510" s="38"/>
      <c r="C510" s="2"/>
      <c r="D510" s="41"/>
      <c r="E510" s="93"/>
      <c r="F510" s="93"/>
      <c r="G510" s="93"/>
      <c r="H510" s="93"/>
      <c r="I510" s="38"/>
      <c r="J510" s="2"/>
      <c r="K510" s="41"/>
      <c r="L510" s="38"/>
      <c r="M510" s="41"/>
      <c r="N510" s="41"/>
      <c r="O510" s="42"/>
      <c r="P510" s="80"/>
      <c r="Q510" s="80"/>
      <c r="R510" s="87"/>
      <c r="S510" s="87"/>
      <c r="T510" s="87"/>
      <c r="U510" s="108"/>
      <c r="V510" s="87"/>
      <c r="W510" s="108"/>
      <c r="X510" s="87"/>
      <c r="Y510" s="87"/>
      <c r="AI510" s="3" t="str">
        <f>IF(COUNTIF(AC:AC,AA510)*COUNTIF(AE:AE,AA510)*COUNTIF(AG:AG,AA510),AA510,"")</f>
        <v/>
      </c>
      <c r="AJ510" s="3" t="str">
        <f t="shared" si="27"/>
        <v/>
      </c>
    </row>
    <row r="511" spans="1:36" x14ac:dyDescent="0.25">
      <c r="A511" s="37"/>
      <c r="B511" s="38"/>
      <c r="C511" s="2"/>
      <c r="D511" s="41"/>
      <c r="E511" s="93"/>
      <c r="F511" s="93"/>
      <c r="G511" s="93"/>
      <c r="H511" s="93"/>
      <c r="I511" s="38"/>
      <c r="J511" s="2"/>
      <c r="K511" s="41"/>
      <c r="L511" s="38"/>
      <c r="M511" s="41"/>
      <c r="N511" s="41"/>
      <c r="O511" s="42"/>
      <c r="P511" s="80"/>
      <c r="Q511" s="80"/>
      <c r="R511" s="87"/>
      <c r="S511" s="87"/>
      <c r="T511" s="87"/>
      <c r="U511" s="108"/>
      <c r="V511" s="87"/>
      <c r="W511" s="108"/>
      <c r="X511" s="87"/>
      <c r="Y511" s="87"/>
      <c r="AI511" s="3" t="str">
        <f>IF(COUNTIF(AC:AC,AA511)*COUNTIF(AE:AE,AA511)*COUNTIF(AG:AG,AA511),AA511,"")</f>
        <v/>
      </c>
      <c r="AJ511" s="3" t="str">
        <f t="shared" si="27"/>
        <v/>
      </c>
    </row>
    <row r="512" spans="1:36" x14ac:dyDescent="0.25">
      <c r="A512" s="37"/>
      <c r="B512" s="38"/>
      <c r="C512" s="2"/>
      <c r="D512" s="41"/>
      <c r="E512" s="93"/>
      <c r="F512" s="93"/>
      <c r="G512" s="93"/>
      <c r="H512" s="93"/>
      <c r="I512" s="38"/>
      <c r="J512" s="2"/>
      <c r="K512" s="41"/>
      <c r="L512" s="38"/>
      <c r="M512" s="41"/>
      <c r="N512" s="41"/>
      <c r="O512" s="42"/>
      <c r="P512" s="80"/>
      <c r="Q512" s="80"/>
      <c r="R512" s="87"/>
      <c r="S512" s="87"/>
      <c r="T512" s="87"/>
      <c r="U512" s="108"/>
      <c r="V512" s="87"/>
      <c r="W512" s="108"/>
      <c r="X512" s="87"/>
      <c r="Y512" s="87"/>
      <c r="AI512" s="3" t="str">
        <f>IF(COUNTIF(AC:AC,AA512)*COUNTIF(AE:AE,AA512)*COUNTIF(AG:AG,AA512),AA512,"")</f>
        <v/>
      </c>
      <c r="AJ512" s="3" t="str">
        <f t="shared" si="27"/>
        <v/>
      </c>
    </row>
    <row r="513" spans="1:36" x14ac:dyDescent="0.25">
      <c r="A513" s="37"/>
      <c r="B513" s="38"/>
      <c r="C513" s="2"/>
      <c r="D513" s="41"/>
      <c r="E513" s="93"/>
      <c r="F513" s="93"/>
      <c r="G513" s="93"/>
      <c r="H513" s="93"/>
      <c r="I513" s="38"/>
      <c r="J513" s="2"/>
      <c r="K513" s="41"/>
      <c r="L513" s="38"/>
      <c r="M513" s="41"/>
      <c r="N513" s="41"/>
      <c r="O513" s="42"/>
      <c r="P513" s="80"/>
      <c r="Q513" s="80"/>
      <c r="R513" s="87"/>
      <c r="S513" s="87"/>
      <c r="T513" s="87"/>
      <c r="U513" s="108"/>
      <c r="V513" s="87"/>
      <c r="W513" s="108"/>
      <c r="X513" s="87"/>
      <c r="Y513" s="87"/>
      <c r="AI513" s="3" t="str">
        <f>IF(COUNTIF(AC:AC,AA513)*COUNTIF(AE:AE,AA513)*COUNTIF(AG:AG,AA513),AA513,"")</f>
        <v/>
      </c>
      <c r="AJ513" s="3" t="str">
        <f t="shared" si="27"/>
        <v/>
      </c>
    </row>
    <row r="514" spans="1:36" x14ac:dyDescent="0.25">
      <c r="A514" s="37"/>
      <c r="B514" s="38"/>
      <c r="C514" s="2"/>
      <c r="D514" s="41"/>
      <c r="E514" s="93"/>
      <c r="F514" s="93"/>
      <c r="G514" s="93"/>
      <c r="H514" s="93"/>
      <c r="I514" s="38"/>
      <c r="J514" s="2"/>
      <c r="K514" s="41"/>
      <c r="L514" s="38"/>
      <c r="M514" s="41"/>
      <c r="N514" s="41"/>
      <c r="O514" s="42"/>
      <c r="P514" s="80"/>
      <c r="Q514" s="80"/>
      <c r="R514" s="87"/>
      <c r="S514" s="87"/>
      <c r="T514" s="87"/>
      <c r="U514" s="108"/>
      <c r="V514" s="87"/>
      <c r="W514" s="108"/>
      <c r="X514" s="87"/>
      <c r="Y514" s="87"/>
      <c r="AI514" s="3" t="str">
        <f>IF(COUNTIF(AC:AC,AA514)*COUNTIF(AE:AE,AA514)*COUNTIF(AG:AG,AA514),AA514,"")</f>
        <v/>
      </c>
      <c r="AJ514" s="3" t="str">
        <f t="shared" si="27"/>
        <v/>
      </c>
    </row>
    <row r="515" spans="1:36" x14ac:dyDescent="0.25">
      <c r="A515" s="37"/>
      <c r="B515" s="38"/>
      <c r="C515" s="2"/>
      <c r="D515" s="41"/>
      <c r="E515" s="93"/>
      <c r="F515" s="93"/>
      <c r="G515" s="93"/>
      <c r="H515" s="93"/>
      <c r="I515" s="38"/>
      <c r="J515" s="2"/>
      <c r="K515" s="41"/>
      <c r="L515" s="38"/>
      <c r="M515" s="41"/>
      <c r="N515" s="41"/>
      <c r="O515" s="42"/>
      <c r="P515" s="80"/>
      <c r="Q515" s="80"/>
      <c r="R515" s="87"/>
      <c r="S515" s="87"/>
      <c r="T515" s="87"/>
      <c r="U515" s="108"/>
      <c r="V515" s="87"/>
      <c r="W515" s="108"/>
      <c r="X515" s="87"/>
      <c r="Y515" s="87"/>
      <c r="AI515" s="3" t="str">
        <f>IF(COUNTIF(AC:AC,AA515)*COUNTIF(AE:AE,AA515)*COUNTIF(AG:AG,AA515),AA515,"")</f>
        <v/>
      </c>
      <c r="AJ515" s="3" t="str">
        <f t="shared" si="27"/>
        <v/>
      </c>
    </row>
    <row r="516" spans="1:36" x14ac:dyDescent="0.25">
      <c r="A516" s="37"/>
      <c r="B516" s="38"/>
      <c r="C516" s="2"/>
      <c r="D516" s="41"/>
      <c r="E516" s="93"/>
      <c r="F516" s="93"/>
      <c r="G516" s="93"/>
      <c r="H516" s="93"/>
      <c r="I516" s="38"/>
      <c r="J516" s="2"/>
      <c r="K516" s="41"/>
      <c r="L516" s="38"/>
      <c r="M516" s="41"/>
      <c r="N516" s="41"/>
      <c r="O516" s="42"/>
      <c r="P516" s="80"/>
      <c r="Q516" s="80"/>
      <c r="R516" s="87"/>
      <c r="S516" s="87"/>
      <c r="T516" s="87"/>
      <c r="U516" s="108"/>
      <c r="V516" s="87"/>
      <c r="W516" s="108"/>
      <c r="X516" s="87"/>
      <c r="Y516" s="87"/>
      <c r="AI516" s="3" t="str">
        <f>IF(COUNTIF(AC:AC,AA516)*COUNTIF(AE:AE,AA516)*COUNTIF(AG:AG,AA516),AA516,"")</f>
        <v/>
      </c>
      <c r="AJ516" s="3" t="str">
        <f t="shared" ref="AJ516:AJ569" si="28">IF(AI516&gt;=$A$14,AI516,"")</f>
        <v/>
      </c>
    </row>
    <row r="517" spans="1:36" x14ac:dyDescent="0.25">
      <c r="A517" s="37"/>
      <c r="B517" s="38"/>
      <c r="C517" s="2"/>
      <c r="D517" s="41"/>
      <c r="E517" s="93"/>
      <c r="F517" s="93"/>
      <c r="G517" s="93"/>
      <c r="H517" s="93"/>
      <c r="I517" s="38"/>
      <c r="J517" s="2"/>
      <c r="K517" s="41"/>
      <c r="L517" s="38"/>
      <c r="M517" s="41"/>
      <c r="N517" s="41"/>
      <c r="O517" s="42"/>
      <c r="P517" s="80"/>
      <c r="Q517" s="80"/>
      <c r="R517" s="87"/>
      <c r="S517" s="87"/>
      <c r="T517" s="87"/>
      <c r="U517" s="108"/>
      <c r="V517" s="87"/>
      <c r="W517" s="108"/>
      <c r="X517" s="87"/>
      <c r="Y517" s="87"/>
      <c r="AI517" s="3" t="str">
        <f>IF(COUNTIF(AC:AC,AA517)*COUNTIF(AE:AE,AA517)*COUNTIF(AG:AG,AA517),AA517,"")</f>
        <v/>
      </c>
      <c r="AJ517" s="3" t="str">
        <f t="shared" si="28"/>
        <v/>
      </c>
    </row>
    <row r="518" spans="1:36" x14ac:dyDescent="0.25">
      <c r="A518" s="37"/>
      <c r="B518" s="38"/>
      <c r="C518" s="2"/>
      <c r="D518" s="41"/>
      <c r="E518" s="93"/>
      <c r="F518" s="93"/>
      <c r="G518" s="93"/>
      <c r="H518" s="93"/>
      <c r="I518" s="38"/>
      <c r="J518" s="2"/>
      <c r="K518" s="41"/>
      <c r="L518" s="38"/>
      <c r="M518" s="41"/>
      <c r="N518" s="41"/>
      <c r="O518" s="42"/>
      <c r="P518" s="80"/>
      <c r="Q518" s="80"/>
      <c r="R518" s="87"/>
      <c r="S518" s="87"/>
      <c r="T518" s="87"/>
      <c r="U518" s="108"/>
      <c r="V518" s="87"/>
      <c r="W518" s="108"/>
      <c r="X518" s="87"/>
      <c r="Y518" s="87"/>
      <c r="AI518" s="3" t="str">
        <f>IF(COUNTIF(AC:AC,AA518)*COUNTIF(AE:AE,AA518)*COUNTIF(AG:AG,AA518),AA518,"")</f>
        <v/>
      </c>
      <c r="AJ518" s="3" t="str">
        <f t="shared" si="28"/>
        <v/>
      </c>
    </row>
    <row r="519" spans="1:36" x14ac:dyDescent="0.25">
      <c r="A519" s="37"/>
      <c r="B519" s="38"/>
      <c r="C519" s="2"/>
      <c r="D519" s="41"/>
      <c r="E519" s="93"/>
      <c r="F519" s="93"/>
      <c r="G519" s="93"/>
      <c r="H519" s="93"/>
      <c r="I519" s="38"/>
      <c r="J519" s="2"/>
      <c r="K519" s="41"/>
      <c r="L519" s="38"/>
      <c r="M519" s="41"/>
      <c r="N519" s="41"/>
      <c r="O519" s="42"/>
      <c r="P519" s="80"/>
      <c r="Q519" s="80"/>
      <c r="R519" s="87"/>
      <c r="S519" s="87"/>
      <c r="T519" s="87"/>
      <c r="U519" s="108"/>
      <c r="V519" s="87"/>
      <c r="W519" s="108"/>
      <c r="X519" s="87"/>
      <c r="Y519" s="87"/>
      <c r="AI519" s="3" t="str">
        <f>IF(COUNTIF(AC:AC,AA519)*COUNTIF(AE:AE,AA519)*COUNTIF(AG:AG,AA519),AA519,"")</f>
        <v/>
      </c>
      <c r="AJ519" s="3" t="str">
        <f t="shared" si="28"/>
        <v/>
      </c>
    </row>
    <row r="520" spans="1:36" x14ac:dyDescent="0.25">
      <c r="A520" s="37"/>
      <c r="B520" s="38"/>
      <c r="C520" s="2"/>
      <c r="D520" s="41"/>
      <c r="E520" s="93"/>
      <c r="F520" s="93"/>
      <c r="G520" s="93"/>
      <c r="H520" s="93"/>
      <c r="I520" s="38"/>
      <c r="J520" s="2"/>
      <c r="K520" s="41"/>
      <c r="L520" s="38"/>
      <c r="M520" s="41"/>
      <c r="N520" s="41"/>
      <c r="O520" s="42"/>
      <c r="P520" s="80"/>
      <c r="Q520" s="80"/>
      <c r="R520" s="87"/>
      <c r="S520" s="87"/>
      <c r="T520" s="87"/>
      <c r="U520" s="108"/>
      <c r="V520" s="87"/>
      <c r="W520" s="108"/>
      <c r="X520" s="87"/>
      <c r="Y520" s="87"/>
      <c r="AI520" s="3" t="str">
        <f>IF(COUNTIF(AC:AC,AA520)*COUNTIF(AE:AE,AA520)*COUNTIF(AG:AG,AA520),AA520,"")</f>
        <v/>
      </c>
      <c r="AJ520" s="3" t="str">
        <f t="shared" si="28"/>
        <v/>
      </c>
    </row>
    <row r="521" spans="1:36" x14ac:dyDescent="0.25">
      <c r="A521" s="37"/>
      <c r="B521" s="38"/>
      <c r="C521" s="2"/>
      <c r="D521" s="41"/>
      <c r="E521" s="93"/>
      <c r="F521" s="93"/>
      <c r="G521" s="93"/>
      <c r="H521" s="93"/>
      <c r="I521" s="38"/>
      <c r="J521" s="2"/>
      <c r="K521" s="41"/>
      <c r="L521" s="38"/>
      <c r="M521" s="41"/>
      <c r="N521" s="41"/>
      <c r="O521" s="42"/>
      <c r="P521" s="80"/>
      <c r="Q521" s="80"/>
      <c r="R521" s="87"/>
      <c r="S521" s="87"/>
      <c r="T521" s="87"/>
      <c r="U521" s="108"/>
      <c r="V521" s="87"/>
      <c r="W521" s="108"/>
      <c r="X521" s="87"/>
      <c r="Y521" s="87"/>
      <c r="AI521" s="3" t="str">
        <f>IF(COUNTIF(AC:AC,AA521)*COUNTIF(AE:AE,AA521)*COUNTIF(AG:AG,AA521),AA521,"")</f>
        <v/>
      </c>
      <c r="AJ521" s="3" t="str">
        <f t="shared" si="28"/>
        <v/>
      </c>
    </row>
    <row r="522" spans="1:36" x14ac:dyDescent="0.25">
      <c r="A522" s="37"/>
      <c r="B522" s="38"/>
      <c r="C522" s="2"/>
      <c r="D522" s="41"/>
      <c r="E522" s="93"/>
      <c r="F522" s="93"/>
      <c r="G522" s="93"/>
      <c r="H522" s="93"/>
      <c r="I522" s="38"/>
      <c r="J522" s="2"/>
      <c r="K522" s="41"/>
      <c r="L522" s="38"/>
      <c r="M522" s="41"/>
      <c r="N522" s="41"/>
      <c r="O522" s="42"/>
      <c r="P522" s="80"/>
      <c r="Q522" s="80"/>
      <c r="R522" s="87"/>
      <c r="S522" s="87"/>
      <c r="T522" s="87"/>
      <c r="U522" s="108"/>
      <c r="V522" s="87"/>
      <c r="W522" s="108"/>
      <c r="X522" s="87"/>
      <c r="Y522" s="87"/>
      <c r="AI522" s="3" t="str">
        <f>IF(COUNTIF(AC:AC,AA522)*COUNTIF(AE:AE,AA522)*COUNTIF(AG:AG,AA522),AA522,"")</f>
        <v/>
      </c>
      <c r="AJ522" s="3" t="str">
        <f t="shared" si="28"/>
        <v/>
      </c>
    </row>
    <row r="523" spans="1:36" x14ac:dyDescent="0.25">
      <c r="A523" s="37"/>
      <c r="B523" s="38"/>
      <c r="C523" s="2"/>
      <c r="D523" s="41"/>
      <c r="E523" s="93"/>
      <c r="F523" s="93"/>
      <c r="G523" s="93"/>
      <c r="H523" s="93"/>
      <c r="I523" s="38"/>
      <c r="J523" s="2"/>
      <c r="K523" s="41"/>
      <c r="L523" s="38"/>
      <c r="M523" s="41"/>
      <c r="N523" s="41"/>
      <c r="O523" s="42"/>
      <c r="P523" s="80"/>
      <c r="Q523" s="80"/>
      <c r="R523" s="87"/>
      <c r="S523" s="87"/>
      <c r="T523" s="87"/>
      <c r="U523" s="108"/>
      <c r="V523" s="87"/>
      <c r="W523" s="108"/>
      <c r="X523" s="87"/>
      <c r="Y523" s="87"/>
      <c r="AI523" s="3" t="str">
        <f>IF(COUNTIF(AC:AC,AA523)*COUNTIF(AE:AE,AA523)*COUNTIF(AG:AG,AA523),AA523,"")</f>
        <v/>
      </c>
      <c r="AJ523" s="3" t="str">
        <f t="shared" si="28"/>
        <v/>
      </c>
    </row>
    <row r="524" spans="1:36" x14ac:dyDescent="0.25">
      <c r="A524" s="37"/>
      <c r="B524" s="38"/>
      <c r="C524" s="2"/>
      <c r="D524" s="41"/>
      <c r="E524" s="93"/>
      <c r="F524" s="93"/>
      <c r="G524" s="93"/>
      <c r="H524" s="93"/>
      <c r="I524" s="38"/>
      <c r="J524" s="2"/>
      <c r="K524" s="41"/>
      <c r="L524" s="38"/>
      <c r="M524" s="41"/>
      <c r="N524" s="41"/>
      <c r="O524" s="42"/>
      <c r="P524" s="80"/>
      <c r="Q524" s="80"/>
      <c r="R524" s="87"/>
      <c r="S524" s="87"/>
      <c r="T524" s="87"/>
      <c r="U524" s="108"/>
      <c r="V524" s="87"/>
      <c r="W524" s="108"/>
      <c r="X524" s="87"/>
      <c r="Y524" s="87"/>
      <c r="AI524" s="3" t="str">
        <f>IF(COUNTIF(AC:AC,AA524)*COUNTIF(AE:AE,AA524)*COUNTIF(AG:AG,AA524),AA524,"")</f>
        <v/>
      </c>
      <c r="AJ524" s="3" t="str">
        <f t="shared" si="28"/>
        <v/>
      </c>
    </row>
    <row r="525" spans="1:36" x14ac:dyDescent="0.25">
      <c r="A525" s="37"/>
      <c r="B525" s="38"/>
      <c r="C525" s="2"/>
      <c r="D525" s="41"/>
      <c r="E525" s="93"/>
      <c r="F525" s="93"/>
      <c r="G525" s="93"/>
      <c r="H525" s="93"/>
      <c r="I525" s="38"/>
      <c r="J525" s="2"/>
      <c r="K525" s="41"/>
      <c r="L525" s="38"/>
      <c r="M525" s="41"/>
      <c r="N525" s="41"/>
      <c r="O525" s="42"/>
      <c r="P525" s="80"/>
      <c r="Q525" s="80"/>
      <c r="R525" s="87"/>
      <c r="S525" s="87"/>
      <c r="T525" s="87"/>
      <c r="U525" s="108"/>
      <c r="V525" s="87"/>
      <c r="W525" s="108"/>
      <c r="X525" s="87"/>
      <c r="Y525" s="87"/>
      <c r="AI525" s="3" t="str">
        <f>IF(COUNTIF(AC:AC,AA525)*COUNTIF(AE:AE,AA525)*COUNTIF(AG:AG,AA525),AA525,"")</f>
        <v/>
      </c>
      <c r="AJ525" s="3" t="str">
        <f t="shared" si="28"/>
        <v/>
      </c>
    </row>
    <row r="526" spans="1:36" x14ac:dyDescent="0.25">
      <c r="A526" s="37"/>
      <c r="B526" s="38"/>
      <c r="C526" s="2"/>
      <c r="D526" s="41"/>
      <c r="E526" s="93"/>
      <c r="F526" s="93"/>
      <c r="G526" s="93"/>
      <c r="H526" s="93"/>
      <c r="I526" s="38"/>
      <c r="J526" s="2"/>
      <c r="K526" s="41"/>
      <c r="L526" s="38"/>
      <c r="M526" s="41"/>
      <c r="N526" s="41"/>
      <c r="O526" s="42"/>
      <c r="P526" s="80"/>
      <c r="Q526" s="80"/>
      <c r="R526" s="87"/>
      <c r="S526" s="87"/>
      <c r="T526" s="87"/>
      <c r="U526" s="108"/>
      <c r="V526" s="87"/>
      <c r="W526" s="108"/>
      <c r="X526" s="87"/>
      <c r="Y526" s="87"/>
      <c r="AI526" s="3" t="str">
        <f>IF(COUNTIF(AC:AC,AA526)*COUNTIF(AE:AE,AA526)*COUNTIF(AG:AG,AA526),AA526,"")</f>
        <v/>
      </c>
      <c r="AJ526" s="3" t="str">
        <f t="shared" si="28"/>
        <v/>
      </c>
    </row>
    <row r="527" spans="1:36" x14ac:dyDescent="0.25">
      <c r="A527" s="37"/>
      <c r="B527" s="38"/>
      <c r="C527" s="2"/>
      <c r="D527" s="41"/>
      <c r="E527" s="93"/>
      <c r="F527" s="93"/>
      <c r="G527" s="93"/>
      <c r="H527" s="93"/>
      <c r="I527" s="38"/>
      <c r="J527" s="2"/>
      <c r="K527" s="41"/>
      <c r="L527" s="38"/>
      <c r="M527" s="41"/>
      <c r="N527" s="41"/>
      <c r="O527" s="42"/>
      <c r="P527" s="80"/>
      <c r="Q527" s="80"/>
      <c r="R527" s="87"/>
      <c r="S527" s="87"/>
      <c r="T527" s="87"/>
      <c r="U527" s="108"/>
      <c r="V527" s="87"/>
      <c r="W527" s="108"/>
      <c r="X527" s="87"/>
      <c r="Y527" s="87"/>
      <c r="AI527" s="3" t="str">
        <f>IF(COUNTIF(AC:AC,AA527)*COUNTIF(AE:AE,AA527)*COUNTIF(AG:AG,AA527),AA527,"")</f>
        <v/>
      </c>
      <c r="AJ527" s="3" t="str">
        <f t="shared" si="28"/>
        <v/>
      </c>
    </row>
    <row r="528" spans="1:36" x14ac:dyDescent="0.25">
      <c r="A528" s="37"/>
      <c r="B528" s="38"/>
      <c r="C528" s="2"/>
      <c r="D528" s="41"/>
      <c r="E528" s="93"/>
      <c r="F528" s="93"/>
      <c r="G528" s="93"/>
      <c r="H528" s="93"/>
      <c r="I528" s="38"/>
      <c r="J528" s="2"/>
      <c r="K528" s="41"/>
      <c r="L528" s="38"/>
      <c r="M528" s="41"/>
      <c r="N528" s="41"/>
      <c r="O528" s="42"/>
      <c r="P528" s="80"/>
      <c r="Q528" s="80"/>
      <c r="R528" s="87"/>
      <c r="S528" s="87"/>
      <c r="T528" s="87"/>
      <c r="U528" s="108"/>
      <c r="V528" s="87"/>
      <c r="W528" s="108"/>
      <c r="X528" s="87"/>
      <c r="Y528" s="87"/>
      <c r="AI528" s="3" t="str">
        <f>IF(COUNTIF(AC:AC,AA528)*COUNTIF(AE:AE,AA528)*COUNTIF(AG:AG,AA528),AA528,"")</f>
        <v/>
      </c>
      <c r="AJ528" s="3" t="str">
        <f t="shared" si="28"/>
        <v/>
      </c>
    </row>
    <row r="529" spans="1:36" x14ac:dyDescent="0.25">
      <c r="A529" s="37"/>
      <c r="B529" s="38"/>
      <c r="C529" s="2"/>
      <c r="D529" s="41"/>
      <c r="E529" s="93"/>
      <c r="F529" s="93"/>
      <c r="G529" s="93"/>
      <c r="H529" s="93"/>
      <c r="I529" s="38"/>
      <c r="J529" s="2"/>
      <c r="K529" s="41"/>
      <c r="L529" s="38"/>
      <c r="M529" s="41"/>
      <c r="N529" s="41"/>
      <c r="O529" s="42"/>
      <c r="P529" s="80"/>
      <c r="Q529" s="80"/>
      <c r="R529" s="87"/>
      <c r="S529" s="87"/>
      <c r="T529" s="87"/>
      <c r="U529" s="108"/>
      <c r="V529" s="87"/>
      <c r="W529" s="108"/>
      <c r="X529" s="87"/>
      <c r="Y529" s="87"/>
      <c r="AI529" s="3" t="str">
        <f>IF(COUNTIF(AC:AC,AA529)*COUNTIF(AE:AE,AA529)*COUNTIF(AG:AG,AA529),AA529,"")</f>
        <v/>
      </c>
      <c r="AJ529" s="3" t="str">
        <f t="shared" si="28"/>
        <v/>
      </c>
    </row>
    <row r="530" spans="1:36" x14ac:dyDescent="0.25">
      <c r="A530" s="37"/>
      <c r="B530" s="38"/>
      <c r="C530" s="2"/>
      <c r="D530" s="41"/>
      <c r="E530" s="93"/>
      <c r="F530" s="93"/>
      <c r="G530" s="93"/>
      <c r="H530" s="93"/>
      <c r="I530" s="38"/>
      <c r="J530" s="2"/>
      <c r="K530" s="41"/>
      <c r="L530" s="38"/>
      <c r="M530" s="41"/>
      <c r="N530" s="41"/>
      <c r="O530" s="42"/>
      <c r="P530" s="80"/>
      <c r="Q530" s="80"/>
      <c r="R530" s="87"/>
      <c r="S530" s="87"/>
      <c r="T530" s="87"/>
      <c r="U530" s="108"/>
      <c r="V530" s="87"/>
      <c r="W530" s="108"/>
      <c r="X530" s="87"/>
      <c r="Y530" s="87"/>
      <c r="AI530" s="3" t="str">
        <f>IF(COUNTIF(AC:AC,AA530)*COUNTIF(AE:AE,AA530)*COUNTIF(AG:AG,AA530),AA530,"")</f>
        <v/>
      </c>
      <c r="AJ530" s="3" t="str">
        <f t="shared" si="28"/>
        <v/>
      </c>
    </row>
    <row r="531" spans="1:36" x14ac:dyDescent="0.25">
      <c r="A531" s="37"/>
      <c r="B531" s="38"/>
      <c r="C531" s="2"/>
      <c r="D531" s="41"/>
      <c r="E531" s="93"/>
      <c r="F531" s="93"/>
      <c r="G531" s="93"/>
      <c r="H531" s="93"/>
      <c r="I531" s="38"/>
      <c r="J531" s="2"/>
      <c r="K531" s="41"/>
      <c r="L531" s="38"/>
      <c r="M531" s="41"/>
      <c r="N531" s="41"/>
      <c r="O531" s="42"/>
      <c r="P531" s="80"/>
      <c r="Q531" s="80"/>
      <c r="R531" s="87"/>
      <c r="S531" s="87"/>
      <c r="T531" s="87"/>
      <c r="U531" s="108"/>
      <c r="V531" s="87"/>
      <c r="W531" s="108"/>
      <c r="X531" s="87"/>
      <c r="Y531" s="87"/>
      <c r="AI531" s="3" t="str">
        <f>IF(COUNTIF(AC:AC,AA531)*COUNTIF(AE:AE,AA531)*COUNTIF(AG:AG,AA531),AA531,"")</f>
        <v/>
      </c>
      <c r="AJ531" s="3" t="str">
        <f t="shared" si="28"/>
        <v/>
      </c>
    </row>
    <row r="532" spans="1:36" x14ac:dyDescent="0.25">
      <c r="A532" s="37"/>
      <c r="B532" s="38"/>
      <c r="C532" s="2"/>
      <c r="D532" s="41"/>
      <c r="E532" s="93"/>
      <c r="F532" s="93"/>
      <c r="G532" s="93"/>
      <c r="H532" s="93"/>
      <c r="I532" s="38"/>
      <c r="J532" s="2"/>
      <c r="K532" s="41"/>
      <c r="L532" s="38"/>
      <c r="M532" s="41"/>
      <c r="N532" s="41"/>
      <c r="O532" s="42"/>
      <c r="P532" s="80"/>
      <c r="Q532" s="80"/>
      <c r="R532" s="87"/>
      <c r="S532" s="87"/>
      <c r="T532" s="87"/>
      <c r="U532" s="108"/>
      <c r="V532" s="87"/>
      <c r="W532" s="108"/>
      <c r="X532" s="87"/>
      <c r="Y532" s="87"/>
      <c r="AI532" s="3" t="str">
        <f>IF(COUNTIF(AC:AC,AA532)*COUNTIF(AE:AE,AA532)*COUNTIF(AG:AG,AA532),AA532,"")</f>
        <v/>
      </c>
      <c r="AJ532" s="3" t="str">
        <f t="shared" si="28"/>
        <v/>
      </c>
    </row>
    <row r="533" spans="1:36" x14ac:dyDescent="0.25">
      <c r="A533" s="37"/>
      <c r="B533" s="38"/>
      <c r="C533" s="2"/>
      <c r="D533" s="41"/>
      <c r="E533" s="93"/>
      <c r="F533" s="93"/>
      <c r="G533" s="93"/>
      <c r="H533" s="93"/>
      <c r="I533" s="38"/>
      <c r="J533" s="2"/>
      <c r="K533" s="41"/>
      <c r="L533" s="38"/>
      <c r="M533" s="41"/>
      <c r="N533" s="41"/>
      <c r="O533" s="42"/>
      <c r="P533" s="80"/>
      <c r="Q533" s="80"/>
      <c r="R533" s="87"/>
      <c r="S533" s="87"/>
      <c r="T533" s="87"/>
      <c r="U533" s="108"/>
      <c r="V533" s="87"/>
      <c r="W533" s="108"/>
      <c r="X533" s="87"/>
      <c r="Y533" s="87"/>
      <c r="AI533" s="3" t="str">
        <f>IF(COUNTIF(AC:AC,AA533)*COUNTIF(AE:AE,AA533)*COUNTIF(AG:AG,AA533),AA533,"")</f>
        <v/>
      </c>
      <c r="AJ533" s="3" t="str">
        <f t="shared" si="28"/>
        <v/>
      </c>
    </row>
    <row r="534" spans="1:36" x14ac:dyDescent="0.25">
      <c r="A534" s="37"/>
      <c r="B534" s="38"/>
      <c r="C534" s="2"/>
      <c r="D534" s="41"/>
      <c r="E534" s="93"/>
      <c r="F534" s="93"/>
      <c r="G534" s="93"/>
      <c r="H534" s="93"/>
      <c r="I534" s="38"/>
      <c r="J534" s="2"/>
      <c r="K534" s="41"/>
      <c r="L534" s="38"/>
      <c r="M534" s="41"/>
      <c r="N534" s="41"/>
      <c r="O534" s="42"/>
      <c r="P534" s="80"/>
      <c r="Q534" s="80"/>
      <c r="R534" s="87"/>
      <c r="S534" s="87"/>
      <c r="T534" s="87"/>
      <c r="U534" s="108"/>
      <c r="V534" s="87"/>
      <c r="W534" s="108"/>
      <c r="X534" s="87"/>
      <c r="Y534" s="87"/>
      <c r="AI534" s="3" t="str">
        <f>IF(COUNTIF(AC:AC,AA534)*COUNTIF(AE:AE,AA534)*COUNTIF(AG:AG,AA534),AA534,"")</f>
        <v/>
      </c>
      <c r="AJ534" s="3" t="str">
        <f t="shared" si="28"/>
        <v/>
      </c>
    </row>
    <row r="535" spans="1:36" x14ac:dyDescent="0.25">
      <c r="A535" s="37"/>
      <c r="B535" s="38"/>
      <c r="C535" s="2"/>
      <c r="D535" s="41"/>
      <c r="E535" s="93"/>
      <c r="F535" s="93"/>
      <c r="G535" s="93"/>
      <c r="H535" s="93"/>
      <c r="I535" s="38"/>
      <c r="J535" s="2"/>
      <c r="K535" s="41"/>
      <c r="L535" s="38"/>
      <c r="M535" s="41"/>
      <c r="N535" s="41"/>
      <c r="O535" s="42"/>
      <c r="P535" s="80"/>
      <c r="Q535" s="80"/>
      <c r="R535" s="87"/>
      <c r="S535" s="87"/>
      <c r="T535" s="87"/>
      <c r="U535" s="108"/>
      <c r="V535" s="87"/>
      <c r="W535" s="108"/>
      <c r="X535" s="87"/>
      <c r="Y535" s="87"/>
      <c r="AI535" s="3" t="str">
        <f>IF(COUNTIF(AC:AC,AA535)*COUNTIF(AE:AE,AA535)*COUNTIF(AG:AG,AA535),AA535,"")</f>
        <v/>
      </c>
      <c r="AJ535" s="3" t="str">
        <f t="shared" si="28"/>
        <v/>
      </c>
    </row>
    <row r="536" spans="1:36" x14ac:dyDescent="0.25">
      <c r="A536" s="37"/>
      <c r="B536" s="38"/>
      <c r="C536" s="2"/>
      <c r="D536" s="41"/>
      <c r="E536" s="93"/>
      <c r="F536" s="93"/>
      <c r="G536" s="93"/>
      <c r="H536" s="93"/>
      <c r="I536" s="38"/>
      <c r="J536" s="2"/>
      <c r="K536" s="41"/>
      <c r="L536" s="38"/>
      <c r="M536" s="41"/>
      <c r="N536" s="41"/>
      <c r="O536" s="42"/>
      <c r="P536" s="80"/>
      <c r="Q536" s="80"/>
      <c r="R536" s="87"/>
      <c r="S536" s="87"/>
      <c r="T536" s="87"/>
      <c r="U536" s="108"/>
      <c r="V536" s="87"/>
      <c r="W536" s="108"/>
      <c r="X536" s="87"/>
      <c r="Y536" s="87"/>
      <c r="AI536" s="3" t="str">
        <f>IF(COUNTIF(AC:AC,AA536)*COUNTIF(AE:AE,AA536)*COUNTIF(AG:AG,AA536),AA536,"")</f>
        <v/>
      </c>
      <c r="AJ536" s="3" t="str">
        <f t="shared" si="28"/>
        <v/>
      </c>
    </row>
    <row r="537" spans="1:36" x14ac:dyDescent="0.25">
      <c r="A537" s="37"/>
      <c r="B537" s="38"/>
      <c r="C537" s="2"/>
      <c r="D537" s="41"/>
      <c r="E537" s="93"/>
      <c r="F537" s="93"/>
      <c r="G537" s="93"/>
      <c r="H537" s="93"/>
      <c r="I537" s="38"/>
      <c r="J537" s="2"/>
      <c r="K537" s="41"/>
      <c r="L537" s="38"/>
      <c r="M537" s="41"/>
      <c r="N537" s="41"/>
      <c r="O537" s="42"/>
      <c r="P537" s="80"/>
      <c r="Q537" s="80"/>
      <c r="R537" s="87"/>
      <c r="S537" s="87"/>
      <c r="T537" s="87"/>
      <c r="U537" s="108"/>
      <c r="V537" s="87"/>
      <c r="W537" s="108"/>
      <c r="X537" s="87"/>
      <c r="Y537" s="87"/>
      <c r="AI537" s="3" t="str">
        <f>IF(COUNTIF(AC:AC,AA537)*COUNTIF(AE:AE,AA537)*COUNTIF(AG:AG,AA537),AA537,"")</f>
        <v/>
      </c>
      <c r="AJ537" s="3" t="str">
        <f t="shared" si="28"/>
        <v/>
      </c>
    </row>
    <row r="538" spans="1:36" x14ac:dyDescent="0.25">
      <c r="A538" s="37"/>
      <c r="B538" s="38"/>
      <c r="C538" s="2"/>
      <c r="D538" s="41"/>
      <c r="E538" s="93"/>
      <c r="F538" s="93"/>
      <c r="G538" s="93"/>
      <c r="H538" s="93"/>
      <c r="I538" s="38"/>
      <c r="J538" s="2"/>
      <c r="K538" s="41"/>
      <c r="L538" s="38"/>
      <c r="M538" s="41"/>
      <c r="N538" s="41"/>
      <c r="O538" s="42"/>
      <c r="P538" s="80"/>
      <c r="Q538" s="80"/>
      <c r="R538" s="87"/>
      <c r="S538" s="87"/>
      <c r="T538" s="87"/>
      <c r="U538" s="108"/>
      <c r="V538" s="87"/>
      <c r="W538" s="108"/>
      <c r="X538" s="87"/>
      <c r="Y538" s="87"/>
      <c r="AI538" s="3" t="str">
        <f>IF(COUNTIF(AC:AC,AA538)*COUNTIF(AE:AE,AA538)*COUNTIF(AG:AG,AA538),AA538,"")</f>
        <v/>
      </c>
      <c r="AJ538" s="3" t="str">
        <f t="shared" si="28"/>
        <v/>
      </c>
    </row>
    <row r="539" spans="1:36" x14ac:dyDescent="0.25">
      <c r="A539" s="37"/>
      <c r="B539" s="38"/>
      <c r="C539" s="2"/>
      <c r="D539" s="41"/>
      <c r="E539" s="93"/>
      <c r="F539" s="93"/>
      <c r="G539" s="93"/>
      <c r="H539" s="93"/>
      <c r="I539" s="38"/>
      <c r="J539" s="2"/>
      <c r="K539" s="41"/>
      <c r="L539" s="38"/>
      <c r="M539" s="41"/>
      <c r="N539" s="41"/>
      <c r="O539" s="42"/>
      <c r="P539" s="80"/>
      <c r="Q539" s="80"/>
      <c r="R539" s="87"/>
      <c r="S539" s="87"/>
      <c r="T539" s="87"/>
      <c r="U539" s="108"/>
      <c r="V539" s="87"/>
      <c r="W539" s="108"/>
      <c r="X539" s="87"/>
      <c r="Y539" s="87"/>
      <c r="AI539" s="3" t="str">
        <f>IF(COUNTIF(AC:AC,AA539)*COUNTIF(AE:AE,AA539)*COUNTIF(AG:AG,AA539),AA539,"")</f>
        <v/>
      </c>
      <c r="AJ539" s="3" t="str">
        <f t="shared" si="28"/>
        <v/>
      </c>
    </row>
    <row r="540" spans="1:36" x14ac:dyDescent="0.25">
      <c r="A540" s="37"/>
      <c r="B540" s="38"/>
      <c r="C540" s="2"/>
      <c r="D540" s="41"/>
      <c r="E540" s="93"/>
      <c r="F540" s="93"/>
      <c r="G540" s="93"/>
      <c r="H540" s="93"/>
      <c r="I540" s="38"/>
      <c r="J540" s="2"/>
      <c r="K540" s="41"/>
      <c r="L540" s="38"/>
      <c r="M540" s="41"/>
      <c r="N540" s="41"/>
      <c r="O540" s="42"/>
      <c r="P540" s="80"/>
      <c r="Q540" s="80"/>
      <c r="R540" s="87"/>
      <c r="S540" s="87"/>
      <c r="T540" s="87"/>
      <c r="U540" s="108"/>
      <c r="V540" s="87"/>
      <c r="W540" s="108"/>
      <c r="X540" s="87"/>
      <c r="Y540" s="87"/>
      <c r="AI540" s="3" t="str">
        <f>IF(COUNTIF(AC:AC,AA540)*COUNTIF(AE:AE,AA540)*COUNTIF(AG:AG,AA540),AA540,"")</f>
        <v/>
      </c>
      <c r="AJ540" s="3" t="str">
        <f t="shared" si="28"/>
        <v/>
      </c>
    </row>
    <row r="541" spans="1:36" x14ac:dyDescent="0.25">
      <c r="A541" s="37"/>
      <c r="B541" s="38"/>
      <c r="C541" s="2"/>
      <c r="D541" s="41"/>
      <c r="E541" s="93"/>
      <c r="F541" s="93"/>
      <c r="G541" s="93"/>
      <c r="H541" s="93"/>
      <c r="I541" s="38"/>
      <c r="J541" s="2"/>
      <c r="K541" s="41"/>
      <c r="L541" s="38"/>
      <c r="M541" s="41"/>
      <c r="N541" s="41"/>
      <c r="O541" s="42"/>
      <c r="P541" s="80"/>
      <c r="Q541" s="80"/>
      <c r="R541" s="87"/>
      <c r="S541" s="87"/>
      <c r="T541" s="87"/>
      <c r="U541" s="108"/>
      <c r="V541" s="87"/>
      <c r="W541" s="108"/>
      <c r="X541" s="87"/>
      <c r="Y541" s="87"/>
      <c r="AI541" s="3" t="str">
        <f>IF(COUNTIF(AC:AC,AA541)*COUNTIF(AE:AE,AA541)*COUNTIF(AG:AG,AA541),AA541,"")</f>
        <v/>
      </c>
      <c r="AJ541" s="3" t="str">
        <f t="shared" si="28"/>
        <v/>
      </c>
    </row>
    <row r="542" spans="1:36" x14ac:dyDescent="0.25">
      <c r="A542" s="37"/>
      <c r="B542" s="38"/>
      <c r="C542" s="2"/>
      <c r="D542" s="41"/>
      <c r="E542" s="93"/>
      <c r="F542" s="93"/>
      <c r="G542" s="93"/>
      <c r="H542" s="93"/>
      <c r="I542" s="38"/>
      <c r="J542" s="2"/>
      <c r="K542" s="41"/>
      <c r="L542" s="38"/>
      <c r="M542" s="41"/>
      <c r="N542" s="41"/>
      <c r="O542" s="42"/>
      <c r="P542" s="80"/>
      <c r="Q542" s="80"/>
      <c r="R542" s="87"/>
      <c r="S542" s="87"/>
      <c r="T542" s="87"/>
      <c r="U542" s="108"/>
      <c r="V542" s="87"/>
      <c r="W542" s="108"/>
      <c r="X542" s="87"/>
      <c r="Y542" s="87"/>
      <c r="AI542" s="3" t="str">
        <f>IF(COUNTIF(AC:AC,AA542)*COUNTIF(AE:AE,AA542)*COUNTIF(AG:AG,AA542),AA542,"")</f>
        <v/>
      </c>
      <c r="AJ542" s="3" t="str">
        <f t="shared" si="28"/>
        <v/>
      </c>
    </row>
    <row r="543" spans="1:36" x14ac:dyDescent="0.25">
      <c r="A543" s="37"/>
      <c r="B543" s="38"/>
      <c r="C543" s="2"/>
      <c r="D543" s="41"/>
      <c r="E543" s="93"/>
      <c r="F543" s="93"/>
      <c r="G543" s="93"/>
      <c r="H543" s="93"/>
      <c r="I543" s="38"/>
      <c r="J543" s="2"/>
      <c r="K543" s="41"/>
      <c r="L543" s="38"/>
      <c r="M543" s="41"/>
      <c r="N543" s="41"/>
      <c r="O543" s="42"/>
      <c r="P543" s="80"/>
      <c r="Q543" s="80"/>
      <c r="R543" s="87"/>
      <c r="S543" s="87"/>
      <c r="T543" s="87"/>
      <c r="U543" s="108"/>
      <c r="V543" s="87"/>
      <c r="W543" s="108"/>
      <c r="X543" s="87"/>
      <c r="Y543" s="87"/>
      <c r="AI543" s="3" t="str">
        <f>IF(COUNTIF(AC:AC,AA543)*COUNTIF(AE:AE,AA543)*COUNTIF(AG:AG,AA543),AA543,"")</f>
        <v/>
      </c>
      <c r="AJ543" s="3" t="str">
        <f t="shared" si="28"/>
        <v/>
      </c>
    </row>
    <row r="544" spans="1:36" x14ac:dyDescent="0.25">
      <c r="A544" s="37"/>
      <c r="B544" s="38"/>
      <c r="C544" s="2"/>
      <c r="D544" s="41"/>
      <c r="E544" s="93"/>
      <c r="F544" s="93"/>
      <c r="G544" s="93"/>
      <c r="H544" s="93"/>
      <c r="I544" s="38"/>
      <c r="J544" s="2"/>
      <c r="K544" s="41"/>
      <c r="L544" s="38"/>
      <c r="M544" s="41"/>
      <c r="N544" s="41"/>
      <c r="O544" s="42"/>
      <c r="P544" s="80"/>
      <c r="Q544" s="80"/>
      <c r="R544" s="87"/>
      <c r="S544" s="87"/>
      <c r="T544" s="87"/>
      <c r="U544" s="108"/>
      <c r="V544" s="87"/>
      <c r="W544" s="108"/>
      <c r="X544" s="87"/>
      <c r="Y544" s="87"/>
      <c r="AI544" s="3" t="str">
        <f>IF(COUNTIF(AC:AC,AA544)*COUNTIF(AE:AE,AA544)*COUNTIF(AG:AG,AA544),AA544,"")</f>
        <v/>
      </c>
      <c r="AJ544" s="3" t="str">
        <f t="shared" si="28"/>
        <v/>
      </c>
    </row>
    <row r="545" spans="1:36" x14ac:dyDescent="0.25">
      <c r="A545" s="37"/>
      <c r="B545" s="38"/>
      <c r="C545" s="2"/>
      <c r="D545" s="41"/>
      <c r="E545" s="93"/>
      <c r="F545" s="93"/>
      <c r="G545" s="93"/>
      <c r="H545" s="93"/>
      <c r="I545" s="38"/>
      <c r="J545" s="2"/>
      <c r="K545" s="41"/>
      <c r="L545" s="38"/>
      <c r="M545" s="41"/>
      <c r="N545" s="41"/>
      <c r="O545" s="42"/>
      <c r="P545" s="80"/>
      <c r="Q545" s="80"/>
      <c r="R545" s="87"/>
      <c r="S545" s="87"/>
      <c r="T545" s="87"/>
      <c r="U545" s="108"/>
      <c r="V545" s="87"/>
      <c r="W545" s="108"/>
      <c r="X545" s="87"/>
      <c r="Y545" s="87"/>
      <c r="AI545" s="3" t="str">
        <f>IF(COUNTIF(AC:AC,AA545)*COUNTIF(AE:AE,AA545)*COUNTIF(AG:AG,AA545),AA545,"")</f>
        <v/>
      </c>
      <c r="AJ545" s="3" t="str">
        <f t="shared" si="28"/>
        <v/>
      </c>
    </row>
    <row r="546" spans="1:36" x14ac:dyDescent="0.25">
      <c r="A546" s="37"/>
      <c r="B546" s="38"/>
      <c r="C546" s="2"/>
      <c r="D546" s="41"/>
      <c r="E546" s="93"/>
      <c r="F546" s="93"/>
      <c r="G546" s="93"/>
      <c r="H546" s="93"/>
      <c r="I546" s="38"/>
      <c r="J546" s="2"/>
      <c r="K546" s="41"/>
      <c r="L546" s="38"/>
      <c r="M546" s="41"/>
      <c r="N546" s="41"/>
      <c r="O546" s="42"/>
      <c r="P546" s="80"/>
      <c r="Q546" s="80"/>
      <c r="R546" s="87"/>
      <c r="S546" s="87"/>
      <c r="T546" s="87"/>
      <c r="U546" s="108"/>
      <c r="V546" s="87"/>
      <c r="W546" s="108"/>
      <c r="X546" s="87"/>
      <c r="Y546" s="87"/>
      <c r="AI546" s="3" t="str">
        <f>IF(COUNTIF(AC:AC,AA546)*COUNTIF(AE:AE,AA546)*COUNTIF(AG:AG,AA546),AA546,"")</f>
        <v/>
      </c>
      <c r="AJ546" s="3" t="str">
        <f t="shared" si="28"/>
        <v/>
      </c>
    </row>
    <row r="547" spans="1:36" x14ac:dyDescent="0.25">
      <c r="A547" s="37"/>
      <c r="B547" s="38"/>
      <c r="C547" s="2"/>
      <c r="D547" s="41"/>
      <c r="E547" s="93"/>
      <c r="F547" s="93"/>
      <c r="G547" s="93"/>
      <c r="H547" s="93"/>
      <c r="I547" s="38"/>
      <c r="J547" s="2"/>
      <c r="K547" s="41"/>
      <c r="L547" s="38"/>
      <c r="M547" s="41"/>
      <c r="N547" s="41"/>
      <c r="O547" s="42"/>
      <c r="P547" s="80"/>
      <c r="Q547" s="80"/>
      <c r="R547" s="87"/>
      <c r="S547" s="87"/>
      <c r="T547" s="87"/>
      <c r="U547" s="108"/>
      <c r="V547" s="87"/>
      <c r="W547" s="108"/>
      <c r="X547" s="87"/>
      <c r="Y547" s="87"/>
      <c r="AI547" s="3" t="str">
        <f>IF(COUNTIF(AC:AC,AA547)*COUNTIF(AE:AE,AA547)*COUNTIF(AG:AG,AA547),AA547,"")</f>
        <v/>
      </c>
      <c r="AJ547" s="3" t="str">
        <f t="shared" si="28"/>
        <v/>
      </c>
    </row>
    <row r="548" spans="1:36" x14ac:dyDescent="0.25">
      <c r="A548" s="37"/>
      <c r="B548" s="38"/>
      <c r="C548" s="2"/>
      <c r="D548" s="41"/>
      <c r="E548" s="93"/>
      <c r="F548" s="93"/>
      <c r="G548" s="93"/>
      <c r="H548" s="93"/>
      <c r="I548" s="38"/>
      <c r="J548" s="2"/>
      <c r="K548" s="41"/>
      <c r="L548" s="38"/>
      <c r="M548" s="41"/>
      <c r="N548" s="41"/>
      <c r="O548" s="42"/>
      <c r="P548" s="80"/>
      <c r="Q548" s="80"/>
      <c r="R548" s="87"/>
      <c r="S548" s="87"/>
      <c r="T548" s="87"/>
      <c r="U548" s="108"/>
      <c r="V548" s="87"/>
      <c r="W548" s="108"/>
      <c r="X548" s="87"/>
      <c r="Y548" s="87"/>
      <c r="AI548" s="3" t="str">
        <f>IF(COUNTIF(AC:AC,AA548)*COUNTIF(AE:AE,AA548)*COUNTIF(AG:AG,AA548),AA548,"")</f>
        <v/>
      </c>
      <c r="AJ548" s="3" t="str">
        <f t="shared" si="28"/>
        <v/>
      </c>
    </row>
    <row r="549" spans="1:36" x14ac:dyDescent="0.25">
      <c r="A549" s="37"/>
      <c r="B549" s="38"/>
      <c r="C549" s="2"/>
      <c r="D549" s="41"/>
      <c r="E549" s="93"/>
      <c r="F549" s="93"/>
      <c r="G549" s="93"/>
      <c r="H549" s="93"/>
      <c r="I549" s="38"/>
      <c r="J549" s="2"/>
      <c r="K549" s="41"/>
      <c r="L549" s="38"/>
      <c r="M549" s="41"/>
      <c r="N549" s="41"/>
      <c r="O549" s="42"/>
      <c r="P549" s="80"/>
      <c r="Q549" s="80"/>
      <c r="R549" s="87"/>
      <c r="S549" s="87"/>
      <c r="T549" s="87"/>
      <c r="U549" s="108"/>
      <c r="V549" s="87"/>
      <c r="W549" s="108"/>
      <c r="X549" s="87"/>
      <c r="Y549" s="87"/>
      <c r="AI549" s="3" t="str">
        <f>IF(COUNTIF(AC:AC,AA549)*COUNTIF(AE:AE,AA549)*COUNTIF(AG:AG,AA549),AA549,"")</f>
        <v/>
      </c>
      <c r="AJ549" s="3" t="str">
        <f t="shared" si="28"/>
        <v/>
      </c>
    </row>
    <row r="550" spans="1:36" x14ac:dyDescent="0.25">
      <c r="A550" s="37"/>
      <c r="B550" s="38"/>
      <c r="C550" s="2"/>
      <c r="D550" s="41"/>
      <c r="E550" s="93"/>
      <c r="F550" s="93"/>
      <c r="G550" s="93"/>
      <c r="H550" s="93"/>
      <c r="I550" s="38"/>
      <c r="J550" s="2"/>
      <c r="K550" s="41"/>
      <c r="L550" s="38"/>
      <c r="M550" s="41"/>
      <c r="N550" s="41"/>
      <c r="O550" s="42"/>
      <c r="P550" s="80"/>
      <c r="Q550" s="80"/>
      <c r="R550" s="87"/>
      <c r="S550" s="87"/>
      <c r="T550" s="87"/>
      <c r="U550" s="108"/>
      <c r="V550" s="87"/>
      <c r="W550" s="108"/>
      <c r="X550" s="87"/>
      <c r="Y550" s="87"/>
      <c r="AI550" s="3" t="str">
        <f>IF(COUNTIF(AC:AC,AA550)*COUNTIF(AE:AE,AA550)*COUNTIF(AG:AG,AA550),AA550,"")</f>
        <v/>
      </c>
      <c r="AJ550" s="3" t="str">
        <f t="shared" si="28"/>
        <v/>
      </c>
    </row>
    <row r="551" spans="1:36" x14ac:dyDescent="0.25">
      <c r="A551" s="37"/>
      <c r="B551" s="38"/>
      <c r="C551" s="2"/>
      <c r="D551" s="41"/>
      <c r="E551" s="93"/>
      <c r="F551" s="93"/>
      <c r="G551" s="93"/>
      <c r="H551" s="93"/>
      <c r="I551" s="38"/>
      <c r="J551" s="2"/>
      <c r="K551" s="41"/>
      <c r="L551" s="38"/>
      <c r="M551" s="41"/>
      <c r="N551" s="41"/>
      <c r="O551" s="42"/>
      <c r="P551" s="80"/>
      <c r="Q551" s="80"/>
      <c r="R551" s="87"/>
      <c r="S551" s="87"/>
      <c r="T551" s="87"/>
      <c r="U551" s="108"/>
      <c r="V551" s="87"/>
      <c r="W551" s="108"/>
      <c r="X551" s="87"/>
      <c r="Y551" s="87"/>
      <c r="AI551" s="3" t="str">
        <f>IF(COUNTIF(AC:AC,AA551)*COUNTIF(AE:AE,AA551)*COUNTIF(AG:AG,AA551),AA551,"")</f>
        <v/>
      </c>
      <c r="AJ551" s="3" t="str">
        <f t="shared" si="28"/>
        <v/>
      </c>
    </row>
    <row r="552" spans="1:36" x14ac:dyDescent="0.25">
      <c r="A552" s="37"/>
      <c r="B552" s="38"/>
      <c r="C552" s="2"/>
      <c r="D552" s="41"/>
      <c r="E552" s="93"/>
      <c r="F552" s="93"/>
      <c r="G552" s="93"/>
      <c r="H552" s="93"/>
      <c r="I552" s="38"/>
      <c r="J552" s="2"/>
      <c r="K552" s="41"/>
      <c r="L552" s="38"/>
      <c r="M552" s="41"/>
      <c r="N552" s="41"/>
      <c r="O552" s="42"/>
      <c r="P552" s="80"/>
      <c r="Q552" s="80"/>
      <c r="R552" s="87"/>
      <c r="S552" s="87"/>
      <c r="T552" s="87"/>
      <c r="U552" s="108"/>
      <c r="V552" s="87"/>
      <c r="W552" s="108"/>
      <c r="X552" s="87"/>
      <c r="Y552" s="87"/>
      <c r="AI552" s="3" t="str">
        <f>IF(COUNTIF(AC:AC,AA552)*COUNTIF(AE:AE,AA552)*COUNTIF(AG:AG,AA552),AA552,"")</f>
        <v/>
      </c>
      <c r="AJ552" s="3" t="str">
        <f t="shared" si="28"/>
        <v/>
      </c>
    </row>
    <row r="553" spans="1:36" x14ac:dyDescent="0.25">
      <c r="A553" s="37"/>
      <c r="B553" s="38"/>
      <c r="C553" s="2"/>
      <c r="D553" s="41"/>
      <c r="E553" s="93"/>
      <c r="F553" s="93"/>
      <c r="G553" s="93"/>
      <c r="H553" s="93"/>
      <c r="I553" s="38"/>
      <c r="J553" s="2"/>
      <c r="K553" s="41"/>
      <c r="L553" s="38"/>
      <c r="M553" s="41"/>
      <c r="N553" s="41"/>
      <c r="O553" s="42"/>
      <c r="P553" s="80"/>
      <c r="Q553" s="80"/>
      <c r="R553" s="87"/>
      <c r="S553" s="87"/>
      <c r="T553" s="87"/>
      <c r="U553" s="108"/>
      <c r="V553" s="87"/>
      <c r="W553" s="108"/>
      <c r="X553" s="87"/>
      <c r="Y553" s="87"/>
      <c r="AI553" s="3" t="str">
        <f>IF(COUNTIF(AC:AC,AA553)*COUNTIF(AE:AE,AA553)*COUNTIF(AG:AG,AA553),AA553,"")</f>
        <v/>
      </c>
      <c r="AJ553" s="3" t="str">
        <f t="shared" si="28"/>
        <v/>
      </c>
    </row>
    <row r="554" spans="1:36" x14ac:dyDescent="0.25">
      <c r="A554" s="37"/>
      <c r="B554" s="38"/>
      <c r="C554" s="2"/>
      <c r="D554" s="41"/>
      <c r="E554" s="93"/>
      <c r="F554" s="93"/>
      <c r="G554" s="93"/>
      <c r="H554" s="93"/>
      <c r="I554" s="38"/>
      <c r="J554" s="2"/>
      <c r="K554" s="41"/>
      <c r="L554" s="38"/>
      <c r="M554" s="41"/>
      <c r="N554" s="41"/>
      <c r="O554" s="42"/>
      <c r="P554" s="80"/>
      <c r="Q554" s="80"/>
      <c r="R554" s="87"/>
      <c r="S554" s="87"/>
      <c r="T554" s="87"/>
      <c r="U554" s="108"/>
      <c r="V554" s="87"/>
      <c r="W554" s="108"/>
      <c r="X554" s="87"/>
      <c r="Y554" s="87"/>
      <c r="AI554" s="3" t="str">
        <f>IF(COUNTIF(AC:AC,AA554)*COUNTIF(AE:AE,AA554)*COUNTIF(AG:AG,AA554),AA554,"")</f>
        <v/>
      </c>
      <c r="AJ554" s="3" t="str">
        <f t="shared" si="28"/>
        <v/>
      </c>
    </row>
    <row r="555" spans="1:36" x14ac:dyDescent="0.25">
      <c r="A555" s="37"/>
      <c r="B555" s="38"/>
      <c r="C555" s="2"/>
      <c r="D555" s="41"/>
      <c r="E555" s="93"/>
      <c r="F555" s="93"/>
      <c r="G555" s="93"/>
      <c r="H555" s="93"/>
      <c r="I555" s="38"/>
      <c r="J555" s="2"/>
      <c r="K555" s="41"/>
      <c r="L555" s="38"/>
      <c r="M555" s="41"/>
      <c r="N555" s="41"/>
      <c r="O555" s="42"/>
      <c r="P555" s="80"/>
      <c r="Q555" s="80"/>
      <c r="R555" s="87"/>
      <c r="S555" s="87"/>
      <c r="T555" s="87"/>
      <c r="U555" s="108"/>
      <c r="V555" s="87"/>
      <c r="W555" s="108"/>
      <c r="X555" s="87"/>
      <c r="Y555" s="87"/>
      <c r="AI555" s="3" t="str">
        <f>IF(COUNTIF(AC:AC,AA555)*COUNTIF(AE:AE,AA555)*COUNTIF(AG:AG,AA555),AA555,"")</f>
        <v/>
      </c>
      <c r="AJ555" s="3" t="str">
        <f t="shared" si="28"/>
        <v/>
      </c>
    </row>
    <row r="556" spans="1:36" x14ac:dyDescent="0.25">
      <c r="AI556" s="3" t="str">
        <f>IF(COUNTIF(AC:AC,AA556)*COUNTIF(AE:AE,AA556)*COUNTIF(AG:AG,AA556),AA556,"")</f>
        <v/>
      </c>
      <c r="AJ556" s="3" t="str">
        <f t="shared" si="28"/>
        <v/>
      </c>
    </row>
    <row r="557" spans="1:36" x14ac:dyDescent="0.25">
      <c r="AI557" s="3" t="str">
        <f>IF(COUNTIF(AC:AC,AA557)*COUNTIF(AE:AE,AA557)*COUNTIF(AG:AG,AA557),AA557,"")</f>
        <v/>
      </c>
      <c r="AJ557" s="3" t="str">
        <f t="shared" si="28"/>
        <v/>
      </c>
    </row>
    <row r="558" spans="1:36" x14ac:dyDescent="0.25">
      <c r="AI558" s="3" t="str">
        <f>IF(COUNTIF(AC:AC,AA558)*COUNTIF(AE:AE,AA558)*COUNTIF(AG:AG,AA558),AA558,"")</f>
        <v/>
      </c>
      <c r="AJ558" s="3" t="str">
        <f t="shared" si="28"/>
        <v/>
      </c>
    </row>
    <row r="559" spans="1:36" x14ac:dyDescent="0.25">
      <c r="AI559" s="3" t="str">
        <f>IF(COUNTIF(AC:AC,AA559)*COUNTIF(AE:AE,AA559)*COUNTIF(AG:AG,AA559),AA559,"")</f>
        <v/>
      </c>
      <c r="AJ559" s="3" t="str">
        <f t="shared" si="28"/>
        <v/>
      </c>
    </row>
    <row r="560" spans="1:36" x14ac:dyDescent="0.25">
      <c r="AI560" s="3" t="str">
        <f>IF(COUNTIF(AC:AC,AA560)*COUNTIF(AE:AE,AA560)*COUNTIF(AG:AG,AA560),AA560,"")</f>
        <v/>
      </c>
      <c r="AJ560" s="3" t="str">
        <f t="shared" si="28"/>
        <v/>
      </c>
    </row>
    <row r="561" spans="35:36" x14ac:dyDescent="0.25">
      <c r="AI561" s="3" t="str">
        <f>IF(COUNTIF(AC:AC,AA561)*COUNTIF(AE:AE,AA561)*COUNTIF(AG:AG,AA561),AA561,"")</f>
        <v/>
      </c>
      <c r="AJ561" s="3" t="str">
        <f t="shared" si="28"/>
        <v/>
      </c>
    </row>
    <row r="562" spans="35:36" x14ac:dyDescent="0.25">
      <c r="AI562" s="3" t="str">
        <f>IF(COUNTIF(AC:AC,AA562)*COUNTIF(AE:AE,AA562)*COUNTIF(AG:AG,AA562),AA562,"")</f>
        <v/>
      </c>
      <c r="AJ562" s="3" t="str">
        <f t="shared" si="28"/>
        <v/>
      </c>
    </row>
    <row r="563" spans="35:36" x14ac:dyDescent="0.25">
      <c r="AI563" s="3" t="str">
        <f>IF(COUNTIF(AC:AC,AA563)*COUNTIF(AE:AE,AA563)*COUNTIF(AG:AG,AA563),AA563,"")</f>
        <v/>
      </c>
      <c r="AJ563" s="3" t="str">
        <f t="shared" si="28"/>
        <v/>
      </c>
    </row>
    <row r="564" spans="35:36" x14ac:dyDescent="0.25">
      <c r="AI564" s="3" t="str">
        <f>IF(COUNTIF(AC:AC,AA564)*COUNTIF(AE:AE,AA564)*COUNTIF(AG:AG,AA564),AA564,"")</f>
        <v/>
      </c>
      <c r="AJ564" s="3" t="str">
        <f t="shared" si="28"/>
        <v/>
      </c>
    </row>
    <row r="565" spans="35:36" x14ac:dyDescent="0.25">
      <c r="AI565" s="3" t="str">
        <f>IF(COUNTIF(AC:AC,AA565)*COUNTIF(AE:AE,AA565)*COUNTIF(AG:AG,AA565),AA565,"")</f>
        <v/>
      </c>
      <c r="AJ565" s="3" t="str">
        <f t="shared" si="28"/>
        <v/>
      </c>
    </row>
    <row r="566" spans="35:36" x14ac:dyDescent="0.25">
      <c r="AI566" s="3" t="str">
        <f>IF(COUNTIF(AC:AC,AA566)*COUNTIF(AE:AE,AA566)*COUNTIF(AG:AG,AA566),AA566,"")</f>
        <v/>
      </c>
      <c r="AJ566" s="3" t="str">
        <f t="shared" si="28"/>
        <v/>
      </c>
    </row>
    <row r="567" spans="35:36" x14ac:dyDescent="0.25">
      <c r="AI567" s="3" t="str">
        <f>IF(COUNTIF(AC:AC,AA567)*COUNTIF(AE:AE,AA567)*COUNTIF(AG:AG,AA567),AA567,"")</f>
        <v/>
      </c>
      <c r="AJ567" s="3" t="str">
        <f t="shared" si="28"/>
        <v/>
      </c>
    </row>
    <row r="568" spans="35:36" x14ac:dyDescent="0.25">
      <c r="AI568" s="3" t="str">
        <f>IF(COUNTIF(AC:AC,AA568)*COUNTIF(AE:AE,AA568)*COUNTIF(AG:AG,AA568),AA568,"")</f>
        <v/>
      </c>
      <c r="AJ568" s="3" t="str">
        <f t="shared" si="28"/>
        <v/>
      </c>
    </row>
    <row r="569" spans="35:36" x14ac:dyDescent="0.25">
      <c r="AI569" s="3" t="str">
        <f>IF(COUNTIF(AC:AC,AA569)*COUNTIF(AE:AE,AA569)*COUNTIF(AG:AG,AA569),AA569,"")</f>
        <v/>
      </c>
      <c r="AJ569" s="3" t="str">
        <f t="shared" si="28"/>
        <v/>
      </c>
    </row>
  </sheetData>
  <mergeCells count="6">
    <mergeCell ref="I1:I2"/>
    <mergeCell ref="B11:D11"/>
    <mergeCell ref="E11:H11"/>
    <mergeCell ref="B12:D12"/>
    <mergeCell ref="I12:K12"/>
    <mergeCell ref="L12:M12"/>
  </mergeCells>
  <conditionalFormatting sqref="Z1 Z7:Z11 O54:Y555 Z50:Z100 AW63:AW77 Z116:Z1048576 O12:T53 Y12:Y53">
    <cfRule type="cellIs" dxfId="0" priority="1" operator="lessThan">
      <formula>0</formula>
    </cfRule>
  </conditionalFormatting>
  <hyperlinks>
    <hyperlink ref="C4" r:id="rId1" xr:uid="{222F7FF6-444E-4A94-B0C6-B461A251838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IHYG vs AHW</vt:lpstr>
      <vt:lpstr>Dividends</vt:lpstr>
      <vt:lpstr>13a</vt:lpstr>
      <vt:lpstr>13</vt:lpstr>
      <vt:lpstr>13a (2)</vt:lpstr>
      <vt:lpstr>13 (2)</vt:lpstr>
      <vt:lpstr>Combined</vt:lpstr>
      <vt:lpstr>Combined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Sharma</dc:creator>
  <cp:lastModifiedBy>Vasu Sharma</cp:lastModifiedBy>
  <dcterms:created xsi:type="dcterms:W3CDTF">2015-06-05T18:17:20Z</dcterms:created>
  <dcterms:modified xsi:type="dcterms:W3CDTF">2026-06-26T12:49:51Z</dcterms:modified>
</cp:coreProperties>
</file>